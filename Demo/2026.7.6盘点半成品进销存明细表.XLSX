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225" tabRatio="605" firstSheet="1" activeTab="3"/>
  </bookViews>
  <sheets>
    <sheet name="ROJWYMJ" sheetId="6" state="hidden" r:id="rId1"/>
    <sheet name="物料月初库存" sheetId="10" r:id="rId2"/>
    <sheet name="半成品入库明细" sheetId="5" r:id="rId3"/>
    <sheet name="半成品出库明细" sheetId="3" r:id="rId4"/>
    <sheet name="物料本月库存明細" sheetId="1" r:id="rId5"/>
  </sheets>
  <externalReferences>
    <externalReference r:id="rId6"/>
  </externalReferences>
  <definedNames>
    <definedName name="_xlnm._FilterDatabase" localSheetId="3" hidden="1">半成品出库明细!$A$1:$J$560</definedName>
    <definedName name="_xlnm._FilterDatabase" localSheetId="1" hidden="1">物料月初库存!$A$2:$J$66</definedName>
    <definedName name="_xlnm._FilterDatabase" localSheetId="2" hidden="1">半成品入库明细!$A$1:$K$674</definedName>
    <definedName name="_xlnm._FilterDatabase" localSheetId="4" hidden="1">物料本月库存明細!$A$1:$M$1920</definedName>
    <definedName name="_xlnm.Print_Area" localSheetId="4">物料本月库存明細!$B$1:$J$1851</definedName>
    <definedName name="Z_4624FAEE_3870_47E7_B9C2_423B28B7DFA1_.wvu.FilterData" localSheetId="4" hidden="1">物料本月库存明細!#REF!</definedName>
    <definedName name="部門">#REF!</definedName>
    <definedName name="單位">#REF!</definedName>
    <definedName name="供應商">#REF!</definedName>
    <definedName name="類別">#REF!</definedName>
    <definedName name="料號">物料本月库存明細!$C:$C</definedName>
    <definedName name="稅別">#REF!</definedName>
    <definedName name="_xlnm.Print_Area" localSheetId="2">半成品入库明细!$A$1:$G$1044385</definedName>
    <definedName name="_xlnm.Print_Area" localSheetId="1">物料月初库存!$A$1:$J$76</definedName>
    <definedName name="_xlnm.Print_Titles" localSheetId="1">物料月初库存!$1:$2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178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工两工艺能互换做
</t>
        </r>
      </text>
    </comment>
  </commentList>
</comments>
</file>

<file path=xl/sharedStrings.xml><?xml version="1.0" encoding="utf-8"?>
<sst xmlns="http://schemas.openxmlformats.org/spreadsheetml/2006/main" count="10984" uniqueCount="3101">
  <si>
    <t>7.6盘点半成品</t>
  </si>
  <si>
    <t>序号</t>
  </si>
  <si>
    <t>盘点日期</t>
  </si>
  <si>
    <t>料号</t>
  </si>
  <si>
    <r>
      <rPr>
        <b/>
        <sz val="12"/>
        <rFont val="新細明體"/>
        <charset val="134"/>
      </rPr>
      <t>机种名</t>
    </r>
    <r>
      <rPr>
        <b/>
        <sz val="12"/>
        <rFont val="宋体"/>
        <charset val="134"/>
      </rPr>
      <t>称</t>
    </r>
  </si>
  <si>
    <t>单位</t>
  </si>
  <si>
    <t>数量</t>
  </si>
  <si>
    <t>备注工艺</t>
  </si>
  <si>
    <r>
      <rPr>
        <b/>
        <sz val="12"/>
        <rFont val="新細明體"/>
        <charset val="134"/>
      </rPr>
      <t>本月</t>
    </r>
    <r>
      <rPr>
        <b/>
        <sz val="12"/>
        <rFont val="宋体"/>
        <charset val="134"/>
      </rPr>
      <t>库存</t>
    </r>
  </si>
  <si>
    <t>备注</t>
  </si>
  <si>
    <t>2026.7.6盘点</t>
  </si>
  <si>
    <t>XFT035-ZG</t>
  </si>
  <si>
    <t>XFT035-ZYM</t>
  </si>
  <si>
    <t>XFT050-Y</t>
  </si>
  <si>
    <t>LX0003-P</t>
  </si>
  <si>
    <t>SRY002-Y</t>
  </si>
  <si>
    <t>HH0004-Y</t>
  </si>
  <si>
    <t>HH0026-Y</t>
  </si>
  <si>
    <t>HH0031-Z/G</t>
  </si>
  <si>
    <t>HH0036-CNC</t>
  </si>
  <si>
    <t>OFG004-ZY</t>
  </si>
  <si>
    <t>OFG007-ZY</t>
  </si>
  <si>
    <t>OFG014-DY</t>
  </si>
  <si>
    <t>OFG015-P</t>
  </si>
  <si>
    <t>OFG018-PW</t>
  </si>
  <si>
    <t>RB001</t>
  </si>
  <si>
    <t>RB002</t>
  </si>
  <si>
    <t>RB003-PW</t>
  </si>
  <si>
    <t>RB007</t>
  </si>
  <si>
    <t>RB011-KQ</t>
  </si>
  <si>
    <t>RB012-KQ</t>
  </si>
  <si>
    <t>RB013-PS</t>
  </si>
  <si>
    <t>RB014</t>
  </si>
  <si>
    <t>RB015-KQ</t>
  </si>
  <si>
    <t>RB016-Y</t>
  </si>
  <si>
    <t>RB023-Y</t>
  </si>
  <si>
    <t>RB029-M</t>
  </si>
  <si>
    <t>扳手809S SATA头壳（世达）</t>
  </si>
  <si>
    <t>烤漆不良</t>
  </si>
  <si>
    <t>RB031-P</t>
  </si>
  <si>
    <t>RB034-PW</t>
  </si>
  <si>
    <t>RB034-CNC</t>
  </si>
  <si>
    <t>YL001-Y</t>
  </si>
  <si>
    <t>YL001-DM</t>
  </si>
  <si>
    <t>KT008-Y</t>
  </si>
  <si>
    <t>HAPX005-Y</t>
  </si>
  <si>
    <t>HAPX005-YM</t>
  </si>
  <si>
    <t>TST003-Y</t>
  </si>
  <si>
    <t>TST003-DM</t>
  </si>
  <si>
    <t>TST003-CNC</t>
  </si>
  <si>
    <t>HX001-Y</t>
  </si>
  <si>
    <t>WN006--Y</t>
  </si>
  <si>
    <t>SM005-Y</t>
  </si>
  <si>
    <t>JD0001-C</t>
  </si>
  <si>
    <t>A</t>
  </si>
  <si>
    <t>B</t>
  </si>
  <si>
    <t>F</t>
  </si>
  <si>
    <t>H</t>
  </si>
  <si>
    <t>J</t>
  </si>
  <si>
    <t>DW003-Y</t>
  </si>
  <si>
    <t>DW003-DD</t>
  </si>
  <si>
    <t>DW004-Y</t>
  </si>
  <si>
    <t>DW004-DD</t>
  </si>
  <si>
    <t>DW006-PW</t>
  </si>
  <si>
    <t>DW007-Y</t>
  </si>
  <si>
    <t xml:space="preserve">DW007-DD </t>
  </si>
  <si>
    <t>DW009-DD</t>
  </si>
  <si>
    <t>DW015</t>
  </si>
  <si>
    <t>RB008-KQ</t>
  </si>
  <si>
    <t>RB015-Y</t>
  </si>
  <si>
    <t xml:space="preserve">HH0033-ZY </t>
  </si>
  <si>
    <t>RB027-M</t>
  </si>
  <si>
    <t>SRY001-Z/M</t>
  </si>
  <si>
    <t>厂商</t>
  </si>
  <si>
    <t>日 期　</t>
  </si>
  <si>
    <t>单据编号</t>
  </si>
  <si>
    <t>压铸</t>
  </si>
  <si>
    <t>0001251</t>
  </si>
  <si>
    <t>RB024-Y</t>
  </si>
  <si>
    <t>RYZM001-Y</t>
  </si>
  <si>
    <t>RYZM002-Y</t>
  </si>
  <si>
    <t>LX0010-Y</t>
  </si>
  <si>
    <t>RB004-Y</t>
  </si>
  <si>
    <t>KT006-Y</t>
  </si>
  <si>
    <t>锦宇树</t>
  </si>
  <si>
    <t>0006302</t>
  </si>
  <si>
    <t>HH0028-C</t>
  </si>
  <si>
    <t>HH0023-C</t>
  </si>
  <si>
    <t>RB027-KQ</t>
  </si>
  <si>
    <t>素材不良退回30个</t>
  </si>
  <si>
    <t>RB026-KQ</t>
  </si>
  <si>
    <t>素材不良退回24个</t>
  </si>
  <si>
    <t>锦拓</t>
  </si>
  <si>
    <t>0005834</t>
  </si>
  <si>
    <t>LX0010-P</t>
  </si>
  <si>
    <t>博鑫</t>
  </si>
  <si>
    <t>0002193</t>
  </si>
  <si>
    <t>RB004</t>
  </si>
  <si>
    <t>0001252</t>
  </si>
  <si>
    <t>青元山</t>
  </si>
  <si>
    <t>0001178</t>
  </si>
  <si>
    <t>DW008-PG</t>
  </si>
  <si>
    <t>DW003-PG</t>
  </si>
  <si>
    <t>DW004-PG</t>
  </si>
  <si>
    <t>0006303</t>
  </si>
  <si>
    <t>RB002-KQ</t>
  </si>
  <si>
    <t>素材不良退回21个</t>
  </si>
  <si>
    <t>全才</t>
  </si>
  <si>
    <t>0005756</t>
  </si>
  <si>
    <t>HH0023-PG</t>
  </si>
  <si>
    <t>0005835</t>
  </si>
  <si>
    <t>HH0028-P</t>
  </si>
  <si>
    <t>RB024-P</t>
  </si>
  <si>
    <t>麦凯良</t>
  </si>
  <si>
    <t>0006329</t>
  </si>
  <si>
    <t>RB015-DM</t>
  </si>
  <si>
    <t>0001254</t>
  </si>
  <si>
    <t>LX00016-Y</t>
  </si>
  <si>
    <t>设变后</t>
  </si>
  <si>
    <t>KBL002-Y</t>
  </si>
  <si>
    <t>绮丽</t>
  </si>
  <si>
    <t>F26070316</t>
  </si>
  <si>
    <t>LX00016-P</t>
  </si>
  <si>
    <t>素材不良退回2个</t>
  </si>
  <si>
    <t>LX00016-DY</t>
  </si>
  <si>
    <t>LX00019-DY</t>
  </si>
  <si>
    <t>F26070425</t>
  </si>
  <si>
    <t>LX00025-DY</t>
  </si>
  <si>
    <t>LX00020-DY</t>
  </si>
  <si>
    <t>F26070426</t>
  </si>
  <si>
    <t>不良退回</t>
  </si>
  <si>
    <t>F26070701</t>
  </si>
  <si>
    <t>0006330</t>
  </si>
  <si>
    <t>博雅德</t>
  </si>
  <si>
    <t>0005947</t>
  </si>
  <si>
    <t>JD009-CNC</t>
  </si>
  <si>
    <t>瑞联</t>
  </si>
  <si>
    <t>0005945</t>
  </si>
  <si>
    <t>LX00020-C</t>
  </si>
  <si>
    <t>双佰</t>
  </si>
  <si>
    <t>同齐力</t>
  </si>
  <si>
    <t>0005619</t>
  </si>
  <si>
    <t>YL001-CNC</t>
  </si>
  <si>
    <t>0006331</t>
  </si>
  <si>
    <t>返工品</t>
  </si>
  <si>
    <t>RB036-DM</t>
  </si>
  <si>
    <t>凤友</t>
  </si>
  <si>
    <t>0005069</t>
  </si>
  <si>
    <t>OFG006-GY</t>
  </si>
  <si>
    <t>HH0004-GY</t>
  </si>
  <si>
    <t>邑尔维</t>
  </si>
  <si>
    <t>0001329</t>
  </si>
  <si>
    <t xml:space="preserve"> </t>
  </si>
  <si>
    <t>机种名称</t>
  </si>
  <si>
    <r>
      <rPr>
        <sz val="12"/>
        <rFont val="新細明體"/>
        <charset val="134"/>
      </rPr>
      <t>本月</t>
    </r>
    <r>
      <rPr>
        <sz val="12"/>
        <rFont val="宋体"/>
        <charset val="134"/>
      </rPr>
      <t>库存</t>
    </r>
  </si>
  <si>
    <t>0020148</t>
  </si>
  <si>
    <t>0002792</t>
  </si>
  <si>
    <t>0020149</t>
  </si>
  <si>
    <t>0002794</t>
  </si>
  <si>
    <t>0002673</t>
  </si>
  <si>
    <t>0002793</t>
  </si>
  <si>
    <t>报废</t>
  </si>
  <si>
    <t>0001456</t>
  </si>
  <si>
    <t>0002795</t>
  </si>
  <si>
    <t>HH0023-GY</t>
  </si>
  <si>
    <t>0002796</t>
  </si>
  <si>
    <t>0002797</t>
  </si>
  <si>
    <t>0002798</t>
  </si>
  <si>
    <t>金恒</t>
  </si>
  <si>
    <t>0002799</t>
  </si>
  <si>
    <t>验证品</t>
  </si>
  <si>
    <t>0002800</t>
  </si>
  <si>
    <t>0020150</t>
  </si>
  <si>
    <t>喜来来</t>
  </si>
  <si>
    <t>0002801</t>
  </si>
  <si>
    <t>0000904</t>
  </si>
  <si>
    <t>打磨不良</t>
  </si>
  <si>
    <t>0002802</t>
  </si>
  <si>
    <t>0002803</t>
  </si>
  <si>
    <t>0002804</t>
  </si>
  <si>
    <t>义恒谱</t>
  </si>
  <si>
    <t>0002805</t>
  </si>
  <si>
    <t>0002807</t>
  </si>
  <si>
    <t>巧手</t>
  </si>
  <si>
    <t>0002808</t>
  </si>
  <si>
    <t>0002809</t>
  </si>
  <si>
    <t>0020151</t>
  </si>
  <si>
    <t>品名/料号</t>
  </si>
  <si>
    <t>客户</t>
  </si>
  <si>
    <t>月初结存</t>
  </si>
  <si>
    <t>本月入库</t>
  </si>
  <si>
    <t>本月出库</t>
  </si>
  <si>
    <t>本月结存</t>
  </si>
  <si>
    <t>成品段</t>
  </si>
  <si>
    <t>ZM0001-Y</t>
  </si>
  <si>
    <r>
      <rPr>
        <sz val="11"/>
        <color rgb="FF000000"/>
        <rFont val="新細明體"/>
        <charset val="134"/>
      </rPr>
      <t>H56</t>
    </r>
    <r>
      <rPr>
        <sz val="11"/>
        <color rgb="FF000000"/>
        <rFont val="宋体"/>
        <charset val="134"/>
      </rPr>
      <t>上盖</t>
    </r>
  </si>
  <si>
    <t>纵目</t>
  </si>
  <si>
    <t>PCS</t>
  </si>
  <si>
    <t>ZM0001-ZY</t>
  </si>
  <si>
    <t>振研</t>
  </si>
  <si>
    <t>ZM0001-P</t>
  </si>
  <si>
    <t>皮膜</t>
  </si>
  <si>
    <t>成品</t>
  </si>
  <si>
    <t>ZM0002-Y</t>
  </si>
  <si>
    <r>
      <rPr>
        <sz val="11"/>
        <color rgb="FF000000"/>
        <rFont val="新細明體"/>
        <charset val="134"/>
      </rPr>
      <t>H56</t>
    </r>
    <r>
      <rPr>
        <sz val="11"/>
        <color rgb="FF000000"/>
        <rFont val="宋体"/>
        <charset val="134"/>
      </rPr>
      <t>下盖</t>
    </r>
  </si>
  <si>
    <t>ZM0002-ZY</t>
  </si>
  <si>
    <t>ZM0002-P</t>
  </si>
  <si>
    <t>ZM0003-Y</t>
  </si>
  <si>
    <r>
      <rPr>
        <sz val="11"/>
        <color rgb="FF000000"/>
        <rFont val="宋体"/>
        <charset val="134"/>
      </rPr>
      <t>金康</t>
    </r>
    <r>
      <rPr>
        <sz val="11"/>
        <color rgb="FF000000"/>
        <rFont val="新細明體"/>
        <charset val="134"/>
      </rPr>
      <t>X1</t>
    </r>
    <r>
      <rPr>
        <sz val="11"/>
        <color rgb="FF000000"/>
        <rFont val="宋体"/>
        <charset val="134"/>
      </rPr>
      <t>上盖</t>
    </r>
  </si>
  <si>
    <t>ZM0003-ZY</t>
  </si>
  <si>
    <r>
      <rPr>
        <sz val="12"/>
        <rFont val="新細明體"/>
        <charset val="134"/>
      </rPr>
      <t>鑫宝泰/志远,</t>
    </r>
    <r>
      <rPr>
        <sz val="12"/>
        <rFont val="宋体"/>
        <charset val="134"/>
      </rPr>
      <t>喜来来</t>
    </r>
  </si>
  <si>
    <t>ZM0004-Y</t>
  </si>
  <si>
    <r>
      <rPr>
        <sz val="11"/>
        <color rgb="FF000000"/>
        <rFont val="宋体"/>
        <charset val="134"/>
      </rPr>
      <t>金康</t>
    </r>
    <r>
      <rPr>
        <sz val="11"/>
        <color rgb="FF000000"/>
        <rFont val="新細明體"/>
        <charset val="134"/>
      </rPr>
      <t>X1</t>
    </r>
    <r>
      <rPr>
        <sz val="11"/>
        <color rgb="FF000000"/>
        <rFont val="宋体"/>
        <charset val="134"/>
      </rPr>
      <t>下盖</t>
    </r>
  </si>
  <si>
    <t>ZM0004-ZY</t>
  </si>
  <si>
    <t>鑫宝泰/志远,喜来来</t>
  </si>
  <si>
    <t>ZM0005-Y</t>
  </si>
  <si>
    <r>
      <rPr>
        <sz val="11"/>
        <color rgb="FF000000"/>
        <rFont val="宋体"/>
        <charset val="134"/>
      </rPr>
      <t>金康F</t>
    </r>
    <r>
      <rPr>
        <sz val="11"/>
        <color rgb="FF000000"/>
        <rFont val="新細明體"/>
        <charset val="134"/>
      </rPr>
      <t>1</t>
    </r>
    <r>
      <rPr>
        <sz val="11"/>
        <color rgb="FF000000"/>
        <rFont val="宋体"/>
        <charset val="134"/>
      </rPr>
      <t>上盖</t>
    </r>
  </si>
  <si>
    <t>ZM0005-ZY</t>
  </si>
  <si>
    <t>喜来来 成品</t>
  </si>
  <si>
    <t>ZM0006-Y</t>
  </si>
  <si>
    <t>C385上盖</t>
  </si>
  <si>
    <t>ZM0006-M</t>
  </si>
  <si>
    <t>毛边打磨/过砂</t>
  </si>
  <si>
    <t>日安升</t>
  </si>
  <si>
    <t>ZM0006-P</t>
  </si>
  <si>
    <t>抛丸</t>
  </si>
  <si>
    <t>ZM0006-D(P)</t>
  </si>
  <si>
    <t>皮膜（钝化）</t>
  </si>
  <si>
    <t>ZM0007-Y</t>
  </si>
  <si>
    <t>C385下盖</t>
  </si>
  <si>
    <t>ZM0007-P</t>
  </si>
  <si>
    <t>ZM0007-D(P)</t>
  </si>
  <si>
    <t>ZM0008-Y</t>
  </si>
  <si>
    <t>C001_APA主机上盖</t>
  </si>
  <si>
    <t>ZM0008-M</t>
  </si>
  <si>
    <t>毛边</t>
  </si>
  <si>
    <r>
      <rPr>
        <sz val="12"/>
        <rFont val="新細明體"/>
        <charset val="134"/>
      </rPr>
      <t>厂内毛边</t>
    </r>
    <r>
      <rPr>
        <sz val="12"/>
        <rFont val="宋体"/>
        <charset val="134"/>
      </rPr>
      <t>，邦宇</t>
    </r>
  </si>
  <si>
    <t>ZM0008-ZY</t>
  </si>
  <si>
    <t>ZM0008-QX</t>
  </si>
  <si>
    <t>清洗</t>
  </si>
  <si>
    <t>临时工艺,巧手</t>
  </si>
  <si>
    <t>ZM0009-Y</t>
  </si>
  <si>
    <t>C001_APA主机下盖</t>
  </si>
  <si>
    <t>ZM0009-M</t>
  </si>
  <si>
    <t>厂内毛边</t>
  </si>
  <si>
    <t>ZM0009-ZY</t>
  </si>
  <si>
    <t>ZM001-Y</t>
  </si>
  <si>
    <t>P-3</t>
  </si>
  <si>
    <t>卓民</t>
  </si>
  <si>
    <t>ZM001-Z</t>
  </si>
  <si>
    <r>
      <rPr>
        <sz val="11"/>
        <color rgb="FF000000"/>
        <rFont val="宋体"/>
        <charset val="134"/>
      </rPr>
      <t>钻孔</t>
    </r>
    <r>
      <rPr>
        <sz val="11"/>
        <color rgb="FF000000"/>
        <rFont val="新細明體"/>
        <charset val="134"/>
      </rPr>
      <t>/</t>
    </r>
    <r>
      <rPr>
        <sz val="11"/>
        <color rgb="FF000000"/>
        <rFont val="宋体"/>
        <charset val="134"/>
      </rPr>
      <t>攻牙</t>
    </r>
    <r>
      <rPr>
        <sz val="11"/>
        <color rgb="FF000000"/>
        <rFont val="新細明體"/>
        <charset val="134"/>
      </rPr>
      <t>/</t>
    </r>
    <r>
      <rPr>
        <sz val="11"/>
        <color rgb="FF000000"/>
        <rFont val="宋体"/>
        <charset val="134"/>
      </rPr>
      <t>倒角</t>
    </r>
  </si>
  <si>
    <t>ZM001-M</t>
  </si>
  <si>
    <t>铆钉</t>
  </si>
  <si>
    <t>ZM001-B</t>
  </si>
  <si>
    <t>毛边/打磨</t>
  </si>
  <si>
    <t>ZM001-K</t>
  </si>
  <si>
    <t>烤漆</t>
  </si>
  <si>
    <t>ZM002-Y</t>
  </si>
  <si>
    <t>S-3</t>
  </si>
  <si>
    <t>ZM002-B</t>
  </si>
  <si>
    <t>ZM002-K</t>
  </si>
  <si>
    <t>ZM003-Y</t>
  </si>
  <si>
    <t>61-55N05G001</t>
  </si>
  <si>
    <t>ZM003-M/P</t>
  </si>
  <si>
    <r>
      <rPr>
        <sz val="11"/>
        <color rgb="FF000000"/>
        <rFont val="宋体"/>
        <charset val="134"/>
      </rPr>
      <t>毛边</t>
    </r>
    <r>
      <rPr>
        <sz val="11"/>
        <color rgb="FF000000"/>
        <rFont val="新細明體"/>
        <charset val="134"/>
      </rPr>
      <t>/</t>
    </r>
    <r>
      <rPr>
        <sz val="11"/>
        <color rgb="FF000000"/>
        <rFont val="宋体"/>
        <charset val="134"/>
      </rPr>
      <t>过砂</t>
    </r>
  </si>
  <si>
    <t>ZM003-K</t>
  </si>
  <si>
    <t xml:space="preserve">ZM003-G </t>
  </si>
  <si>
    <t>攻牙</t>
  </si>
  <si>
    <t>ZM003-QX</t>
  </si>
  <si>
    <t>ZM003-LD</t>
  </si>
  <si>
    <t>镭雕</t>
  </si>
  <si>
    <t>ZD001-Y</t>
  </si>
  <si>
    <t>铝合金前壳</t>
  </si>
  <si>
    <t>展东机械</t>
  </si>
  <si>
    <t>ZD001-M</t>
  </si>
  <si>
    <t>YBQ001</t>
  </si>
  <si>
    <r>
      <rPr>
        <sz val="11"/>
        <color rgb="FF000000"/>
        <rFont val="新細明體"/>
        <charset val="134"/>
      </rPr>
      <t>6000</t>
    </r>
    <r>
      <rPr>
        <sz val="11"/>
        <color indexed="8"/>
        <rFont val="宋体"/>
        <charset val="134"/>
      </rPr>
      <t>固定柱</t>
    </r>
  </si>
  <si>
    <t>远邦谦</t>
  </si>
  <si>
    <t>YD001-Y</t>
  </si>
  <si>
    <t>DH506地上型主体</t>
  </si>
  <si>
    <t>毅达</t>
  </si>
  <si>
    <t>YD001-M</t>
  </si>
  <si>
    <t>YD001-K</t>
  </si>
  <si>
    <t>YX001-Y</t>
  </si>
  <si>
    <t>MT012A39</t>
  </si>
  <si>
    <t>奕昕</t>
  </si>
  <si>
    <t>YX001-S</t>
  </si>
  <si>
    <t>过砂</t>
  </si>
  <si>
    <t>YX002-Y</t>
  </si>
  <si>
    <r>
      <rPr>
        <sz val="11"/>
        <color rgb="FF000000"/>
        <rFont val="新細明體"/>
        <charset val="134"/>
      </rPr>
      <t>马达后</t>
    </r>
    <r>
      <rPr>
        <sz val="11"/>
        <color indexed="8"/>
        <rFont val="宋体"/>
        <charset val="134"/>
      </rPr>
      <t>盖</t>
    </r>
    <r>
      <rPr>
        <sz val="11"/>
        <color indexed="8"/>
        <rFont val="新細明體"/>
        <charset val="134"/>
      </rPr>
      <t>MT012M00</t>
    </r>
  </si>
  <si>
    <t>YX002-S</t>
  </si>
  <si>
    <t>YX003-Y</t>
  </si>
  <si>
    <r>
      <rPr>
        <sz val="11"/>
        <color rgb="FF000000"/>
        <rFont val="新細明體"/>
        <charset val="134"/>
      </rPr>
      <t>马达</t>
    </r>
    <r>
      <rPr>
        <sz val="11"/>
        <color indexed="8"/>
        <rFont val="宋体"/>
        <charset val="134"/>
      </rPr>
      <t>前盖MT001Q01</t>
    </r>
  </si>
  <si>
    <t>YX003-S</t>
  </si>
  <si>
    <t>YX004-Y</t>
  </si>
  <si>
    <r>
      <rPr>
        <sz val="11"/>
        <color rgb="FF000000"/>
        <rFont val="新細明體"/>
        <charset val="134"/>
      </rPr>
      <t>MT041A25</t>
    </r>
    <r>
      <rPr>
        <sz val="11"/>
        <color indexed="8"/>
        <rFont val="宋体"/>
        <charset val="134"/>
      </rPr>
      <t>轴承套</t>
    </r>
  </si>
  <si>
    <t>YX004-S</t>
  </si>
  <si>
    <t>YX005-Y</t>
  </si>
  <si>
    <r>
      <rPr>
        <sz val="11"/>
        <color rgb="FF000000"/>
        <rFont val="新細明體"/>
        <charset val="134"/>
      </rPr>
      <t>MT041A27</t>
    </r>
    <r>
      <rPr>
        <sz val="11"/>
        <color indexed="8"/>
        <rFont val="宋体"/>
        <charset val="134"/>
      </rPr>
      <t>轴承套</t>
    </r>
  </si>
  <si>
    <t>YX005-S</t>
  </si>
  <si>
    <t>YX006-Y</t>
  </si>
  <si>
    <r>
      <rPr>
        <sz val="11"/>
        <color rgb="FF000000"/>
        <rFont val="新細明體"/>
        <charset val="134"/>
      </rPr>
      <t>MT001A67</t>
    </r>
    <r>
      <rPr>
        <sz val="11"/>
        <color indexed="8"/>
        <rFont val="宋体"/>
        <charset val="134"/>
      </rPr>
      <t>前盖</t>
    </r>
  </si>
  <si>
    <t>YX006-S</t>
  </si>
  <si>
    <t>YX007-Y</t>
  </si>
  <si>
    <r>
      <rPr>
        <sz val="11"/>
        <color rgb="FF000000"/>
        <rFont val="新細明體"/>
        <charset val="134"/>
      </rPr>
      <t>MT012A73</t>
    </r>
    <r>
      <rPr>
        <sz val="11"/>
        <color indexed="8"/>
        <rFont val="宋体"/>
        <charset val="134"/>
      </rPr>
      <t>后盖</t>
    </r>
  </si>
  <si>
    <t>YX007-S</t>
  </si>
  <si>
    <t>YX008-Y</t>
  </si>
  <si>
    <t>MT041A26</t>
  </si>
  <si>
    <t>YX008-S</t>
  </si>
  <si>
    <t>YX009-Y</t>
  </si>
  <si>
    <t>MT041A28</t>
  </si>
  <si>
    <t>YX009-S</t>
  </si>
  <si>
    <t>YS002-Y</t>
  </si>
  <si>
    <t>AP31主机上盖（360上盖）</t>
  </si>
  <si>
    <t>铱斯</t>
  </si>
  <si>
    <t>YS002-CNC</t>
  </si>
  <si>
    <t>CNC</t>
  </si>
  <si>
    <t>天宇/创欣达</t>
  </si>
  <si>
    <t>YS002-M/Z</t>
  </si>
  <si>
    <r>
      <rPr>
        <sz val="11"/>
        <color rgb="FF000000"/>
        <rFont val="新細明體"/>
        <charset val="134"/>
      </rPr>
      <t>毛边/</t>
    </r>
    <r>
      <rPr>
        <sz val="11"/>
        <color rgb="FF000000"/>
        <rFont val="宋体"/>
        <charset val="134"/>
      </rPr>
      <t>钻孔</t>
    </r>
  </si>
  <si>
    <t>日安升/麦凯良</t>
  </si>
  <si>
    <t>YS002-P</t>
  </si>
  <si>
    <t>YS001-Y</t>
  </si>
  <si>
    <t>AP31主机下盖（360下盖）</t>
  </si>
  <si>
    <t>YS001-M</t>
  </si>
  <si>
    <t>YS001-ZG</t>
  </si>
  <si>
    <t>钻孔/攻牙</t>
  </si>
  <si>
    <t>润宝泰/凤友</t>
  </si>
  <si>
    <t>YS001-P</t>
  </si>
  <si>
    <t>YS003-Y</t>
  </si>
  <si>
    <t>AS23主机上盖</t>
  </si>
  <si>
    <t>YS003-C</t>
  </si>
  <si>
    <t>CNC/攻牙</t>
  </si>
  <si>
    <t>凤友/润宝泰</t>
  </si>
  <si>
    <t>YS003-ZY</t>
  </si>
  <si>
    <r>
      <rPr>
        <sz val="12"/>
        <rFont val="宋体"/>
        <charset val="134"/>
      </rPr>
      <t>喜来来/鑫宝泰</t>
    </r>
    <r>
      <rPr>
        <sz val="12"/>
        <rFont val="新細明體"/>
        <charset val="134"/>
      </rPr>
      <t>志</t>
    </r>
    <r>
      <rPr>
        <sz val="12"/>
        <rFont val="宋体"/>
        <charset val="134"/>
      </rPr>
      <t>远</t>
    </r>
  </si>
  <si>
    <t>YS003-P</t>
  </si>
  <si>
    <t>YS004-Y</t>
  </si>
  <si>
    <t>AS23主机下盖</t>
  </si>
  <si>
    <t>YS004-C</t>
  </si>
  <si>
    <t>YS004-ZY</t>
  </si>
  <si>
    <t>YS004-P</t>
  </si>
  <si>
    <t>YZH001-Y</t>
  </si>
  <si>
    <t>支架连接座</t>
  </si>
  <si>
    <t>洋之翰</t>
  </si>
  <si>
    <t>YZH001-M</t>
  </si>
  <si>
    <t>XJH001-Y</t>
  </si>
  <si>
    <t>510-00234</t>
  </si>
  <si>
    <t>鑫捷华</t>
  </si>
  <si>
    <t>XFT0019-Y</t>
  </si>
  <si>
    <t>600154202G</t>
  </si>
  <si>
    <t>鑫福泰（将煜）</t>
  </si>
  <si>
    <t>XFT0019-C</t>
  </si>
  <si>
    <t>车加工</t>
  </si>
  <si>
    <t>XFT0019-C/G</t>
  </si>
  <si>
    <t>XFT0019-M</t>
  </si>
  <si>
    <t>打磨</t>
  </si>
  <si>
    <t>XFT0019-K</t>
  </si>
  <si>
    <t>XFT0019-S</t>
  </si>
  <si>
    <t>丝印</t>
  </si>
  <si>
    <t>XFT021-Y</t>
  </si>
  <si>
    <t>600152701G</t>
  </si>
  <si>
    <t>XFT021-C</t>
  </si>
  <si>
    <t>XFT021-C/G</t>
  </si>
  <si>
    <t>XFT021-M</t>
  </si>
  <si>
    <t>XFT021-K</t>
  </si>
  <si>
    <t>XFT021-S</t>
  </si>
  <si>
    <t>XFT022-Y</t>
  </si>
  <si>
    <t>600159500G</t>
  </si>
  <si>
    <t>XFT022-C</t>
  </si>
  <si>
    <t>XFT022-C/G</t>
  </si>
  <si>
    <t>XFT022-DM</t>
  </si>
  <si>
    <t>XFT022-K</t>
  </si>
  <si>
    <t>XFT022-S1</t>
  </si>
  <si>
    <t>XFT022-S2</t>
  </si>
  <si>
    <t>600175900G</t>
  </si>
  <si>
    <t>XFT023-Y</t>
  </si>
  <si>
    <t>600156700G</t>
  </si>
  <si>
    <t>XFT023-C</t>
  </si>
  <si>
    <t>XFT023-C/G</t>
  </si>
  <si>
    <t>XFT023-M</t>
  </si>
  <si>
    <t>XFT023-K</t>
  </si>
  <si>
    <t>XFT023-S</t>
  </si>
  <si>
    <t>XFT023-S1</t>
  </si>
  <si>
    <t>600156710G</t>
  </si>
  <si>
    <t>XFT023-S2</t>
  </si>
  <si>
    <t>600156720G</t>
  </si>
  <si>
    <t>XFT023-S3</t>
  </si>
  <si>
    <t>600183300G</t>
  </si>
  <si>
    <t>XFT023-S4</t>
  </si>
  <si>
    <t>600174900G</t>
  </si>
  <si>
    <t>XFT023-S5</t>
  </si>
  <si>
    <t>600156701G</t>
  </si>
  <si>
    <t>XFT024-Y</t>
  </si>
  <si>
    <t>600154301G</t>
  </si>
  <si>
    <t>XFT024-C</t>
  </si>
  <si>
    <t>XFT024-C/G</t>
  </si>
  <si>
    <t>XFT024-M</t>
  </si>
  <si>
    <t>XFT024-K</t>
  </si>
  <si>
    <t>XFT024-S</t>
  </si>
  <si>
    <t>XFT025-Y</t>
  </si>
  <si>
    <t>600160600G</t>
  </si>
  <si>
    <t>XFT025C</t>
  </si>
  <si>
    <t>XFT025-C/G</t>
  </si>
  <si>
    <t>XFT025-M</t>
  </si>
  <si>
    <t>XFT025-K</t>
  </si>
  <si>
    <t>XFT025-S</t>
  </si>
  <si>
    <t>XFT026-Y</t>
  </si>
  <si>
    <t>600152800G</t>
  </si>
  <si>
    <t>XFT026-C</t>
  </si>
  <si>
    <t>XFT026-C/G</t>
  </si>
  <si>
    <t>XFT026-M</t>
  </si>
  <si>
    <t>XFT026-K</t>
  </si>
  <si>
    <t>或成品</t>
  </si>
  <si>
    <t>XFT026-S</t>
  </si>
  <si>
    <t>600152810G</t>
  </si>
  <si>
    <t>XFT027-Y</t>
  </si>
  <si>
    <t>600173800G</t>
  </si>
  <si>
    <t>XFT027-C</t>
  </si>
  <si>
    <t>XFT027-C/G</t>
  </si>
  <si>
    <t>XFT027-M</t>
  </si>
  <si>
    <t>XFT027-K</t>
  </si>
  <si>
    <t>XFT027-K-1</t>
  </si>
  <si>
    <t>600160700G</t>
  </si>
  <si>
    <t>XFT027-S1</t>
  </si>
  <si>
    <t>XFT027-S2</t>
  </si>
  <si>
    <t>600183400G</t>
  </si>
  <si>
    <t>XFT027-S3</t>
  </si>
  <si>
    <t>600174000G</t>
  </si>
  <si>
    <t>XFT027-S4</t>
  </si>
  <si>
    <t>XFT027-S5</t>
  </si>
  <si>
    <t>600161000G</t>
  </si>
  <si>
    <t>XFT027-S7</t>
  </si>
  <si>
    <t>600161001G</t>
  </si>
  <si>
    <t>XFT027-S6</t>
  </si>
  <si>
    <t>600181500G</t>
  </si>
  <si>
    <t>XFT001-Y</t>
  </si>
  <si>
    <t>0007</t>
  </si>
  <si>
    <t>鑫福泰</t>
  </si>
  <si>
    <t>XFT001-MY</t>
  </si>
  <si>
    <t>振研攻牙</t>
  </si>
  <si>
    <t>XFT001-CNC</t>
  </si>
  <si>
    <t>XFT001-D</t>
  </si>
  <si>
    <t>电镀</t>
  </si>
  <si>
    <t>XFT002-Y</t>
  </si>
  <si>
    <t>0008</t>
  </si>
  <si>
    <t>XFT002-ZGM</t>
  </si>
  <si>
    <t>振研攻牙毛边</t>
  </si>
  <si>
    <t>XFT002-P</t>
  </si>
  <si>
    <t>洗白</t>
  </si>
  <si>
    <t>XFT003-Y</t>
  </si>
  <si>
    <r>
      <rPr>
        <sz val="11"/>
        <color rgb="FF000000"/>
        <rFont val="新細明體"/>
        <charset val="134"/>
      </rPr>
      <t>0009</t>
    </r>
    <r>
      <rPr>
        <sz val="11"/>
        <color indexed="8"/>
        <rFont val="宋体"/>
        <charset val="134"/>
      </rPr>
      <t>中框</t>
    </r>
  </si>
  <si>
    <t>XFT003-ZY</t>
  </si>
  <si>
    <r>
      <rPr>
        <sz val="11"/>
        <color rgb="FF000000"/>
        <rFont val="新細明體"/>
        <charset val="134"/>
      </rPr>
      <t>润宝泰/凤友</t>
    </r>
    <r>
      <rPr>
        <sz val="11"/>
        <color rgb="FF000000"/>
        <rFont val="宋体"/>
        <charset val="134"/>
      </rPr>
      <t>。</t>
    </r>
    <r>
      <rPr>
        <sz val="11"/>
        <rFont val="宋体"/>
        <charset val="134"/>
      </rPr>
      <t>研磨喜来来暂时做</t>
    </r>
  </si>
  <si>
    <t>XFT003-K</t>
  </si>
  <si>
    <t>华晖远/术尔</t>
  </si>
  <si>
    <t>XFT004-Y</t>
  </si>
  <si>
    <t>DBC1481L1</t>
  </si>
  <si>
    <t>XFT004-M</t>
  </si>
  <si>
    <t>XFT004-MG</t>
  </si>
  <si>
    <t>XFT004-P</t>
  </si>
  <si>
    <t>XFT005-Y</t>
  </si>
  <si>
    <t>DBC1480L1</t>
  </si>
  <si>
    <t>XFT005-M</t>
  </si>
  <si>
    <t>振研毛边</t>
  </si>
  <si>
    <t>XFT005-P</t>
  </si>
  <si>
    <t>XFT006-Y</t>
  </si>
  <si>
    <t>UDU9011</t>
  </si>
  <si>
    <t>XFT006-MG</t>
  </si>
  <si>
    <t>毛边/攻牙</t>
  </si>
  <si>
    <t>XFT007-ZY</t>
  </si>
  <si>
    <t>DBC15A0</t>
  </si>
  <si>
    <t>XFT007-P</t>
  </si>
  <si>
    <t>XFT008-Y</t>
  </si>
  <si>
    <t>0007-001</t>
  </si>
  <si>
    <t>XFT008-CNC</t>
  </si>
  <si>
    <t>XFT008-D</t>
  </si>
  <si>
    <t>XFT009-Y</t>
  </si>
  <si>
    <t>70U00162</t>
  </si>
  <si>
    <t>XFT009-MY</t>
  </si>
  <si>
    <t>XFT009-CNC</t>
  </si>
  <si>
    <t>XFT009-P</t>
  </si>
  <si>
    <t>XFT010-Y</t>
  </si>
  <si>
    <t>MHSP-SP-AX</t>
  </si>
  <si>
    <t>XFT010-GY</t>
  </si>
  <si>
    <t>CNC /攻侧牙</t>
  </si>
  <si>
    <t xml:space="preserve">润宝泰凤友/攻牙，毛边 </t>
  </si>
  <si>
    <t>XFT010-CNC</t>
  </si>
  <si>
    <r>
      <rPr>
        <sz val="11"/>
        <color rgb="FF000000"/>
        <rFont val="新細明體"/>
        <charset val="134"/>
      </rPr>
      <t>攻牙/</t>
    </r>
    <r>
      <rPr>
        <sz val="11"/>
        <color rgb="FF000000"/>
        <rFont val="宋体"/>
        <charset val="134"/>
      </rPr>
      <t>振研</t>
    </r>
  </si>
  <si>
    <r>
      <rPr>
        <b/>
        <sz val="10"/>
        <color rgb="FF000000"/>
        <rFont val="新細明體"/>
        <charset val="134"/>
      </rPr>
      <t>麦凯良</t>
    </r>
    <r>
      <rPr>
        <b/>
        <sz val="10"/>
        <color rgb="FF000000"/>
        <rFont val="宋体"/>
        <charset val="134"/>
      </rPr>
      <t>侧牙</t>
    </r>
    <r>
      <rPr>
        <b/>
        <sz val="10"/>
        <color rgb="FF000000"/>
        <rFont val="新細明體"/>
        <charset val="134"/>
      </rPr>
      <t>/25.8.14</t>
    </r>
    <r>
      <rPr>
        <b/>
        <sz val="10"/>
        <color rgb="FF000000"/>
        <rFont val="宋体"/>
        <charset val="134"/>
      </rPr>
      <t>起同齐力做</t>
    </r>
  </si>
  <si>
    <t>XFT010-P</t>
  </si>
  <si>
    <r>
      <rPr>
        <sz val="11"/>
        <color rgb="FF000000"/>
        <rFont val="新細明體"/>
        <charset val="134"/>
      </rPr>
      <t>皮膜/</t>
    </r>
    <r>
      <rPr>
        <sz val="11"/>
        <color rgb="FF000000"/>
        <rFont val="宋体"/>
        <charset val="134"/>
      </rPr>
      <t>洗白</t>
    </r>
  </si>
  <si>
    <t>XFT011-Y</t>
  </si>
  <si>
    <t>BHSP-SP-AX</t>
  </si>
  <si>
    <t>XFT011-ZY</t>
  </si>
  <si>
    <t>润宝泰</t>
  </si>
  <si>
    <t>XFT011-CNC</t>
  </si>
  <si>
    <t>XFT011-K</t>
  </si>
  <si>
    <t>XFT012-Y</t>
  </si>
  <si>
    <t>V3-BHSP-AX</t>
  </si>
  <si>
    <t>XFT012-ZY</t>
  </si>
  <si>
    <t>XFT012-CNC</t>
  </si>
  <si>
    <t>XFT012-K</t>
  </si>
  <si>
    <t>XFT013-Y</t>
  </si>
  <si>
    <t>后盖</t>
  </si>
  <si>
    <t>XFT013-CNC</t>
  </si>
  <si>
    <t>XFT013-M</t>
  </si>
  <si>
    <r>
      <rPr>
        <sz val="11"/>
        <color indexed="8"/>
        <rFont val="新細明體"/>
        <charset val="134"/>
      </rPr>
      <t>毛边</t>
    </r>
    <r>
      <rPr>
        <sz val="11"/>
        <color rgb="FF000000"/>
        <rFont val="新細明體"/>
        <charset val="134"/>
      </rPr>
      <t>/</t>
    </r>
    <r>
      <rPr>
        <sz val="11"/>
        <color rgb="FF000000"/>
        <rFont val="宋体"/>
        <charset val="134"/>
      </rPr>
      <t>打磨</t>
    </r>
  </si>
  <si>
    <t>XFT013-K</t>
  </si>
  <si>
    <t>XFT013-S</t>
  </si>
  <si>
    <t>XFT014-Y</t>
  </si>
  <si>
    <t>前盖</t>
  </si>
  <si>
    <t>XFT014-ZG</t>
  </si>
  <si>
    <t>XFT014-CNC</t>
  </si>
  <si>
    <t>XFT014-M</t>
  </si>
  <si>
    <t>XFT014-K</t>
  </si>
  <si>
    <t>XFT015-Y</t>
  </si>
  <si>
    <t>盖板</t>
  </si>
  <si>
    <t>XFT015-CNC</t>
  </si>
  <si>
    <t>XFT015-M</t>
  </si>
  <si>
    <r>
      <rPr>
        <sz val="11"/>
        <color rgb="FF000000"/>
        <rFont val="宋体"/>
        <charset val="134"/>
      </rPr>
      <t>毛边</t>
    </r>
    <r>
      <rPr>
        <sz val="11"/>
        <color rgb="FF000000"/>
        <rFont val="新細明體"/>
        <charset val="134"/>
      </rPr>
      <t>/</t>
    </r>
    <r>
      <rPr>
        <sz val="11"/>
        <color rgb="FF000000"/>
        <rFont val="宋体"/>
        <charset val="134"/>
      </rPr>
      <t>打磨</t>
    </r>
  </si>
  <si>
    <t>XFT015-K</t>
  </si>
  <si>
    <t>XFT016-Y</t>
  </si>
  <si>
    <t>ATT1LA-BHSP</t>
  </si>
  <si>
    <t>XFT016-GY</t>
  </si>
  <si>
    <t>攻平面牙/振研</t>
  </si>
  <si>
    <t>凤友 平面牙 11/11新加工艺</t>
  </si>
  <si>
    <t>XFT016-C</t>
  </si>
  <si>
    <t xml:space="preserve">麦凯良/（25.12.8起同齐力 侧牙） </t>
  </si>
  <si>
    <t>XFT016-ZY</t>
  </si>
  <si>
    <t>喜来来暂时做1/16</t>
  </si>
  <si>
    <t>XFT016-K</t>
  </si>
  <si>
    <t>博巨</t>
  </si>
  <si>
    <t>XFT017-Y</t>
  </si>
  <si>
    <t>ATT1LA-PHSK</t>
  </si>
  <si>
    <t>13BK-3QN0A01</t>
  </si>
  <si>
    <t>XFT017-ZG</t>
  </si>
  <si>
    <t>振研/攻牙</t>
  </si>
  <si>
    <t>XFT017-P</t>
  </si>
  <si>
    <t>拉白</t>
  </si>
  <si>
    <t>XFT018-Y</t>
  </si>
  <si>
    <t>ATT1LA-MHSP</t>
  </si>
  <si>
    <t>XFT018-GY</t>
  </si>
  <si>
    <t>润宝泰（振研）攻平面牙</t>
  </si>
  <si>
    <t>XFT018-CNC</t>
  </si>
  <si>
    <t>钻孔/CNC</t>
  </si>
  <si>
    <t xml:space="preserve"> 同齐力（攻侧牙）</t>
  </si>
  <si>
    <t>XFT018-P</t>
  </si>
  <si>
    <t>皮膜/洗白</t>
  </si>
  <si>
    <t>13BK-3QN0B11/巧手</t>
  </si>
  <si>
    <t>XFT019-Y</t>
  </si>
  <si>
    <t>ATT1LA-THSP</t>
  </si>
  <si>
    <t>XFT019-ZYGY</t>
  </si>
  <si>
    <t>凤友/润宝泰，同齐力，喜来来临时研磨，凤友来不及</t>
  </si>
  <si>
    <t>XFT019-D</t>
  </si>
  <si>
    <t>睿赞</t>
  </si>
  <si>
    <t>XFT0017-Y</t>
  </si>
  <si>
    <r>
      <rPr>
        <sz val="11"/>
        <color rgb="FF000000"/>
        <rFont val="宋体"/>
        <charset val="134"/>
      </rPr>
      <t>锌合金</t>
    </r>
    <r>
      <rPr>
        <sz val="11"/>
        <color rgb="FF000000"/>
        <rFont val="新細明體"/>
        <charset val="134"/>
      </rPr>
      <t>-1</t>
    </r>
  </si>
  <si>
    <t>XFT0017-S</t>
  </si>
  <si>
    <t>XFT0017-M/P/G</t>
  </si>
  <si>
    <t>毛边喷砂攻牙</t>
  </si>
  <si>
    <t>XFT0017-DY</t>
  </si>
  <si>
    <r>
      <rPr>
        <sz val="11"/>
        <color rgb="FF000000"/>
        <rFont val="新細明體"/>
        <charset val="134"/>
      </rPr>
      <t>电</t>
    </r>
    <r>
      <rPr>
        <sz val="11"/>
        <color rgb="FF000000"/>
        <rFont val="宋体"/>
        <charset val="134"/>
      </rPr>
      <t>泳</t>
    </r>
  </si>
  <si>
    <t>XFT0018-Y</t>
  </si>
  <si>
    <r>
      <rPr>
        <sz val="11"/>
        <color rgb="FF000000"/>
        <rFont val="宋体"/>
        <charset val="134"/>
      </rPr>
      <t>锌合金</t>
    </r>
    <r>
      <rPr>
        <sz val="11"/>
        <color rgb="FF000000"/>
        <rFont val="新細明體"/>
        <charset val="134"/>
      </rPr>
      <t>-2</t>
    </r>
  </si>
  <si>
    <t>XFT0018-S</t>
  </si>
  <si>
    <t>XFT0018-M/P/G</t>
  </si>
  <si>
    <t>XFT0018-DY</t>
  </si>
  <si>
    <t>XFT028-Y</t>
  </si>
  <si>
    <t>9012上盖</t>
  </si>
  <si>
    <t>XFT028-CNC</t>
  </si>
  <si>
    <t>XFT028-M/P</t>
  </si>
  <si>
    <r>
      <rPr>
        <sz val="11"/>
        <color rgb="FF000000"/>
        <rFont val="宋体"/>
        <charset val="134"/>
      </rPr>
      <t>毛边</t>
    </r>
    <r>
      <rPr>
        <sz val="11"/>
        <color rgb="FF000000"/>
        <rFont val="新細明體"/>
        <charset val="134"/>
      </rPr>
      <t>/</t>
    </r>
    <r>
      <rPr>
        <sz val="11"/>
        <color rgb="FF000000"/>
        <rFont val="宋体"/>
        <charset val="134"/>
      </rPr>
      <t>喷砂</t>
    </r>
  </si>
  <si>
    <t>XFT028-K</t>
  </si>
  <si>
    <t>XFT028-LD</t>
  </si>
  <si>
    <r>
      <rPr>
        <sz val="11"/>
        <color rgb="FF000000"/>
        <rFont val="新細明體"/>
        <charset val="134"/>
      </rPr>
      <t>镭</t>
    </r>
    <r>
      <rPr>
        <sz val="11"/>
        <color rgb="FF000000"/>
        <rFont val="宋体"/>
        <charset val="134"/>
      </rPr>
      <t>雕</t>
    </r>
  </si>
  <si>
    <t>XFT029-Y</t>
  </si>
  <si>
    <t>ZS-THSP</t>
  </si>
  <si>
    <t>XFT029-ZY</t>
  </si>
  <si>
    <t>XFT029-D</t>
  </si>
  <si>
    <t>XFT031-Y</t>
  </si>
  <si>
    <t>ZS-MHSP</t>
  </si>
  <si>
    <t>XFT031-ZY</t>
  </si>
  <si>
    <r>
      <rPr>
        <sz val="11"/>
        <color rgb="FF000000"/>
        <rFont val="新細明體"/>
        <charset val="134"/>
      </rPr>
      <t>振研/</t>
    </r>
    <r>
      <rPr>
        <sz val="11"/>
        <color rgb="FF000000"/>
        <rFont val="宋体"/>
        <charset val="134"/>
      </rPr>
      <t>攻牙</t>
    </r>
  </si>
  <si>
    <t>XFT031-P</t>
  </si>
  <si>
    <t>XFT030-Y</t>
  </si>
  <si>
    <t>ZS-BHSP</t>
  </si>
  <si>
    <t>XFT030-M</t>
  </si>
  <si>
    <t>XFT030-GY</t>
  </si>
  <si>
    <t>XFT030-P</t>
  </si>
  <si>
    <t>XFT032-Y</t>
  </si>
  <si>
    <t>DUD3500D1</t>
  </si>
  <si>
    <t>XFT032-M</t>
  </si>
  <si>
    <r>
      <rPr>
        <sz val="11"/>
        <color rgb="FF000000"/>
        <rFont val="新細明體"/>
        <charset val="134"/>
      </rPr>
      <t>麦凯良/</t>
    </r>
    <r>
      <rPr>
        <sz val="11"/>
        <color rgb="FF000000"/>
        <rFont val="宋体"/>
        <charset val="134"/>
      </rPr>
      <t>日安升，厂内毛边</t>
    </r>
  </si>
  <si>
    <t>XFT032-P</t>
  </si>
  <si>
    <t>XFT032-T</t>
  </si>
  <si>
    <r>
      <rPr>
        <sz val="11"/>
        <color rgb="FF000000"/>
        <rFont val="新細明體"/>
        <charset val="134"/>
      </rPr>
      <t>铆</t>
    </r>
    <r>
      <rPr>
        <sz val="11"/>
        <color rgb="FF000000"/>
        <rFont val="宋体"/>
        <charset val="134"/>
      </rPr>
      <t>弹片</t>
    </r>
  </si>
  <si>
    <t>XFT033-Y</t>
  </si>
  <si>
    <t>VSD9007S2</t>
  </si>
  <si>
    <t>XFT033-ZY</t>
  </si>
  <si>
    <t>XFT033-P</t>
  </si>
  <si>
    <t>XFT033-M</t>
  </si>
  <si>
    <t>厂内</t>
  </si>
  <si>
    <t>XFT034-Y</t>
  </si>
  <si>
    <t>（002）Kreka MHSP Tool</t>
  </si>
  <si>
    <t>XFT034-ZG/CNC</t>
  </si>
  <si>
    <t>XFT034-ZG</t>
  </si>
  <si>
    <r>
      <rPr>
        <sz val="11"/>
        <color rgb="FF000000"/>
        <rFont val="新細明體"/>
        <charset val="134"/>
      </rPr>
      <t>CNC/</t>
    </r>
    <r>
      <rPr>
        <sz val="11"/>
        <color rgb="FF000000"/>
        <rFont val="宋体"/>
        <charset val="134"/>
      </rPr>
      <t>攻牙</t>
    </r>
  </si>
  <si>
    <t>同齐力（侧面攻牙）</t>
  </si>
  <si>
    <t>XFT034-P</t>
  </si>
  <si>
    <t>XFT035-Y</t>
  </si>
  <si>
    <t>（001）Kreka Harrier Heatsink Tool/PHSP</t>
  </si>
  <si>
    <t>XFT035-P</t>
  </si>
  <si>
    <t>XFT036-Y</t>
  </si>
  <si>
    <t>Kreka THSP DOECAV</t>
  </si>
  <si>
    <t>XFT036-S/M</t>
  </si>
  <si>
    <t>过砂打磨</t>
  </si>
  <si>
    <t>XFT036-ZG</t>
  </si>
  <si>
    <t>XFT036-CNC</t>
  </si>
  <si>
    <t>XFT036-ZYM</t>
  </si>
  <si>
    <t>XFT036-D</t>
  </si>
  <si>
    <t>XFT037-Y</t>
  </si>
  <si>
    <t>（003）Kreka THSP POR</t>
  </si>
  <si>
    <t>XFT037-ZG</t>
  </si>
  <si>
    <t>润宝泰（振研）</t>
  </si>
  <si>
    <t>XFT037-ZYM</t>
  </si>
  <si>
    <t>XFT037-D</t>
  </si>
  <si>
    <t>XFT038-Y</t>
  </si>
  <si>
    <r>
      <rPr>
        <sz val="11"/>
        <color rgb="FF000000"/>
        <rFont val="新細明體"/>
        <charset val="134"/>
      </rPr>
      <t>BPFA0303011</t>
    </r>
    <r>
      <rPr>
        <sz val="11"/>
        <color rgb="FF000000"/>
        <rFont val="宋体"/>
        <charset val="134"/>
      </rPr>
      <t>（日本电产</t>
    </r>
    <r>
      <rPr>
        <sz val="11"/>
        <color rgb="FF000000"/>
        <rFont val="新細明體"/>
        <charset val="134"/>
      </rPr>
      <t>/</t>
    </r>
    <r>
      <rPr>
        <sz val="11"/>
        <color rgb="FF000000"/>
        <rFont val="宋体"/>
        <charset val="134"/>
      </rPr>
      <t>大电产）</t>
    </r>
  </si>
  <si>
    <t>鑫福泰-尼得科</t>
  </si>
  <si>
    <t>XFT038-M</t>
  </si>
  <si>
    <t>XFT038-PW</t>
  </si>
  <si>
    <t>锦拓/邦宇</t>
  </si>
  <si>
    <t>XFT038-C</t>
  </si>
  <si>
    <r>
      <rPr>
        <sz val="11"/>
        <color rgb="FFFF0000"/>
        <rFont val="宋体"/>
        <charset val="134"/>
      </rPr>
      <t>广雷</t>
    </r>
    <r>
      <rPr>
        <sz val="11"/>
        <color rgb="FF000000"/>
        <rFont val="宋体"/>
        <charset val="134"/>
      </rPr>
      <t>，晟友，庆业</t>
    </r>
  </si>
  <si>
    <t>XFT039-Y</t>
  </si>
  <si>
    <t>前壳</t>
  </si>
  <si>
    <t>鑫福泰（华目）</t>
  </si>
  <si>
    <t>XFT039-KQ</t>
  </si>
  <si>
    <t>XFT040-Y</t>
  </si>
  <si>
    <t>Barca-BHSP</t>
  </si>
  <si>
    <t>鑫福泰（巨圣）</t>
  </si>
  <si>
    <t>25.12.18起发料</t>
  </si>
  <si>
    <t>XFT040-ZY</t>
  </si>
  <si>
    <t>研磨</t>
  </si>
  <si>
    <t>喜来来（临时做）2</t>
  </si>
  <si>
    <t>XFT040-CY</t>
  </si>
  <si>
    <t>侧牙</t>
  </si>
  <si>
    <t>同齐力做完发凤友  3</t>
  </si>
  <si>
    <t>XFT040-GY</t>
  </si>
  <si>
    <t>平面攻牙/研磨</t>
  </si>
  <si>
    <t>凤友  4</t>
  </si>
  <si>
    <t>XFT040-PM</t>
  </si>
  <si>
    <t>XFT040-KQ</t>
  </si>
  <si>
    <t>华晖远</t>
  </si>
  <si>
    <t>XFT041-Y</t>
  </si>
  <si>
    <t xml:space="preserve">Barca-MHSP  </t>
  </si>
  <si>
    <t>XFT041-CY</t>
  </si>
  <si>
    <t>同齐力做完发凤友  2</t>
  </si>
  <si>
    <t>XFT041-GY</t>
  </si>
  <si>
    <t>凤友  3</t>
  </si>
  <si>
    <t>XFT041-XB</t>
  </si>
  <si>
    <t>XFT042-Y</t>
  </si>
  <si>
    <r>
      <rPr>
        <sz val="11"/>
        <color rgb="FF000000"/>
        <rFont val="新細明體"/>
        <charset val="134"/>
      </rPr>
      <t>BPFA0203011</t>
    </r>
    <r>
      <rPr>
        <sz val="11"/>
        <color rgb="FF000000"/>
        <rFont val="宋体"/>
        <charset val="134"/>
      </rPr>
      <t>（小电产）</t>
    </r>
  </si>
  <si>
    <t>XFT042-PW</t>
  </si>
  <si>
    <t>XFT042-CNC</t>
  </si>
  <si>
    <t>广雷</t>
  </si>
  <si>
    <t>XFT043-Y</t>
  </si>
  <si>
    <r>
      <rPr>
        <sz val="11"/>
        <color rgb="FF000000"/>
        <rFont val="新細明體"/>
        <charset val="134"/>
      </rPr>
      <t>FVRB7802630(630</t>
    </r>
    <r>
      <rPr>
        <sz val="11"/>
        <color rgb="FF000000"/>
        <rFont val="宋体"/>
        <charset val="134"/>
      </rPr>
      <t>大电产）</t>
    </r>
  </si>
  <si>
    <t>XFT043-ZK</t>
  </si>
  <si>
    <t>钻孔</t>
  </si>
  <si>
    <t>凤友（暂停工艺）</t>
  </si>
  <si>
    <t>XFT043-P</t>
  </si>
  <si>
    <t>XFT043-C</t>
  </si>
  <si>
    <t>广雷  成品</t>
  </si>
  <si>
    <t>XFT044-Y</t>
  </si>
  <si>
    <r>
      <rPr>
        <sz val="11"/>
        <color rgb="FF000000"/>
        <rFont val="新細明體"/>
        <charset val="134"/>
      </rPr>
      <t>FVRB7813220</t>
    </r>
    <r>
      <rPr>
        <sz val="11"/>
        <color rgb="FF000000"/>
        <rFont val="宋体"/>
        <charset val="134"/>
      </rPr>
      <t>（新电产）</t>
    </r>
  </si>
  <si>
    <t>XFT044-PW</t>
  </si>
  <si>
    <t>XFT044-C</t>
  </si>
  <si>
    <t>XFT045-Y</t>
  </si>
  <si>
    <t>FVRB6892490（新款小电产）</t>
  </si>
  <si>
    <t>XFT045-PW</t>
  </si>
  <si>
    <t>XFT045-C</t>
  </si>
  <si>
    <t>XFT046-Y</t>
  </si>
  <si>
    <t>0243B00100（金属外壳）</t>
  </si>
  <si>
    <t>鑫福泰-町洋</t>
  </si>
  <si>
    <t>XFT046-CNC</t>
  </si>
  <si>
    <t>钛圪佳 汇杰/东越丰 工艺待确认</t>
  </si>
  <si>
    <t>XFT046-DM</t>
  </si>
  <si>
    <t>麦凯良 3/15.新加工艺</t>
  </si>
  <si>
    <t>XFT046-PS</t>
  </si>
  <si>
    <t>喷砂</t>
  </si>
  <si>
    <t>此两道工艺互换顺序</t>
  </si>
  <si>
    <t>XFT046-GY</t>
  </si>
  <si>
    <t>XFT046-DN</t>
  </si>
  <si>
    <t>镀镍</t>
  </si>
  <si>
    <t>XFT047-Y</t>
  </si>
  <si>
    <r>
      <rPr>
        <sz val="11"/>
        <color rgb="FF000000"/>
        <rFont val="宋体"/>
        <charset val="134"/>
      </rPr>
      <t>（</t>
    </r>
    <r>
      <rPr>
        <sz val="11"/>
        <color rgb="FF000000"/>
        <rFont val="新細明體"/>
        <charset val="134"/>
      </rPr>
      <t>ME-003)THSP</t>
    </r>
  </si>
  <si>
    <t>XFT047-G/Z</t>
  </si>
  <si>
    <t>攻牙/振研</t>
  </si>
  <si>
    <t>XFT047-XB</t>
  </si>
  <si>
    <t xml:space="preserve">巧手 </t>
  </si>
  <si>
    <t>XFT048-Y</t>
  </si>
  <si>
    <t>(ME-017)BHSP</t>
  </si>
  <si>
    <t>工艺不确定</t>
  </si>
  <si>
    <t>XFT048-G/Z</t>
  </si>
  <si>
    <t>XFT048-XB</t>
  </si>
  <si>
    <t>XFT049-Y</t>
  </si>
  <si>
    <t>(ME-019)BTB SHELD</t>
  </si>
  <si>
    <t>XFT049-YM</t>
  </si>
  <si>
    <t>凤友/喜来来</t>
  </si>
  <si>
    <t>XFT049-XB</t>
  </si>
  <si>
    <t>CG-00077</t>
  </si>
  <si>
    <t>XFT050-DM</t>
  </si>
  <si>
    <t>XFT051-Y</t>
  </si>
  <si>
    <t>DBF7505L1 散熱片</t>
  </si>
  <si>
    <t>XFT051-ZY</t>
  </si>
  <si>
    <t>XFT051-XB</t>
  </si>
  <si>
    <t>XFT052-Y</t>
  </si>
  <si>
    <t xml:space="preserve">DUG7391V1 </t>
  </si>
  <si>
    <t>XFT052-YM</t>
  </si>
  <si>
    <t>XFT052-XB</t>
  </si>
  <si>
    <t>XFT053-Y</t>
  </si>
  <si>
    <r>
      <rPr>
        <sz val="11"/>
        <color rgb="FF000000"/>
        <rFont val="新細明體"/>
        <charset val="134"/>
      </rPr>
      <t>HVO9142</t>
    </r>
    <r>
      <rPr>
        <sz val="11"/>
        <color rgb="FF000000"/>
        <rFont val="宋体"/>
        <charset val="134"/>
      </rPr>
      <t>散热片</t>
    </r>
  </si>
  <si>
    <t>XFT053-YM</t>
  </si>
  <si>
    <t>XFT053-XB</t>
  </si>
  <si>
    <t>XLG001-Y</t>
  </si>
  <si>
    <r>
      <rPr>
        <sz val="11"/>
        <color rgb="FF000000"/>
        <rFont val="新細明體"/>
        <charset val="134"/>
      </rPr>
      <t>P6</t>
    </r>
    <r>
      <rPr>
        <sz val="11"/>
        <color rgb="FF000000"/>
        <rFont val="宋体"/>
        <charset val="134"/>
      </rPr>
      <t>固定架</t>
    </r>
    <r>
      <rPr>
        <sz val="11"/>
        <color rgb="FF000000"/>
        <rFont val="新細明體"/>
        <charset val="134"/>
      </rPr>
      <t>-L</t>
    </r>
  </si>
  <si>
    <t>新连刚</t>
  </si>
  <si>
    <t>XLG001-M</t>
  </si>
  <si>
    <r>
      <rPr>
        <sz val="11"/>
        <color rgb="FF000000"/>
        <rFont val="新細明體"/>
        <charset val="134"/>
      </rPr>
      <t>P6</t>
    </r>
    <r>
      <rPr>
        <sz val="11"/>
        <color indexed="8"/>
        <rFont val="宋体"/>
        <charset val="134"/>
      </rPr>
      <t>固定架</t>
    </r>
    <r>
      <rPr>
        <sz val="11"/>
        <color indexed="8"/>
        <rFont val="新細明體"/>
        <charset val="134"/>
      </rPr>
      <t>-L</t>
    </r>
  </si>
  <si>
    <t>XLG001-CNC</t>
  </si>
  <si>
    <t>XLG001-P</t>
  </si>
  <si>
    <t>抛光</t>
  </si>
  <si>
    <t>XLG001-K</t>
  </si>
  <si>
    <t>XLG002-Y</t>
  </si>
  <si>
    <r>
      <rPr>
        <sz val="11"/>
        <color rgb="FF000000"/>
        <rFont val="新細明體"/>
        <charset val="134"/>
      </rPr>
      <t>P6</t>
    </r>
    <r>
      <rPr>
        <sz val="11"/>
        <color indexed="8"/>
        <rFont val="宋体"/>
        <charset val="134"/>
      </rPr>
      <t>固定架</t>
    </r>
    <r>
      <rPr>
        <sz val="11"/>
        <color indexed="8"/>
        <rFont val="新細明體"/>
        <charset val="134"/>
      </rPr>
      <t>-R</t>
    </r>
  </si>
  <si>
    <t>XLG002-M</t>
  </si>
  <si>
    <t>XLG002-CNC</t>
  </si>
  <si>
    <t>XLG002-P</t>
  </si>
  <si>
    <t>XLG002-K</t>
  </si>
  <si>
    <t>WKT039-Y</t>
  </si>
  <si>
    <t>锌合金固定架</t>
  </si>
  <si>
    <t>新厂（国城）</t>
  </si>
  <si>
    <t>WKT039-CNC</t>
  </si>
  <si>
    <t>WKT039-P</t>
  </si>
  <si>
    <t>WKT039-KQ</t>
  </si>
  <si>
    <t>XC0001-Y</t>
  </si>
  <si>
    <t>J6P</t>
  </si>
  <si>
    <t>新厂</t>
  </si>
  <si>
    <t>XJ001-Y</t>
  </si>
  <si>
    <t>DMG6-35W-SINK1</t>
  </si>
  <si>
    <t>先进电子</t>
  </si>
  <si>
    <t>XJ001-M</t>
  </si>
  <si>
    <t>XJ001-Z</t>
  </si>
  <si>
    <t>XJ001-D</t>
  </si>
  <si>
    <t>XJ002-Y</t>
  </si>
  <si>
    <t>DMG6-65W-SINK1</t>
  </si>
  <si>
    <t>XJ002-M</t>
  </si>
  <si>
    <t>XJ002-Z</t>
  </si>
  <si>
    <t>XJ002-D</t>
  </si>
  <si>
    <t>XJ003-Y</t>
  </si>
  <si>
    <t>DMG8-35W-SINK1</t>
  </si>
  <si>
    <t>XJ003-M</t>
  </si>
  <si>
    <t>XJ003-Z</t>
  </si>
  <si>
    <t>XJ003-D</t>
  </si>
  <si>
    <t>XJ004-Y</t>
  </si>
  <si>
    <t>DMG8-65W-SINK1</t>
  </si>
  <si>
    <t>XJ004-M</t>
  </si>
  <si>
    <t>XJ004-Z</t>
  </si>
  <si>
    <t>XJ004-D</t>
  </si>
  <si>
    <t>XKM001-Y</t>
  </si>
  <si>
    <t>A111-0825</t>
  </si>
  <si>
    <t>西克麦</t>
  </si>
  <si>
    <t>XKM001-P</t>
  </si>
  <si>
    <t>XKM002-Y</t>
  </si>
  <si>
    <t>A111-0826</t>
  </si>
  <si>
    <t>XKM002-P</t>
  </si>
  <si>
    <t>XKM003-Y</t>
  </si>
  <si>
    <t>A113-0702</t>
  </si>
  <si>
    <t>XKM003-M</t>
  </si>
  <si>
    <t>XKM004-Y</t>
  </si>
  <si>
    <t>A113-0735</t>
  </si>
  <si>
    <t>XKM004-GP</t>
  </si>
  <si>
    <t>XKM005-Y</t>
  </si>
  <si>
    <t>A113-0711</t>
  </si>
  <si>
    <t>XKM005-M</t>
  </si>
  <si>
    <t>XKM006-Y</t>
  </si>
  <si>
    <t>A113-0304</t>
  </si>
  <si>
    <t>XKM006-M</t>
  </si>
  <si>
    <t>XKM007-Y</t>
  </si>
  <si>
    <t>A113-0706</t>
  </si>
  <si>
    <t>XKM007-P</t>
  </si>
  <si>
    <t>XKM008-Y</t>
  </si>
  <si>
    <t>A113-0501</t>
  </si>
  <si>
    <t>XKM008-P</t>
  </si>
  <si>
    <t>XKM009-Y</t>
  </si>
  <si>
    <t>A113-0712</t>
  </si>
  <si>
    <t>XKM009-P</t>
  </si>
  <si>
    <t>XKM010-Y</t>
  </si>
  <si>
    <t>A111-0818</t>
  </si>
  <si>
    <t>XKM010-PG</t>
  </si>
  <si>
    <t>XKM011-Y</t>
  </si>
  <si>
    <t>A111-0302</t>
  </si>
  <si>
    <t>XKM011-PG</t>
  </si>
  <si>
    <t>XKM012-Y</t>
  </si>
  <si>
    <t>A111-0303</t>
  </si>
  <si>
    <t>XKM012-PG</t>
  </si>
  <si>
    <t>XKM013-Y</t>
  </si>
  <si>
    <t>A111-0915</t>
  </si>
  <si>
    <t>XKM013-PG</t>
  </si>
  <si>
    <t>XKM014-Y</t>
  </si>
  <si>
    <t>A111-0817</t>
  </si>
  <si>
    <t>XKM014-PG</t>
  </si>
  <si>
    <t>XKM015-Y</t>
  </si>
  <si>
    <t>A111-0816</t>
  </si>
  <si>
    <t>XKM015-PG</t>
  </si>
  <si>
    <t>XKM016-Y</t>
  </si>
  <si>
    <t>A111-0828</t>
  </si>
  <si>
    <t>XKM016-PG</t>
  </si>
  <si>
    <t>XKM017-Y</t>
  </si>
  <si>
    <t>A113-0703</t>
  </si>
  <si>
    <t>XKM017-P</t>
  </si>
  <si>
    <t>XKM018-Y</t>
  </si>
  <si>
    <t>A113-0704</t>
  </si>
  <si>
    <t>XKM018-P</t>
  </si>
  <si>
    <t>XKM019-Y</t>
  </si>
  <si>
    <t>A113-0701</t>
  </si>
  <si>
    <t>XKM019-P</t>
  </si>
  <si>
    <t>XKM020-Y</t>
  </si>
  <si>
    <t>A113-0708</t>
  </si>
  <si>
    <t>XKM020-P</t>
  </si>
  <si>
    <t>WS003-Y</t>
  </si>
  <si>
    <r>
      <rPr>
        <sz val="11"/>
        <color rgb="FF000000"/>
        <rFont val="新細明體"/>
        <charset val="134"/>
      </rPr>
      <t>P6</t>
    </r>
    <r>
      <rPr>
        <sz val="11"/>
        <color rgb="FF000000"/>
        <rFont val="宋体"/>
        <charset val="134"/>
      </rPr>
      <t>固定架</t>
    </r>
    <r>
      <rPr>
        <sz val="11"/>
        <color rgb="FF000000"/>
        <rFont val="新細明體"/>
        <charset val="134"/>
      </rPr>
      <t>-L(VS-P6-L)</t>
    </r>
  </si>
  <si>
    <t>玮硕</t>
  </si>
  <si>
    <t>WS003-M</t>
  </si>
  <si>
    <t>WS003-CNC</t>
  </si>
  <si>
    <t>WS003-P</t>
  </si>
  <si>
    <t>WS003-DY</t>
  </si>
  <si>
    <t>电泳</t>
  </si>
  <si>
    <t>WS003-K</t>
  </si>
  <si>
    <t>WS004-Y</t>
  </si>
  <si>
    <r>
      <rPr>
        <sz val="11"/>
        <color rgb="FF000000"/>
        <rFont val="新細明體"/>
        <charset val="134"/>
      </rPr>
      <t>P6</t>
    </r>
    <r>
      <rPr>
        <sz val="11"/>
        <color rgb="FF000000"/>
        <rFont val="宋体"/>
        <charset val="134"/>
      </rPr>
      <t>固定架</t>
    </r>
    <r>
      <rPr>
        <sz val="11"/>
        <color rgb="FF000000"/>
        <rFont val="新細明體"/>
        <charset val="134"/>
      </rPr>
      <t>-R((VS-P6-R)</t>
    </r>
  </si>
  <si>
    <t>WS004-M</t>
  </si>
  <si>
    <t>WS004-CNC</t>
  </si>
  <si>
    <t>WS004-P</t>
  </si>
  <si>
    <t>WS004-DY</t>
  </si>
  <si>
    <t>WS004-K</t>
  </si>
  <si>
    <t>WKT001-Y</t>
  </si>
  <si>
    <t>YODA2-L</t>
  </si>
  <si>
    <t>威可特新厂</t>
  </si>
  <si>
    <t>WKT002-Y</t>
  </si>
  <si>
    <t>YODA2-R</t>
  </si>
  <si>
    <t>WKT003-Y</t>
  </si>
  <si>
    <t>EL480-L</t>
  </si>
  <si>
    <t>WKT004-Y</t>
  </si>
  <si>
    <t>EL480-R</t>
  </si>
  <si>
    <t>WKT005-Y</t>
  </si>
  <si>
    <t>ET480-R</t>
  </si>
  <si>
    <t>WKT006-Y</t>
  </si>
  <si>
    <t>ET480-L</t>
  </si>
  <si>
    <t>WKT007-Y</t>
  </si>
  <si>
    <t>LLA-L</t>
  </si>
  <si>
    <t>WKT008-Y</t>
  </si>
  <si>
    <t>LLA-R</t>
  </si>
  <si>
    <t>WKT009-Y</t>
  </si>
  <si>
    <t>EG20-L</t>
  </si>
  <si>
    <t>WKT010-Y</t>
  </si>
  <si>
    <t>EG20-R</t>
  </si>
  <si>
    <t>WKT011-Y</t>
  </si>
  <si>
    <t>EP720-R</t>
  </si>
  <si>
    <t>WKT012-Y</t>
  </si>
  <si>
    <t>EP720-L</t>
  </si>
  <si>
    <t>WKT013-Y</t>
  </si>
  <si>
    <t>EP520-R</t>
  </si>
  <si>
    <t>WKT014-Y</t>
  </si>
  <si>
    <t>EP520-L</t>
  </si>
  <si>
    <t>WKT015-Y</t>
  </si>
  <si>
    <t>FINN-L</t>
  </si>
  <si>
    <t>WKT016-Y</t>
  </si>
  <si>
    <t>FINN-R</t>
  </si>
  <si>
    <t>WKT017-Y</t>
  </si>
  <si>
    <t>LEG0-D03</t>
  </si>
  <si>
    <t>WKT018-Y</t>
  </si>
  <si>
    <t>LEG0-D04</t>
  </si>
  <si>
    <t>WKT019-Y</t>
  </si>
  <si>
    <t>LEG0-D06</t>
  </si>
  <si>
    <t>WKT020-Y</t>
  </si>
  <si>
    <t>LEG0-D07</t>
  </si>
  <si>
    <t>WKT021-Y</t>
  </si>
  <si>
    <t>LEG0-K01-L</t>
  </si>
  <si>
    <t>WKT022-Y</t>
  </si>
  <si>
    <t>LEG0-K01-R</t>
  </si>
  <si>
    <t>WKT023-Y</t>
  </si>
  <si>
    <t>LH-FT491C-L</t>
  </si>
  <si>
    <t>WKT024-Y</t>
  </si>
  <si>
    <t>LH-FT491C-R</t>
  </si>
  <si>
    <t>WKT025-Y</t>
  </si>
  <si>
    <t>LH-EL580-L</t>
  </si>
  <si>
    <t>WKT026-Y</t>
  </si>
  <si>
    <t>LH-EL580-R</t>
  </si>
  <si>
    <t>WKT027-Y</t>
  </si>
  <si>
    <t>LH-V54014CAP-L</t>
  </si>
  <si>
    <t>WKT028-Y</t>
  </si>
  <si>
    <t>LH-V54014CAP-R</t>
  </si>
  <si>
    <t>WKT029-Y</t>
  </si>
  <si>
    <t>SZS-EL480-L</t>
  </si>
  <si>
    <t>WKT030-Y</t>
  </si>
  <si>
    <t>SZS-EL480-R</t>
  </si>
  <si>
    <t>WKT031-Y</t>
  </si>
  <si>
    <t>VS-V54013CAP-L</t>
  </si>
  <si>
    <t>WKT032-Y</t>
  </si>
  <si>
    <t>VS-V54013CAP-R</t>
  </si>
  <si>
    <t>WKT033-Y</t>
  </si>
  <si>
    <t>VS-V54014CAP-L</t>
  </si>
  <si>
    <t>WKT034-Y</t>
  </si>
  <si>
    <t>VS-V54014CAP-R</t>
  </si>
  <si>
    <t>WKT035-Y</t>
  </si>
  <si>
    <t>LH-EY519-L</t>
  </si>
  <si>
    <t>WKT036-Y</t>
  </si>
  <si>
    <t>LH-EY519-R</t>
  </si>
  <si>
    <t>WKT037-Y</t>
  </si>
  <si>
    <t>CJ-GL4A0-PL-L</t>
  </si>
  <si>
    <t>WKT038-Y</t>
  </si>
  <si>
    <t>CJ-GL4A0-PL-R</t>
  </si>
  <si>
    <t>SZS-GP-540-CAP-L</t>
  </si>
  <si>
    <t>WKT040-Y</t>
  </si>
  <si>
    <t>SZS-GP-540-CAP-R</t>
  </si>
  <si>
    <t>WKT041-Y</t>
  </si>
  <si>
    <t>SZS-GP-540-固定架-L</t>
  </si>
  <si>
    <t>WKT042-Y</t>
  </si>
  <si>
    <t>SZS-GP-540-固定架-R</t>
  </si>
  <si>
    <t>WKT043-Y</t>
  </si>
  <si>
    <t>FAB003010上盖/HALC364348000-J</t>
  </si>
  <si>
    <t>现改为HALC364348000-J</t>
  </si>
  <si>
    <t>WKT044-Y</t>
  </si>
  <si>
    <t>03.03.D00273-415-XTA11-E(XTA11外壳）</t>
  </si>
  <si>
    <t>WKT044-C</t>
  </si>
  <si>
    <t>汇杰 11/6工艺调换，根据实际情况调换</t>
  </si>
  <si>
    <t>WKT044-G</t>
  </si>
  <si>
    <t>WKT044-KQ</t>
  </si>
  <si>
    <t>烤漆+钻孔</t>
  </si>
  <si>
    <t>诚佳达,湘竹</t>
  </si>
  <si>
    <t>WKT045-Y</t>
  </si>
  <si>
    <t>60-02-DC00008铝壳（小火车）</t>
  </si>
  <si>
    <t>WKT045-CNC</t>
  </si>
  <si>
    <t>TS001-Y</t>
  </si>
  <si>
    <t>铝壳</t>
  </si>
  <si>
    <t>团盛</t>
  </si>
  <si>
    <t>TS001-P/ZY</t>
  </si>
  <si>
    <r>
      <rPr>
        <sz val="11"/>
        <color rgb="FF000000"/>
        <rFont val="宋体"/>
        <charset val="134"/>
      </rPr>
      <t>喷砂</t>
    </r>
    <r>
      <rPr>
        <sz val="11"/>
        <color rgb="FF000000"/>
        <rFont val="新細明體"/>
        <charset val="134"/>
      </rPr>
      <t>/</t>
    </r>
    <r>
      <rPr>
        <sz val="11"/>
        <color rgb="FF000000"/>
        <rFont val="宋体"/>
        <charset val="134"/>
      </rPr>
      <t>振研</t>
    </r>
  </si>
  <si>
    <t>03.03.D00273-415-XTA11-E</t>
  </si>
  <si>
    <t>TS001-C</t>
  </si>
  <si>
    <t>TXTX001-Y</t>
  </si>
  <si>
    <t>手机边框</t>
  </si>
  <si>
    <t>特兴通讯</t>
  </si>
  <si>
    <t>SY001-Y</t>
  </si>
  <si>
    <t>高频合路器</t>
  </si>
  <si>
    <t>思源</t>
  </si>
  <si>
    <t>SY001-S/C</t>
  </si>
  <si>
    <t>SY002-Y</t>
  </si>
  <si>
    <t>低频合路器</t>
  </si>
  <si>
    <t>SY002-S/C</t>
  </si>
  <si>
    <t>SY003-Y</t>
  </si>
  <si>
    <t>支撑杆27</t>
  </si>
  <si>
    <t>SY003-S</t>
  </si>
  <si>
    <t>SY003-C</t>
  </si>
  <si>
    <t>现无此道</t>
  </si>
  <si>
    <t>SY004-Y</t>
  </si>
  <si>
    <t>支撑杆28</t>
  </si>
  <si>
    <t>SY004-S</t>
  </si>
  <si>
    <t>SY004-C</t>
  </si>
  <si>
    <t>SY005-Y</t>
  </si>
  <si>
    <t>支撑杆30</t>
  </si>
  <si>
    <t>SY005-S</t>
  </si>
  <si>
    <t>SY005-C</t>
  </si>
  <si>
    <t>SY006-Y</t>
  </si>
  <si>
    <t>支撑杆31</t>
  </si>
  <si>
    <t>SY006-S</t>
  </si>
  <si>
    <t>SY006-C</t>
  </si>
  <si>
    <t>SY007-Y</t>
  </si>
  <si>
    <t>支撑杆55</t>
  </si>
  <si>
    <t>SY007-S</t>
  </si>
  <si>
    <t>SY007-C</t>
  </si>
  <si>
    <t>SY008-Y</t>
  </si>
  <si>
    <t>支撑杆57</t>
  </si>
  <si>
    <t>SY008-S</t>
  </si>
  <si>
    <t>SY008-C</t>
  </si>
  <si>
    <t>SY009-Y</t>
  </si>
  <si>
    <t>振子（MEC-017768)</t>
  </si>
  <si>
    <t>SY009-S</t>
  </si>
  <si>
    <t>SY009-M/G</t>
  </si>
  <si>
    <r>
      <rPr>
        <sz val="11"/>
        <color rgb="FF000000"/>
        <rFont val="宋体"/>
        <charset val="134"/>
      </rPr>
      <t>钻孔/毛边</t>
    </r>
    <r>
      <rPr>
        <sz val="11"/>
        <color rgb="FF000000"/>
        <rFont val="新細明體"/>
        <charset val="134"/>
      </rPr>
      <t>/</t>
    </r>
    <r>
      <rPr>
        <sz val="11"/>
        <color rgb="FF000000"/>
        <rFont val="宋体"/>
        <charset val="134"/>
      </rPr>
      <t>攻牙</t>
    </r>
  </si>
  <si>
    <t>SY009-P</t>
  </si>
  <si>
    <r>
      <rPr>
        <sz val="11"/>
        <color rgb="FF000000"/>
        <rFont val="新細明體"/>
        <charset val="134"/>
      </rPr>
      <t>拉</t>
    </r>
    <r>
      <rPr>
        <sz val="11"/>
        <color rgb="FF000000"/>
        <rFont val="宋体"/>
        <charset val="134"/>
      </rPr>
      <t>白</t>
    </r>
  </si>
  <si>
    <t>SY010-Y</t>
  </si>
  <si>
    <t>018493</t>
  </si>
  <si>
    <t>SY010-Z</t>
  </si>
  <si>
    <t>SY010-D</t>
  </si>
  <si>
    <t>SY011-Y</t>
  </si>
  <si>
    <t>线缆低频合路器(JY01.001.0035腔体)</t>
  </si>
  <si>
    <t>SY011-S/C</t>
  </si>
  <si>
    <t>SY012-Y</t>
  </si>
  <si>
    <t>低频合路器(JY01.001.0036腔体)</t>
  </si>
  <si>
    <t>SY012-S/C</t>
  </si>
  <si>
    <t>SY013-Y</t>
  </si>
  <si>
    <t>低频合路器（0039腔体）</t>
  </si>
  <si>
    <t>SY013-PS</t>
  </si>
  <si>
    <t>SY013-CNC</t>
  </si>
  <si>
    <t>SRY001-Y</t>
  </si>
  <si>
    <t>WL52-bottom(WL92)</t>
  </si>
  <si>
    <t>思瑞奕</t>
  </si>
  <si>
    <t>SRY001-ZK</t>
  </si>
  <si>
    <t>凤友12/16</t>
  </si>
  <si>
    <t>鑫悦/威洋/喜来来</t>
  </si>
  <si>
    <t>SRY001-QX</t>
  </si>
  <si>
    <t>临时工艺 巧手</t>
  </si>
  <si>
    <t>SRY0002-Y</t>
  </si>
  <si>
    <t>AD-F5</t>
  </si>
  <si>
    <t>SRY0002-S</t>
  </si>
  <si>
    <t>SRY0003-Y</t>
  </si>
  <si>
    <t>39076-0001</t>
  </si>
  <si>
    <t>SRY0003-M</t>
  </si>
  <si>
    <t>SRY0003-P</t>
  </si>
  <si>
    <t>SRY0003-DY</t>
  </si>
  <si>
    <t>SRY0003-G</t>
  </si>
  <si>
    <t>SRY0004-Y</t>
  </si>
  <si>
    <t>36017-00001屏蔽外壳1</t>
  </si>
  <si>
    <t>SRY0004-M</t>
  </si>
  <si>
    <t>SRY0004-PS</t>
  </si>
  <si>
    <t>SRY0004-GY</t>
  </si>
  <si>
    <t>SRY0004-D</t>
  </si>
  <si>
    <t>SRY0005-Y</t>
  </si>
  <si>
    <t>36018-00001屏蔽外壳2</t>
  </si>
  <si>
    <t>SRY0005-M</t>
  </si>
  <si>
    <t>SRY0005-PS</t>
  </si>
  <si>
    <t>SRY0005-GY</t>
  </si>
  <si>
    <t>无此道</t>
  </si>
  <si>
    <t>SRY0005-D</t>
  </si>
  <si>
    <t>SRY0006-Y</t>
  </si>
  <si>
    <t>36020-00001外壳2</t>
  </si>
  <si>
    <t>SRY0006-M</t>
  </si>
  <si>
    <t>SRY0006-PS</t>
  </si>
  <si>
    <t>SRY0006-GY</t>
  </si>
  <si>
    <t>SRY0006-CNC</t>
  </si>
  <si>
    <t>SRY0006-D</t>
  </si>
  <si>
    <t>SRY0007-Y</t>
  </si>
  <si>
    <t>36019-00001外壳1</t>
  </si>
  <si>
    <t>SRY0007-M</t>
  </si>
  <si>
    <t>SRY0007-PS</t>
  </si>
  <si>
    <t>SRY0007GY</t>
  </si>
  <si>
    <t>SRY0007-CNC</t>
  </si>
  <si>
    <t>SRY0007-D</t>
  </si>
  <si>
    <t>SG001-Y</t>
  </si>
  <si>
    <r>
      <rPr>
        <sz val="11"/>
        <color rgb="FF000000"/>
        <rFont val="新細明體"/>
        <charset val="134"/>
      </rPr>
      <t>8</t>
    </r>
    <r>
      <rPr>
        <sz val="11"/>
        <color indexed="8"/>
        <rFont val="宋体"/>
        <charset val="134"/>
      </rPr>
      <t>系列隐藏式接头</t>
    </r>
  </si>
  <si>
    <t>顺广</t>
  </si>
  <si>
    <t>SG001-Z</t>
  </si>
  <si>
    <r>
      <rPr>
        <sz val="11"/>
        <color rgb="FF000000"/>
        <rFont val="新細明體"/>
        <charset val="134"/>
      </rPr>
      <t>威</t>
    </r>
    <r>
      <rPr>
        <sz val="11"/>
        <color rgb="FF000000"/>
        <rFont val="宋体"/>
        <charset val="134"/>
      </rPr>
      <t>洋</t>
    </r>
    <r>
      <rPr>
        <sz val="11"/>
        <color rgb="FF000000"/>
        <rFont val="新細明體"/>
        <charset val="134"/>
      </rPr>
      <t xml:space="preserve">  </t>
    </r>
    <r>
      <rPr>
        <sz val="11"/>
        <color rgb="FF000000"/>
        <rFont val="宋体"/>
        <charset val="134"/>
      </rPr>
      <t>鑫悦成品</t>
    </r>
  </si>
  <si>
    <t>SK001-Y</t>
  </si>
  <si>
    <r>
      <rPr>
        <sz val="11"/>
        <color rgb="FF000000"/>
        <rFont val="新細明體"/>
        <charset val="134"/>
      </rPr>
      <t>D021007</t>
    </r>
    <r>
      <rPr>
        <sz val="11"/>
        <color indexed="8"/>
        <rFont val="宋体"/>
        <charset val="134"/>
      </rPr>
      <t>罩盖</t>
    </r>
  </si>
  <si>
    <t>舒康</t>
  </si>
  <si>
    <t>SK001-C</t>
  </si>
  <si>
    <t>SK001-M/B/Z</t>
  </si>
  <si>
    <t>钻孔/毛边/攻牙</t>
  </si>
  <si>
    <t>SK001-K</t>
  </si>
  <si>
    <t>SK002-Y</t>
  </si>
  <si>
    <t>CP10DCT028 法兰</t>
  </si>
  <si>
    <t>SK002-C</t>
  </si>
  <si>
    <t>SK002-M/B/Z</t>
  </si>
  <si>
    <t>SK002-K</t>
  </si>
  <si>
    <t>SK003-Y</t>
  </si>
  <si>
    <t>D016040</t>
  </si>
  <si>
    <t>SK003-M</t>
  </si>
  <si>
    <t>SK003-CNC</t>
  </si>
  <si>
    <t>SK003-D</t>
  </si>
  <si>
    <t>SK004-Y</t>
  </si>
  <si>
    <t>J-box基座主体</t>
  </si>
  <si>
    <t>SK004-C</t>
  </si>
  <si>
    <t>SK004-M</t>
  </si>
  <si>
    <t>SK004-K</t>
  </si>
  <si>
    <t>SK005-Y</t>
  </si>
  <si>
    <t>#1-04螺旋堵头</t>
  </si>
  <si>
    <t>SK005-C</t>
  </si>
  <si>
    <t>SK005-K</t>
  </si>
  <si>
    <t>SK006-Y</t>
  </si>
  <si>
    <r>
      <rPr>
        <sz val="11"/>
        <color rgb="FF000000"/>
        <rFont val="新細明體"/>
        <charset val="134"/>
      </rPr>
      <t xml:space="preserve">D017057 </t>
    </r>
    <r>
      <rPr>
        <sz val="11"/>
        <color indexed="8"/>
        <rFont val="宋体"/>
        <charset val="134"/>
      </rPr>
      <t>支架</t>
    </r>
  </si>
  <si>
    <t>SK006-C</t>
  </si>
  <si>
    <t>SK006-S/Z</t>
  </si>
  <si>
    <t>过砂/钻孔</t>
  </si>
  <si>
    <t>SK006-K</t>
  </si>
  <si>
    <t>SK007-Y</t>
  </si>
  <si>
    <t>D016004</t>
  </si>
  <si>
    <t>SK007-M</t>
  </si>
  <si>
    <t>SK007-D</t>
  </si>
  <si>
    <t>SK008-Y</t>
  </si>
  <si>
    <t>D016041</t>
  </si>
  <si>
    <t>SK008-Z</t>
  </si>
  <si>
    <t>SK008-N</t>
  </si>
  <si>
    <t>SK008-D</t>
  </si>
  <si>
    <t>SK009-Y</t>
  </si>
  <si>
    <r>
      <rPr>
        <sz val="11"/>
        <color rgb="FF000000"/>
        <rFont val="新細明體"/>
        <charset val="134"/>
      </rPr>
      <t xml:space="preserve">D017059 </t>
    </r>
    <r>
      <rPr>
        <sz val="11"/>
        <color indexed="8"/>
        <rFont val="宋体"/>
        <charset val="134"/>
      </rPr>
      <t>支架</t>
    </r>
  </si>
  <si>
    <t>SK009-C</t>
  </si>
  <si>
    <t>SK009-M/S/Z</t>
  </si>
  <si>
    <r>
      <rPr>
        <sz val="11"/>
        <color rgb="FF000000"/>
        <rFont val="新細明體"/>
        <charset val="134"/>
      </rPr>
      <t>毛边/过砂/</t>
    </r>
    <r>
      <rPr>
        <sz val="11"/>
        <color rgb="FF000000"/>
        <rFont val="宋体"/>
        <charset val="134"/>
      </rPr>
      <t>钻孔</t>
    </r>
  </si>
  <si>
    <t>SK009-K</t>
  </si>
  <si>
    <t>SK010-Y</t>
  </si>
  <si>
    <t>D019035</t>
  </si>
  <si>
    <t>SK010-M</t>
  </si>
  <si>
    <t>SK010-K</t>
  </si>
  <si>
    <t>SK011-Y</t>
  </si>
  <si>
    <t>D019048</t>
  </si>
  <si>
    <t>SK011-N</t>
  </si>
  <si>
    <t>SK011-K</t>
  </si>
  <si>
    <t>SK012-Y</t>
  </si>
  <si>
    <t>D016007</t>
  </si>
  <si>
    <t>SK012-M/Z/G</t>
  </si>
  <si>
    <r>
      <rPr>
        <sz val="11"/>
        <color rgb="FF000000"/>
        <rFont val="新細明體"/>
        <charset val="134"/>
      </rPr>
      <t>毛边/</t>
    </r>
    <r>
      <rPr>
        <sz val="11"/>
        <color rgb="FF000000"/>
        <rFont val="宋体"/>
        <charset val="134"/>
      </rPr>
      <t>钻孔</t>
    </r>
    <r>
      <rPr>
        <sz val="11"/>
        <color rgb="FF000000"/>
        <rFont val="新細明體"/>
        <charset val="134"/>
      </rPr>
      <t>/攻牙</t>
    </r>
  </si>
  <si>
    <t>SK012-D</t>
  </si>
  <si>
    <t>SK013-Y</t>
  </si>
  <si>
    <t>D016008</t>
  </si>
  <si>
    <t>SK013-M/Z/G</t>
  </si>
  <si>
    <t>SK013-N</t>
  </si>
  <si>
    <t>SK013-D</t>
  </si>
  <si>
    <t>SK014-Y</t>
  </si>
  <si>
    <t>D011026</t>
  </si>
  <si>
    <t>SK014-C</t>
  </si>
  <si>
    <t>SK014-M</t>
  </si>
  <si>
    <t>SK014-K</t>
  </si>
  <si>
    <t>SK015-Y</t>
  </si>
  <si>
    <t>D019007</t>
  </si>
  <si>
    <t>SK015-C</t>
  </si>
  <si>
    <t>SK015-M</t>
  </si>
  <si>
    <t>SK015-K</t>
  </si>
  <si>
    <t>SK016-K</t>
  </si>
  <si>
    <t>GD017048</t>
  </si>
  <si>
    <t>SK017-Y</t>
  </si>
  <si>
    <t>D016010</t>
  </si>
  <si>
    <t>SK017-M</t>
  </si>
  <si>
    <t>SK017-D</t>
  </si>
  <si>
    <t>SK018-Y</t>
  </si>
  <si>
    <t>D016019</t>
  </si>
  <si>
    <t>SK018-G</t>
  </si>
  <si>
    <t>SK018-M</t>
  </si>
  <si>
    <t>SK018-D</t>
  </si>
  <si>
    <t>SK019-Y</t>
  </si>
  <si>
    <t>D016027</t>
  </si>
  <si>
    <t>SK019-NC</t>
  </si>
  <si>
    <t>SK019-Z</t>
  </si>
  <si>
    <t>SK019-D</t>
  </si>
  <si>
    <t>SK020-Y</t>
  </si>
  <si>
    <t>D022008</t>
  </si>
  <si>
    <t>SK020-N</t>
  </si>
  <si>
    <t>SK020-C</t>
  </si>
  <si>
    <t>SK020-Z</t>
  </si>
  <si>
    <t>SK020-M</t>
  </si>
  <si>
    <t>SK020-K</t>
  </si>
  <si>
    <t>SK021-Y</t>
  </si>
  <si>
    <t>D017060</t>
  </si>
  <si>
    <t>SK021-K</t>
  </si>
  <si>
    <t>SK022-Y</t>
  </si>
  <si>
    <t>D019041</t>
  </si>
  <si>
    <t>SK022-C</t>
  </si>
  <si>
    <t>SK022-M/S/Z</t>
  </si>
  <si>
    <t>SK022-K-W</t>
  </si>
  <si>
    <t>SK022-K</t>
  </si>
  <si>
    <t>SL0001-Y</t>
  </si>
  <si>
    <t>H81</t>
  </si>
  <si>
    <t>胜利</t>
  </si>
  <si>
    <t>SL0001-CNC</t>
  </si>
  <si>
    <t>SL0001-GY</t>
  </si>
  <si>
    <t>SL0001-ZY</t>
  </si>
  <si>
    <r>
      <rPr>
        <sz val="12"/>
        <rFont val="新細明體"/>
        <charset val="134"/>
      </rPr>
      <t>鑫悦(</t>
    </r>
    <r>
      <rPr>
        <sz val="12"/>
        <rFont val="宋体"/>
        <charset val="134"/>
      </rPr>
      <t>成品）</t>
    </r>
  </si>
  <si>
    <t>SL0001-P</t>
  </si>
  <si>
    <r>
      <rPr>
        <sz val="12"/>
        <rFont val="新細明體"/>
        <charset val="134"/>
      </rPr>
      <t>巧手</t>
    </r>
    <r>
      <rPr>
        <sz val="12"/>
        <rFont val="宋体"/>
        <charset val="134"/>
      </rPr>
      <t>（现无此道）</t>
    </r>
  </si>
  <si>
    <t>SH001-Y</t>
  </si>
  <si>
    <t>3HRNAQ007A3</t>
  </si>
  <si>
    <t>上达</t>
  </si>
  <si>
    <t>RTK001</t>
  </si>
  <si>
    <t>HK3210</t>
  </si>
  <si>
    <t>睿腾科</t>
  </si>
  <si>
    <t>RTK002</t>
  </si>
  <si>
    <t>CCB-3L-2</t>
  </si>
  <si>
    <t>RTK003</t>
  </si>
  <si>
    <t>RXT001</t>
  </si>
  <si>
    <t>锁壳上盖</t>
  </si>
  <si>
    <t>瑞希泰</t>
  </si>
  <si>
    <t>QL001-Y</t>
  </si>
  <si>
    <t>限位铝盖帽</t>
  </si>
  <si>
    <t>奇朗</t>
  </si>
  <si>
    <t>QL001-Z</t>
  </si>
  <si>
    <t>QL002-Y</t>
  </si>
  <si>
    <t>前侧铝盖</t>
  </si>
  <si>
    <t>QL002-C</t>
  </si>
  <si>
    <t>QL002-Z</t>
  </si>
  <si>
    <t>QL003-Y</t>
  </si>
  <si>
    <t>后侧固定盖</t>
  </si>
  <si>
    <t>QL003-C</t>
  </si>
  <si>
    <t>QL003-Z</t>
  </si>
  <si>
    <t>QL003-Z-1</t>
  </si>
  <si>
    <t>后侧固定盖(设变前）</t>
  </si>
  <si>
    <t>QL004-Y</t>
  </si>
  <si>
    <r>
      <rPr>
        <sz val="11"/>
        <color rgb="FF000000"/>
        <rFont val="新細明體"/>
        <charset val="134"/>
      </rPr>
      <t>后侧</t>
    </r>
    <r>
      <rPr>
        <sz val="11"/>
        <color indexed="8"/>
        <rFont val="宋体"/>
        <charset val="134"/>
      </rPr>
      <t>调节盖</t>
    </r>
  </si>
  <si>
    <t>QL004-Y-1</t>
  </si>
  <si>
    <r>
      <rPr>
        <sz val="11"/>
        <color rgb="FF000000"/>
        <rFont val="新細明體"/>
        <charset val="134"/>
      </rPr>
      <t>后侧</t>
    </r>
    <r>
      <rPr>
        <sz val="11"/>
        <color indexed="8"/>
        <rFont val="宋体"/>
        <charset val="134"/>
      </rPr>
      <t>调节盖（设变前）</t>
    </r>
  </si>
  <si>
    <t>QL004-C</t>
  </si>
  <si>
    <t>QL004-Z</t>
  </si>
  <si>
    <t>QL004-Z-1</t>
  </si>
  <si>
    <t>MC001-Y</t>
  </si>
  <si>
    <t>左合页</t>
  </si>
  <si>
    <t>木琛</t>
  </si>
  <si>
    <t>MC001-P</t>
  </si>
  <si>
    <r>
      <rPr>
        <sz val="11"/>
        <color rgb="FF000000"/>
        <rFont val="新細明體"/>
        <charset val="134"/>
      </rPr>
      <t>抛</t>
    </r>
    <r>
      <rPr>
        <sz val="11"/>
        <color rgb="FF000000"/>
        <rFont val="宋体"/>
        <charset val="134"/>
      </rPr>
      <t>丸</t>
    </r>
  </si>
  <si>
    <t>MC001-K</t>
  </si>
  <si>
    <t>MC002-Y</t>
  </si>
  <si>
    <t>右合页</t>
  </si>
  <si>
    <t>MC002-P</t>
  </si>
  <si>
    <t>MC002-K</t>
  </si>
  <si>
    <t>MJ001--Y</t>
  </si>
  <si>
    <t>曲柄销套</t>
  </si>
  <si>
    <t>铭捷</t>
  </si>
  <si>
    <t>MJ003-Z</t>
  </si>
  <si>
    <t>MJ002--C</t>
  </si>
  <si>
    <t>ML001-Y</t>
  </si>
  <si>
    <t>壳体</t>
  </si>
  <si>
    <t>明立铸业</t>
  </si>
  <si>
    <t>LSD001-Y</t>
  </si>
  <si>
    <r>
      <rPr>
        <sz val="11"/>
        <color rgb="FF000000"/>
        <rFont val="新細明體"/>
        <charset val="134"/>
      </rPr>
      <t>AGL80</t>
    </r>
    <r>
      <rPr>
        <sz val="11"/>
        <color rgb="FF000000"/>
        <rFont val="宋体"/>
        <charset val="134"/>
      </rPr>
      <t>散热器</t>
    </r>
  </si>
  <si>
    <t>龙胜达</t>
  </si>
  <si>
    <t>LSD001-CG</t>
  </si>
  <si>
    <t>车加工/攻牙</t>
  </si>
  <si>
    <t>LSD001-ZM</t>
  </si>
  <si>
    <t>LSD001-K</t>
  </si>
  <si>
    <t>LX0001-Y</t>
  </si>
  <si>
    <t>T93-03B</t>
  </si>
  <si>
    <t>朗信</t>
  </si>
  <si>
    <t>LX0001-ZY</t>
  </si>
  <si>
    <t>LX0002-Y</t>
  </si>
  <si>
    <t>LX0002-ZY</t>
  </si>
  <si>
    <t>T93-02A</t>
  </si>
  <si>
    <t>鑫悦(成品）</t>
  </si>
  <si>
    <t>LX0003-Y</t>
  </si>
  <si>
    <t>T93-13</t>
  </si>
  <si>
    <r>
      <rPr>
        <sz val="12"/>
        <rFont val="新細明體"/>
        <charset val="134"/>
      </rPr>
      <t>锦</t>
    </r>
    <r>
      <rPr>
        <sz val="12"/>
        <rFont val="宋体"/>
        <charset val="134"/>
      </rPr>
      <t>拓</t>
    </r>
  </si>
  <si>
    <t>LX0003-DY</t>
  </si>
  <si>
    <t>新众辉 13电泳转33，暂时无此道</t>
  </si>
  <si>
    <t>LX0003-C</t>
  </si>
  <si>
    <t>庆业，广雷 ，博雅德             5</t>
  </si>
  <si>
    <t>LX0004-Y</t>
  </si>
  <si>
    <t>JK111-01机壳</t>
  </si>
  <si>
    <t>LX0004-PW</t>
  </si>
  <si>
    <t>锦拓                2</t>
  </si>
  <si>
    <t>LX0004-MG</t>
  </si>
  <si>
    <t xml:space="preserve">润宝泰/凤友 </t>
  </si>
  <si>
    <t>LX0004-QX</t>
  </si>
  <si>
    <t>LX0004-DY</t>
  </si>
  <si>
    <r>
      <rPr>
        <sz val="12"/>
        <rFont val="新細明體"/>
        <charset val="134"/>
      </rPr>
      <t>JK111-01</t>
    </r>
    <r>
      <rPr>
        <sz val="12"/>
        <rFont val="宋体"/>
        <charset val="134"/>
      </rPr>
      <t>电泳后转JK111-02</t>
    </r>
    <r>
      <rPr>
        <sz val="12"/>
        <rFont val="新細明體"/>
        <charset val="134"/>
      </rPr>
      <t>暂无此道工艺</t>
    </r>
  </si>
  <si>
    <t>新众辉</t>
  </si>
  <si>
    <t>LX0004-C</t>
  </si>
  <si>
    <r>
      <rPr>
        <sz val="12"/>
        <rFont val="宋体"/>
        <charset val="134"/>
      </rPr>
      <t xml:space="preserve">庆业，广雷              </t>
    </r>
    <r>
      <rPr>
        <sz val="12"/>
        <rFont val="新細明體"/>
        <charset val="134"/>
      </rPr>
      <t>5</t>
    </r>
  </si>
  <si>
    <t>LX0005-Y</t>
  </si>
  <si>
    <t>T93-04</t>
  </si>
  <si>
    <t>LX0005-GY</t>
  </si>
  <si>
    <t>LX0009-Y</t>
  </si>
  <si>
    <t>T93-06.01</t>
  </si>
  <si>
    <t>LX0009-M</t>
  </si>
  <si>
    <t>LX0006-Y</t>
  </si>
  <si>
    <t>T93-17</t>
  </si>
  <si>
    <t>LX0006-P</t>
  </si>
  <si>
    <t>LX0006-C</t>
  </si>
  <si>
    <t>T93-20</t>
  </si>
  <si>
    <t>LX0010-C</t>
  </si>
  <si>
    <t>英诚源</t>
  </si>
  <si>
    <t>LX0007-Y</t>
  </si>
  <si>
    <t>T93-22</t>
  </si>
  <si>
    <t>LX0007-P</t>
  </si>
  <si>
    <t>LX0007-C</t>
  </si>
  <si>
    <t>LX0008-Y</t>
  </si>
  <si>
    <t>T93-23</t>
  </si>
  <si>
    <t>LX0008-P</t>
  </si>
  <si>
    <t>LX0008-C</t>
  </si>
  <si>
    <t>LX0011-Y</t>
  </si>
  <si>
    <t>T93-25</t>
  </si>
  <si>
    <t>LX0011-PW</t>
  </si>
  <si>
    <t>LX0011-C</t>
  </si>
  <si>
    <r>
      <rPr>
        <sz val="12"/>
        <rFont val="新細明體"/>
        <charset val="134"/>
      </rPr>
      <t>英诚源</t>
    </r>
    <r>
      <rPr>
        <sz val="12"/>
        <rFont val="宋体"/>
        <charset val="134"/>
      </rPr>
      <t>，汇杰</t>
    </r>
  </si>
  <si>
    <t>LX0011-CNC-1</t>
  </si>
  <si>
    <t>T93-43</t>
  </si>
  <si>
    <r>
      <rPr>
        <sz val="12"/>
        <rFont val="新細明體"/>
        <charset val="134"/>
      </rPr>
      <t>临时工</t>
    </r>
    <r>
      <rPr>
        <sz val="12"/>
        <rFont val="宋体"/>
        <charset val="134"/>
      </rPr>
      <t>艺</t>
    </r>
    <r>
      <rPr>
        <sz val="12"/>
        <rFont val="新細明體"/>
        <charset val="134"/>
      </rPr>
      <t xml:space="preserve"> </t>
    </r>
    <r>
      <rPr>
        <sz val="12"/>
        <rFont val="宋体"/>
        <charset val="134"/>
      </rPr>
      <t>英诚源</t>
    </r>
  </si>
  <si>
    <t>LX0011-C-1</t>
  </si>
  <si>
    <r>
      <rPr>
        <sz val="12"/>
        <rFont val="新細明體"/>
        <charset val="134"/>
      </rPr>
      <t>临时工</t>
    </r>
    <r>
      <rPr>
        <sz val="12"/>
        <rFont val="宋体"/>
        <charset val="134"/>
      </rPr>
      <t>艺</t>
    </r>
    <r>
      <rPr>
        <sz val="12"/>
        <rFont val="新細明體"/>
        <charset val="134"/>
      </rPr>
      <t xml:space="preserve"> </t>
    </r>
    <r>
      <rPr>
        <sz val="12"/>
        <rFont val="宋体"/>
        <charset val="134"/>
      </rPr>
      <t>汇杰</t>
    </r>
  </si>
  <si>
    <t>LX0012-Y</t>
  </si>
  <si>
    <t>T93-27</t>
  </si>
  <si>
    <t>LX0012-P</t>
  </si>
  <si>
    <t>LX0012-C</t>
  </si>
  <si>
    <t>庆业/博雅德</t>
  </si>
  <si>
    <t>LX0013-Y</t>
  </si>
  <si>
    <t>T93-31</t>
  </si>
  <si>
    <t>LX0013-P</t>
  </si>
  <si>
    <t>LX0013-C</t>
  </si>
  <si>
    <t>LX0014-Y</t>
  </si>
  <si>
    <t>T93-32</t>
  </si>
  <si>
    <t>LX0014-P</t>
  </si>
  <si>
    <t>LX0014-C</t>
  </si>
  <si>
    <t>庆业/英诚源</t>
  </si>
  <si>
    <t>LX0015-Y</t>
  </si>
  <si>
    <t>T46-03</t>
  </si>
  <si>
    <t>LX0015-PW</t>
  </si>
  <si>
    <t>LX0015-C</t>
  </si>
  <si>
    <t>英诚源/庆业/博雅德</t>
  </si>
  <si>
    <r>
      <rPr>
        <sz val="11"/>
        <color rgb="FF000000"/>
        <rFont val="新細明體"/>
        <charset val="134"/>
      </rPr>
      <t>JK111-03</t>
    </r>
    <r>
      <rPr>
        <sz val="11"/>
        <color rgb="FF000000"/>
        <rFont val="宋体"/>
        <charset val="134"/>
      </rPr>
      <t>机壳</t>
    </r>
    <r>
      <rPr>
        <sz val="11"/>
        <color rgb="FF000000"/>
        <rFont val="新細明體"/>
        <charset val="134"/>
      </rPr>
      <t>(</t>
    </r>
    <r>
      <rPr>
        <sz val="11"/>
        <color rgb="FF000000"/>
        <rFont val="宋体"/>
        <charset val="134"/>
      </rPr>
      <t>无牙）</t>
    </r>
  </si>
  <si>
    <t xml:space="preserve">锦拓                </t>
  </si>
  <si>
    <t>LX00016-GY</t>
  </si>
  <si>
    <r>
      <rPr>
        <sz val="11"/>
        <color rgb="FF000000"/>
        <rFont val="新細明體"/>
        <charset val="134"/>
      </rPr>
      <t>JK111-03</t>
    </r>
    <r>
      <rPr>
        <sz val="11"/>
        <color rgb="FF000000"/>
        <rFont val="宋体"/>
        <charset val="134"/>
      </rPr>
      <t>机壳</t>
    </r>
  </si>
  <si>
    <t xml:space="preserve">润宝泰/凤友（暂无此道工艺）         </t>
  </si>
  <si>
    <r>
      <rPr>
        <sz val="12"/>
        <rFont val="新細明體"/>
        <charset val="134"/>
      </rPr>
      <t>新众辉/五合/</t>
    </r>
    <r>
      <rPr>
        <sz val="12"/>
        <rFont val="宋体"/>
        <charset val="134"/>
      </rPr>
      <t>绮丽</t>
    </r>
  </si>
  <si>
    <t>LX00016-C</t>
  </si>
  <si>
    <t xml:space="preserve">庆业/博雅德           </t>
  </si>
  <si>
    <t>LX00017-Y</t>
  </si>
  <si>
    <r>
      <rPr>
        <sz val="11"/>
        <color rgb="FF000000"/>
        <rFont val="新細明體"/>
        <charset val="134"/>
      </rPr>
      <t>JK111-04</t>
    </r>
    <r>
      <rPr>
        <sz val="11"/>
        <color rgb="FF000000"/>
        <rFont val="宋体"/>
        <charset val="134"/>
      </rPr>
      <t>机壳（无牙）</t>
    </r>
  </si>
  <si>
    <t>LX00017-PW</t>
  </si>
  <si>
    <t>LX00017-C</t>
  </si>
  <si>
    <t xml:space="preserve">庆业 博雅德                </t>
  </si>
  <si>
    <t>LX00018-Y</t>
  </si>
  <si>
    <r>
      <rPr>
        <sz val="11"/>
        <color rgb="FF000000"/>
        <rFont val="新細明體"/>
        <charset val="134"/>
      </rPr>
      <t>JK111-02</t>
    </r>
    <r>
      <rPr>
        <sz val="11"/>
        <color rgb="FF000000"/>
        <rFont val="宋体"/>
        <charset val="134"/>
      </rPr>
      <t>机壳</t>
    </r>
  </si>
  <si>
    <t>LX00018-P</t>
  </si>
  <si>
    <t>LX00018-GY</t>
  </si>
  <si>
    <t xml:space="preserve">润宝泰/凤友         </t>
  </si>
  <si>
    <t>LX00018-DY</t>
  </si>
  <si>
    <r>
      <rPr>
        <sz val="12"/>
        <rFont val="新細明體"/>
        <charset val="134"/>
      </rPr>
      <t>新众辉/</t>
    </r>
    <r>
      <rPr>
        <sz val="12"/>
        <rFont val="宋体"/>
        <charset val="134"/>
      </rPr>
      <t>五合</t>
    </r>
  </si>
  <si>
    <t>LX00018-C</t>
  </si>
  <si>
    <t xml:space="preserve">庆业                </t>
  </si>
  <si>
    <t>LX00019-Y</t>
  </si>
  <si>
    <t>T93-29</t>
  </si>
  <si>
    <t>LX00019-P</t>
  </si>
  <si>
    <t>LX00019-CNC</t>
  </si>
  <si>
    <t>庆业/广雷/博雅德</t>
  </si>
  <si>
    <t>LX00019-LD</t>
  </si>
  <si>
    <t>LX00020-Y</t>
  </si>
  <si>
    <t>T93-33</t>
  </si>
  <si>
    <t>LX00020-PW</t>
  </si>
  <si>
    <t>13电泳转33，五合/绮丽</t>
  </si>
  <si>
    <t>LX00020-LD</t>
  </si>
  <si>
    <t>LX00021-Y</t>
  </si>
  <si>
    <r>
      <rPr>
        <sz val="11"/>
        <color rgb="FF000000"/>
        <rFont val="新細明體"/>
        <charset val="134"/>
      </rPr>
      <t>JK111-01机壳</t>
    </r>
    <r>
      <rPr>
        <sz val="11"/>
        <color rgb="FF000000"/>
        <rFont val="宋体"/>
        <charset val="134"/>
      </rPr>
      <t>（设变品）</t>
    </r>
  </si>
  <si>
    <t>LX00021-PW</t>
  </si>
  <si>
    <t>LX00021-MG</t>
  </si>
  <si>
    <t xml:space="preserve">润宝泰/凤友          3 </t>
  </si>
  <si>
    <t>LX00021-QC</t>
  </si>
  <si>
    <t>LX00021-C</t>
  </si>
  <si>
    <t>庆业</t>
  </si>
  <si>
    <t>LX00022-Y</t>
  </si>
  <si>
    <r>
      <rPr>
        <sz val="11"/>
        <color rgb="FF000000"/>
        <rFont val="新細明體"/>
        <charset val="134"/>
      </rPr>
      <t>T93-13</t>
    </r>
    <r>
      <rPr>
        <sz val="11"/>
        <color rgb="FF000000"/>
        <rFont val="宋体"/>
        <charset val="134"/>
      </rPr>
      <t>老模</t>
    </r>
  </si>
  <si>
    <t>LX00022-PW</t>
  </si>
  <si>
    <t>LX00022-C</t>
  </si>
  <si>
    <t>LX00023-Y</t>
  </si>
  <si>
    <r>
      <rPr>
        <sz val="11"/>
        <color rgb="FF000000"/>
        <rFont val="新細明體"/>
        <charset val="134"/>
      </rPr>
      <t>JK111-03机壳</t>
    </r>
    <r>
      <rPr>
        <sz val="11"/>
        <color rgb="FF000000"/>
        <rFont val="宋体"/>
        <charset val="134"/>
      </rPr>
      <t>（有牙）</t>
    </r>
  </si>
  <si>
    <t>LX00023-PW</t>
  </si>
  <si>
    <t>LX00023-GY</t>
  </si>
  <si>
    <t>LX00023-QX</t>
  </si>
  <si>
    <t>LX00023-DY</t>
  </si>
  <si>
    <t>五合/绮丽</t>
  </si>
  <si>
    <t>LX00023-C</t>
  </si>
  <si>
    <t>LX00024-Y</t>
  </si>
  <si>
    <t>T93-SUE</t>
  </si>
  <si>
    <t>LX00024-PW</t>
  </si>
  <si>
    <t>LX00024-C</t>
  </si>
  <si>
    <t>庆业,英诚源</t>
  </si>
  <si>
    <t>LX00025-Y</t>
  </si>
  <si>
    <r>
      <rPr>
        <sz val="11"/>
        <color rgb="FF000000"/>
        <rFont val="新細明體"/>
        <charset val="134"/>
      </rPr>
      <t>JK111-05机壳</t>
    </r>
    <r>
      <rPr>
        <sz val="11"/>
        <color rgb="FF000000"/>
        <rFont val="宋体"/>
        <charset val="134"/>
      </rPr>
      <t>（无牙）</t>
    </r>
  </si>
  <si>
    <t>LX00025-PW</t>
  </si>
  <si>
    <t xml:space="preserve">锦拓  /抛丸              </t>
  </si>
  <si>
    <t>LX00025-C</t>
  </si>
  <si>
    <t>LX00026-Y</t>
  </si>
  <si>
    <t>JK111-06机壳</t>
  </si>
  <si>
    <t>LX00026-PW</t>
  </si>
  <si>
    <t>LX00026-C</t>
  </si>
  <si>
    <t>LX00027-Y</t>
  </si>
  <si>
    <t>T93-53</t>
  </si>
  <si>
    <t>LX00027-PW</t>
  </si>
  <si>
    <t>LX00027-C</t>
  </si>
  <si>
    <t>LX00028-Y</t>
  </si>
  <si>
    <t>T93-54</t>
  </si>
  <si>
    <t>LX00028-PW</t>
  </si>
  <si>
    <t>LX00028-DY</t>
  </si>
  <si>
    <t>LX00028-C</t>
  </si>
  <si>
    <t>LX00028-LD</t>
  </si>
  <si>
    <r>
      <rPr>
        <sz val="12"/>
        <rFont val="新細明體"/>
        <charset val="134"/>
      </rPr>
      <t>义恒</t>
    </r>
    <r>
      <rPr>
        <sz val="12"/>
        <rFont val="宋体"/>
        <charset val="134"/>
      </rPr>
      <t>谱</t>
    </r>
  </si>
  <si>
    <t>LX00029-Y</t>
  </si>
  <si>
    <t>T93-56</t>
  </si>
  <si>
    <t>LX00029-PW</t>
  </si>
  <si>
    <t>LX00029-DY</t>
  </si>
  <si>
    <t>LX00029-C</t>
  </si>
  <si>
    <t>LX00029-LD</t>
  </si>
  <si>
    <t>LX00030-Y</t>
  </si>
  <si>
    <t>T93-58</t>
  </si>
  <si>
    <t>LX00030-PW</t>
  </si>
  <si>
    <t>LX00030-C</t>
  </si>
  <si>
    <t>LX00031-Y</t>
  </si>
  <si>
    <t>T93-59</t>
  </si>
  <si>
    <t>LX00031-PW</t>
  </si>
  <si>
    <t>LX00031-DY</t>
  </si>
  <si>
    <t>LX00031-C</t>
  </si>
  <si>
    <t>LX00031-LD</t>
  </si>
  <si>
    <t>LX00032-Y</t>
  </si>
  <si>
    <t>T93-60</t>
  </si>
  <si>
    <t>LX00032-PW</t>
  </si>
  <si>
    <t>LX00032-C</t>
  </si>
  <si>
    <t>LX00033-Y</t>
  </si>
  <si>
    <t>T93-61</t>
  </si>
  <si>
    <t>LX00033-PW</t>
  </si>
  <si>
    <t>LX00033-DY</t>
  </si>
  <si>
    <t>LX00033-C</t>
  </si>
  <si>
    <t>LX00033-LD</t>
  </si>
  <si>
    <t>LX00034-Y</t>
  </si>
  <si>
    <t>T93-62</t>
  </si>
  <si>
    <t>LX00034-P</t>
  </si>
  <si>
    <t>LX00034-DY</t>
  </si>
  <si>
    <t>LX00034-C</t>
  </si>
  <si>
    <t>LX00034-LD</t>
  </si>
  <si>
    <t>LM0001-Y</t>
  </si>
  <si>
    <r>
      <rPr>
        <sz val="11"/>
        <color rgb="FF000000"/>
        <rFont val="新細明體"/>
        <charset val="134"/>
      </rPr>
      <t>SHELL</t>
    </r>
    <r>
      <rPr>
        <sz val="11"/>
        <color rgb="FF000000"/>
        <rFont val="宋体"/>
        <charset val="134"/>
      </rPr>
      <t>中框</t>
    </r>
  </si>
  <si>
    <t>徕木</t>
  </si>
  <si>
    <t>LM0001-P</t>
  </si>
  <si>
    <t>LM0001-G</t>
  </si>
  <si>
    <t>LM0001-C</t>
  </si>
  <si>
    <t>LM0001-KQ</t>
  </si>
  <si>
    <t>LM0002-Y</t>
  </si>
  <si>
    <r>
      <rPr>
        <sz val="11"/>
        <color rgb="FF000000"/>
        <rFont val="新細明體"/>
        <charset val="134"/>
      </rPr>
      <t>SHELL</t>
    </r>
    <r>
      <rPr>
        <sz val="11"/>
        <color rgb="FF000000"/>
        <rFont val="宋体"/>
        <charset val="134"/>
      </rPr>
      <t>底盖</t>
    </r>
  </si>
  <si>
    <t>LM0002-CNC</t>
  </si>
  <si>
    <t>LM0002-M</t>
  </si>
  <si>
    <t>LM0002-P</t>
  </si>
  <si>
    <t>LM0002-KQ</t>
  </si>
  <si>
    <t>LM0003-YC</t>
  </si>
  <si>
    <t>铝挤材（QH-G-3351)铝挤板端（1403-00013-01）</t>
  </si>
  <si>
    <t>原料</t>
  </si>
  <si>
    <r>
      <rPr>
        <sz val="12"/>
        <rFont val="新細明體"/>
        <charset val="134"/>
      </rPr>
      <t>全</t>
    </r>
    <r>
      <rPr>
        <sz val="12"/>
        <rFont val="宋体"/>
        <charset val="134"/>
      </rPr>
      <t>豪</t>
    </r>
  </si>
  <si>
    <t>LM0003-GY</t>
  </si>
  <si>
    <r>
      <rPr>
        <sz val="12"/>
        <rFont val="新細明體"/>
        <charset val="134"/>
      </rPr>
      <t>润宝泰/</t>
    </r>
    <r>
      <rPr>
        <sz val="12"/>
        <rFont val="宋体"/>
        <charset val="134"/>
      </rPr>
      <t>凤友</t>
    </r>
    <r>
      <rPr>
        <sz val="12"/>
        <rFont val="新細明體"/>
        <charset val="134"/>
      </rPr>
      <t>/</t>
    </r>
    <r>
      <rPr>
        <sz val="12"/>
        <rFont val="宋体"/>
        <charset val="134"/>
      </rPr>
      <t>自己攻牙</t>
    </r>
  </si>
  <si>
    <t>LM0003-CNC</t>
  </si>
  <si>
    <t>天宇</t>
  </si>
  <si>
    <t>LM0003-PM</t>
  </si>
  <si>
    <t>巧手（成品）</t>
  </si>
  <si>
    <t>托架</t>
  </si>
  <si>
    <t>昆山刚毅</t>
  </si>
  <si>
    <t>SRY002-CNC</t>
  </si>
  <si>
    <t>SRY002-ZG</t>
  </si>
  <si>
    <t>SRY002-K</t>
  </si>
  <si>
    <t>兆基</t>
  </si>
  <si>
    <t>SRY003-Y</t>
  </si>
  <si>
    <t>背盖</t>
  </si>
  <si>
    <t>SRY003-CNC</t>
  </si>
  <si>
    <t>SRY003-ZY</t>
  </si>
  <si>
    <t>KJL0001-Y</t>
  </si>
  <si>
    <t>F51999169</t>
  </si>
  <si>
    <t>昆甲林</t>
  </si>
  <si>
    <t>KJL0001-S</t>
  </si>
  <si>
    <t>KJL0001-P</t>
  </si>
  <si>
    <t>KJL0002-Y</t>
  </si>
  <si>
    <t>F51999170</t>
  </si>
  <si>
    <t>KJL0002-S</t>
  </si>
  <si>
    <t>KJL0002-P</t>
  </si>
  <si>
    <t>KJL0003-Y</t>
  </si>
  <si>
    <t>F51999171</t>
  </si>
  <si>
    <t>KJL0003-S</t>
  </si>
  <si>
    <t>KJL0003-P</t>
  </si>
  <si>
    <t>KJL0004-Y</t>
  </si>
  <si>
    <t>F51999172</t>
  </si>
  <si>
    <t>KJL0004-S</t>
  </si>
  <si>
    <t>KJL0004-P</t>
  </si>
  <si>
    <t>KJL0005-Y</t>
  </si>
  <si>
    <t>F51999173</t>
  </si>
  <si>
    <t>KJL0005-S</t>
  </si>
  <si>
    <t>KJL0005-P</t>
  </si>
  <si>
    <t>KJL0006-Y</t>
  </si>
  <si>
    <t>F40999311</t>
  </si>
  <si>
    <t>KJL0006-C</t>
  </si>
  <si>
    <t>汇杰</t>
  </si>
  <si>
    <t>KJL0006-P</t>
  </si>
  <si>
    <t>KJL0007-Y</t>
  </si>
  <si>
    <t>F40999312</t>
  </si>
  <si>
    <t>KJL0007-C</t>
  </si>
  <si>
    <t>KJL0007-P</t>
  </si>
  <si>
    <t>KJL0008-Y</t>
  </si>
  <si>
    <t>F40999313</t>
  </si>
  <si>
    <t>KJL0008-S</t>
  </si>
  <si>
    <t>KJL0008-P</t>
  </si>
  <si>
    <t>KJL0009-Y</t>
  </si>
  <si>
    <t>F40999314</t>
  </si>
  <si>
    <t>KJL0009-C</t>
  </si>
  <si>
    <t>KJL0009-S</t>
  </si>
  <si>
    <r>
      <rPr>
        <b/>
        <sz val="11"/>
        <color rgb="FF000000"/>
        <rFont val="新細明體"/>
        <charset val="134"/>
      </rPr>
      <t>现</t>
    </r>
    <r>
      <rPr>
        <b/>
        <sz val="11"/>
        <color rgb="FF000000"/>
        <rFont val="宋体"/>
        <charset val="134"/>
      </rPr>
      <t>无此道</t>
    </r>
  </si>
  <si>
    <t>KJL0009-P</t>
  </si>
  <si>
    <t>KJL0010-Y</t>
  </si>
  <si>
    <t>F40999315</t>
  </si>
  <si>
    <t>KJL0010-S</t>
  </si>
  <si>
    <t>KJL0010-P</t>
  </si>
  <si>
    <t>KJL0011-Y</t>
  </si>
  <si>
    <t>F40999316</t>
  </si>
  <si>
    <t>KJL0011-S</t>
  </si>
  <si>
    <t>KJL0011-P</t>
  </si>
  <si>
    <t>KJL0012-Y</t>
  </si>
  <si>
    <t>F40999317</t>
  </si>
  <si>
    <t>KJL0012-S</t>
  </si>
  <si>
    <t>KJL0012-P</t>
  </si>
  <si>
    <t>KJL0013-Y</t>
  </si>
  <si>
    <t>F40999318</t>
  </si>
  <si>
    <t>KJL0013-S</t>
  </si>
  <si>
    <t>KJL0013-P</t>
  </si>
  <si>
    <t>KJL0014-Y</t>
  </si>
  <si>
    <t>铝波轮</t>
  </si>
  <si>
    <t>KJL0014-M</t>
  </si>
  <si>
    <t>KJL0014-C</t>
  </si>
  <si>
    <t>KJL0015-Y</t>
  </si>
  <si>
    <t>固定块-01</t>
  </si>
  <si>
    <t>KJL0016-Y</t>
  </si>
  <si>
    <t>固定块-02</t>
  </si>
  <si>
    <t>KJL0017A-Y</t>
  </si>
  <si>
    <t>伞齿固定座L</t>
  </si>
  <si>
    <t>KJL0017A-P</t>
  </si>
  <si>
    <t>KJL0017A-Z/G</t>
  </si>
  <si>
    <t>KJL0017B-Y</t>
  </si>
  <si>
    <t>伞齿固定座R</t>
  </si>
  <si>
    <t>KJL0017B-P</t>
  </si>
  <si>
    <t>KJL0017B-Z/G</t>
  </si>
  <si>
    <t>KJL0018-Y</t>
  </si>
  <si>
    <t>连接座</t>
  </si>
  <si>
    <t>KJL0018-Z/G</t>
  </si>
  <si>
    <t>KEX001-Y</t>
  </si>
  <si>
    <t>41-1007</t>
  </si>
  <si>
    <t>康尔学</t>
  </si>
  <si>
    <t>KEX001-M</t>
  </si>
  <si>
    <t>KBL001-Y</t>
  </si>
  <si>
    <t>外壳</t>
  </si>
  <si>
    <t>康比利</t>
  </si>
  <si>
    <r>
      <rPr>
        <sz val="11"/>
        <color rgb="FF000000"/>
        <rFont val="新細明體"/>
        <charset val="134"/>
      </rPr>
      <t>KBL001-</t>
    </r>
    <r>
      <rPr>
        <sz val="11"/>
        <color indexed="8"/>
        <rFont val="宋体"/>
        <charset val="134"/>
      </rPr>
      <t>C</t>
    </r>
  </si>
  <si>
    <t>KBL001-P</t>
  </si>
  <si>
    <t>KBL001-ZY</t>
  </si>
  <si>
    <r>
      <rPr>
        <sz val="12"/>
        <rFont val="宋体"/>
        <charset val="134"/>
      </rPr>
      <t>鑫悦/喜来来</t>
    </r>
    <r>
      <rPr>
        <b/>
        <sz val="12"/>
        <color rgb="FFFF0000"/>
        <rFont val="宋体"/>
        <charset val="134"/>
      </rPr>
      <t>6/12暂时取消</t>
    </r>
  </si>
  <si>
    <t>压盖</t>
  </si>
  <si>
    <t>KBL002-C</t>
  </si>
  <si>
    <t>KBL002-PW</t>
  </si>
  <si>
    <t>KBL002-GS</t>
  </si>
  <si>
    <r>
      <rPr>
        <b/>
        <sz val="12"/>
        <rFont val="新細明體"/>
        <charset val="134"/>
      </rPr>
      <t>25.7</t>
    </r>
    <r>
      <rPr>
        <b/>
        <sz val="12"/>
        <rFont val="宋体"/>
        <charset val="134"/>
      </rPr>
      <t>月，暂无此工艺</t>
    </r>
  </si>
  <si>
    <r>
      <rPr>
        <sz val="11"/>
        <color rgb="FF000000"/>
        <rFont val="新細明體"/>
        <charset val="134"/>
      </rPr>
      <t>KBL002-</t>
    </r>
    <r>
      <rPr>
        <sz val="11"/>
        <color indexed="8"/>
        <rFont val="宋体"/>
        <charset val="134"/>
      </rPr>
      <t>P</t>
    </r>
  </si>
  <si>
    <t>KBL002-ZY</t>
  </si>
  <si>
    <r>
      <rPr>
        <sz val="12"/>
        <rFont val="新細明體"/>
        <charset val="134"/>
      </rPr>
      <t>鑫悦(成品）/</t>
    </r>
    <r>
      <rPr>
        <sz val="12"/>
        <rFont val="宋体"/>
        <charset val="134"/>
      </rPr>
      <t>喜来来</t>
    </r>
  </si>
  <si>
    <t>KBL003-Y</t>
  </si>
  <si>
    <t>涨紧圈（方）</t>
  </si>
  <si>
    <t>KBL003-C</t>
  </si>
  <si>
    <t>KBL003-M</t>
  </si>
  <si>
    <t>KBL003-P</t>
  </si>
  <si>
    <t>KBL003-ZY</t>
  </si>
  <si>
    <t>KBL004-Y</t>
  </si>
  <si>
    <t>涨紧圈（圆无LOGO）</t>
  </si>
  <si>
    <t>KBL004-C</t>
  </si>
  <si>
    <t>KBL004-M</t>
  </si>
  <si>
    <t>KBL004-P</t>
  </si>
  <si>
    <t>KBL004-ZY</t>
  </si>
  <si>
    <r>
      <rPr>
        <sz val="12"/>
        <rFont val="宋体"/>
        <charset val="134"/>
      </rPr>
      <t>鑫悦</t>
    </r>
    <r>
      <rPr>
        <sz val="12"/>
        <rFont val="新細明體"/>
        <charset val="134"/>
      </rPr>
      <t xml:space="preserve">  4</t>
    </r>
  </si>
  <si>
    <t>KBL005-Y</t>
  </si>
  <si>
    <t>48-基座</t>
  </si>
  <si>
    <t>KBL005-P</t>
  </si>
  <si>
    <r>
      <rPr>
        <sz val="12"/>
        <rFont val="新細明體"/>
        <charset val="134"/>
      </rPr>
      <t>锦拓</t>
    </r>
    <r>
      <rPr>
        <sz val="12"/>
        <rFont val="宋体"/>
        <charset val="134"/>
      </rPr>
      <t>（新加工艺）</t>
    </r>
  </si>
  <si>
    <t>KBL005-ZY</t>
  </si>
  <si>
    <t>KBL006-Y</t>
  </si>
  <si>
    <t>紧固件</t>
  </si>
  <si>
    <t>KBL006-MZY</t>
  </si>
  <si>
    <t>KBL006-K</t>
  </si>
  <si>
    <t>KBL007-Y</t>
  </si>
  <si>
    <t>涨紧圈（圆有LOGO）</t>
  </si>
  <si>
    <t>KBL007-P</t>
  </si>
  <si>
    <t>锦拓2</t>
  </si>
  <si>
    <t>KBL007-ZY</t>
  </si>
  <si>
    <t>喜来来3</t>
  </si>
  <si>
    <t>KBL007-C</t>
  </si>
  <si>
    <t>英诚源4</t>
  </si>
  <si>
    <t>KBL008-Y</t>
  </si>
  <si>
    <t>100-机壳</t>
  </si>
  <si>
    <t>KBL009-Y</t>
  </si>
  <si>
    <t>100-基座</t>
  </si>
  <si>
    <t>KBL010-Y</t>
  </si>
  <si>
    <t>5801-基座</t>
  </si>
  <si>
    <t>KBL010-ZY</t>
  </si>
  <si>
    <t>JY001-Y</t>
  </si>
  <si>
    <t>FT0083A</t>
  </si>
  <si>
    <t>久越</t>
  </si>
  <si>
    <t>JY002-Y</t>
  </si>
  <si>
    <t>FT0868</t>
  </si>
  <si>
    <t>JY003-Y</t>
  </si>
  <si>
    <t>HT0090A</t>
  </si>
  <si>
    <t>JY004-Y</t>
  </si>
  <si>
    <t>FT0936</t>
  </si>
  <si>
    <t>JC001</t>
  </si>
  <si>
    <r>
      <rPr>
        <sz val="11"/>
        <color rgb="FF000000"/>
        <rFont val="新細明體"/>
        <charset val="134"/>
      </rPr>
      <t>1810-001(</t>
    </r>
    <r>
      <rPr>
        <sz val="11"/>
        <color indexed="8"/>
        <rFont val="宋体"/>
        <charset val="134"/>
      </rPr>
      <t>泵座</t>
    </r>
    <r>
      <rPr>
        <sz val="11"/>
        <color indexed="8"/>
        <rFont val="新細明體"/>
        <charset val="134"/>
      </rPr>
      <t>)</t>
    </r>
  </si>
  <si>
    <t>精弛</t>
  </si>
  <si>
    <t>JC002</t>
  </si>
  <si>
    <r>
      <rPr>
        <sz val="11"/>
        <color rgb="FF000000"/>
        <rFont val="新細明體"/>
        <charset val="134"/>
      </rPr>
      <t>1810-002</t>
    </r>
    <r>
      <rPr>
        <sz val="11"/>
        <color indexed="8"/>
        <rFont val="宋体"/>
        <charset val="134"/>
      </rPr>
      <t>（泵盖）</t>
    </r>
  </si>
  <si>
    <t>JC003-Y</t>
  </si>
  <si>
    <t>906680-001.40</t>
  </si>
  <si>
    <t>JM0001-Y</t>
  </si>
  <si>
    <r>
      <rPr>
        <sz val="11"/>
        <color rgb="FF000000"/>
        <rFont val="新細明體"/>
        <charset val="134"/>
      </rPr>
      <t>G2040</t>
    </r>
    <r>
      <rPr>
        <sz val="11"/>
        <color indexed="8"/>
        <rFont val="宋体"/>
        <charset val="134"/>
      </rPr>
      <t>上盖</t>
    </r>
  </si>
  <si>
    <t>金脉</t>
  </si>
  <si>
    <t>JM0001-Z/G</t>
  </si>
  <si>
    <t>JM0001-ZY</t>
  </si>
  <si>
    <t>JM0004-Y</t>
  </si>
  <si>
    <t>G2124DM11B01</t>
  </si>
  <si>
    <t>JM0004--Z/G</t>
  </si>
  <si>
    <t>JM0004-ZY</t>
  </si>
  <si>
    <r>
      <rPr>
        <sz val="12"/>
        <rFont val="新細明體"/>
        <charset val="134"/>
      </rPr>
      <t>鑫宝泰/志远/喜来</t>
    </r>
    <r>
      <rPr>
        <sz val="12"/>
        <rFont val="宋体"/>
        <charset val="134"/>
      </rPr>
      <t>来</t>
    </r>
  </si>
  <si>
    <t>JM0002-Y</t>
  </si>
  <si>
    <r>
      <rPr>
        <sz val="11"/>
        <color rgb="FF000000"/>
        <rFont val="新細明體"/>
        <charset val="134"/>
      </rPr>
      <t>BMS1997</t>
    </r>
    <r>
      <rPr>
        <sz val="11"/>
        <color rgb="FF000000"/>
        <rFont val="宋体"/>
        <charset val="134"/>
      </rPr>
      <t>上盖</t>
    </r>
  </si>
  <si>
    <t>JM0002-ZY</t>
  </si>
  <si>
    <t>鑫宝泰/志远</t>
  </si>
  <si>
    <t>JM0003-Y</t>
  </si>
  <si>
    <r>
      <rPr>
        <sz val="11"/>
        <color rgb="FF000000"/>
        <rFont val="新細明體"/>
        <charset val="134"/>
      </rPr>
      <t>BMS1997</t>
    </r>
    <r>
      <rPr>
        <sz val="11"/>
        <color rgb="FF000000"/>
        <rFont val="宋体"/>
        <charset val="134"/>
      </rPr>
      <t>下盖</t>
    </r>
  </si>
  <si>
    <t>JM0003-G</t>
  </si>
  <si>
    <t>JM0003-ZY</t>
  </si>
  <si>
    <t>JM0005-Y</t>
  </si>
  <si>
    <t>G2184</t>
  </si>
  <si>
    <t>JM0005-M</t>
  </si>
  <si>
    <t>JM0005-Z/G</t>
  </si>
  <si>
    <t>JM0005-ZY</t>
  </si>
  <si>
    <t>JM0005-P</t>
  </si>
  <si>
    <t>JM0006-Y</t>
  </si>
  <si>
    <r>
      <rPr>
        <sz val="11"/>
        <color rgb="FF000000"/>
        <rFont val="新細明體"/>
        <charset val="134"/>
      </rPr>
      <t>ADS2206</t>
    </r>
    <r>
      <rPr>
        <sz val="11"/>
        <color rgb="FF000000"/>
        <rFont val="宋体"/>
        <charset val="134"/>
      </rPr>
      <t>盖板</t>
    </r>
  </si>
  <si>
    <t>JM0006-S</t>
  </si>
  <si>
    <t>热处理</t>
  </si>
  <si>
    <t>JM0006-ZY</t>
  </si>
  <si>
    <t>JM0006-CNC</t>
  </si>
  <si>
    <t>JM0006-QX</t>
  </si>
  <si>
    <t>JM0007-Y</t>
  </si>
  <si>
    <r>
      <rPr>
        <sz val="11"/>
        <color rgb="FF000000"/>
        <rFont val="新細明體"/>
        <charset val="134"/>
      </rPr>
      <t>ADS2206</t>
    </r>
    <r>
      <rPr>
        <sz val="11"/>
        <color rgb="FF000000"/>
        <rFont val="宋体"/>
        <charset val="134"/>
      </rPr>
      <t>底壳</t>
    </r>
  </si>
  <si>
    <t>JM0007-S</t>
  </si>
  <si>
    <t>全九京</t>
  </si>
  <si>
    <t>JM0007-ZY</t>
  </si>
  <si>
    <t>JM0007-CNC</t>
  </si>
  <si>
    <t>欣发达/天宇鑫</t>
  </si>
  <si>
    <t>JM0007-QX</t>
  </si>
  <si>
    <t>巧手点鑫</t>
  </si>
  <si>
    <t>JM0008-Y</t>
  </si>
  <si>
    <r>
      <rPr>
        <sz val="9"/>
        <color rgb="FF000000"/>
        <rFont val="Albany WT J"/>
        <charset val="134"/>
      </rPr>
      <t>G2131</t>
    </r>
    <r>
      <rPr>
        <sz val="9"/>
        <color rgb="FF000000"/>
        <rFont val="宋体"/>
        <charset val="134"/>
      </rPr>
      <t>主控上盖</t>
    </r>
  </si>
  <si>
    <t>JM0008-ZY</t>
  </si>
  <si>
    <t>JM0009-Y</t>
  </si>
  <si>
    <r>
      <rPr>
        <sz val="9"/>
        <color rgb="FF000000"/>
        <rFont val="Albany WT J"/>
        <charset val="134"/>
      </rPr>
      <t>G2131</t>
    </r>
    <r>
      <rPr>
        <sz val="9"/>
        <color rgb="FF000000"/>
        <rFont val="宋体"/>
        <charset val="134"/>
      </rPr>
      <t>底座</t>
    </r>
  </si>
  <si>
    <t>JM0009-GY</t>
  </si>
  <si>
    <t>JM0009-ZY</t>
  </si>
  <si>
    <t>JB0001-Y</t>
  </si>
  <si>
    <t>内保险扣</t>
  </si>
  <si>
    <t>金棒</t>
  </si>
  <si>
    <t>JB0001-SX</t>
  </si>
  <si>
    <t>时效</t>
  </si>
  <si>
    <t>JB0001-CNC</t>
  </si>
  <si>
    <t>JB0001-ZY</t>
  </si>
  <si>
    <t>鑫悦</t>
  </si>
  <si>
    <t>JB0001-D</t>
  </si>
  <si>
    <t>JB0002-Y</t>
  </si>
  <si>
    <t>外保险扣</t>
  </si>
  <si>
    <t>JB0002-SX</t>
  </si>
  <si>
    <t>JB0002-M</t>
  </si>
  <si>
    <r>
      <rPr>
        <sz val="11"/>
        <color rgb="FF000000"/>
        <rFont val="宋体"/>
        <charset val="134"/>
      </rPr>
      <t>日安升</t>
    </r>
    <r>
      <rPr>
        <sz val="11"/>
        <color rgb="FF000000"/>
        <rFont val="新細明體"/>
        <charset val="134"/>
      </rPr>
      <t>/</t>
    </r>
    <r>
      <rPr>
        <sz val="11"/>
        <color rgb="FF000000"/>
        <rFont val="宋体"/>
        <charset val="134"/>
      </rPr>
      <t>鑫悦</t>
    </r>
  </si>
  <si>
    <t>JB0002-CNC</t>
  </si>
  <si>
    <t>创欣达/天宇</t>
  </si>
  <si>
    <t>JB0002-ZY</t>
  </si>
  <si>
    <r>
      <rPr>
        <sz val="11"/>
        <color rgb="FF000000"/>
        <rFont val="宋体"/>
        <charset val="134"/>
      </rPr>
      <t>喜来来</t>
    </r>
    <r>
      <rPr>
        <sz val="11"/>
        <color rgb="FF000000"/>
        <rFont val="新細明體"/>
        <charset val="134"/>
      </rPr>
      <t>/</t>
    </r>
    <r>
      <rPr>
        <sz val="11"/>
        <color rgb="FF000000"/>
        <rFont val="宋体"/>
        <charset val="134"/>
      </rPr>
      <t>鑫悦</t>
    </r>
  </si>
  <si>
    <t>JB0003-Y</t>
  </si>
  <si>
    <t>JB562/手机支架夹紧块</t>
  </si>
  <si>
    <t>JB0003-CNC</t>
  </si>
  <si>
    <t>JB0003-YM</t>
  </si>
  <si>
    <t>JB0004-Y</t>
  </si>
  <si>
    <t>挂钩壳</t>
  </si>
  <si>
    <t>JB0004-SX</t>
  </si>
  <si>
    <t>JB0004-ZG</t>
  </si>
  <si>
    <t>JB0004-CNC</t>
  </si>
  <si>
    <t>JB0004-DM</t>
  </si>
  <si>
    <t>打磨/毛边</t>
  </si>
  <si>
    <t>JB0005-Y</t>
  </si>
  <si>
    <t>JB527折叠挂钩</t>
  </si>
  <si>
    <t>JB0005-SX</t>
  </si>
  <si>
    <t>JB0005-CNC</t>
  </si>
  <si>
    <t>JB0005-DM</t>
  </si>
  <si>
    <t>JB0006-Y</t>
  </si>
  <si>
    <t>JB297头壳</t>
  </si>
  <si>
    <t>JB0006-GY</t>
  </si>
  <si>
    <t>JB0006-C</t>
  </si>
  <si>
    <r>
      <rPr>
        <sz val="12"/>
        <rFont val="新細明體"/>
        <charset val="134"/>
      </rPr>
      <t>英诚源(</t>
    </r>
    <r>
      <rPr>
        <sz val="12"/>
        <rFont val="宋体"/>
        <charset val="134"/>
      </rPr>
      <t>根据工艺调换）</t>
    </r>
  </si>
  <si>
    <t>JB0006-DM</t>
  </si>
  <si>
    <t>麦凯良(根据工艺调换）</t>
  </si>
  <si>
    <t>JB0006-P</t>
  </si>
  <si>
    <t>JB0007-Y</t>
  </si>
  <si>
    <t>JB297压块</t>
  </si>
  <si>
    <t>JB0007-GS</t>
  </si>
  <si>
    <r>
      <rPr>
        <sz val="11"/>
        <color rgb="FF000000"/>
        <rFont val="新細明體"/>
        <charset val="134"/>
      </rPr>
      <t>过砂/</t>
    </r>
    <r>
      <rPr>
        <sz val="11"/>
        <color rgb="FF000000"/>
        <rFont val="宋体"/>
        <charset val="134"/>
      </rPr>
      <t>打磨</t>
    </r>
  </si>
  <si>
    <t>JB0007-ZY</t>
  </si>
  <si>
    <r>
      <rPr>
        <sz val="12"/>
        <rFont val="新細明體"/>
        <charset val="134"/>
      </rPr>
      <t>鑫悦(成品）</t>
    </r>
    <r>
      <rPr>
        <sz val="12"/>
        <rFont val="宋体"/>
        <charset val="134"/>
      </rPr>
      <t>，临时做的客退品</t>
    </r>
  </si>
  <si>
    <t>JB0008-Y</t>
  </si>
  <si>
    <t>JB297头壳前盖</t>
  </si>
  <si>
    <t>JB0008-P</t>
  </si>
  <si>
    <t>JB0009-Y</t>
  </si>
  <si>
    <t>JB539头壳</t>
  </si>
  <si>
    <t>JB0009-CNC</t>
  </si>
  <si>
    <r>
      <rPr>
        <sz val="11"/>
        <color rgb="FF000000"/>
        <rFont val="新細明體"/>
        <charset val="134"/>
      </rPr>
      <t>CNC</t>
    </r>
    <r>
      <rPr>
        <sz val="11"/>
        <color rgb="FF000000"/>
        <rFont val="宋体"/>
        <charset val="134"/>
      </rPr>
      <t>打磨</t>
    </r>
  </si>
  <si>
    <t>JB0009-GY</t>
  </si>
  <si>
    <t>JB0009-MGD</t>
  </si>
  <si>
    <r>
      <rPr>
        <sz val="11"/>
        <color rgb="FF000000"/>
        <rFont val="宋体"/>
        <charset val="134"/>
      </rPr>
      <t>毛刺</t>
    </r>
    <r>
      <rPr>
        <sz val="11"/>
        <color rgb="FF000000"/>
        <rFont val="新細明體"/>
        <charset val="134"/>
      </rPr>
      <t>过砂</t>
    </r>
    <r>
      <rPr>
        <sz val="11"/>
        <color rgb="FF000000"/>
        <rFont val="宋体"/>
        <charset val="134"/>
      </rPr>
      <t>打磨</t>
    </r>
  </si>
  <si>
    <t>JB0009-KQ</t>
  </si>
  <si>
    <r>
      <rPr>
        <sz val="11"/>
        <color rgb="FF000000"/>
        <rFont val="新細明體"/>
        <charset val="134"/>
      </rPr>
      <t>烤</t>
    </r>
    <r>
      <rPr>
        <sz val="11"/>
        <color rgb="FF000000"/>
        <rFont val="宋体"/>
        <charset val="134"/>
      </rPr>
      <t>漆</t>
    </r>
  </si>
  <si>
    <r>
      <rPr>
        <sz val="12"/>
        <rFont val="新細明體"/>
        <charset val="134"/>
      </rPr>
      <t>威尔</t>
    </r>
    <r>
      <rPr>
        <sz val="12"/>
        <rFont val="宋体"/>
        <charset val="134"/>
      </rPr>
      <t>其</t>
    </r>
  </si>
  <si>
    <t>JB0010-Y</t>
  </si>
  <si>
    <t>JB527头壳</t>
  </si>
  <si>
    <t>JB0010-SX</t>
  </si>
  <si>
    <r>
      <rPr>
        <sz val="11"/>
        <color rgb="FF000000"/>
        <rFont val="新細明體"/>
        <charset val="134"/>
      </rPr>
      <t>时</t>
    </r>
    <r>
      <rPr>
        <sz val="11"/>
        <color rgb="FF000000"/>
        <rFont val="宋体"/>
        <charset val="134"/>
      </rPr>
      <t>效</t>
    </r>
  </si>
  <si>
    <t>JB0010-CNC</t>
  </si>
  <si>
    <t>JB0010-DM</t>
  </si>
  <si>
    <t>JB0010-QX</t>
  </si>
  <si>
    <r>
      <rPr>
        <sz val="11"/>
        <color rgb="FF000000"/>
        <rFont val="宋体"/>
        <charset val="134"/>
      </rPr>
      <t>清洗</t>
    </r>
    <r>
      <rPr>
        <sz val="11"/>
        <color rgb="FF000000"/>
        <rFont val="新細明體"/>
        <charset val="134"/>
      </rPr>
      <t>+</t>
    </r>
    <r>
      <rPr>
        <sz val="11"/>
        <color rgb="FF000000"/>
        <rFont val="宋体"/>
        <charset val="134"/>
      </rPr>
      <t>补土</t>
    </r>
  </si>
  <si>
    <t>JB0011-Y</t>
  </si>
  <si>
    <t>JB541A/头部壳体</t>
  </si>
  <si>
    <t>JB0011-CNC</t>
  </si>
  <si>
    <t>JB0011-DM</t>
  </si>
  <si>
    <t>麦凯良 成品</t>
  </si>
  <si>
    <t>JE001-Y</t>
  </si>
  <si>
    <t>杰尔</t>
  </si>
  <si>
    <t>JE002-Y</t>
  </si>
  <si>
    <t>JWT001-Y</t>
  </si>
  <si>
    <t>底座连接块</t>
  </si>
  <si>
    <t>嘉玮泰</t>
  </si>
  <si>
    <t>JWT001-ZG</t>
  </si>
  <si>
    <t>JWT002-Y</t>
  </si>
  <si>
    <t>支架滑块</t>
  </si>
  <si>
    <t>JWT002-ZG</t>
  </si>
  <si>
    <t>JWT002-ZY</t>
  </si>
  <si>
    <t>JWT003-Y</t>
  </si>
  <si>
    <t>中环压铸件</t>
  </si>
  <si>
    <t>JWT003-ZG</t>
  </si>
  <si>
    <t>HJT001-Y</t>
  </si>
  <si>
    <r>
      <rPr>
        <sz val="11"/>
        <rFont val="新細明體"/>
        <charset val="134"/>
      </rPr>
      <t>100-</t>
    </r>
    <r>
      <rPr>
        <sz val="11"/>
        <rFont val="宋体"/>
        <charset val="134"/>
      </rPr>
      <t>上盖（控制器）</t>
    </r>
  </si>
  <si>
    <t>华捷腾</t>
  </si>
  <si>
    <t>HJT001-M</t>
  </si>
  <si>
    <t>HJT001-C/G</t>
  </si>
  <si>
    <r>
      <rPr>
        <sz val="11"/>
        <color rgb="FF000000"/>
        <rFont val="新細明體"/>
        <charset val="134"/>
      </rPr>
      <t>车加工/</t>
    </r>
    <r>
      <rPr>
        <sz val="11"/>
        <color rgb="FF000000"/>
        <rFont val="宋体"/>
        <charset val="134"/>
      </rPr>
      <t>攻牙</t>
    </r>
  </si>
  <si>
    <t>HJT001-KQ</t>
  </si>
  <si>
    <t>HJT002-Y</t>
  </si>
  <si>
    <r>
      <rPr>
        <sz val="11"/>
        <rFont val="新細明體"/>
        <charset val="134"/>
      </rPr>
      <t>底</t>
    </r>
    <r>
      <rPr>
        <sz val="11"/>
        <rFont val="宋体"/>
        <charset val="134"/>
      </rPr>
      <t>板</t>
    </r>
  </si>
  <si>
    <t>HJT002-KQ</t>
  </si>
  <si>
    <t>HJT003-Y</t>
  </si>
  <si>
    <t>侧板</t>
  </si>
  <si>
    <t>HJT003-KQ</t>
  </si>
  <si>
    <t>HJT004-Y</t>
  </si>
  <si>
    <t>后壳</t>
  </si>
  <si>
    <t>HJT004-M</t>
  </si>
  <si>
    <t>HJT005-Y</t>
  </si>
  <si>
    <t>HJT005-KQ</t>
  </si>
  <si>
    <t>YHC001-Y</t>
  </si>
  <si>
    <t>15959HC</t>
  </si>
  <si>
    <t>华创</t>
  </si>
  <si>
    <t>YHC001-M</t>
  </si>
  <si>
    <t>HZH001-Y</t>
  </si>
  <si>
    <t>HZ150-27铝轮</t>
  </si>
  <si>
    <t>厚泽</t>
  </si>
  <si>
    <t>HZH001-S</t>
  </si>
  <si>
    <t>HZH002-Y</t>
  </si>
  <si>
    <t>HZ150-38铝轮</t>
  </si>
  <si>
    <t>HZH002-S</t>
  </si>
  <si>
    <t>HZH003-Y</t>
  </si>
  <si>
    <t>铝支架</t>
  </si>
  <si>
    <t>HZH003-S</t>
  </si>
  <si>
    <t>HZH004-Y</t>
  </si>
  <si>
    <t>125铝轮</t>
  </si>
  <si>
    <t>HZH004-S</t>
  </si>
  <si>
    <t>HZH005-Y</t>
  </si>
  <si>
    <t>80铝轮</t>
  </si>
  <si>
    <t>HZH005-S</t>
  </si>
  <si>
    <t>HZH006-Y</t>
  </si>
  <si>
    <t>150铝盖</t>
  </si>
  <si>
    <t>HZH006-M</t>
  </si>
  <si>
    <t>HZH007-Y</t>
  </si>
  <si>
    <t>200铝盖</t>
  </si>
  <si>
    <t>HZH007-M</t>
  </si>
  <si>
    <t>HZH008-Y</t>
  </si>
  <si>
    <t>300铝轮</t>
  </si>
  <si>
    <t>HZH008-M</t>
  </si>
  <si>
    <t>HZH009-Y</t>
  </si>
  <si>
    <t>200-27铝轮</t>
  </si>
  <si>
    <t>HZH009-M</t>
  </si>
  <si>
    <t>HZH010-Y</t>
  </si>
  <si>
    <t>27铝轮-旧</t>
  </si>
  <si>
    <t>HZH010-M</t>
  </si>
  <si>
    <t>HZH011-Y</t>
  </si>
  <si>
    <t>200-38铝轮</t>
  </si>
  <si>
    <t>HZH011-M</t>
  </si>
  <si>
    <t>HHZ001-Y</t>
  </si>
  <si>
    <t>530-0005</t>
  </si>
  <si>
    <t>宏汇泽</t>
  </si>
  <si>
    <t>HHZ002-Y</t>
  </si>
  <si>
    <t>下连接臂</t>
  </si>
  <si>
    <t>HHZ003-Y</t>
  </si>
  <si>
    <t>主板支架</t>
  </si>
  <si>
    <t>HH0001-Y</t>
  </si>
  <si>
    <t>红孩儿铝连杆</t>
  </si>
  <si>
    <t>红黑科技</t>
  </si>
  <si>
    <t>HH0001-GY</t>
  </si>
  <si>
    <r>
      <rPr>
        <sz val="12"/>
        <rFont val="新細明體"/>
        <charset val="134"/>
      </rPr>
      <t>润宝泰/</t>
    </r>
    <r>
      <rPr>
        <sz val="12"/>
        <rFont val="宋体"/>
        <charset val="134"/>
      </rPr>
      <t>凤友</t>
    </r>
  </si>
  <si>
    <t>HH0001-CNC</t>
  </si>
  <si>
    <r>
      <rPr>
        <sz val="12"/>
        <rFont val="新細明體"/>
        <charset val="134"/>
      </rPr>
      <t>铭晶盈</t>
    </r>
    <r>
      <rPr>
        <sz val="12"/>
        <rFont val="宋体"/>
        <charset val="134"/>
      </rPr>
      <t>（成品），汇杰</t>
    </r>
  </si>
  <si>
    <t>HH0001-X</t>
  </si>
  <si>
    <t>凤友，先攻牙最后清洗不开单</t>
  </si>
  <si>
    <t>HH0002-Y</t>
  </si>
  <si>
    <t>红孩儿铝压盖</t>
  </si>
  <si>
    <t>HH0002-ZY</t>
  </si>
  <si>
    <t>HH0003-Y</t>
  </si>
  <si>
    <t>红孩儿铝底座</t>
  </si>
  <si>
    <t>HH0003-Z/G</t>
  </si>
  <si>
    <t>钻孔/攻牙振研</t>
  </si>
  <si>
    <t>小金童铝连杆</t>
  </si>
  <si>
    <r>
      <rPr>
        <sz val="12"/>
        <rFont val="新細明體"/>
        <charset val="134"/>
      </rPr>
      <t xml:space="preserve">带清洗 </t>
    </r>
    <r>
      <rPr>
        <sz val="12"/>
        <rFont val="宋体"/>
        <charset val="134"/>
      </rPr>
      <t>，凤友</t>
    </r>
  </si>
  <si>
    <t>HH0004-CNC</t>
  </si>
  <si>
    <t>天宇/汇杰/同齐力/现钛圪佳</t>
  </si>
  <si>
    <t>HH0006-Y</t>
  </si>
  <si>
    <t>HH8027/散热片(至尊宝散热片）</t>
  </si>
  <si>
    <t>HH0006-ZY</t>
  </si>
  <si>
    <t>凤友，喜来来</t>
  </si>
  <si>
    <t>HH0006-QX</t>
  </si>
  <si>
    <t>巧手（临时加的工艺）</t>
  </si>
  <si>
    <t>HH0007-Y</t>
  </si>
  <si>
    <t>HH8027/充电内圈（至尊宝充电内圈）</t>
  </si>
  <si>
    <t>HH0007-G</t>
  </si>
  <si>
    <t>HH0007-ZY</t>
  </si>
  <si>
    <t>HH0007-D</t>
  </si>
  <si>
    <r>
      <rPr>
        <sz val="12"/>
        <rFont val="新細明體"/>
        <charset val="134"/>
      </rPr>
      <t>金</t>
    </r>
    <r>
      <rPr>
        <sz val="12"/>
        <rFont val="宋体"/>
        <charset val="134"/>
      </rPr>
      <t>恒</t>
    </r>
  </si>
  <si>
    <t>HH0008-Y</t>
  </si>
  <si>
    <t>HH8027/充电外圈（至尊宝充电外圈）</t>
  </si>
  <si>
    <t>HH0008-G</t>
  </si>
  <si>
    <t>HH0008-C</t>
  </si>
  <si>
    <t>HH0008-D</t>
  </si>
  <si>
    <t>HH0008-LD</t>
  </si>
  <si>
    <t>HH0009-Y</t>
  </si>
  <si>
    <t>HH8027/冷热按摩头传导片（至尊宝传导片）</t>
  </si>
  <si>
    <t>HH0009-C</t>
  </si>
  <si>
    <t>英诚源3</t>
  </si>
  <si>
    <t>HH0009-G</t>
  </si>
  <si>
    <t>HH0009-P</t>
  </si>
  <si>
    <t>邦宇</t>
  </si>
  <si>
    <t>HH0009-D</t>
  </si>
  <si>
    <t>HH0010-Y</t>
  </si>
  <si>
    <t>HH8027/连杆（至尊宝铝连杆）</t>
  </si>
  <si>
    <t>HH0010-G</t>
  </si>
  <si>
    <t>HH0010-CNC</t>
  </si>
  <si>
    <t>天宇 ，铭晶盈，钛圪佳 同齐力 成品</t>
  </si>
  <si>
    <t>HH0011-Y</t>
  </si>
  <si>
    <t>千里眼铝底座（HH8023)</t>
  </si>
  <si>
    <t>HH0011-G</t>
  </si>
  <si>
    <t>HH0011-ZY</t>
  </si>
  <si>
    <t>润宝泰（振研）/喜来来</t>
  </si>
  <si>
    <t>HH0012-Y</t>
  </si>
  <si>
    <t>千里眼铝压盖（HH8023)</t>
  </si>
  <si>
    <t>HH0012-ZY</t>
  </si>
  <si>
    <r>
      <rPr>
        <sz val="12"/>
        <rFont val="新細明體"/>
        <charset val="134"/>
      </rPr>
      <t>润宝泰（振研）/</t>
    </r>
    <r>
      <rPr>
        <sz val="12"/>
        <rFont val="宋体"/>
        <charset val="134"/>
      </rPr>
      <t>喜来来</t>
    </r>
  </si>
  <si>
    <t>HH0013-Y</t>
  </si>
  <si>
    <t>HH8303二郎神旋转卡钮</t>
  </si>
  <si>
    <t>HH0013-CNC</t>
  </si>
  <si>
    <r>
      <rPr>
        <sz val="12"/>
        <rFont val="新細明體"/>
        <charset val="134"/>
      </rPr>
      <t>天宇鑫/</t>
    </r>
    <r>
      <rPr>
        <sz val="12"/>
        <rFont val="宋体"/>
        <charset val="134"/>
      </rPr>
      <t>天宇</t>
    </r>
  </si>
  <si>
    <t>HH0013-ZY</t>
  </si>
  <si>
    <t>HH0013-KQ</t>
  </si>
  <si>
    <t>HH0014-Y</t>
  </si>
  <si>
    <t>HH8303二郎神铝连杆</t>
  </si>
  <si>
    <t>HH0014-GY</t>
  </si>
  <si>
    <t>HH0014-CNC</t>
  </si>
  <si>
    <t>HH0015-Y</t>
  </si>
  <si>
    <t>HH8303二郎神内壳</t>
  </si>
  <si>
    <t>HH0015-CNC</t>
  </si>
  <si>
    <t>HH0015-M</t>
  </si>
  <si>
    <t>HH0015-KQ</t>
  </si>
  <si>
    <t>HH0016-Y</t>
  </si>
  <si>
    <t>HVG02支架</t>
  </si>
  <si>
    <t>HH0016-P</t>
  </si>
  <si>
    <t>HH0017-Y</t>
  </si>
  <si>
    <r>
      <rPr>
        <sz val="11"/>
        <color rgb="FF000000"/>
        <rFont val="新細明體"/>
        <charset val="134"/>
      </rPr>
      <t>8812</t>
    </r>
    <r>
      <rPr>
        <sz val="11"/>
        <color rgb="FF000000"/>
        <rFont val="宋体"/>
        <charset val="134"/>
      </rPr>
      <t>传导片</t>
    </r>
  </si>
  <si>
    <t>HH0017-CJG</t>
  </si>
  <si>
    <t>英诚源,</t>
  </si>
  <si>
    <t>HH0017-GY</t>
  </si>
  <si>
    <t>HH0017-PG</t>
  </si>
  <si>
    <r>
      <rPr>
        <sz val="12"/>
        <rFont val="新細明體"/>
        <charset val="134"/>
      </rPr>
      <t>邦</t>
    </r>
    <r>
      <rPr>
        <sz val="12"/>
        <rFont val="宋体"/>
        <charset val="134"/>
      </rPr>
      <t>宇</t>
    </r>
  </si>
  <si>
    <t>HH0017-DD</t>
  </si>
  <si>
    <r>
      <rPr>
        <sz val="12"/>
        <rFont val="宋体"/>
        <charset val="134"/>
      </rPr>
      <t>金恒</t>
    </r>
    <r>
      <rPr>
        <sz val="12"/>
        <rFont val="新細明體"/>
        <charset val="134"/>
      </rPr>
      <t xml:space="preserve">  成品</t>
    </r>
  </si>
  <si>
    <t>HH0018-Y</t>
  </si>
  <si>
    <t>8812散热片</t>
  </si>
  <si>
    <t>HH0018-ZY</t>
  </si>
  <si>
    <t>HH0019-ZY</t>
  </si>
  <si>
    <t>HH8038铝连杆</t>
  </si>
  <si>
    <t>HH0019-GY</t>
  </si>
  <si>
    <t>HH0019-CNC</t>
  </si>
  <si>
    <t>汇杰 成品</t>
  </si>
  <si>
    <t>HH0020-ZY</t>
  </si>
  <si>
    <t>HH8038电机定位版（电机支架）</t>
  </si>
  <si>
    <t>HH0020-YM</t>
  </si>
  <si>
    <t>HH0021-Y</t>
  </si>
  <si>
    <t>HH8027A-1散热片</t>
  </si>
  <si>
    <t>HH0021-ZM</t>
  </si>
  <si>
    <t>HH0022-Y</t>
  </si>
  <si>
    <t>HH8318连杆</t>
  </si>
  <si>
    <t>HH0022-GY</t>
  </si>
  <si>
    <t xml:space="preserve">HH0022-CNC </t>
  </si>
  <si>
    <t>汇杰/钛圪佳/同齐力 成品</t>
  </si>
  <si>
    <t>HH0023-Y</t>
  </si>
  <si>
    <t>HH8513传导片</t>
  </si>
  <si>
    <t>邦宇/全才</t>
  </si>
  <si>
    <t>HH0023-DD</t>
  </si>
  <si>
    <t>金恒 康柏丽斯 朗溪维尔</t>
  </si>
  <si>
    <t>HH0024-Y</t>
  </si>
  <si>
    <t>HH8513散热片</t>
  </si>
  <si>
    <t>HH0024-ZY</t>
  </si>
  <si>
    <t>喜来来/威洋</t>
  </si>
  <si>
    <t>HH0024-DY</t>
  </si>
  <si>
    <t>绮丽 佳艺</t>
  </si>
  <si>
    <t>HH0025-Y</t>
  </si>
  <si>
    <t>HH8513旋钮</t>
  </si>
  <si>
    <t>HH0025-C</t>
  </si>
  <si>
    <t>HH0025-PS</t>
  </si>
  <si>
    <t>HH0025-KQ</t>
  </si>
  <si>
    <t>铝底座/8526</t>
  </si>
  <si>
    <t>HH0026-GY</t>
  </si>
  <si>
    <t>HH0026-ZY</t>
  </si>
  <si>
    <t>HH0027-Y</t>
  </si>
  <si>
    <t>铝压盖/8526</t>
  </si>
  <si>
    <t>HH0027-ZY</t>
  </si>
  <si>
    <t>HH0028-Y</t>
  </si>
  <si>
    <t>8527旋钮</t>
  </si>
  <si>
    <t>HH0028-KQ</t>
  </si>
  <si>
    <t>HH0029-Y</t>
  </si>
  <si>
    <t>HH8808冷热传导盖</t>
  </si>
  <si>
    <t>HH0029-M</t>
  </si>
  <si>
    <t>HH0029-C</t>
  </si>
  <si>
    <t>HH0029-Z/G</t>
  </si>
  <si>
    <t>HH0029-PG</t>
  </si>
  <si>
    <t>HH0029-DD</t>
  </si>
  <si>
    <t>HH0030-Y</t>
  </si>
  <si>
    <t>HH8808散热片</t>
  </si>
  <si>
    <t>HH0030-ZY</t>
  </si>
  <si>
    <t>HH0030-DY</t>
  </si>
  <si>
    <r>
      <rPr>
        <sz val="12"/>
        <rFont val="新細明體"/>
        <charset val="134"/>
      </rPr>
      <t>佳艺</t>
    </r>
    <r>
      <rPr>
        <sz val="12"/>
        <rFont val="宋体"/>
        <charset val="134"/>
      </rPr>
      <t>（佳途艺）</t>
    </r>
  </si>
  <si>
    <t>HH0030-Z/G</t>
  </si>
  <si>
    <t>HH0030-QX</t>
  </si>
  <si>
    <t>厂内清洗（暂时）</t>
  </si>
  <si>
    <t>HH0031-Y</t>
  </si>
  <si>
    <r>
      <rPr>
        <sz val="11"/>
        <color rgb="FF000000"/>
        <rFont val="新細明體"/>
        <charset val="134"/>
      </rPr>
      <t>HH8525/8513</t>
    </r>
    <r>
      <rPr>
        <sz val="11"/>
        <color rgb="FF000000"/>
        <rFont val="宋体"/>
        <charset val="134"/>
      </rPr>
      <t>滑杆（同</t>
    </r>
    <r>
      <rPr>
        <sz val="11"/>
        <color rgb="FF000000"/>
        <rFont val="新細明體"/>
        <charset val="134"/>
      </rPr>
      <t>8527</t>
    </r>
    <r>
      <rPr>
        <sz val="11"/>
        <color rgb="FF000000"/>
        <rFont val="宋体"/>
        <charset val="134"/>
      </rPr>
      <t>滑杆）</t>
    </r>
  </si>
  <si>
    <t>HH0031-M</t>
  </si>
  <si>
    <t>HH0031-C</t>
  </si>
  <si>
    <r>
      <rPr>
        <sz val="12"/>
        <rFont val="新細明體"/>
        <charset val="134"/>
      </rPr>
      <t>英诚源/</t>
    </r>
    <r>
      <rPr>
        <sz val="12"/>
        <rFont val="宋体"/>
        <charset val="134"/>
      </rPr>
      <t>同齐力</t>
    </r>
  </si>
  <si>
    <t>HH0031-DY</t>
  </si>
  <si>
    <t>益地</t>
  </si>
  <si>
    <t xml:space="preserve">HH0033-Y </t>
  </si>
  <si>
    <r>
      <rPr>
        <sz val="11"/>
        <color rgb="FF000000"/>
        <rFont val="新細明體"/>
        <charset val="134"/>
      </rPr>
      <t>HH8527</t>
    </r>
    <r>
      <rPr>
        <sz val="11"/>
        <color rgb="FF000000"/>
        <rFont val="宋体"/>
        <charset val="134"/>
      </rPr>
      <t>散热片</t>
    </r>
  </si>
  <si>
    <t xml:space="preserve">HH0033-DY </t>
  </si>
  <si>
    <t>佳艺（佳途艺）</t>
  </si>
  <si>
    <t xml:space="preserve">HH0034-Y </t>
  </si>
  <si>
    <r>
      <rPr>
        <sz val="11"/>
        <color rgb="FF000000"/>
        <rFont val="新細明體"/>
        <charset val="134"/>
      </rPr>
      <t>HH8528</t>
    </r>
    <r>
      <rPr>
        <sz val="11"/>
        <color rgb="FF000000"/>
        <rFont val="宋体"/>
        <charset val="134"/>
      </rPr>
      <t>滑杆</t>
    </r>
  </si>
  <si>
    <t>HH0034-Z/G</t>
  </si>
  <si>
    <t>HH0034-C</t>
  </si>
  <si>
    <t>HH0034-DY</t>
  </si>
  <si>
    <t>HH0035-Y</t>
  </si>
  <si>
    <r>
      <rPr>
        <sz val="11"/>
        <color rgb="FF000000"/>
        <rFont val="新細明體"/>
        <charset val="134"/>
      </rPr>
      <t>HH8624</t>
    </r>
    <r>
      <rPr>
        <sz val="11"/>
        <color rgb="FF000000"/>
        <rFont val="宋体"/>
        <charset val="134"/>
      </rPr>
      <t>滑杆</t>
    </r>
  </si>
  <si>
    <t>HH0035-M</t>
  </si>
  <si>
    <t>全才/麦凯良</t>
  </si>
  <si>
    <t>HH0035-Z/G</t>
  </si>
  <si>
    <t>HH0035-C</t>
  </si>
  <si>
    <t>HH0035-DY</t>
  </si>
  <si>
    <t>HH0036-Y</t>
  </si>
  <si>
    <t>8592连杆</t>
  </si>
  <si>
    <t>HH0036-P</t>
  </si>
  <si>
    <r>
      <rPr>
        <sz val="12"/>
        <rFont val="新細明體"/>
        <charset val="134"/>
      </rPr>
      <t>全才/</t>
    </r>
    <r>
      <rPr>
        <sz val="12"/>
        <rFont val="宋体"/>
        <charset val="134"/>
      </rPr>
      <t>青元山</t>
    </r>
  </si>
  <si>
    <t>HH0036-QX</t>
  </si>
  <si>
    <r>
      <rPr>
        <sz val="12"/>
        <rFont val="新細明體"/>
        <charset val="134"/>
      </rPr>
      <t xml:space="preserve">巧手 </t>
    </r>
    <r>
      <rPr>
        <sz val="12"/>
        <rFont val="宋体"/>
        <charset val="134"/>
      </rPr>
      <t>临时</t>
    </r>
    <r>
      <rPr>
        <sz val="12"/>
        <rFont val="新細明體"/>
        <charset val="134"/>
      </rPr>
      <t>工艺</t>
    </r>
  </si>
  <si>
    <t>HH0036-G</t>
  </si>
  <si>
    <t>HH0036-DD</t>
  </si>
  <si>
    <t>HH0036-LD</t>
  </si>
  <si>
    <t>富可特</t>
  </si>
  <si>
    <t>HH0037-Y</t>
  </si>
  <si>
    <t>8015沙和尚-底座</t>
  </si>
  <si>
    <t>HH0037-M</t>
  </si>
  <si>
    <t>全才（25.12月份暂停工艺）</t>
  </si>
  <si>
    <t>HH0037-G</t>
  </si>
  <si>
    <t>HH0037-ZY</t>
  </si>
  <si>
    <t>HH0038-Y</t>
  </si>
  <si>
    <t>8015沙和尚-压盖</t>
  </si>
  <si>
    <t>HH0038-M</t>
  </si>
  <si>
    <t>HH0038-ZY</t>
  </si>
  <si>
    <t>喜来来/凤友</t>
  </si>
  <si>
    <t>HH0039-Y</t>
  </si>
  <si>
    <t>8015沙和尚-连杆</t>
  </si>
  <si>
    <t>HH0039-M</t>
  </si>
  <si>
    <t>全才/取消</t>
  </si>
  <si>
    <t>HH0039-G</t>
  </si>
  <si>
    <t>HH0039-CNC</t>
  </si>
  <si>
    <t>HH0040-Y</t>
  </si>
  <si>
    <r>
      <rPr>
        <sz val="11"/>
        <color rgb="FF000000"/>
        <rFont val="新細明體"/>
        <charset val="134"/>
      </rPr>
      <t>8040</t>
    </r>
    <r>
      <rPr>
        <sz val="11"/>
        <color rgb="FF000000"/>
        <rFont val="宋体"/>
        <charset val="134"/>
      </rPr>
      <t>铝连杆</t>
    </r>
  </si>
  <si>
    <t>HH0040-M</t>
  </si>
  <si>
    <t>HH0040-G</t>
  </si>
  <si>
    <t>HH0040-CNC</t>
  </si>
  <si>
    <t>HH0041-Y</t>
  </si>
  <si>
    <r>
      <rPr>
        <sz val="11"/>
        <color rgb="FF000000"/>
        <rFont val="新細明體"/>
        <charset val="134"/>
      </rPr>
      <t>8812A</t>
    </r>
    <r>
      <rPr>
        <sz val="11"/>
        <color rgb="FF000000"/>
        <rFont val="宋体"/>
        <charset val="134"/>
      </rPr>
      <t>散热片</t>
    </r>
  </si>
  <si>
    <t>HH0041-GS</t>
  </si>
  <si>
    <t>HH0041-YM</t>
  </si>
  <si>
    <t>SHHZ001-Y</t>
  </si>
  <si>
    <t>前盖
UVTC8.004.0444-MP</t>
  </si>
  <si>
    <t>和祖</t>
  </si>
  <si>
    <t>SHHZ002-Y</t>
  </si>
  <si>
    <t>SHHZ003-Y</t>
  </si>
  <si>
    <t>定焦前脸
(UVTC8.004.0680-MP)</t>
  </si>
  <si>
    <t>SHHZ004-Y</t>
  </si>
  <si>
    <t>OEM酒杯筒筒身
UVTC8.004.1129-MP</t>
  </si>
  <si>
    <t>SHHZ005-Y</t>
  </si>
  <si>
    <t>水晶系列上盖
DH3.0020.1001-MP</t>
  </si>
  <si>
    <t>SHHZ006-Y</t>
  </si>
  <si>
    <t>球罩
DH3.X0878.1001-MP</t>
  </si>
  <si>
    <t>SHHZ007-Y</t>
  </si>
  <si>
    <t>腔体3991166701</t>
  </si>
  <si>
    <t>SHHZ008-P</t>
  </si>
  <si>
    <t>SHHZ009-Y</t>
  </si>
  <si>
    <t>UVTC8.004.2109-MP</t>
  </si>
  <si>
    <t>HZ001-Y</t>
  </si>
  <si>
    <r>
      <rPr>
        <sz val="11"/>
        <color rgb="FF000000"/>
        <rFont val="宋体"/>
        <charset val="134"/>
      </rPr>
      <t>骨架</t>
    </r>
    <r>
      <rPr>
        <sz val="11"/>
        <color indexed="8"/>
        <rFont val="新細明體"/>
        <charset val="134"/>
      </rPr>
      <t>A</t>
    </r>
  </si>
  <si>
    <t>禾准</t>
  </si>
  <si>
    <t>HZ002-Y</t>
  </si>
  <si>
    <t>骨架B</t>
  </si>
  <si>
    <t>HZ001-S</t>
  </si>
  <si>
    <t>HZ002-S</t>
  </si>
  <si>
    <t>HZ003-Y</t>
  </si>
  <si>
    <t>传感器支架</t>
  </si>
  <si>
    <t>HZ003-S</t>
  </si>
  <si>
    <t>HYS001-Y</t>
  </si>
  <si>
    <t>UFO-Heatsink</t>
  </si>
  <si>
    <t>好岩石</t>
  </si>
  <si>
    <t>HYS002-C-Z</t>
  </si>
  <si>
    <t>HYS004-P</t>
  </si>
  <si>
    <t>HJ0001-Y</t>
  </si>
  <si>
    <t>铝碗</t>
  </si>
  <si>
    <t>海进</t>
  </si>
  <si>
    <t>HJ0001-C</t>
  </si>
  <si>
    <t>X10A固定架</t>
  </si>
  <si>
    <t>国城</t>
  </si>
  <si>
    <t>WKT043-M</t>
  </si>
  <si>
    <t>WKT043-CNC</t>
  </si>
  <si>
    <t xml:space="preserve">CNC </t>
  </si>
  <si>
    <t>WKT043-P</t>
  </si>
  <si>
    <t>WKT043-KQ</t>
  </si>
  <si>
    <t>GH001-Y</t>
  </si>
  <si>
    <t>FN15012</t>
  </si>
  <si>
    <t>广禾</t>
  </si>
  <si>
    <t>GH002-Y</t>
  </si>
  <si>
    <t>FN15013</t>
  </si>
  <si>
    <t>GH003-Y</t>
  </si>
  <si>
    <t>FN17002</t>
  </si>
  <si>
    <t>GH004-Y</t>
  </si>
  <si>
    <t>FN17003</t>
  </si>
  <si>
    <t>GH005-Y</t>
  </si>
  <si>
    <t>FN13001</t>
  </si>
  <si>
    <t>GH006-Y</t>
  </si>
  <si>
    <t>FN13002</t>
  </si>
  <si>
    <t>GH007-Y</t>
  </si>
  <si>
    <t>FN15014</t>
  </si>
  <si>
    <t>GH008-Y</t>
  </si>
  <si>
    <t>FN15015</t>
  </si>
  <si>
    <t>GH009-Y</t>
  </si>
  <si>
    <t>FN13003</t>
  </si>
  <si>
    <t>GY001-Y</t>
  </si>
  <si>
    <t>GE5KN6-01L</t>
  </si>
  <si>
    <t>刚毅</t>
  </si>
  <si>
    <t>GY002-Y</t>
  </si>
  <si>
    <t>GE5KN6-02R</t>
  </si>
  <si>
    <t>GY003-Y</t>
  </si>
  <si>
    <t>GE5KN6-03</t>
  </si>
  <si>
    <t>GY001-M</t>
  </si>
  <si>
    <t>GY002-M</t>
  </si>
  <si>
    <t>GY003-M</t>
  </si>
  <si>
    <t>GY004-Y</t>
  </si>
  <si>
    <r>
      <rPr>
        <sz val="11"/>
        <color rgb="FF000000"/>
        <rFont val="新細明體"/>
        <charset val="134"/>
      </rPr>
      <t>VR固定</t>
    </r>
    <r>
      <rPr>
        <sz val="11"/>
        <color indexed="8"/>
        <rFont val="宋体"/>
        <charset val="134"/>
      </rPr>
      <t>柱</t>
    </r>
  </si>
  <si>
    <t>GY004-C</t>
  </si>
  <si>
    <t>GY004-K</t>
  </si>
  <si>
    <t>DLT001</t>
  </si>
  <si>
    <t>锁舌</t>
  </si>
  <si>
    <t>鼎立通</t>
  </si>
  <si>
    <t>DLT002</t>
  </si>
  <si>
    <t>DLT003</t>
  </si>
  <si>
    <r>
      <rPr>
        <sz val="11"/>
        <color rgb="FF000000"/>
        <rFont val="新細明體"/>
        <charset val="134"/>
      </rPr>
      <t>961</t>
    </r>
    <r>
      <rPr>
        <sz val="11"/>
        <color indexed="8"/>
        <rFont val="宋体"/>
        <charset val="134"/>
      </rPr>
      <t>锁盒</t>
    </r>
  </si>
  <si>
    <t>DLT004</t>
  </si>
  <si>
    <t>螺纹档块</t>
  </si>
  <si>
    <t>DLT005</t>
  </si>
  <si>
    <t>3186958齿轮座</t>
  </si>
  <si>
    <t>DLT006</t>
  </si>
  <si>
    <t>阀门支撑板</t>
  </si>
  <si>
    <t>DLT007</t>
  </si>
  <si>
    <t>DLT008</t>
  </si>
  <si>
    <t>灵清格栅</t>
  </si>
  <si>
    <t>DLT009</t>
  </si>
  <si>
    <t>4寸压铸散件</t>
  </si>
  <si>
    <t>DLT010</t>
  </si>
  <si>
    <t>灵清2代</t>
  </si>
  <si>
    <t>DLT011</t>
  </si>
  <si>
    <t>7040主基座</t>
  </si>
  <si>
    <t>DLT012</t>
  </si>
  <si>
    <t>7130主基座</t>
  </si>
  <si>
    <t>DL001</t>
  </si>
  <si>
    <t>散热片</t>
  </si>
  <si>
    <t>鼎力</t>
  </si>
  <si>
    <t>DSD001-Y</t>
  </si>
  <si>
    <r>
      <rPr>
        <sz val="11"/>
        <color rgb="FF000000"/>
        <rFont val="新細明體"/>
        <charset val="134"/>
      </rPr>
      <t>VAIL USB</t>
    </r>
    <r>
      <rPr>
        <sz val="11"/>
        <color rgb="FF000000"/>
        <rFont val="宋体"/>
        <charset val="134"/>
      </rPr>
      <t>金属支架</t>
    </r>
  </si>
  <si>
    <t>丁是丁</t>
  </si>
  <si>
    <t>DSD001-G</t>
  </si>
  <si>
    <t>DSD001-ZY</t>
  </si>
  <si>
    <t>DSD001-P</t>
  </si>
  <si>
    <t>DT0001-Y</t>
  </si>
  <si>
    <t>N082603壳体</t>
  </si>
  <si>
    <t>大唐</t>
  </si>
  <si>
    <t>CYI0001-Y</t>
  </si>
  <si>
    <t>透明罩盖压环</t>
  </si>
  <si>
    <t>川仪</t>
  </si>
  <si>
    <t>CY0001-Y</t>
  </si>
  <si>
    <t>3DB093</t>
  </si>
  <si>
    <t>诚远</t>
  </si>
  <si>
    <t>CY0001-M</t>
  </si>
  <si>
    <t>CXD001-Y</t>
  </si>
  <si>
    <r>
      <rPr>
        <sz val="11"/>
        <color rgb="FF000000"/>
        <rFont val="新細明體"/>
        <charset val="134"/>
      </rPr>
      <t xml:space="preserve">M3 Sus TS brt LS </t>
    </r>
    <r>
      <rPr>
        <sz val="11"/>
        <color indexed="8"/>
        <rFont val="宋体"/>
        <charset val="134"/>
      </rPr>
      <t>左摆臂</t>
    </r>
  </si>
  <si>
    <t>晨兴德机械</t>
  </si>
  <si>
    <t>CXD001-M</t>
  </si>
  <si>
    <r>
      <rPr>
        <sz val="11"/>
        <color rgb="FF000000"/>
        <rFont val="新細明體"/>
        <charset val="134"/>
      </rPr>
      <t xml:space="preserve">M3 Sus TS brt LS </t>
    </r>
    <r>
      <rPr>
        <sz val="11"/>
        <color rgb="FF000000"/>
        <rFont val="宋体"/>
        <charset val="134"/>
      </rPr>
      <t>左摆臂</t>
    </r>
  </si>
  <si>
    <t>CXD001-P</t>
  </si>
  <si>
    <t>CXD002-Y</t>
  </si>
  <si>
    <r>
      <rPr>
        <sz val="11"/>
        <color rgb="FF000000"/>
        <rFont val="新細明體"/>
        <charset val="134"/>
      </rPr>
      <t xml:space="preserve">M3 Sus TS brt RS </t>
    </r>
    <r>
      <rPr>
        <sz val="11"/>
        <color rgb="FF000000"/>
        <rFont val="宋体"/>
        <charset val="134"/>
      </rPr>
      <t>右摆臂</t>
    </r>
  </si>
  <si>
    <t>CXD002-M</t>
  </si>
  <si>
    <t>CXD002-P</t>
  </si>
  <si>
    <t>CXD003-Y</t>
  </si>
  <si>
    <r>
      <rPr>
        <sz val="11"/>
        <color rgb="FF000000"/>
        <rFont val="新細明體"/>
        <charset val="134"/>
      </rPr>
      <t xml:space="preserve">M1 TSemdblock </t>
    </r>
    <r>
      <rPr>
        <sz val="11"/>
        <color rgb="FF000000"/>
        <rFont val="宋体"/>
        <charset val="134"/>
      </rPr>
      <t>支架</t>
    </r>
  </si>
  <si>
    <t>CXD003-M</t>
  </si>
  <si>
    <t>麦凯良/日安升</t>
  </si>
  <si>
    <t>CXD003-P</t>
  </si>
  <si>
    <t>BHC001</t>
  </si>
  <si>
    <r>
      <rPr>
        <sz val="11"/>
        <rFont val="新細明體"/>
        <charset val="134"/>
      </rPr>
      <t>后</t>
    </r>
    <r>
      <rPr>
        <sz val="11"/>
        <rFont val="宋体"/>
        <charset val="134"/>
      </rPr>
      <t>盖</t>
    </r>
    <r>
      <rPr>
        <sz val="11"/>
        <rFont val="新細明體"/>
        <charset val="134"/>
      </rPr>
      <t>-B</t>
    </r>
  </si>
  <si>
    <t>百和晟</t>
  </si>
  <si>
    <t>BHC002</t>
  </si>
  <si>
    <t>马达后壳</t>
  </si>
  <si>
    <t>BHC003</t>
  </si>
  <si>
    <t>变速盘</t>
  </si>
  <si>
    <t>ABL001-Y</t>
  </si>
  <si>
    <t>K1散热片</t>
  </si>
  <si>
    <t>爱毕黎</t>
  </si>
  <si>
    <t>ABL001-G</t>
  </si>
  <si>
    <t>ABL001-NC</t>
  </si>
  <si>
    <t>ABL001-P</t>
  </si>
  <si>
    <t>ABL002-Y</t>
  </si>
  <si>
    <t>夹爪爪头-1</t>
  </si>
  <si>
    <t>ABL002-C</t>
  </si>
  <si>
    <t>ABL002-YY</t>
  </si>
  <si>
    <t>硬阳</t>
  </si>
  <si>
    <t>延陵  硬阳也是阳极</t>
  </si>
  <si>
    <t>ABL002-YJ</t>
  </si>
  <si>
    <t>阳极</t>
  </si>
  <si>
    <t>ABL003-Y</t>
  </si>
  <si>
    <t>夹爪爪头-2</t>
  </si>
  <si>
    <t>ABL003-C</t>
  </si>
  <si>
    <t>ABL003-YY</t>
  </si>
  <si>
    <t>ABL003-YJ</t>
  </si>
  <si>
    <t>ABL004-Y</t>
  </si>
  <si>
    <t>转轴支架</t>
  </si>
  <si>
    <t>ABL004-C</t>
  </si>
  <si>
    <t>ABL004-K</t>
  </si>
  <si>
    <t>ABL005-Y</t>
  </si>
  <si>
    <t>T3H后壳</t>
  </si>
  <si>
    <t>ABL005-G</t>
  </si>
  <si>
    <t>ABL005-K</t>
  </si>
  <si>
    <t>AWE001</t>
  </si>
  <si>
    <t>艾为尔</t>
  </si>
  <si>
    <t>AWE002</t>
  </si>
  <si>
    <t>JH001-Y</t>
  </si>
  <si>
    <t>710A-55上盖</t>
  </si>
  <si>
    <t>精华电子</t>
  </si>
  <si>
    <t>710-55上盖</t>
  </si>
  <si>
    <t>宁虹/精华用同一料号</t>
  </si>
  <si>
    <t>JH001-M</t>
  </si>
  <si>
    <t>JH001-CNC</t>
  </si>
  <si>
    <r>
      <rPr>
        <sz val="12"/>
        <rFont val="新細明體"/>
        <charset val="134"/>
      </rPr>
      <t>欣发达/天宇鑫</t>
    </r>
    <r>
      <rPr>
        <sz val="12"/>
        <rFont val="宋体"/>
        <charset val="134"/>
      </rPr>
      <t>，新加工艺</t>
    </r>
  </si>
  <si>
    <t>JH001-GY</t>
  </si>
  <si>
    <t xml:space="preserve">JH001-KQ </t>
  </si>
  <si>
    <t>JH002-Y</t>
  </si>
  <si>
    <t>710A-55下盖</t>
  </si>
  <si>
    <t>710-55下盖</t>
  </si>
  <si>
    <t>JH002-M</t>
  </si>
  <si>
    <t>JH002-GY</t>
  </si>
  <si>
    <t>JH002-KQ</t>
  </si>
  <si>
    <t>BJM001-Y</t>
  </si>
  <si>
    <t>塞子</t>
  </si>
  <si>
    <t>宝进镁</t>
  </si>
  <si>
    <t>BJM001-CNC</t>
  </si>
  <si>
    <t>冲压钻孔</t>
  </si>
  <si>
    <r>
      <rPr>
        <sz val="11"/>
        <color rgb="FF000000"/>
        <rFont val="新細明體"/>
        <charset val="134"/>
      </rPr>
      <t>成</t>
    </r>
    <r>
      <rPr>
        <sz val="11"/>
        <color rgb="FF000000"/>
        <rFont val="宋体"/>
        <charset val="134"/>
      </rPr>
      <t>品</t>
    </r>
  </si>
  <si>
    <t>CB001-Y</t>
  </si>
  <si>
    <t>AP31COVER1（AP31)</t>
  </si>
  <si>
    <t>纯柏</t>
  </si>
  <si>
    <t>CB001-MB/DM</t>
  </si>
  <si>
    <t>CB001-PW</t>
  </si>
  <si>
    <t>CB001-ZK/GY</t>
  </si>
  <si>
    <t>CB001-PM</t>
  </si>
  <si>
    <t>OFG001-Y</t>
  </si>
  <si>
    <t>前盖(YC0136002225
00)</t>
  </si>
  <si>
    <t>欧菲光</t>
  </si>
  <si>
    <t>OFG001-M</t>
  </si>
  <si>
    <t>OFG001-CNC</t>
  </si>
  <si>
    <t>OFG001-ZY</t>
  </si>
  <si>
    <t>OFG001-P</t>
  </si>
  <si>
    <t>OFG002-Y</t>
  </si>
  <si>
    <t>后盖(YC013600222600)</t>
  </si>
  <si>
    <t>OFG002-CNC</t>
  </si>
  <si>
    <t>OFG002-ZY</t>
  </si>
  <si>
    <t>鑫宝泰/志远，喜来来</t>
  </si>
  <si>
    <t>OFG002-P</t>
  </si>
  <si>
    <t>OFG003-Y</t>
  </si>
  <si>
    <t>OUSING(YC013600237800)</t>
  </si>
  <si>
    <t>OFG003-ZY</t>
  </si>
  <si>
    <r>
      <rPr>
        <sz val="12"/>
        <rFont val="新細明體"/>
        <charset val="134"/>
      </rPr>
      <t>喜来</t>
    </r>
    <r>
      <rPr>
        <sz val="12"/>
        <rFont val="宋体"/>
        <charset val="134"/>
      </rPr>
      <t>来</t>
    </r>
  </si>
  <si>
    <t>OFG003-P</t>
  </si>
  <si>
    <t>OFG004-Y</t>
  </si>
  <si>
    <t>(YC013600237900)设变后(YC013600237901)</t>
  </si>
  <si>
    <t>OFG004-P</t>
  </si>
  <si>
    <t>OFG005-Y</t>
  </si>
  <si>
    <t>(YC013600000210)</t>
  </si>
  <si>
    <t>OFG005-CNC</t>
  </si>
  <si>
    <t>欣发达/天宇</t>
  </si>
  <si>
    <t>OFG005-ZY</t>
  </si>
  <si>
    <t>OFG005-PM</t>
  </si>
  <si>
    <t>OFG006-Y</t>
  </si>
  <si>
    <t>（YC013600303900）MS11前壳</t>
  </si>
  <si>
    <t>OFG006-ZY</t>
  </si>
  <si>
    <r>
      <rPr>
        <sz val="12"/>
        <rFont val="新細明體"/>
        <charset val="134"/>
      </rPr>
      <t>鑫宝泰/志远，喜来</t>
    </r>
    <r>
      <rPr>
        <sz val="12"/>
        <rFont val="宋体"/>
        <charset val="134"/>
      </rPr>
      <t>来</t>
    </r>
  </si>
  <si>
    <t>OFG006-PM</t>
  </si>
  <si>
    <t>OFG007-Y</t>
  </si>
  <si>
    <t>（YC013600304000）MS11后壳</t>
  </si>
  <si>
    <t>OFG007-PM</t>
  </si>
  <si>
    <t>OFG008-Y</t>
  </si>
  <si>
    <t>YC013600303400（后壳）</t>
  </si>
  <si>
    <t>OFG008-ZK</t>
  </si>
  <si>
    <t>OFG008-CNC</t>
  </si>
  <si>
    <t>CNC/振研</t>
  </si>
  <si>
    <t>OFG008-PM</t>
  </si>
  <si>
    <t>OFG009-YZ</t>
  </si>
  <si>
    <t>YC013600303500（前壳）</t>
  </si>
  <si>
    <t>OFG009-ZK</t>
  </si>
  <si>
    <t>OFG009-CNC</t>
  </si>
  <si>
    <t>麦凯良，汇杰</t>
  </si>
  <si>
    <t>OFG009-ZY</t>
  </si>
  <si>
    <t>OFG009-PM</t>
  </si>
  <si>
    <t>OFG010-Y</t>
  </si>
  <si>
    <t>YC013600222501（摄像头前盖）</t>
  </si>
  <si>
    <t>OFG010-CNC</t>
  </si>
  <si>
    <t>OFG010-ZY</t>
  </si>
  <si>
    <r>
      <rPr>
        <sz val="12"/>
        <rFont val="新細明體"/>
        <charset val="134"/>
      </rPr>
      <t>鑫宝泰/志远/</t>
    </r>
    <r>
      <rPr>
        <sz val="12"/>
        <rFont val="宋体"/>
        <charset val="134"/>
      </rPr>
      <t>喜来来</t>
    </r>
  </si>
  <si>
    <t>OFG010-PM</t>
  </si>
  <si>
    <t>OFG011-Y</t>
  </si>
  <si>
    <t>YC013600330900</t>
  </si>
  <si>
    <t>OFG011-ZY</t>
  </si>
  <si>
    <t>OFG011-PM</t>
  </si>
  <si>
    <t>OFG012-Y</t>
  </si>
  <si>
    <t>YC013600351600</t>
  </si>
  <si>
    <t>OFG012-C</t>
  </si>
  <si>
    <t>OFG012-ZY</t>
  </si>
  <si>
    <t>OFG012-PM</t>
  </si>
  <si>
    <t>OFG013-Y</t>
  </si>
  <si>
    <t>YC013600155100(CAM前壳）</t>
  </si>
  <si>
    <t>OFG013-ZY</t>
  </si>
  <si>
    <t>OFG013-DY</t>
  </si>
  <si>
    <t>益地， 五合（绮丽）</t>
  </si>
  <si>
    <t>OFG013-GYQX</t>
  </si>
  <si>
    <t>攻牙/清洗</t>
  </si>
  <si>
    <t>OFG014-Y</t>
  </si>
  <si>
    <t>YC013600155200(CAM后壳）</t>
  </si>
  <si>
    <t>OFG014-ZY</t>
  </si>
  <si>
    <t>益地，绮丽</t>
  </si>
  <si>
    <t>OFG014-LD</t>
  </si>
  <si>
    <t>OFG015-Y</t>
  </si>
  <si>
    <t>YC013600149200(DMS前壳）</t>
  </si>
  <si>
    <t>OFG015-PM</t>
  </si>
  <si>
    <t>润企详</t>
  </si>
  <si>
    <t>OFG016-Y</t>
  </si>
  <si>
    <t>YC013600361200</t>
  </si>
  <si>
    <t>N61</t>
  </si>
  <si>
    <t>OFG016-CNC</t>
  </si>
  <si>
    <t>OFG016-YJ</t>
  </si>
  <si>
    <t>兴成万腾，卓翼博/手拉手 厂内自己钻孔</t>
  </si>
  <si>
    <t>OFG016-LD</t>
  </si>
  <si>
    <t>OFG016-ZK</t>
  </si>
  <si>
    <t>OFG017-Y</t>
  </si>
  <si>
    <t>YC013600364900</t>
  </si>
  <si>
    <t>N60</t>
  </si>
  <si>
    <t>OFG017-CNC</t>
  </si>
  <si>
    <t>OFG017-YJ</t>
  </si>
  <si>
    <t>兴成万腾 卓翼博（手拉手）</t>
  </si>
  <si>
    <t>OFG017-LD</t>
  </si>
  <si>
    <t>OFG017-GY</t>
  </si>
  <si>
    <t>OFG018-Y</t>
  </si>
  <si>
    <t>YC013600377500</t>
  </si>
  <si>
    <t>OFG018-C</t>
  </si>
  <si>
    <t>OFG018-DY</t>
  </si>
  <si>
    <t>OFG018-LD</t>
  </si>
  <si>
    <t>OFG019-Y</t>
  </si>
  <si>
    <t>YC013600377801</t>
  </si>
  <si>
    <t>OFG019-C</t>
  </si>
  <si>
    <t>OFG019-DM</t>
  </si>
  <si>
    <t>OFG019-DY</t>
  </si>
  <si>
    <t>OFG019-KQ</t>
  </si>
  <si>
    <t>博巨，兆基</t>
  </si>
  <si>
    <t>XL001-Y</t>
  </si>
  <si>
    <t>（铝铸下盖）采集器后盖</t>
  </si>
  <si>
    <t>讯联</t>
  </si>
  <si>
    <t>XL001-CNC</t>
  </si>
  <si>
    <t>XL001-M</t>
  </si>
  <si>
    <t>XL001-KQ</t>
  </si>
  <si>
    <t>XL001-LD</t>
  </si>
  <si>
    <t>XL002-Y</t>
  </si>
  <si>
    <t>（铝铸上盖）采集器前壳(单孔）</t>
  </si>
  <si>
    <t>XL002-CNC</t>
  </si>
  <si>
    <t>天宇鑫做/欣发达</t>
  </si>
  <si>
    <t>XL002-M</t>
  </si>
  <si>
    <t>XL002-Z/G</t>
  </si>
  <si>
    <r>
      <rPr>
        <sz val="12"/>
        <rFont val="新細明體"/>
        <charset val="134"/>
      </rPr>
      <t>凤</t>
    </r>
    <r>
      <rPr>
        <sz val="12"/>
        <rFont val="宋体"/>
        <charset val="134"/>
      </rPr>
      <t>友</t>
    </r>
    <r>
      <rPr>
        <sz val="12"/>
        <rFont val="新細明體"/>
        <charset val="134"/>
      </rPr>
      <t>/</t>
    </r>
    <r>
      <rPr>
        <sz val="12"/>
        <rFont val="宋体"/>
        <charset val="134"/>
      </rPr>
      <t>润宝泰</t>
    </r>
  </si>
  <si>
    <t>XL002-KQ</t>
  </si>
  <si>
    <t>XL002-LD</t>
  </si>
  <si>
    <t>XL003-Y</t>
  </si>
  <si>
    <t>（铝铸上盖）采集器前壳（双孔）</t>
  </si>
  <si>
    <t>XL003-CNC</t>
  </si>
  <si>
    <t>XL003-M</t>
  </si>
  <si>
    <t>XL003-Z/G</t>
  </si>
  <si>
    <t>XL003-KQ</t>
  </si>
  <si>
    <t>XL003-LD</t>
  </si>
  <si>
    <t>806轴套(DTW380输出轴套）</t>
  </si>
  <si>
    <t>锐霸</t>
  </si>
  <si>
    <t>配件</t>
  </si>
  <si>
    <t>外购配件，厂内领组装</t>
  </si>
  <si>
    <t>RB001-Y</t>
  </si>
  <si>
    <t>扳手806头壳(含轴套)DTW380牙箱壳</t>
  </si>
  <si>
    <t>RB001-PS</t>
  </si>
  <si>
    <t>锦拓（新加工艺）</t>
  </si>
  <si>
    <t>RB001-KQ</t>
  </si>
  <si>
    <t>RB001-C</t>
  </si>
  <si>
    <t>扳手809轴套（500N轴套）</t>
  </si>
  <si>
    <t>RB002-Y</t>
  </si>
  <si>
    <t>扳手809头壳(含轴套)</t>
  </si>
  <si>
    <t>RB002-DM</t>
  </si>
  <si>
    <t>麦凯良/全才</t>
  </si>
  <si>
    <t>RB002-C</t>
  </si>
  <si>
    <t>RB00201-KQ</t>
  </si>
  <si>
    <t>扳手809头壳-黑色（TRU)</t>
  </si>
  <si>
    <t>RB00202-C</t>
  </si>
  <si>
    <t>RB003-Y</t>
  </si>
  <si>
    <r>
      <rPr>
        <sz val="11"/>
        <color theme="1"/>
        <rFont val="宋体"/>
        <charset val="134"/>
      </rPr>
      <t>扳手</t>
    </r>
    <r>
      <rPr>
        <sz val="11"/>
        <color theme="1"/>
        <rFont val="Tahoma"/>
        <charset val="134"/>
      </rPr>
      <t>809</t>
    </r>
    <r>
      <rPr>
        <sz val="11"/>
        <color theme="1"/>
        <rFont val="宋体"/>
        <charset val="134"/>
      </rPr>
      <t>端盖</t>
    </r>
  </si>
  <si>
    <t>RB003-C</t>
  </si>
  <si>
    <r>
      <rPr>
        <sz val="12"/>
        <rFont val="新細明體"/>
        <charset val="134"/>
      </rPr>
      <t>英诚源/</t>
    </r>
    <r>
      <rPr>
        <sz val="12"/>
        <rFont val="宋体"/>
        <charset val="134"/>
      </rPr>
      <t>鑫铭杨</t>
    </r>
  </si>
  <si>
    <t>起子机2108-W头壳（230N头壳无轴套）</t>
  </si>
  <si>
    <t>RB004-DM</t>
  </si>
  <si>
    <t>RB004-KQ</t>
  </si>
  <si>
    <r>
      <rPr>
        <sz val="12"/>
        <rFont val="新細明體"/>
        <charset val="134"/>
      </rPr>
      <t>博巨/</t>
    </r>
    <r>
      <rPr>
        <sz val="12"/>
        <rFont val="宋体"/>
        <charset val="134"/>
      </rPr>
      <t>耀鹏</t>
    </r>
  </si>
  <si>
    <t>RB004-C</t>
  </si>
  <si>
    <t>RB004-1-Y</t>
  </si>
  <si>
    <t>起子机2108头壳-锐霸灰色（230N头壳含轴套）</t>
  </si>
  <si>
    <t>RB004-1-DM</t>
  </si>
  <si>
    <t>RB004-1-KQ</t>
  </si>
  <si>
    <t>华晖远/术尔/博巨</t>
  </si>
  <si>
    <t>RB004-1-C</t>
  </si>
  <si>
    <t>RB004-2-KQ</t>
  </si>
  <si>
    <t>起子机2108-W头壳（230N头壳无轴套)-黑色</t>
  </si>
  <si>
    <t>欣宏威</t>
  </si>
  <si>
    <t>RB004-2-C</t>
  </si>
  <si>
    <t>2108起子机轴套（230N轴套）</t>
  </si>
  <si>
    <t>RB005-Y</t>
  </si>
  <si>
    <t>806-SK头壳（含轴套）</t>
  </si>
  <si>
    <t>RB005-PS</t>
  </si>
  <si>
    <r>
      <rPr>
        <sz val="12"/>
        <rFont val="新細明體"/>
        <charset val="134"/>
      </rPr>
      <t>2025.2</t>
    </r>
    <r>
      <rPr>
        <sz val="12"/>
        <rFont val="宋体"/>
        <charset val="134"/>
      </rPr>
      <t>新加喷砂锦拓</t>
    </r>
  </si>
  <si>
    <t>RB005-DM</t>
  </si>
  <si>
    <t>麦凯良，有喷砂取消打磨</t>
  </si>
  <si>
    <t>RB005-KQ</t>
  </si>
  <si>
    <t>RB005-C</t>
  </si>
  <si>
    <t>RB006-Y</t>
  </si>
  <si>
    <t>扳手818端盖</t>
  </si>
  <si>
    <t>RB006-PS</t>
  </si>
  <si>
    <t>RB006-KQ</t>
  </si>
  <si>
    <t>威尔其/博巨</t>
  </si>
  <si>
    <t>RB006-C</t>
  </si>
  <si>
    <t>RB007-Y</t>
  </si>
  <si>
    <t>扳手818头壳（带花纹含轴套）</t>
  </si>
  <si>
    <t>RB007-DM</t>
  </si>
  <si>
    <t>RB007-PS</t>
  </si>
  <si>
    <t>锦拓，新加工艺2026.1.23喷砂取消</t>
  </si>
  <si>
    <t>RB007-GY</t>
  </si>
  <si>
    <t>钻攻</t>
  </si>
  <si>
    <t>凤友，先喷砂再攻牙</t>
  </si>
  <si>
    <t>RB007-KQ</t>
  </si>
  <si>
    <t>RB007-C</t>
  </si>
  <si>
    <t>818轴套（1000N3-4)</t>
  </si>
  <si>
    <t>RB008-Y</t>
  </si>
  <si>
    <t>扳手818头壳-不带花纹（无轴套）</t>
  </si>
  <si>
    <t>RB008-DM</t>
  </si>
  <si>
    <t>邦宇/麦凯良</t>
  </si>
  <si>
    <t>RB008-PS</t>
  </si>
  <si>
    <t xml:space="preserve">锦拓 </t>
  </si>
  <si>
    <t>RB008-ZK</t>
  </si>
  <si>
    <t>华晖远 博巨</t>
  </si>
  <si>
    <t>RB008-C</t>
  </si>
  <si>
    <t>RB008-1-KQ</t>
  </si>
  <si>
    <t>扳手818头壳-白</t>
  </si>
  <si>
    <t>RB009-Y</t>
  </si>
  <si>
    <t>2109左卡钳</t>
  </si>
  <si>
    <t>RB009-DM</t>
  </si>
  <si>
    <t>RB009-GY</t>
  </si>
  <si>
    <t>RB009-CNC</t>
  </si>
  <si>
    <t>同齐力 工艺取消</t>
  </si>
  <si>
    <t>RB009-KQ</t>
  </si>
  <si>
    <t>RB040-Y</t>
  </si>
  <si>
    <t>左卡钳(黑色）</t>
  </si>
  <si>
    <t>RB040-DM</t>
  </si>
  <si>
    <t>RB040-C</t>
  </si>
  <si>
    <t>RB040-KQ</t>
  </si>
  <si>
    <t>RB010-Y</t>
  </si>
  <si>
    <t>2109右卡钳</t>
  </si>
  <si>
    <t>RB010-DM</t>
  </si>
  <si>
    <t>RB010-GY</t>
  </si>
  <si>
    <t>RB010-C</t>
  </si>
  <si>
    <t>RB010-KQ</t>
  </si>
  <si>
    <t>RB041-Y</t>
  </si>
  <si>
    <t>右卡钳（黑色）</t>
  </si>
  <si>
    <t>RB041-DM</t>
  </si>
  <si>
    <t>RB041-C</t>
  </si>
  <si>
    <t>RB041-KQ</t>
  </si>
  <si>
    <t>RB011-YZ</t>
  </si>
  <si>
    <t>扳手810头壳（无轴套）</t>
  </si>
  <si>
    <t>RB011-PS</t>
  </si>
  <si>
    <t>锦拓（25.5.25起暂停此道，改为打磨）</t>
  </si>
  <si>
    <t>.</t>
  </si>
  <si>
    <t>RB011-M</t>
  </si>
  <si>
    <t>麦凯良（25.5.25起）</t>
  </si>
  <si>
    <t>RB011-ZK</t>
  </si>
  <si>
    <t>博巨/耀鹏睿帆</t>
  </si>
  <si>
    <t>RB011-C</t>
  </si>
  <si>
    <t>RB012-YZ</t>
  </si>
  <si>
    <t>扳手810端盖</t>
  </si>
  <si>
    <t>RB012-PS</t>
  </si>
  <si>
    <t>RB012-C</t>
  </si>
  <si>
    <t>RB039-YZ</t>
  </si>
  <si>
    <t>扳手810端盖(黑色）</t>
  </si>
  <si>
    <t>RB039-PS</t>
  </si>
  <si>
    <t>RB039-KQ</t>
  </si>
  <si>
    <t>RB039-C</t>
  </si>
  <si>
    <t>RB013-Y</t>
  </si>
  <si>
    <t>电锤BH24A齿轮箱</t>
  </si>
  <si>
    <t>RB013-PW</t>
  </si>
  <si>
    <t>RB013-C</t>
  </si>
  <si>
    <t>同齐力/钛圪佳</t>
  </si>
  <si>
    <t>RB013-YZ</t>
  </si>
  <si>
    <t>819/826/826A(头壳通用端盖）</t>
  </si>
  <si>
    <t>RB013-KQ</t>
  </si>
  <si>
    <t>龙捷/博巨</t>
  </si>
  <si>
    <t>819/826轴套</t>
  </si>
  <si>
    <t>819和826轴套通用</t>
  </si>
  <si>
    <t>819头壳（含轴套）</t>
  </si>
  <si>
    <t>RB015-GY</t>
  </si>
  <si>
    <t>RB015-C</t>
  </si>
  <si>
    <t>RB043-KQ</t>
  </si>
  <si>
    <t>819头壳（黑色）</t>
  </si>
  <si>
    <t>RB043-CNC</t>
  </si>
  <si>
    <t>826头壳（含轴套）</t>
  </si>
  <si>
    <t>RB016-DM</t>
  </si>
  <si>
    <t>麦凯良 11/26起.改工艺</t>
  </si>
  <si>
    <t>RB016-GY</t>
  </si>
  <si>
    <t>RB016-KQ</t>
  </si>
  <si>
    <t>RB016-C</t>
  </si>
  <si>
    <t>RB017-Y</t>
  </si>
  <si>
    <t>819/826/826A（世达款）(头壳通用端盖）</t>
  </si>
  <si>
    <t>RB017-PS</t>
  </si>
  <si>
    <t>RB017-KQ</t>
  </si>
  <si>
    <t>RB017-C</t>
  </si>
  <si>
    <t>RB018</t>
  </si>
  <si>
    <t>826A轴套</t>
  </si>
  <si>
    <t>RB018-Y</t>
  </si>
  <si>
    <t>826A头壳（含轴套）</t>
  </si>
  <si>
    <t>RB018-DM</t>
  </si>
  <si>
    <t>麦凯良（喷砂取消改打磨2026.3.3）</t>
  </si>
  <si>
    <t>RB018-GY</t>
  </si>
  <si>
    <t>RB018-KQ</t>
  </si>
  <si>
    <t>睿帆，龙捷</t>
  </si>
  <si>
    <t>RB018-C</t>
  </si>
  <si>
    <t>RB019-Y</t>
  </si>
  <si>
    <t>827头壳</t>
  </si>
  <si>
    <t>RB019-DM</t>
  </si>
  <si>
    <t>RB019-PS</t>
  </si>
  <si>
    <t>暂时取消</t>
  </si>
  <si>
    <t>RB019-GY</t>
  </si>
  <si>
    <t>RB019-KQ</t>
  </si>
  <si>
    <t>RB019-C</t>
  </si>
  <si>
    <t>RB020-Y</t>
  </si>
  <si>
    <t>827立式副把手旋钮</t>
  </si>
  <si>
    <t>RB020-CNC</t>
  </si>
  <si>
    <t>RB020-DN</t>
  </si>
  <si>
    <t>RB021-Y</t>
  </si>
  <si>
    <t>电钻2118左卡钳</t>
  </si>
  <si>
    <t>RB021-DM</t>
  </si>
  <si>
    <t>RB021-GY</t>
  </si>
  <si>
    <t>RB021-KQ</t>
  </si>
  <si>
    <t>RB022-Y</t>
  </si>
  <si>
    <t>电钻2118右卡钳</t>
  </si>
  <si>
    <t>RB022-DM</t>
  </si>
  <si>
    <t>RB022-GY</t>
  </si>
  <si>
    <t>RB022-KQ</t>
  </si>
  <si>
    <t>扳手828头壳</t>
  </si>
  <si>
    <t>RB023-M</t>
  </si>
  <si>
    <t>RB023-GY</t>
  </si>
  <si>
    <t>RB023-KQ</t>
  </si>
  <si>
    <t>龙捷</t>
  </si>
  <si>
    <t>RB023-C</t>
  </si>
  <si>
    <t>扳手828端盖</t>
  </si>
  <si>
    <t>RB024-KQ</t>
  </si>
  <si>
    <t>RB024-C</t>
  </si>
  <si>
    <t>RB025-Y</t>
  </si>
  <si>
    <t>扳手828把手支架</t>
  </si>
  <si>
    <t>RB025-M</t>
  </si>
  <si>
    <t>RB025-Z/G</t>
  </si>
  <si>
    <t>RB025-D</t>
  </si>
  <si>
    <t>RB026</t>
  </si>
  <si>
    <t>810S轴套</t>
  </si>
  <si>
    <t>RB026-Y</t>
  </si>
  <si>
    <t>扳手806S头壳 SD</t>
  </si>
  <si>
    <t>RB026-PS</t>
  </si>
  <si>
    <t>RB026-C</t>
  </si>
  <si>
    <t>RB027-Y</t>
  </si>
  <si>
    <t>扳手810STK2头壳</t>
  </si>
  <si>
    <t>RB027-Z</t>
  </si>
  <si>
    <t>RB027-C</t>
  </si>
  <si>
    <t>RB038-Y</t>
  </si>
  <si>
    <t>扳手810STK2头壳（黑色）</t>
  </si>
  <si>
    <t>RB038-M</t>
  </si>
  <si>
    <t>RB038-Z</t>
  </si>
  <si>
    <t>RB038-KQ</t>
  </si>
  <si>
    <t>RB038-CNC</t>
  </si>
  <si>
    <t>RB028-Y</t>
  </si>
  <si>
    <t>扳手810S SATA 端盖（世达）</t>
  </si>
  <si>
    <t>RB028-P</t>
  </si>
  <si>
    <t>RB028-KQ</t>
  </si>
  <si>
    <t>RB028-C</t>
  </si>
  <si>
    <t>RB029-Y</t>
  </si>
  <si>
    <t>RB029-KQ</t>
  </si>
  <si>
    <t>RB029-C</t>
  </si>
  <si>
    <t>RB030-Y</t>
  </si>
  <si>
    <t>扳手818S SATA头壳（世达）</t>
  </si>
  <si>
    <t>RB030-M</t>
  </si>
  <si>
    <t>RB030-GY</t>
  </si>
  <si>
    <t>RB030-KQ</t>
  </si>
  <si>
    <t>RB030-C</t>
  </si>
  <si>
    <t>RB031-Y</t>
  </si>
  <si>
    <t>扳手818S SATA端盖（世达）</t>
  </si>
  <si>
    <t>RB031-KQ</t>
  </si>
  <si>
    <t>RB031-C</t>
  </si>
  <si>
    <t>RB032-Y</t>
  </si>
  <si>
    <t>扳手810S头壳 世达款</t>
  </si>
  <si>
    <t>RB032-M</t>
  </si>
  <si>
    <t>RB032-Z</t>
  </si>
  <si>
    <t>RB032-KQ</t>
  </si>
  <si>
    <t>RB032-C</t>
  </si>
  <si>
    <t>RB033-Y</t>
  </si>
  <si>
    <t>230N 起子机头壳 世达款</t>
  </si>
  <si>
    <t>RB033-M</t>
  </si>
  <si>
    <t>RB033-KQ</t>
  </si>
  <si>
    <t>RB033-C</t>
  </si>
  <si>
    <t>RB034</t>
  </si>
  <si>
    <t>827轴套</t>
  </si>
  <si>
    <t>RB034-Y</t>
  </si>
  <si>
    <t>黄油枪HY01A齿轮箱</t>
  </si>
  <si>
    <t>RB034-QX</t>
  </si>
  <si>
    <t>巧手 临时工艺</t>
  </si>
  <si>
    <t>RB035-Y</t>
  </si>
  <si>
    <t>827头壳（带轴套）</t>
  </si>
  <si>
    <t>RB035-M</t>
  </si>
  <si>
    <t>RB035-GY</t>
  </si>
  <si>
    <t>RB035-KQ</t>
  </si>
  <si>
    <t>RB035-C</t>
  </si>
  <si>
    <t>RB036-Y</t>
  </si>
  <si>
    <t>826头壳（世达款）</t>
  </si>
  <si>
    <t>RB036-GY</t>
  </si>
  <si>
    <t>RB036-KQ</t>
  </si>
  <si>
    <t>RB036-C</t>
  </si>
  <si>
    <t>826A头壳（世达款）</t>
  </si>
  <si>
    <t>RB038-DM</t>
  </si>
  <si>
    <t>RB038-GY</t>
  </si>
  <si>
    <t>RB037-Y</t>
  </si>
  <si>
    <t>819头壳（世达款）</t>
  </si>
  <si>
    <t>RB037-DM</t>
  </si>
  <si>
    <t>RB037-GY</t>
  </si>
  <si>
    <t>RB037-KQ</t>
  </si>
  <si>
    <t>RB037-C</t>
  </si>
  <si>
    <t>RB042-YZ</t>
  </si>
  <si>
    <t>819端盖（黑色）</t>
  </si>
  <si>
    <t>RB042-PS</t>
  </si>
  <si>
    <t>RB042-KQ</t>
  </si>
  <si>
    <t>RB042-CNC</t>
  </si>
  <si>
    <t>RB043</t>
  </si>
  <si>
    <t>806S轴套世达款</t>
  </si>
  <si>
    <t>外购</t>
  </si>
  <si>
    <t>RB044</t>
  </si>
  <si>
    <t>2108L轴套世达款</t>
  </si>
  <si>
    <t>RB045-Y</t>
  </si>
  <si>
    <t>起子机2108-L头壳含轴套 （世达款）</t>
  </si>
  <si>
    <t>RB045-DM</t>
  </si>
  <si>
    <t>RB045-KQ</t>
  </si>
  <si>
    <t>RB045-C</t>
  </si>
  <si>
    <t>1A321W1M001-0A(EL-321W-GL04 铝壳）</t>
  </si>
  <si>
    <t>怡利</t>
  </si>
  <si>
    <t>邦宇/麦凯良/全才2</t>
  </si>
  <si>
    <t>钛圪佳 /同齐力/新瑞特3</t>
  </si>
  <si>
    <t>YL001-QX</t>
  </si>
  <si>
    <t>巧手4</t>
  </si>
  <si>
    <t>YL002-Y</t>
  </si>
  <si>
    <r>
      <rPr>
        <sz val="12"/>
        <color rgb="FF000000"/>
        <rFont val="新細明體"/>
        <charset val="134"/>
      </rPr>
      <t>1A321W1N001-0A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新細明體"/>
        <charset val="134"/>
      </rPr>
      <t>EL-321W-GL0L散热片)</t>
    </r>
  </si>
  <si>
    <t>YL002-CNC</t>
  </si>
  <si>
    <t xml:space="preserve">同齐力 </t>
  </si>
  <si>
    <t>YL002-QX</t>
  </si>
  <si>
    <t>巧手 新加工艺</t>
  </si>
  <si>
    <t>YL003-Y</t>
  </si>
  <si>
    <r>
      <rPr>
        <sz val="12"/>
        <color rgb="FF000000"/>
        <rFont val="新細明體"/>
        <charset val="134"/>
      </rPr>
      <t>1A321W1N002-0A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新細明體"/>
        <charset val="134"/>
      </rPr>
      <t>EL-321W-GL0P铝散热片)</t>
    </r>
  </si>
  <si>
    <t>YL003-CNC</t>
  </si>
  <si>
    <t>YL003-QX</t>
  </si>
  <si>
    <t>YL006-Y</t>
  </si>
  <si>
    <r>
      <rPr>
        <sz val="12"/>
        <color rgb="FF000000"/>
        <rFont val="新細明體"/>
        <charset val="134"/>
      </rPr>
      <t>1A321W2D001 (EL-321W-GLOX</t>
    </r>
    <r>
      <rPr>
        <sz val="12"/>
        <color rgb="FF000000"/>
        <rFont val="宋体"/>
        <charset val="134"/>
      </rPr>
      <t>铝挤散热片）</t>
    </r>
  </si>
  <si>
    <t>YL006-CNC</t>
  </si>
  <si>
    <t>YL006-QX</t>
  </si>
  <si>
    <t>YL004-Y</t>
  </si>
  <si>
    <r>
      <rPr>
        <sz val="12"/>
        <color rgb="FF000000"/>
        <rFont val="新細明體"/>
        <charset val="134"/>
      </rPr>
      <t>1A104D0A001</t>
    </r>
    <r>
      <rPr>
        <sz val="12"/>
        <color rgb="FF000000"/>
        <rFont val="宋体"/>
        <charset val="134"/>
      </rPr>
      <t>金属转轴</t>
    </r>
    <r>
      <rPr>
        <sz val="12"/>
        <color rgb="FF000000"/>
        <rFont val="新細明體"/>
        <charset val="134"/>
      </rPr>
      <t>A</t>
    </r>
  </si>
  <si>
    <t>YL004-CNC</t>
  </si>
  <si>
    <t>YL004-PG</t>
  </si>
  <si>
    <t>YL004-DY</t>
  </si>
  <si>
    <t>YL005-Y</t>
  </si>
  <si>
    <r>
      <rPr>
        <sz val="12"/>
        <color rgb="FF000000"/>
        <rFont val="新細明體"/>
        <charset val="134"/>
      </rPr>
      <t>1A104D0A001</t>
    </r>
    <r>
      <rPr>
        <sz val="12"/>
        <color rgb="FF000000"/>
        <rFont val="宋体"/>
        <charset val="134"/>
      </rPr>
      <t>金属转轴</t>
    </r>
    <r>
      <rPr>
        <sz val="12"/>
        <color rgb="FF000000"/>
        <rFont val="新細明體"/>
        <charset val="134"/>
      </rPr>
      <t>B</t>
    </r>
  </si>
  <si>
    <t>YL005-CNC</t>
  </si>
  <si>
    <t>YL005-PG</t>
  </si>
  <si>
    <t>YL005-DY</t>
  </si>
  <si>
    <t>KT001-Y</t>
  </si>
  <si>
    <r>
      <rPr>
        <sz val="12"/>
        <color rgb="FF000000"/>
        <rFont val="新細明體"/>
        <charset val="134"/>
      </rPr>
      <t>01020</t>
    </r>
    <r>
      <rPr>
        <sz val="12"/>
        <color rgb="FF000000"/>
        <rFont val="宋体"/>
        <charset val="134"/>
      </rPr>
      <t>前挡板</t>
    </r>
  </si>
  <si>
    <t>凯泰</t>
  </si>
  <si>
    <t>KT001-ZY</t>
  </si>
  <si>
    <t>KT001-PM</t>
  </si>
  <si>
    <t>巧手。10/14取消皮膜</t>
  </si>
  <si>
    <t>KT002-Y</t>
  </si>
  <si>
    <r>
      <rPr>
        <sz val="12"/>
        <color rgb="FF000000"/>
        <rFont val="新細明體"/>
        <charset val="134"/>
      </rPr>
      <t>01030</t>
    </r>
    <r>
      <rPr>
        <sz val="12"/>
        <color rgb="FF000000"/>
        <rFont val="宋体"/>
        <charset val="134"/>
      </rPr>
      <t>前挡板</t>
    </r>
  </si>
  <si>
    <t>KT002-ZY</t>
  </si>
  <si>
    <t>KT002-PM</t>
  </si>
  <si>
    <t>KT003-Y</t>
  </si>
  <si>
    <r>
      <rPr>
        <sz val="12"/>
        <color rgb="FF000000"/>
        <rFont val="新細明體"/>
        <charset val="134"/>
      </rPr>
      <t>01050</t>
    </r>
    <r>
      <rPr>
        <sz val="12"/>
        <color rgb="FF000000"/>
        <rFont val="宋体"/>
        <charset val="134"/>
      </rPr>
      <t>前挡板</t>
    </r>
  </si>
  <si>
    <t>KT003-MB</t>
  </si>
  <si>
    <t>去毛边</t>
  </si>
  <si>
    <t>KT003-P</t>
  </si>
  <si>
    <t>皮膜 取消</t>
  </si>
  <si>
    <t>KT004-Y</t>
  </si>
  <si>
    <t>PL9-12580-10-0A前挡板</t>
  </si>
  <si>
    <t>KT004-YM</t>
  </si>
  <si>
    <t>磁力研磨</t>
  </si>
  <si>
    <t>KT004-P</t>
  </si>
  <si>
    <t>巧手。1/5取消皮膜</t>
  </si>
  <si>
    <t>KT005-Y</t>
  </si>
  <si>
    <t>双目支架</t>
  </si>
  <si>
    <t>KT005-ZY</t>
  </si>
  <si>
    <t>KT005-P</t>
  </si>
  <si>
    <t>超频主机上1个单芯盖（PL9-01100-00-0A)</t>
  </si>
  <si>
    <t>KT006-M</t>
  </si>
  <si>
    <t>KT007-Y</t>
  </si>
  <si>
    <t>超频主机上盖-2个单芯PL9-01100-10-0A</t>
  </si>
  <si>
    <t>KT007-M</t>
  </si>
  <si>
    <t>M82双目支架</t>
  </si>
  <si>
    <t>KT008-ZY</t>
  </si>
  <si>
    <t>KT008-P</t>
  </si>
  <si>
    <t>KT009-Y</t>
  </si>
  <si>
    <t>PL9-01160-30-OA(双目支架）</t>
  </si>
  <si>
    <t>KT009-ZY</t>
  </si>
  <si>
    <t>KT009-YJ</t>
  </si>
  <si>
    <t>智嘉迪</t>
  </si>
  <si>
    <t>TZY001-Y</t>
  </si>
  <si>
    <t>M23信号直型母插主体（短）</t>
  </si>
  <si>
    <t>天之跃</t>
  </si>
  <si>
    <t>TZY002-Y</t>
  </si>
  <si>
    <r>
      <rPr>
        <sz val="11"/>
        <color theme="1"/>
        <rFont val="Tahoma"/>
        <charset val="134"/>
      </rPr>
      <t>M23</t>
    </r>
    <r>
      <rPr>
        <sz val="11"/>
        <color theme="1"/>
        <rFont val="宋体"/>
        <charset val="134"/>
      </rPr>
      <t>公插（长）</t>
    </r>
  </si>
  <si>
    <t>HAPX001-Y</t>
  </si>
  <si>
    <r>
      <rPr>
        <sz val="11"/>
        <color theme="1"/>
        <rFont val="Tahoma"/>
        <charset val="134"/>
      </rPr>
      <t>040330084</t>
    </r>
    <r>
      <rPr>
        <sz val="11"/>
        <color theme="1"/>
        <rFont val="宋体"/>
        <charset val="134"/>
      </rPr>
      <t>下壳（电池盒底座）</t>
    </r>
  </si>
  <si>
    <t>淮安品向</t>
  </si>
  <si>
    <t>HAPX001-DM</t>
  </si>
  <si>
    <t>HAPX001-PW</t>
  </si>
  <si>
    <t>HAPX001-GY</t>
  </si>
  <si>
    <t>HAPX002-Y</t>
  </si>
  <si>
    <r>
      <rPr>
        <sz val="11"/>
        <color theme="1"/>
        <rFont val="Tahoma"/>
        <charset val="134"/>
      </rPr>
      <t>040330058</t>
    </r>
    <r>
      <rPr>
        <sz val="11"/>
        <color theme="1"/>
        <rFont val="宋体"/>
        <charset val="134"/>
      </rPr>
      <t>前电池公头底座（电池公头底座）</t>
    </r>
  </si>
  <si>
    <t>HAPX002-DM</t>
  </si>
  <si>
    <t>HAPX002-PW</t>
  </si>
  <si>
    <t>HAPX003-Y</t>
  </si>
  <si>
    <t>040330083上盖（电池提手）</t>
  </si>
  <si>
    <t>HAPX003-DM</t>
  </si>
  <si>
    <t>HAPX003-PW</t>
  </si>
  <si>
    <t>HAPX003-GY</t>
  </si>
  <si>
    <t xml:space="preserve">攻牙 </t>
  </si>
  <si>
    <t>HAPX003-C</t>
  </si>
  <si>
    <t>HAPX004-Y</t>
  </si>
  <si>
    <t>电子锁铝外壳上壳</t>
  </si>
  <si>
    <t>HAPX004-DM</t>
  </si>
  <si>
    <t>麦凯良，日安升</t>
  </si>
  <si>
    <t>HAPX004-YM</t>
  </si>
  <si>
    <t>HAPX004-DY</t>
  </si>
  <si>
    <t>绮丽  程峰达 成品</t>
  </si>
  <si>
    <t>电子锁铝外壳下壳</t>
  </si>
  <si>
    <t>HAPX005-DM</t>
  </si>
  <si>
    <t>HAPX005-DY</t>
  </si>
  <si>
    <t>HAPX006-Y</t>
  </si>
  <si>
    <t>公头底座</t>
  </si>
  <si>
    <t>HAPX006-GS</t>
  </si>
  <si>
    <t>HAPX006-PW</t>
  </si>
  <si>
    <t>HAPX006-GY</t>
  </si>
  <si>
    <t>HAPX007-Y</t>
  </si>
  <si>
    <t>黑色挂钩（喷粉）</t>
  </si>
  <si>
    <t>HAPX007-GS</t>
  </si>
  <si>
    <t>HAPX007-PW</t>
  </si>
  <si>
    <t>HAPX008-Y</t>
  </si>
  <si>
    <t>小黄车控制器上壳</t>
  </si>
  <si>
    <t>HAPX008-GS</t>
  </si>
  <si>
    <t>HAPX008-PW</t>
  </si>
  <si>
    <t>HAPX008-GY</t>
  </si>
  <si>
    <t>HAPX009-Y</t>
  </si>
  <si>
    <t>小黄车压轴板</t>
  </si>
  <si>
    <t>HAPX009-GS</t>
  </si>
  <si>
    <t>HAPX009-KK</t>
  </si>
  <si>
    <t>扩孔</t>
  </si>
  <si>
    <t>HAPX009-PW</t>
  </si>
  <si>
    <t>HAPX010-Y</t>
  </si>
  <si>
    <t>小黄车电池后堵头</t>
  </si>
  <si>
    <t>HAPX010-GS</t>
  </si>
  <si>
    <t>HAPX010-PW</t>
  </si>
  <si>
    <t>HAPX010-GY</t>
  </si>
  <si>
    <t>HAPX011-Y</t>
  </si>
  <si>
    <t>前立杆固定支架</t>
  </si>
  <si>
    <t>HAPX011-GS</t>
  </si>
  <si>
    <t>HAPX011-PW</t>
  </si>
  <si>
    <t>HAPX011-C</t>
  </si>
  <si>
    <t>HAPX012-Y</t>
  </si>
  <si>
    <t>小黄车电池提手</t>
  </si>
  <si>
    <t>HAPX012-GS</t>
  </si>
  <si>
    <t>HAPX012-PW</t>
  </si>
  <si>
    <t>HAPX012-GY</t>
  </si>
  <si>
    <t>HAPX013-Y</t>
  </si>
  <si>
    <t>挡泥板内衬</t>
  </si>
  <si>
    <t>HAPX013-DM</t>
  </si>
  <si>
    <t>HAPX013-GY</t>
  </si>
  <si>
    <t>HAPX013-CNC</t>
  </si>
  <si>
    <t>HAPX013-KQ</t>
  </si>
  <si>
    <t>威尔其</t>
  </si>
  <si>
    <t>TZ001-Y</t>
  </si>
  <si>
    <t>八百万-双目Holder(MPL9-01000-00-0A)上盖</t>
  </si>
  <si>
    <t>同致</t>
  </si>
  <si>
    <t>TZ001-DM</t>
  </si>
  <si>
    <t>TZ001-GY</t>
  </si>
  <si>
    <t>TZ001-YM</t>
  </si>
  <si>
    <t>TZ001-YJ</t>
  </si>
  <si>
    <t>奥特 智嘉迪 成品 工艺不确定</t>
  </si>
  <si>
    <t>TZ002-Y</t>
  </si>
  <si>
    <t>八百万-双目Cover(MPL9-01000-10-0A)下盖</t>
  </si>
  <si>
    <t>TZ002-DM</t>
  </si>
  <si>
    <t>TZ002-GY</t>
  </si>
  <si>
    <t>TZ002-YM</t>
  </si>
  <si>
    <t>奥特 智嘉迪  成品 工艺不确定</t>
  </si>
  <si>
    <t>CL001-Y</t>
  </si>
  <si>
    <t>大力夹-云台底座</t>
  </si>
  <si>
    <t>昶乐</t>
  </si>
  <si>
    <t>CL001-C</t>
  </si>
  <si>
    <t>汇杰/东越丰</t>
  </si>
  <si>
    <t>CL001-DM</t>
  </si>
  <si>
    <t>过砂/打磨</t>
  </si>
  <si>
    <t>CL001-DY</t>
  </si>
  <si>
    <t>大峰/益腾</t>
  </si>
  <si>
    <t>CL001-KQ</t>
  </si>
  <si>
    <t>CL001-SY</t>
  </si>
  <si>
    <t>CL002-Y</t>
  </si>
  <si>
    <t>大力夹-止转盖</t>
  </si>
  <si>
    <t>CL002-C</t>
  </si>
  <si>
    <t>CL002-DM</t>
  </si>
  <si>
    <t>8月暂时无打磨工艺</t>
  </si>
  <si>
    <t>CL002-DY</t>
  </si>
  <si>
    <t>CL002-KQ</t>
  </si>
  <si>
    <t>CL003-Y</t>
  </si>
  <si>
    <t>大力夹-滑块锌合金</t>
  </si>
  <si>
    <t>CL003-CNC</t>
  </si>
  <si>
    <t>CL003-YM</t>
  </si>
  <si>
    <t>鑫悦 /嘉亿达 新加工艺，8/19</t>
  </si>
  <si>
    <t>CL003-DY</t>
  </si>
  <si>
    <t>CL003-KQ</t>
  </si>
  <si>
    <t>CL003-SY</t>
  </si>
  <si>
    <t>CL004-Y</t>
  </si>
  <si>
    <t>大力夹-连接块</t>
  </si>
  <si>
    <t>CL004-PS</t>
  </si>
  <si>
    <t>锦拓（新加工艺）8/19</t>
  </si>
  <si>
    <t>CL004-C</t>
  </si>
  <si>
    <t>CL004-DM</t>
  </si>
  <si>
    <t>CL004-DY</t>
  </si>
  <si>
    <t>CL004-KQ</t>
  </si>
  <si>
    <t>CL005-Y</t>
  </si>
  <si>
    <r>
      <rPr>
        <sz val="11"/>
        <color theme="1"/>
        <rFont val="宋体"/>
        <charset val="134"/>
      </rPr>
      <t>大力夹-</t>
    </r>
    <r>
      <rPr>
        <sz val="11"/>
        <color theme="1"/>
        <rFont val="Tahoma"/>
        <charset val="134"/>
      </rPr>
      <t>A</t>
    </r>
    <r>
      <rPr>
        <sz val="11"/>
        <color theme="1"/>
        <rFont val="宋体"/>
        <charset val="134"/>
      </rPr>
      <t>爪</t>
    </r>
  </si>
  <si>
    <t>CL005-C</t>
  </si>
  <si>
    <t>CL005-DM</t>
  </si>
  <si>
    <t>CL005-DY</t>
  </si>
  <si>
    <t>大峰/益腾，旺泰</t>
  </si>
  <si>
    <t>CL005-KQ</t>
  </si>
  <si>
    <t>CL006-Y</t>
  </si>
  <si>
    <t>大力夹-B爪</t>
  </si>
  <si>
    <t>CL006-C</t>
  </si>
  <si>
    <t>CL006-DM</t>
  </si>
  <si>
    <t>CL006-DY</t>
  </si>
  <si>
    <t>CL006-KQ</t>
  </si>
  <si>
    <t>KSL001-Y</t>
  </si>
  <si>
    <t>3Port-ST-Housing</t>
  </si>
  <si>
    <t>克斯勒</t>
  </si>
  <si>
    <t>KSL001-C</t>
  </si>
  <si>
    <t>CNC/去毛边</t>
  </si>
  <si>
    <t>KSL001-DY</t>
  </si>
  <si>
    <t>佳艺/绮丽</t>
  </si>
  <si>
    <t>KSL001-ZG</t>
  </si>
  <si>
    <t>TST001-Y</t>
  </si>
  <si>
    <t>E1S下盖</t>
  </si>
  <si>
    <t>泰仕通</t>
  </si>
  <si>
    <t>TST001-CNC</t>
  </si>
  <si>
    <t>TST001-KQ</t>
  </si>
  <si>
    <t>宏邦润</t>
  </si>
  <si>
    <t>TST002-Y</t>
  </si>
  <si>
    <t>E3S-02-B1</t>
  </si>
  <si>
    <t>TST002-CNC</t>
  </si>
  <si>
    <t>TST002-PS</t>
  </si>
  <si>
    <t>TST002-GY</t>
  </si>
  <si>
    <t>E1S-02-B2</t>
  </si>
  <si>
    <t>TST003-PS</t>
  </si>
  <si>
    <t>TST003-DY</t>
  </si>
  <si>
    <t>XZ001-Y</t>
  </si>
  <si>
    <t>XZ-HS-0195</t>
  </si>
  <si>
    <t>星赞</t>
  </si>
  <si>
    <t>XZ001-GY</t>
  </si>
  <si>
    <t>SUTS001-Y</t>
  </si>
  <si>
    <r>
      <rPr>
        <sz val="11"/>
        <color theme="1"/>
        <rFont val="宋体"/>
        <charset val="134"/>
      </rPr>
      <t>壳体（</t>
    </r>
    <r>
      <rPr>
        <sz val="11"/>
        <color theme="1"/>
        <rFont val="Tahoma"/>
        <charset val="134"/>
      </rPr>
      <t>MS2000)</t>
    </r>
  </si>
  <si>
    <t>苏州腾圣</t>
  </si>
  <si>
    <t>SZTS001-PW</t>
  </si>
  <si>
    <t>恒超 赣安 缘威，雷伟10.12</t>
  </si>
  <si>
    <t>SZTS001-C</t>
  </si>
  <si>
    <r>
      <rPr>
        <sz val="11"/>
        <color theme="1"/>
        <rFont val="宋体"/>
        <charset val="134"/>
      </rPr>
      <t>壳体（</t>
    </r>
    <r>
      <rPr>
        <sz val="11"/>
        <color theme="1"/>
        <rFont val="Tahoma"/>
        <charset val="134"/>
      </rPr>
      <t>MS2000)30</t>
    </r>
    <r>
      <rPr>
        <sz val="11"/>
        <color theme="1"/>
        <rFont val="宋体"/>
        <charset val="134"/>
      </rPr>
      <t>牙</t>
    </r>
  </si>
  <si>
    <t>CNC加内部</t>
  </si>
  <si>
    <t>钛圪佳加铣内部 10.13</t>
  </si>
  <si>
    <t>SZTS001-C-1</t>
  </si>
  <si>
    <t>壳体（MS2000)34牙</t>
  </si>
  <si>
    <t>CNC加外部</t>
  </si>
  <si>
    <t>钛圪佳加铣外部加铣4牙</t>
  </si>
  <si>
    <t>SZTS001-GY</t>
  </si>
  <si>
    <t>壳体（MS2000)30牙</t>
  </si>
  <si>
    <t>攻牙30</t>
  </si>
  <si>
    <t>凤友加铣内/30牙，</t>
  </si>
  <si>
    <t>SZTS001-GY-1</t>
  </si>
  <si>
    <t>攻牙34</t>
  </si>
  <si>
    <t>凤友加铣外部/34牙，</t>
  </si>
  <si>
    <t>SZTS001-KQ</t>
  </si>
  <si>
    <t>卓益通  鸿聚胜 成品</t>
  </si>
  <si>
    <t>手持屏T3（硅胶按键）</t>
  </si>
  <si>
    <t>海鑫</t>
  </si>
  <si>
    <t>HX001-CNC</t>
  </si>
  <si>
    <t>同齐力  成品</t>
  </si>
  <si>
    <t>HX001-QX</t>
  </si>
  <si>
    <t>暂时无此道</t>
  </si>
  <si>
    <t>FS001-Y</t>
  </si>
  <si>
    <t>2111.12-01-01（油盘）HX6914T-03</t>
  </si>
  <si>
    <t>富山</t>
  </si>
  <si>
    <t>FS001-GY</t>
  </si>
  <si>
    <t>FS001-DM</t>
  </si>
  <si>
    <t>FS001-YM</t>
  </si>
  <si>
    <t>WN001-Y</t>
  </si>
  <si>
    <t>锁-1</t>
  </si>
  <si>
    <t>维诺</t>
  </si>
  <si>
    <t>WN001-P</t>
  </si>
  <si>
    <t>WN002-Y</t>
  </si>
  <si>
    <t>锁-3</t>
  </si>
  <si>
    <t>WN002-P</t>
  </si>
  <si>
    <t>WN003-Y</t>
  </si>
  <si>
    <t>锁-5</t>
  </si>
  <si>
    <t>WN003-P</t>
  </si>
  <si>
    <t>WN004-Y</t>
  </si>
  <si>
    <t>钥匙</t>
  </si>
  <si>
    <t>WN004-GS/PW</t>
  </si>
  <si>
    <t>WN004-KQ</t>
  </si>
  <si>
    <t>WN005-Y</t>
  </si>
  <si>
    <t>压条</t>
  </si>
  <si>
    <t>WN005--C</t>
  </si>
  <si>
    <t>cnc</t>
  </si>
  <si>
    <t>WN006--KQ</t>
  </si>
  <si>
    <t>威尔其，暂时没有</t>
  </si>
  <si>
    <t>锁-2</t>
  </si>
  <si>
    <t>WN006-P</t>
  </si>
  <si>
    <t>WN006-KQ</t>
  </si>
  <si>
    <t>RS001-Y</t>
  </si>
  <si>
    <t>功放散热器（小米）</t>
  </si>
  <si>
    <t>瑞声</t>
  </si>
  <si>
    <t>RS001-PW</t>
  </si>
  <si>
    <t>RS001-MB</t>
  </si>
  <si>
    <t>聚诚欣（临时工艺）</t>
  </si>
  <si>
    <t>RS001-QX</t>
  </si>
  <si>
    <t>RS002-YZ</t>
  </si>
  <si>
    <t>CS11-A5功放散热器上盖</t>
  </si>
  <si>
    <t>RS002-M</t>
  </si>
  <si>
    <t>全才(25.11.24暂时不做）</t>
  </si>
  <si>
    <t>RS002-PW</t>
  </si>
  <si>
    <t>RS002-QX</t>
  </si>
  <si>
    <t>RS003-Y</t>
  </si>
  <si>
    <t>VF9功放散热器(VF8)</t>
  </si>
  <si>
    <t>RS003-PW</t>
  </si>
  <si>
    <t>RS003-QX</t>
  </si>
  <si>
    <t>HUXIE001-Y</t>
  </si>
  <si>
    <t>子燕电池支撑加固件</t>
  </si>
  <si>
    <t>互协</t>
  </si>
  <si>
    <t>HUXIE001-ZY</t>
  </si>
  <si>
    <t>SM001-Y</t>
  </si>
  <si>
    <t>SD04指示灯铝合金支架（LED）</t>
  </si>
  <si>
    <t>商米</t>
  </si>
  <si>
    <t>SM001-DM</t>
  </si>
  <si>
    <t>打磨+过砂</t>
  </si>
  <si>
    <t>全才3</t>
  </si>
  <si>
    <t>SM001-C</t>
  </si>
  <si>
    <t>同齐力2</t>
  </si>
  <si>
    <t>SM001-KQ</t>
  </si>
  <si>
    <t>兆基4</t>
  </si>
  <si>
    <t>SM003-Y</t>
  </si>
  <si>
    <t>SD04摄像头模组金属支架(CAMERA)</t>
  </si>
  <si>
    <t>SM003-DM</t>
  </si>
  <si>
    <t>SM003-C</t>
  </si>
  <si>
    <t>SM003-KQ</t>
  </si>
  <si>
    <t>SM004-Y</t>
  </si>
  <si>
    <t>SD04三合一铝合金支架(3T1)</t>
  </si>
  <si>
    <t>SM004-DM</t>
  </si>
  <si>
    <t>SM004-C</t>
  </si>
  <si>
    <t xml:space="preserve">SM004-KQ </t>
  </si>
  <si>
    <t>SD04-POE外壳（中框支架）</t>
  </si>
  <si>
    <t>SM005-C</t>
  </si>
  <si>
    <t>SM005-DM</t>
  </si>
  <si>
    <t>SM005-KQ</t>
  </si>
  <si>
    <t>SM006-Y</t>
  </si>
  <si>
    <t>D3mini80旋转摄像头</t>
  </si>
  <si>
    <t>SM006-ZY</t>
  </si>
  <si>
    <t>LX001-Y</t>
  </si>
  <si>
    <t>SP03_台式转接背夹组件</t>
  </si>
  <si>
    <t>立讯</t>
  </si>
  <si>
    <t>LX001-CNC</t>
  </si>
  <si>
    <t>LX001-P/D</t>
  </si>
  <si>
    <t>抛光/打磨</t>
  </si>
  <si>
    <t>LX001-KQ</t>
  </si>
  <si>
    <t>组装</t>
  </si>
  <si>
    <t>JD0001-Y</t>
  </si>
  <si>
    <t>电机外壳</t>
  </si>
  <si>
    <t>精达</t>
  </si>
  <si>
    <t>JD0001-P</t>
  </si>
  <si>
    <r>
      <rPr>
        <sz val="11"/>
        <color theme="1"/>
        <rFont val="宋体"/>
        <charset val="134"/>
      </rPr>
      <t>JD0001-</t>
    </r>
    <r>
      <rPr>
        <sz val="11"/>
        <color theme="1"/>
        <rFont val="宋体"/>
        <charset val="134"/>
      </rPr>
      <t>YJ</t>
    </r>
  </si>
  <si>
    <t>立善源/智嘉迪（成品）</t>
  </si>
  <si>
    <t>JD0001-M</t>
  </si>
  <si>
    <t>JD0002-Y</t>
  </si>
  <si>
    <t>气缸端盖</t>
  </si>
  <si>
    <t>JD0002-P</t>
  </si>
  <si>
    <t>JD0002-YJ</t>
  </si>
  <si>
    <t>JD0003</t>
  </si>
  <si>
    <t>固定架</t>
  </si>
  <si>
    <t>JD004-Y</t>
  </si>
  <si>
    <t>安全阀盖</t>
  </si>
  <si>
    <t>JD004-P</t>
  </si>
  <si>
    <t>JD004-YJ</t>
  </si>
  <si>
    <t>JD005-Y</t>
  </si>
  <si>
    <t>连杆</t>
  </si>
  <si>
    <t>JD005-CNC</t>
  </si>
  <si>
    <t>JD005-QX</t>
  </si>
  <si>
    <t>JD006-Y</t>
  </si>
  <si>
    <t>JD006-C</t>
  </si>
  <si>
    <t>JD006-QX</t>
  </si>
  <si>
    <t>JD007-Y</t>
  </si>
  <si>
    <t>罩壳</t>
  </si>
  <si>
    <t>JD007-P</t>
  </si>
  <si>
    <t>JD007-CNC</t>
  </si>
  <si>
    <t>JD007-YJ</t>
  </si>
  <si>
    <t>JD008-Y</t>
  </si>
  <si>
    <t>电磁阀压盖</t>
  </si>
  <si>
    <t>JD008-M</t>
  </si>
  <si>
    <t>JD008-Z</t>
  </si>
  <si>
    <t>JD008-ZY</t>
  </si>
  <si>
    <t>JD009-Y</t>
  </si>
  <si>
    <t>三孔连杆</t>
  </si>
  <si>
    <t>JD009-M</t>
  </si>
  <si>
    <t>厂内毛边/麦凯良</t>
  </si>
  <si>
    <t>JD009-QX</t>
  </si>
  <si>
    <t>JD010-Y</t>
  </si>
  <si>
    <t>三孔压盖</t>
  </si>
  <si>
    <t>JD010-Z/G</t>
  </si>
  <si>
    <t>凤友1</t>
  </si>
  <si>
    <r>
      <rPr>
        <sz val="11"/>
        <color theme="1"/>
        <rFont val="宋体"/>
        <charset val="134"/>
      </rPr>
      <t>JD010-</t>
    </r>
    <r>
      <rPr>
        <sz val="11"/>
        <color theme="1"/>
        <rFont val="宋体"/>
        <charset val="134"/>
      </rPr>
      <t>C</t>
    </r>
  </si>
  <si>
    <t>博雅德2</t>
  </si>
  <si>
    <t>JD010-QX</t>
  </si>
  <si>
    <t>JD010-M</t>
  </si>
  <si>
    <t>JD011-Y</t>
  </si>
  <si>
    <t>缓起控制板外壳</t>
  </si>
  <si>
    <t>JD011-M</t>
  </si>
  <si>
    <t>JD011-PW</t>
  </si>
  <si>
    <t xml:space="preserve">JD011-G </t>
  </si>
  <si>
    <t>JD011-CNC</t>
  </si>
  <si>
    <t>JD011-YJ</t>
  </si>
  <si>
    <t>YR001-Y</t>
  </si>
  <si>
    <t>PV4-K-016(新把手座)</t>
  </si>
  <si>
    <t>允锐（油力）</t>
  </si>
  <si>
    <t>YR001-M</t>
  </si>
  <si>
    <t>YR001-ZY</t>
  </si>
  <si>
    <t>YR001-CNC</t>
  </si>
  <si>
    <t>YR002-Y</t>
  </si>
  <si>
    <t>PV4-K-017</t>
  </si>
  <si>
    <t>YR002-M</t>
  </si>
  <si>
    <t>YR002-ZY</t>
  </si>
  <si>
    <t>YR002-CNC</t>
  </si>
  <si>
    <t>轴承主体支架</t>
  </si>
  <si>
    <t>日月照明</t>
  </si>
  <si>
    <t>RYZM001-CNC</t>
  </si>
  <si>
    <t>RYZM001-MB</t>
  </si>
  <si>
    <t>RYZM001-DY</t>
  </si>
  <si>
    <t>相机卡扣</t>
  </si>
  <si>
    <t>RYZM002-CNC</t>
  </si>
  <si>
    <t>RYZM002-PS</t>
  </si>
  <si>
    <t>RYZM002-KQ</t>
  </si>
  <si>
    <t>ADC12铝料</t>
  </si>
  <si>
    <t>KG</t>
  </si>
  <si>
    <r>
      <rPr>
        <sz val="11"/>
        <rFont val="新細明體"/>
        <charset val="134"/>
      </rPr>
      <t>ZN5</t>
    </r>
    <r>
      <rPr>
        <sz val="11"/>
        <rFont val="宋体"/>
        <charset val="134"/>
      </rPr>
      <t>锌料</t>
    </r>
  </si>
  <si>
    <t>C</t>
  </si>
  <si>
    <t>纯铝</t>
  </si>
  <si>
    <t>D</t>
  </si>
  <si>
    <t>ADC6</t>
  </si>
  <si>
    <t>E</t>
  </si>
  <si>
    <t>A360</t>
  </si>
  <si>
    <t>A380</t>
  </si>
  <si>
    <t>G</t>
  </si>
  <si>
    <r>
      <rPr>
        <sz val="11"/>
        <rFont val="新細明體"/>
        <charset val="134"/>
      </rPr>
      <t>ZN8</t>
    </r>
    <r>
      <rPr>
        <sz val="11"/>
        <rFont val="宋体"/>
        <charset val="134"/>
      </rPr>
      <t>锌料</t>
    </r>
  </si>
  <si>
    <t>A356.2</t>
  </si>
  <si>
    <t>I</t>
  </si>
  <si>
    <t>HA7-S</t>
  </si>
  <si>
    <t>AISi12</t>
  </si>
  <si>
    <t>DW001-Y</t>
  </si>
  <si>
    <r>
      <rPr>
        <sz val="12"/>
        <color rgb="FF000000"/>
        <rFont val="新細明體"/>
        <charset val="134"/>
      </rPr>
      <t>W2802-450N</t>
    </r>
    <r>
      <rPr>
        <sz val="12"/>
        <color rgb="FF000000"/>
        <rFont val="宋体"/>
        <charset val="134"/>
      </rPr>
      <t>头壳</t>
    </r>
  </si>
  <si>
    <t>大沃</t>
  </si>
  <si>
    <t>DW001-PG</t>
  </si>
  <si>
    <t>DW001-DD</t>
  </si>
  <si>
    <t>DW001-CNC</t>
  </si>
  <si>
    <t>DW002-Y</t>
  </si>
  <si>
    <r>
      <rPr>
        <sz val="12"/>
        <color rgb="FF000000"/>
        <rFont val="新細明體"/>
        <charset val="134"/>
      </rPr>
      <t>W2801-300N</t>
    </r>
    <r>
      <rPr>
        <sz val="12"/>
        <color rgb="FF000000"/>
        <rFont val="宋体"/>
        <charset val="134"/>
      </rPr>
      <t>头壳</t>
    </r>
  </si>
  <si>
    <t>DW002-PG</t>
  </si>
  <si>
    <t>DW002-DD</t>
  </si>
  <si>
    <t xml:space="preserve">DW002-CNC </t>
  </si>
  <si>
    <r>
      <rPr>
        <sz val="12"/>
        <color rgb="FF000000"/>
        <rFont val="新細明體"/>
        <charset val="134"/>
      </rPr>
      <t>W2805-850N</t>
    </r>
    <r>
      <rPr>
        <sz val="12"/>
        <color rgb="FF000000"/>
        <rFont val="宋体"/>
        <charset val="134"/>
      </rPr>
      <t>头壳</t>
    </r>
  </si>
  <si>
    <t>DW003-GY</t>
  </si>
  <si>
    <t>DW003-CNC</t>
  </si>
  <si>
    <r>
      <rPr>
        <sz val="12"/>
        <color rgb="FF000000"/>
        <rFont val="新細明體"/>
        <charset val="134"/>
      </rPr>
      <t>W2805-850N</t>
    </r>
    <r>
      <rPr>
        <sz val="12"/>
        <color rgb="FF000000"/>
        <rFont val="宋体"/>
        <charset val="134"/>
      </rPr>
      <t>端盖</t>
    </r>
  </si>
  <si>
    <t>DW004-CNC</t>
  </si>
  <si>
    <t>DW005-Y</t>
  </si>
  <si>
    <r>
      <rPr>
        <sz val="12"/>
        <color rgb="FF000000"/>
        <rFont val="新細明體"/>
        <charset val="134"/>
      </rPr>
      <t>W2803-650N</t>
    </r>
    <r>
      <rPr>
        <sz val="12"/>
        <color rgb="FF000000"/>
        <rFont val="宋体"/>
        <charset val="134"/>
      </rPr>
      <t>头壳</t>
    </r>
  </si>
  <si>
    <t>DW005-PG</t>
  </si>
  <si>
    <t>DW005-DD</t>
  </si>
  <si>
    <t>DW005-CNC</t>
  </si>
  <si>
    <t>DW006-Y</t>
  </si>
  <si>
    <r>
      <rPr>
        <sz val="12"/>
        <color rgb="FF000000"/>
        <rFont val="新細明體"/>
        <charset val="134"/>
      </rPr>
      <t>W2803-650N</t>
    </r>
    <r>
      <rPr>
        <sz val="12"/>
        <color rgb="FF000000"/>
        <rFont val="宋体"/>
        <charset val="134"/>
      </rPr>
      <t>端盖</t>
    </r>
  </si>
  <si>
    <t>DW006-CNC</t>
  </si>
  <si>
    <r>
      <rPr>
        <sz val="12"/>
        <color rgb="FF000000"/>
        <rFont val="新細明體"/>
        <charset val="134"/>
      </rPr>
      <t>W2808-1850N</t>
    </r>
    <r>
      <rPr>
        <sz val="12"/>
        <color rgb="FF000000"/>
        <rFont val="宋体"/>
        <charset val="134"/>
      </rPr>
      <t>端盖</t>
    </r>
  </si>
  <si>
    <t>DW007-PG</t>
  </si>
  <si>
    <t>DW007-CNC</t>
  </si>
  <si>
    <t>DW008-Y</t>
  </si>
  <si>
    <r>
      <rPr>
        <sz val="12"/>
        <color rgb="FF000000"/>
        <rFont val="新細明體"/>
        <charset val="134"/>
      </rPr>
      <t>W2808-1850N</t>
    </r>
    <r>
      <rPr>
        <sz val="12"/>
        <color rgb="FF000000"/>
        <rFont val="宋体"/>
        <charset val="134"/>
      </rPr>
      <t>挂钩</t>
    </r>
  </si>
  <si>
    <t>DW008-DD</t>
  </si>
  <si>
    <t>DW009-Y</t>
  </si>
  <si>
    <r>
      <rPr>
        <sz val="12"/>
        <color rgb="FF000000"/>
        <rFont val="新細明體"/>
        <charset val="134"/>
      </rPr>
      <t>W2808-1850N</t>
    </r>
    <r>
      <rPr>
        <sz val="12"/>
        <color rgb="FF000000"/>
        <rFont val="宋体"/>
        <charset val="134"/>
      </rPr>
      <t>头壳</t>
    </r>
  </si>
  <si>
    <t>DW009-GY</t>
  </si>
  <si>
    <t>DW009-PG</t>
  </si>
  <si>
    <t xml:space="preserve">DW009-CNC </t>
  </si>
  <si>
    <t>DW010-Y</t>
  </si>
  <si>
    <r>
      <rPr>
        <sz val="12"/>
        <color rgb="FF000000"/>
        <rFont val="新細明體"/>
        <charset val="134"/>
      </rPr>
      <t>W2806-1350N</t>
    </r>
    <r>
      <rPr>
        <sz val="12"/>
        <color rgb="FF000000"/>
        <rFont val="宋体"/>
        <charset val="134"/>
      </rPr>
      <t>头壳</t>
    </r>
  </si>
  <si>
    <t>DW010-GY</t>
  </si>
  <si>
    <t>DW010-PG</t>
  </si>
  <si>
    <t>DW010-DD</t>
  </si>
  <si>
    <t xml:space="preserve">DW010-CNC </t>
  </si>
  <si>
    <t>DW011</t>
  </si>
  <si>
    <t>2801-300N轴套</t>
  </si>
  <si>
    <r>
      <rPr>
        <sz val="12"/>
        <color rgb="FF000000"/>
        <rFont val="新細明體"/>
        <charset val="134"/>
      </rPr>
      <t>配</t>
    </r>
    <r>
      <rPr>
        <sz val="12"/>
        <color rgb="FF000000"/>
        <rFont val="宋体"/>
        <charset val="134"/>
      </rPr>
      <t>件</t>
    </r>
  </si>
  <si>
    <t>DW012</t>
  </si>
  <si>
    <r>
      <rPr>
        <sz val="12"/>
        <color rgb="FF000000"/>
        <rFont val="新細明體"/>
        <charset val="134"/>
      </rPr>
      <t>2802-450N</t>
    </r>
    <r>
      <rPr>
        <sz val="12"/>
        <color rgb="FF000000"/>
        <rFont val="宋体"/>
        <charset val="134"/>
      </rPr>
      <t>轴套</t>
    </r>
  </si>
  <si>
    <t>DW013</t>
  </si>
  <si>
    <r>
      <rPr>
        <sz val="12"/>
        <color rgb="FF000000"/>
        <rFont val="新細明體"/>
        <charset val="134"/>
      </rPr>
      <t>2806-1350N</t>
    </r>
    <r>
      <rPr>
        <sz val="12"/>
        <color rgb="FF000000"/>
        <rFont val="宋体"/>
        <charset val="134"/>
      </rPr>
      <t>轴套</t>
    </r>
  </si>
  <si>
    <t>DW014</t>
  </si>
  <si>
    <r>
      <rPr>
        <sz val="12"/>
        <color rgb="FF000000"/>
        <rFont val="新細明體"/>
        <charset val="134"/>
      </rPr>
      <t>2808-1850N</t>
    </r>
    <r>
      <rPr>
        <sz val="12"/>
        <color rgb="FF000000"/>
        <rFont val="宋体"/>
        <charset val="134"/>
      </rPr>
      <t>轴套</t>
    </r>
  </si>
  <si>
    <r>
      <rPr>
        <sz val="12"/>
        <color rgb="FF000000"/>
        <rFont val="新細明體"/>
        <charset val="134"/>
      </rPr>
      <t>2803-650N</t>
    </r>
    <r>
      <rPr>
        <sz val="12"/>
        <color rgb="FF000000"/>
        <rFont val="宋体"/>
        <charset val="134"/>
      </rPr>
      <t>轴套</t>
    </r>
  </si>
  <si>
    <t>DW016</t>
  </si>
  <si>
    <r>
      <rPr>
        <sz val="12"/>
        <color rgb="FF000000"/>
        <rFont val="新細明體"/>
        <charset val="134"/>
      </rPr>
      <t>2805-850N</t>
    </r>
    <r>
      <rPr>
        <sz val="12"/>
        <color rgb="FF000000"/>
        <rFont val="宋体"/>
        <charset val="134"/>
      </rPr>
      <t>轴套</t>
    </r>
  </si>
  <si>
    <t>DW017</t>
  </si>
  <si>
    <r>
      <rPr>
        <sz val="12"/>
        <color rgb="FF000000"/>
        <rFont val="新細明體"/>
        <charset val="134"/>
      </rPr>
      <t>W2809-2350N</t>
    </r>
    <r>
      <rPr>
        <sz val="12"/>
        <color rgb="FF000000"/>
        <rFont val="宋体"/>
        <charset val="134"/>
      </rPr>
      <t>轴套</t>
    </r>
  </si>
  <si>
    <t>HPD001-YZ</t>
  </si>
  <si>
    <t>KP31金属壳体</t>
  </si>
  <si>
    <t>鸿鹏达</t>
  </si>
  <si>
    <t>HPD001-CNC</t>
  </si>
  <si>
    <t>HPD001-PM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</si>
</sst>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.0"/>
    <numFmt numFmtId="177" formatCode="00"/>
    <numFmt numFmtId="178" formatCode="m/d;@"/>
    <numFmt numFmtId="179" formatCode="0_);[Red]\(0\)"/>
    <numFmt numFmtId="180" formatCode="0.0;[Red]0.0"/>
    <numFmt numFmtId="181" formatCode="0000"/>
    <numFmt numFmtId="182" formatCode="000000"/>
    <numFmt numFmtId="183" formatCode="m&quot;月&quot;d&quot;日&quot;;@"/>
    <numFmt numFmtId="184" formatCode="yyyy/m/d;@"/>
  </numFmts>
  <fonts count="62">
    <font>
      <sz val="12"/>
      <name val="新細明體"/>
      <charset val="134"/>
    </font>
    <font>
      <sz val="11"/>
      <name val="新細明體"/>
      <charset val="134"/>
    </font>
    <font>
      <sz val="11"/>
      <color indexed="8"/>
      <name val="新細明體"/>
      <charset val="134"/>
    </font>
    <font>
      <sz val="12"/>
      <color indexed="8"/>
      <name val="新細明體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新細明體"/>
      <charset val="134"/>
    </font>
    <font>
      <sz val="12"/>
      <name val="宋体"/>
      <charset val="134"/>
    </font>
    <font>
      <sz val="11"/>
      <color rgb="FFFF0000"/>
      <name val="新細明體"/>
      <charset val="134"/>
    </font>
    <font>
      <sz val="11"/>
      <color rgb="FFFF0000"/>
      <name val="宋体"/>
      <charset val="134"/>
    </font>
    <font>
      <b/>
      <sz val="12"/>
      <name val="新細明體"/>
      <charset val="134"/>
    </font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0"/>
      <color rgb="FF000000"/>
      <name val="新細明體"/>
      <charset val="134"/>
    </font>
    <font>
      <sz val="10"/>
      <name val="宋体"/>
      <charset val="134"/>
      <scheme val="minor"/>
    </font>
    <font>
      <b/>
      <sz val="11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1"/>
      <color indexed="8"/>
      <name val="新細明體"/>
      <charset val="134"/>
    </font>
    <font>
      <sz val="10"/>
      <color indexed="8"/>
      <name val="新細明體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</font>
    <font>
      <sz val="9"/>
      <color rgb="FF000000"/>
      <name val="Albany WT J"/>
      <charset val="134"/>
    </font>
    <font>
      <sz val="9"/>
      <color theme="1"/>
      <name val="宋体"/>
      <charset val="134"/>
    </font>
    <font>
      <sz val="11"/>
      <color theme="1"/>
      <name val="Tahoma"/>
      <charset val="134"/>
    </font>
    <font>
      <sz val="12"/>
      <name val="宋体"/>
      <charset val="134"/>
      <scheme val="minor"/>
    </font>
    <font>
      <b/>
      <sz val="12"/>
      <name val="宋体"/>
      <charset val="134"/>
    </font>
    <font>
      <sz val="12"/>
      <color rgb="FF000000"/>
      <name val="新細明體"/>
      <charset val="134"/>
    </font>
    <font>
      <sz val="10"/>
      <color theme="1"/>
      <name val="宋体"/>
      <charset val="134"/>
    </font>
    <font>
      <sz val="11"/>
      <name val="宋体"/>
      <charset val="134"/>
      <scheme val="minor"/>
    </font>
    <font>
      <sz val="11"/>
      <color theme="4" tint="-0.249977111117893"/>
      <name val="新細明體"/>
      <charset val="134"/>
    </font>
    <font>
      <sz val="12"/>
      <color theme="4" tint="-0.249977111117893"/>
      <name val="新細明體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10"/>
      <name val="MS Sans Serif"/>
      <charset val="134"/>
    </font>
    <font>
      <sz val="12"/>
      <name val="Times New Roman"/>
      <charset val="134"/>
    </font>
    <font>
      <sz val="11"/>
      <color indexed="8"/>
      <name val="宋体"/>
      <charset val="134"/>
    </font>
    <font>
      <b/>
      <sz val="11"/>
      <color rgb="FF000000"/>
      <name val="新細明體"/>
      <charset val="134"/>
    </font>
    <font>
      <b/>
      <sz val="12"/>
      <color rgb="FFFF0000"/>
      <name val="宋体"/>
      <charset val="134"/>
    </font>
    <font>
      <sz val="9"/>
      <color rgb="FF000000"/>
      <name val="宋体"/>
      <charset val="134"/>
    </font>
    <font>
      <b/>
      <sz val="10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10" borderId="4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1" borderId="7" applyNumberFormat="0" applyAlignment="0" applyProtection="0">
      <alignment vertical="center"/>
    </xf>
    <xf numFmtId="0" fontId="42" fillId="12" borderId="8" applyNumberFormat="0" applyAlignment="0" applyProtection="0">
      <alignment vertical="center"/>
    </xf>
    <xf numFmtId="0" fontId="43" fillId="12" borderId="7" applyNumberFormat="0" applyAlignment="0" applyProtection="0">
      <alignment vertical="center"/>
    </xf>
    <xf numFmtId="0" fontId="44" fillId="13" borderId="9" applyNumberFormat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2" fillId="0" borderId="0"/>
    <xf numFmtId="0" fontId="12" fillId="0" borderId="0">
      <alignment vertical="center"/>
    </xf>
    <xf numFmtId="0" fontId="53" fillId="0" borderId="0" applyNumberFormat="0" applyFill="0" applyBorder="0" applyAlignment="0" applyProtection="0"/>
    <xf numFmtId="0" fontId="25" fillId="0" borderId="0"/>
    <xf numFmtId="0" fontId="54" fillId="0" borderId="0"/>
    <xf numFmtId="0" fontId="0" fillId="0" borderId="0"/>
  </cellStyleXfs>
  <cellXfs count="264">
    <xf numFmtId="0" fontId="0" fillId="0" borderId="0" xfId="0" applyFont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177" fontId="3" fillId="3" borderId="0" xfId="0" applyNumberFormat="1" applyFont="1" applyFill="1" applyBorder="1" applyAlignment="1">
      <alignment horizontal="center" vertical="center" shrinkToFit="1"/>
    </xf>
    <xf numFmtId="0" fontId="3" fillId="3" borderId="0" xfId="0" applyFont="1" applyFill="1" applyBorder="1" applyAlignment="1">
      <alignment horizontal="center" vertical="center" shrinkToFit="1"/>
    </xf>
    <xf numFmtId="0" fontId="0" fillId="3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177" fontId="4" fillId="0" borderId="0" xfId="0" applyNumberFormat="1" applyFont="1" applyFill="1" applyBorder="1" applyAlignment="1">
      <alignment horizontal="center" vertical="center" shrinkToFit="1"/>
    </xf>
    <xf numFmtId="0" fontId="5" fillId="0" borderId="0" xfId="0" applyNumberFormat="1" applyFont="1" applyFill="1" applyBorder="1" applyAlignment="1" applyProtection="1">
      <alignment horizontal="center" vertical="center"/>
      <protection locked="0"/>
    </xf>
    <xf numFmtId="178" fontId="5" fillId="0" borderId="0" xfId="0" applyNumberFormat="1" applyFont="1" applyFill="1" applyBorder="1" applyAlignment="1" applyProtection="1">
      <alignment horizontal="center" vertical="center"/>
      <protection locked="0"/>
    </xf>
    <xf numFmtId="179" fontId="6" fillId="4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 shrinkToFit="1"/>
      <protection locked="0"/>
    </xf>
    <xf numFmtId="179" fontId="5" fillId="0" borderId="0" xfId="0" applyNumberFormat="1" applyFont="1" applyFill="1" applyBorder="1" applyAlignment="1">
      <alignment horizontal="center" vertical="center"/>
    </xf>
    <xf numFmtId="180" fontId="6" fillId="0" borderId="0" xfId="0" applyNumberFormat="1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79" fontId="5" fillId="5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shrinkToFit="1"/>
    </xf>
    <xf numFmtId="179" fontId="1" fillId="0" borderId="0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79" fontId="9" fillId="0" borderId="0" xfId="0" applyNumberFormat="1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 shrinkToFit="1"/>
    </xf>
    <xf numFmtId="179" fontId="10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177" fontId="2" fillId="2" borderId="0" xfId="0" applyNumberFormat="1" applyFont="1" applyFill="1" applyBorder="1" applyAlignment="1">
      <alignment horizontal="center" vertical="center" shrinkToFit="1"/>
    </xf>
    <xf numFmtId="179" fontId="6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shrinkToFit="1"/>
    </xf>
    <xf numFmtId="179" fontId="1" fillId="2" borderId="0" xfId="0" applyNumberFormat="1" applyFont="1" applyFill="1" applyBorder="1" applyAlignment="1">
      <alignment horizontal="center" vertical="center"/>
    </xf>
    <xf numFmtId="179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shrinkToFit="1"/>
    </xf>
    <xf numFmtId="0" fontId="12" fillId="0" borderId="0" xfId="0" applyNumberFormat="1" applyFont="1" applyFill="1" applyBorder="1" applyAlignment="1">
      <alignment horizontal="center" vertical="center"/>
    </xf>
    <xf numFmtId="58" fontId="1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 shrinkToFit="1"/>
    </xf>
    <xf numFmtId="176" fontId="7" fillId="0" borderId="0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Fill="1" applyBorder="1" applyAlignment="1">
      <alignment horizontal="center" vertical="center" shrinkToFit="1"/>
    </xf>
    <xf numFmtId="176" fontId="2" fillId="0" borderId="0" xfId="0" applyNumberFormat="1" applyFont="1" applyFill="1" applyBorder="1" applyAlignment="1">
      <alignment horizontal="center" shrinkToFit="1"/>
    </xf>
    <xf numFmtId="0" fontId="13" fillId="0" borderId="0" xfId="0" applyFont="1" applyFill="1" applyBorder="1" applyAlignment="1">
      <alignment horizontal="left" vertical="center"/>
    </xf>
    <xf numFmtId="179" fontId="2" fillId="3" borderId="0" xfId="0" applyNumberFormat="1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 shrinkToFit="1"/>
    </xf>
    <xf numFmtId="0" fontId="6" fillId="6" borderId="0" xfId="0" applyFont="1" applyFill="1" applyBorder="1" applyAlignment="1">
      <alignment horizontal="center" vertical="center" shrinkToFit="1"/>
    </xf>
    <xf numFmtId="49" fontId="2" fillId="0" borderId="0" xfId="0" applyNumberFormat="1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15" fillId="3" borderId="0" xfId="0" applyNumberFormat="1" applyFont="1" applyFill="1" applyBorder="1" applyAlignment="1">
      <alignment horizontal="left" vertical="center" wrapText="1"/>
    </xf>
    <xf numFmtId="177" fontId="2" fillId="8" borderId="0" xfId="0" applyNumberFormat="1" applyFont="1" applyFill="1" applyBorder="1" applyAlignment="1">
      <alignment horizontal="center" vertical="center" shrinkToFit="1"/>
    </xf>
    <xf numFmtId="0" fontId="7" fillId="8" borderId="0" xfId="0" applyFont="1" applyFill="1" applyBorder="1" applyAlignment="1">
      <alignment horizontal="center" vertical="center" shrinkToFit="1"/>
    </xf>
    <xf numFmtId="0" fontId="6" fillId="8" borderId="0" xfId="0" applyFont="1" applyFill="1" applyBorder="1" applyAlignment="1">
      <alignment horizontal="center" vertical="center" shrinkToFit="1"/>
    </xf>
    <xf numFmtId="179" fontId="6" fillId="8" borderId="0" xfId="0" applyNumberFormat="1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shrinkToFit="1"/>
    </xf>
    <xf numFmtId="179" fontId="1" fillId="8" borderId="0" xfId="0" applyNumberFormat="1" applyFont="1" applyFill="1" applyBorder="1" applyAlignment="1">
      <alignment horizontal="center" vertical="center"/>
    </xf>
    <xf numFmtId="179" fontId="2" fillId="8" borderId="0" xfId="0" applyNumberFormat="1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left" vertical="center"/>
    </xf>
    <xf numFmtId="177" fontId="2" fillId="7" borderId="0" xfId="0" applyNumberFormat="1" applyFont="1" applyFill="1" applyBorder="1" applyAlignment="1">
      <alignment horizontal="center" vertical="center" shrinkToFit="1"/>
    </xf>
    <xf numFmtId="0" fontId="7" fillId="7" borderId="0" xfId="0" applyFont="1" applyFill="1" applyBorder="1" applyAlignment="1">
      <alignment horizontal="center" vertical="center" shrinkToFit="1"/>
    </xf>
    <xf numFmtId="0" fontId="6" fillId="7" borderId="0" xfId="0" applyFont="1" applyFill="1" applyBorder="1" applyAlignment="1">
      <alignment horizontal="center" vertical="center" shrinkToFit="1"/>
    </xf>
    <xf numFmtId="179" fontId="6" fillId="7" borderId="0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shrinkToFit="1"/>
    </xf>
    <xf numFmtId="179" fontId="1" fillId="7" borderId="0" xfId="0" applyNumberFormat="1" applyFont="1" applyFill="1" applyBorder="1" applyAlignment="1">
      <alignment horizontal="center" vertical="center"/>
    </xf>
    <xf numFmtId="179" fontId="2" fillId="7" borderId="0" xfId="0" applyNumberFormat="1" applyFont="1" applyFill="1" applyBorder="1" applyAlignment="1">
      <alignment horizontal="center" vertical="center"/>
    </xf>
    <xf numFmtId="179" fontId="16" fillId="2" borderId="0" xfId="0" applyNumberFormat="1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179" fontId="7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 wrapText="1" shrinkToFit="1"/>
    </xf>
    <xf numFmtId="0" fontId="10" fillId="0" borderId="0" xfId="0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shrinkToFit="1"/>
    </xf>
    <xf numFmtId="0" fontId="13" fillId="2" borderId="0" xfId="0" applyFont="1" applyFill="1" applyBorder="1" applyAlignment="1">
      <alignment horizontal="left" vertical="center"/>
    </xf>
    <xf numFmtId="0" fontId="19" fillId="7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 wrapText="1" shrinkToFit="1"/>
    </xf>
    <xf numFmtId="0" fontId="4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 shrinkToFit="1"/>
    </xf>
    <xf numFmtId="0" fontId="5" fillId="0" borderId="0" xfId="0" applyNumberFormat="1" applyFont="1" applyFill="1" applyBorder="1" applyAlignment="1">
      <alignment horizontal="center" vertical="center" shrinkToFit="1"/>
    </xf>
    <xf numFmtId="176" fontId="2" fillId="0" borderId="0" xfId="0" applyNumberFormat="1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177" fontId="2" fillId="0" borderId="0" xfId="0" applyNumberFormat="1" applyFont="1" applyFill="1" applyBorder="1" applyAlignment="1">
      <alignment horizontal="left" vertical="center" shrinkToFit="1"/>
    </xf>
    <xf numFmtId="0" fontId="22" fillId="0" borderId="0" xfId="0" applyFont="1" applyFill="1" applyBorder="1" applyAlignment="1">
      <alignment horizontal="center" vertical="center"/>
    </xf>
    <xf numFmtId="179" fontId="10" fillId="5" borderId="0" xfId="0" applyNumberFormat="1" applyFont="1" applyFill="1" applyBorder="1" applyAlignment="1">
      <alignment horizontal="center" vertical="center"/>
    </xf>
    <xf numFmtId="0" fontId="0" fillId="7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177" fontId="2" fillId="3" borderId="0" xfId="0" applyNumberFormat="1" applyFont="1" applyFill="1" applyBorder="1" applyAlignment="1">
      <alignment horizontal="center" vertical="center" shrinkToFit="1"/>
    </xf>
    <xf numFmtId="0" fontId="2" fillId="3" borderId="0" xfId="0" applyFont="1" applyFill="1" applyBorder="1" applyAlignment="1">
      <alignment horizontal="center" vertical="center" shrinkToFit="1"/>
    </xf>
    <xf numFmtId="0" fontId="6" fillId="3" borderId="0" xfId="0" applyFont="1" applyFill="1" applyBorder="1" applyAlignment="1">
      <alignment horizontal="center" vertical="center" shrinkToFit="1"/>
    </xf>
    <xf numFmtId="179" fontId="10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shrinkToFit="1"/>
    </xf>
    <xf numFmtId="0" fontId="2" fillId="2" borderId="0" xfId="0" applyFont="1" applyFill="1" applyBorder="1" applyAlignment="1">
      <alignment horizontal="center" vertical="center" shrinkToFit="1"/>
    </xf>
    <xf numFmtId="179" fontId="6" fillId="2" borderId="0" xfId="0" applyNumberFormat="1" applyFont="1" applyFill="1" applyBorder="1" applyAlignment="1">
      <alignment horizontal="left" vertical="center"/>
    </xf>
    <xf numFmtId="179" fontId="6" fillId="3" borderId="0" xfId="0" applyNumberFormat="1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179" fontId="6" fillId="0" borderId="0" xfId="0" applyNumberFormat="1" applyFont="1" applyFill="1" applyBorder="1" applyAlignment="1">
      <alignment vertical="center"/>
    </xf>
    <xf numFmtId="177" fontId="7" fillId="0" borderId="0" xfId="0" applyNumberFormat="1" applyFont="1" applyFill="1" applyBorder="1" applyAlignment="1">
      <alignment horizontal="center" vertical="center" shrinkToFit="1"/>
    </xf>
    <xf numFmtId="177" fontId="7" fillId="2" borderId="0" xfId="0" applyNumberFormat="1" applyFont="1" applyFill="1" applyBorder="1" applyAlignment="1">
      <alignment horizontal="center" vertical="center" shrinkToFit="1"/>
    </xf>
    <xf numFmtId="0" fontId="11" fillId="2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58" fontId="18" fillId="0" borderId="0" xfId="0" applyNumberFormat="1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shrinkToFit="1"/>
    </xf>
    <xf numFmtId="0" fontId="2" fillId="2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shrinkToFit="1"/>
    </xf>
    <xf numFmtId="181" fontId="7" fillId="0" borderId="0" xfId="0" applyNumberFormat="1" applyFont="1" applyFill="1" applyBorder="1" applyAlignment="1">
      <alignment horizontal="center" vertical="center" wrapText="1" shrinkToFit="1"/>
    </xf>
    <xf numFmtId="0" fontId="25" fillId="0" borderId="0" xfId="0" applyFont="1" applyFill="1" applyBorder="1" applyAlignment="1">
      <alignment horizontal="center" vertical="center"/>
    </xf>
    <xf numFmtId="181" fontId="2" fillId="0" borderId="0" xfId="0" applyNumberFormat="1" applyFont="1" applyFill="1" applyBorder="1" applyAlignment="1">
      <alignment horizontal="center" vertical="center" wrapText="1" shrinkToFit="1"/>
    </xf>
    <xf numFmtId="181" fontId="6" fillId="0" borderId="0" xfId="0" applyNumberFormat="1" applyFont="1" applyFill="1" applyBorder="1" applyAlignment="1">
      <alignment horizontal="center" vertical="center" wrapText="1" shrinkToFit="1"/>
    </xf>
    <xf numFmtId="181" fontId="2" fillId="0" borderId="0" xfId="0" applyNumberFormat="1" applyFont="1" applyFill="1" applyBorder="1" applyAlignment="1">
      <alignment horizontal="center" vertical="center" shrinkToFit="1"/>
    </xf>
    <xf numFmtId="177" fontId="1" fillId="0" borderId="0" xfId="0" applyNumberFormat="1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 shrinkToFit="1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center"/>
    </xf>
    <xf numFmtId="49" fontId="26" fillId="0" borderId="0" xfId="0" applyNumberFormat="1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8" fillId="7" borderId="0" xfId="0" applyFont="1" applyFill="1" applyBorder="1" applyAlignment="1">
      <alignment horizontal="left" vertical="center"/>
    </xf>
    <xf numFmtId="49" fontId="26" fillId="2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center" vertical="center"/>
    </xf>
    <xf numFmtId="177" fontId="28" fillId="0" borderId="0" xfId="0" applyNumberFormat="1" applyFont="1" applyFill="1" applyBorder="1" applyAlignment="1">
      <alignment horizontal="left" vertical="center" shrinkToFit="1"/>
    </xf>
    <xf numFmtId="0" fontId="27" fillId="9" borderId="0" xfId="0" applyFont="1" applyFill="1" applyBorder="1" applyAlignment="1">
      <alignment horizontal="left" vertical="center"/>
    </xf>
    <xf numFmtId="182" fontId="28" fillId="0" borderId="0" xfId="0" applyNumberFormat="1" applyFont="1" applyFill="1" applyBorder="1" applyAlignment="1">
      <alignment horizontal="center" vertical="center" shrinkToFit="1"/>
    </xf>
    <xf numFmtId="182" fontId="28" fillId="2" borderId="0" xfId="0" applyNumberFormat="1" applyFont="1" applyFill="1" applyBorder="1" applyAlignment="1">
      <alignment horizontal="center" vertical="center" shrinkToFit="1"/>
    </xf>
    <xf numFmtId="0" fontId="12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182" fontId="21" fillId="0" borderId="0" xfId="0" applyNumberFormat="1" applyFont="1" applyFill="1" applyBorder="1" applyAlignment="1">
      <alignment horizontal="center" vertical="center" shrinkToFit="1"/>
    </xf>
    <xf numFmtId="0" fontId="25" fillId="0" borderId="0" xfId="0" applyFont="1" applyFill="1" applyBorder="1" applyAlignment="1">
      <alignment horizontal="center"/>
    </xf>
    <xf numFmtId="0" fontId="29" fillId="0" borderId="0" xfId="0" applyFont="1" applyFill="1" applyBorder="1" applyAlignment="1">
      <alignment horizontal="left"/>
    </xf>
    <xf numFmtId="0" fontId="25" fillId="2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left" vertical="center"/>
    </xf>
    <xf numFmtId="0" fontId="7" fillId="7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177" fontId="28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center" vertical="center" shrinkToFit="1"/>
    </xf>
    <xf numFmtId="0" fontId="21" fillId="3" borderId="0" xfId="0" applyFont="1" applyFill="1" applyBorder="1" applyAlignment="1">
      <alignment horizontal="left" vertical="center"/>
    </xf>
    <xf numFmtId="177" fontId="28" fillId="3" borderId="0" xfId="0" applyNumberFormat="1" applyFont="1" applyFill="1" applyBorder="1" applyAlignment="1">
      <alignment horizontal="center" vertical="center" shrinkToFit="1"/>
    </xf>
    <xf numFmtId="0" fontId="28" fillId="3" borderId="0" xfId="0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shrinkToFit="1"/>
    </xf>
    <xf numFmtId="178" fontId="1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shrinkToFit="1"/>
    </xf>
    <xf numFmtId="0" fontId="30" fillId="0" borderId="1" xfId="0" applyNumberFormat="1" applyFont="1" applyFill="1" applyBorder="1" applyAlignment="1">
      <alignment horizontal="center" vertical="center" shrinkToFit="1"/>
    </xf>
    <xf numFmtId="0" fontId="3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 shrinkToFit="1"/>
    </xf>
    <xf numFmtId="178" fontId="11" fillId="3" borderId="1" xfId="0" applyNumberFormat="1" applyFont="1" applyFill="1" applyBorder="1" applyAlignment="1">
      <alignment horizontal="center" vertical="center"/>
    </xf>
    <xf numFmtId="0" fontId="27" fillId="3" borderId="1" xfId="0" applyNumberFormat="1" applyFont="1" applyFill="1" applyBorder="1" applyAlignment="1">
      <alignment horizontal="center" vertical="center" shrinkToFit="1"/>
    </xf>
    <xf numFmtId="0" fontId="27" fillId="0" borderId="1" xfId="0" applyNumberFormat="1" applyFont="1" applyFill="1" applyBorder="1" applyAlignment="1">
      <alignment horizontal="center" vertical="center" shrinkToFit="1"/>
    </xf>
    <xf numFmtId="0" fontId="16" fillId="3" borderId="1" xfId="0" applyNumberFormat="1" applyFont="1" applyFill="1" applyBorder="1" applyAlignment="1">
      <alignment horizontal="center" vertical="center" shrinkToFit="1"/>
    </xf>
    <xf numFmtId="0" fontId="27" fillId="3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177" fontId="2" fillId="2" borderId="1" xfId="0" applyNumberFormat="1" applyFont="1" applyFill="1" applyBorder="1" applyAlignment="1">
      <alignment horizontal="center" vertical="center" shrinkToFit="1"/>
    </xf>
    <xf numFmtId="179" fontId="7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center" vertical="center" shrinkToFit="1"/>
    </xf>
    <xf numFmtId="0" fontId="11" fillId="3" borderId="0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0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32" fillId="3" borderId="1" xfId="0" applyNumberFormat="1" applyFont="1" applyFill="1" applyBorder="1" applyAlignment="1" applyProtection="1">
      <alignment horizontal="center" vertical="center"/>
      <protection locked="0"/>
    </xf>
    <xf numFmtId="0" fontId="11" fillId="3" borderId="1" xfId="0" applyNumberFormat="1" applyFont="1" applyFill="1" applyBorder="1" applyAlignment="1" applyProtection="1">
      <alignment horizontal="center" vertical="center"/>
      <protection locked="0"/>
    </xf>
    <xf numFmtId="0" fontId="11" fillId="0" borderId="1" xfId="0" applyNumberFormat="1" applyFont="1" applyFill="1" applyBorder="1" applyAlignment="1" applyProtection="1">
      <alignment horizontal="center" vertical="center"/>
      <protection locked="0"/>
    </xf>
    <xf numFmtId="0" fontId="11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27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 applyProtection="1">
      <alignment horizontal="center" vertical="center"/>
      <protection locked="0"/>
    </xf>
    <xf numFmtId="0" fontId="8" fillId="3" borderId="1" xfId="0" applyNumberFormat="1" applyFont="1" applyFill="1" applyBorder="1" applyAlignment="1" applyProtection="1">
      <alignment horizontal="center" vertical="center"/>
      <protection locked="0"/>
    </xf>
    <xf numFmtId="58" fontId="0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NumberFormat="1" applyFont="1" applyFill="1" applyBorder="1" applyAlignment="1" applyProtection="1">
      <alignment horizontal="center" vertical="center"/>
      <protection locked="0"/>
    </xf>
    <xf numFmtId="179" fontId="2" fillId="3" borderId="1" xfId="0" applyNumberFormat="1" applyFont="1" applyFill="1" applyBorder="1" applyAlignment="1">
      <alignment horizontal="center" vertical="center"/>
    </xf>
    <xf numFmtId="179" fontId="6" fillId="3" borderId="1" xfId="0" applyNumberFormat="1" applyFont="1" applyFill="1" applyBorder="1" applyAlignment="1">
      <alignment horizontal="center" vertical="center"/>
    </xf>
    <xf numFmtId="0" fontId="8" fillId="3" borderId="0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>
      <alignment horizontal="center" vertical="center" shrinkToFit="1"/>
    </xf>
    <xf numFmtId="0" fontId="12" fillId="3" borderId="1" xfId="0" applyFont="1" applyFill="1" applyBorder="1" applyAlignment="1">
      <alignment horizontal="center" vertical="center"/>
    </xf>
    <xf numFmtId="179" fontId="2" fillId="0" borderId="2" xfId="0" applyNumberFormat="1" applyFont="1" applyFill="1" applyBorder="1" applyAlignment="1">
      <alignment horizontal="center" vertical="center"/>
    </xf>
    <xf numFmtId="58" fontId="25" fillId="3" borderId="1" xfId="0" applyNumberFormat="1" applyFont="1" applyFill="1" applyBorder="1" applyAlignment="1">
      <alignment horizontal="center" vertical="center"/>
    </xf>
    <xf numFmtId="0" fontId="25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184" fontId="0" fillId="3" borderId="0" xfId="0" applyNumberFormat="1" applyFont="1" applyFill="1" applyAlignment="1">
      <alignment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left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Continuous" vertical="center"/>
    </xf>
    <xf numFmtId="184" fontId="0" fillId="3" borderId="0" xfId="0" applyNumberFormat="1" applyFont="1" applyFill="1" applyAlignment="1">
      <alignment horizontal="centerContinuous" vertical="center"/>
    </xf>
    <xf numFmtId="0" fontId="27" fillId="3" borderId="0" xfId="0" applyFont="1" applyFill="1" applyAlignment="1">
      <alignment horizontal="center" vertical="center"/>
    </xf>
    <xf numFmtId="184" fontId="27" fillId="3" borderId="1" xfId="54" applyNumberFormat="1" applyFont="1" applyFill="1" applyBorder="1" applyAlignment="1" applyProtection="1">
      <alignment horizontal="center" vertical="center"/>
      <protection locked="0"/>
    </xf>
    <xf numFmtId="177" fontId="4" fillId="0" borderId="1" xfId="0" applyNumberFormat="1" applyFont="1" applyFill="1" applyBorder="1" applyAlignment="1">
      <alignment horizontal="center" vertical="center" shrinkToFit="1"/>
    </xf>
    <xf numFmtId="0" fontId="11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27" fillId="0" borderId="1" xfId="0" applyNumberFormat="1" applyFont="1" applyFill="1" applyBorder="1" applyAlignment="1" applyProtection="1">
      <alignment horizontal="center" vertical="center"/>
      <protection locked="0"/>
    </xf>
    <xf numFmtId="179" fontId="4" fillId="0" borderId="1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84" fontId="27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shrinkToFit="1"/>
    </xf>
    <xf numFmtId="179" fontId="7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NumberFormat="1" applyFont="1" applyFill="1" applyBorder="1" applyAlignment="1" applyProtection="1">
      <alignment horizontal="center" vertical="center" shrinkToFit="1"/>
      <protection locked="0"/>
    </xf>
    <xf numFmtId="184" fontId="8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84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54" applyNumberFormat="1" applyFont="1" applyFill="1" applyBorder="1" applyAlignment="1">
      <alignment horizontal="center" vertical="center" shrinkToFit="1"/>
    </xf>
    <xf numFmtId="177" fontId="1" fillId="0" borderId="1" xfId="0" applyNumberFormat="1" applyFont="1" applyFill="1" applyBorder="1" applyAlignment="1">
      <alignment horizontal="center" vertical="center" shrinkToFit="1"/>
    </xf>
    <xf numFmtId="0" fontId="0" fillId="0" borderId="3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184" fontId="0" fillId="3" borderId="1" xfId="0" applyNumberFormat="1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 quotePrefix="1">
      <alignment horizontal="center" vertical="center"/>
    </xf>
    <xf numFmtId="0" fontId="5" fillId="3" borderId="1" xfId="0" applyNumberFormat="1" applyFont="1" applyFill="1" applyBorder="1" applyAlignment="1" quotePrefix="1">
      <alignment horizontal="center" vertical="center" shrinkToFit="1"/>
    </xf>
    <xf numFmtId="0" fontId="1" fillId="0" borderId="1" xfId="0" applyFont="1" applyFill="1" applyBorder="1" applyAlignment="1" quotePrefix="1">
      <alignment horizontal="center" vertical="center" shrinkToFi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_12月庫存表" xfId="49"/>
    <cellStyle name="常规 2" xfId="50"/>
    <cellStyle name="ColLevel_1" xfId="51"/>
    <cellStyle name="常规 3" xfId="52"/>
    <cellStyle name="样式 1" xfId="53"/>
    <cellStyle name="常规 5" xfId="54"/>
  </cellStyles>
  <tableStyles count="0" defaultTableStyle="TableStyleMedium2" defaultPivotStyle="PivotStyleLight16"/>
  <colors>
    <mruColors>
      <color rgb="00016A7D"/>
      <color rgb="00FFD966"/>
      <color rgb="00FECC2B"/>
      <color rgb="00FFE699"/>
      <color rgb="0000B050"/>
      <color rgb="00FF0000"/>
      <color rgb="0023C9FF"/>
      <color rgb="0092D05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880</xdr:row>
      <xdr:rowOff>0</xdr:rowOff>
    </xdr:from>
    <xdr:to>
      <xdr:col>2</xdr:col>
      <xdr:colOff>9525</xdr:colOff>
      <xdr:row>880</xdr:row>
      <xdr:rowOff>0</xdr:rowOff>
    </xdr:to>
    <xdr:sp>
      <xdr:nvSpPr>
        <xdr:cNvPr id="202971339" name="Line 1"/>
        <xdr:cNvSpPr/>
      </xdr:nvSpPr>
      <xdr:spPr>
        <a:xfrm>
          <a:off x="1234440" y="184605930"/>
          <a:ext cx="952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323850</xdr:colOff>
      <xdr:row>880</xdr:row>
      <xdr:rowOff>0</xdr:rowOff>
    </xdr:from>
    <xdr:to>
      <xdr:col>1</xdr:col>
      <xdr:colOff>333375</xdr:colOff>
      <xdr:row>880</xdr:row>
      <xdr:rowOff>0</xdr:rowOff>
    </xdr:to>
    <xdr:sp>
      <xdr:nvSpPr>
        <xdr:cNvPr id="202979971" name="Line 8633"/>
        <xdr:cNvSpPr/>
      </xdr:nvSpPr>
      <xdr:spPr>
        <a:xfrm>
          <a:off x="733425" y="184605930"/>
          <a:ext cx="952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2</xdr:col>
      <xdr:colOff>343535</xdr:colOff>
      <xdr:row>880</xdr:row>
      <xdr:rowOff>0</xdr:rowOff>
    </xdr:from>
    <xdr:to>
      <xdr:col>2</xdr:col>
      <xdr:colOff>352425</xdr:colOff>
      <xdr:row>880</xdr:row>
      <xdr:rowOff>0</xdr:rowOff>
    </xdr:to>
    <xdr:sp>
      <xdr:nvSpPr>
        <xdr:cNvPr id="202979976" name="Line 8638"/>
        <xdr:cNvSpPr/>
      </xdr:nvSpPr>
      <xdr:spPr>
        <a:xfrm>
          <a:off x="1577975" y="184605930"/>
          <a:ext cx="8890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57150</xdr:colOff>
      <xdr:row>1784</xdr:row>
      <xdr:rowOff>85725</xdr:rowOff>
    </xdr:from>
    <xdr:to>
      <xdr:col>18</xdr:col>
      <xdr:colOff>628650</xdr:colOff>
      <xdr:row>1803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54915" y="374823355"/>
          <a:ext cx="6924675" cy="401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1028700</xdr:colOff>
      <xdr:row>1917</xdr:row>
      <xdr:rowOff>200025</xdr:rowOff>
    </xdr:from>
    <xdr:to>
      <xdr:col>12</xdr:col>
      <xdr:colOff>19050</xdr:colOff>
      <xdr:row>1924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64265" y="402814155"/>
          <a:ext cx="2905125" cy="137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1171575</xdr:colOff>
      <xdr:row>0</xdr:row>
      <xdr:rowOff>200025</xdr:rowOff>
    </xdr:from>
    <xdr:to>
      <xdr:col>14</xdr:col>
      <xdr:colOff>676275</xdr:colOff>
      <xdr:row>5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69340" y="200025"/>
          <a:ext cx="3114675" cy="1076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.7.6&#30424;&#28857;&#25104;&#21697;&#36827;&#38144;&#23384;&#26126;&#32454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成品月初库存"/>
      <sheetName val="成品入库明细"/>
      <sheetName val="成品出库明细"/>
      <sheetName val="成品本月库存"/>
    </sheetNames>
    <sheetDataSet>
      <sheetData sheetId="0"/>
      <sheetData sheetId="1"/>
      <sheetData sheetId="2"/>
      <sheetData sheetId="3">
        <row r="1">
          <cell r="B1" t="str">
            <v>料号</v>
          </cell>
          <cell r="C1" t="str">
            <v>料号</v>
          </cell>
          <cell r="D1" t="str">
            <v>客户</v>
          </cell>
          <cell r="E1" t="str">
            <v>成品</v>
          </cell>
          <cell r="F1" t="str">
            <v>单位</v>
          </cell>
          <cell r="G1" t="str">
            <v>月初库存</v>
          </cell>
          <cell r="H1" t="str">
            <v>本月入库</v>
          </cell>
          <cell r="I1" t="str">
            <v>本月出库</v>
          </cell>
          <cell r="J1" t="str">
            <v>本月结存</v>
          </cell>
        </row>
        <row r="2">
          <cell r="B2" t="str">
            <v>ZM0001</v>
          </cell>
          <cell r="C2" t="str">
            <v>H56上盖</v>
          </cell>
          <cell r="D2" t="str">
            <v>纵目</v>
          </cell>
          <cell r="E2" t="str">
            <v>成品</v>
          </cell>
          <cell r="F2" t="str">
            <v>PCS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B3" t="str">
            <v>ZM0002</v>
          </cell>
          <cell r="C3" t="str">
            <v>H56下盖</v>
          </cell>
          <cell r="D3" t="str">
            <v>纵目</v>
          </cell>
          <cell r="E3" t="str">
            <v>成品</v>
          </cell>
          <cell r="F3" t="str">
            <v>PCS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B4" t="str">
            <v>ZM0003 </v>
          </cell>
          <cell r="C4" t="str">
            <v>金康X1上盖</v>
          </cell>
          <cell r="D4" t="str">
            <v>纵目</v>
          </cell>
          <cell r="E4" t="str">
            <v>成品</v>
          </cell>
          <cell r="F4" t="str">
            <v>PCS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B5" t="str">
            <v>ZM0004</v>
          </cell>
          <cell r="C5" t="str">
            <v>金康X1下盖</v>
          </cell>
          <cell r="D5" t="str">
            <v>纵目</v>
          </cell>
          <cell r="E5" t="str">
            <v>成品</v>
          </cell>
          <cell r="F5" t="str">
            <v>PCS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B6" t="str">
            <v>ZM0003-F1</v>
          </cell>
          <cell r="C6" t="str">
            <v>金康F1上盖</v>
          </cell>
          <cell r="D6" t="str">
            <v>纵目</v>
          </cell>
          <cell r="E6" t="str">
            <v>成品</v>
          </cell>
          <cell r="F6" t="str">
            <v>PCS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B7" t="str">
            <v>ZM0005</v>
          </cell>
          <cell r="C7" t="str">
            <v>C385上盖</v>
          </cell>
          <cell r="D7" t="str">
            <v>纵目</v>
          </cell>
          <cell r="E7" t="str">
            <v>成品</v>
          </cell>
          <cell r="F7" t="str">
            <v>PCS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B8" t="str">
            <v>ZM0005-1</v>
          </cell>
          <cell r="C8" t="str">
            <v>C385上盖</v>
          </cell>
          <cell r="D8" t="str">
            <v>纵目</v>
          </cell>
          <cell r="E8" t="str">
            <v>成品</v>
          </cell>
          <cell r="F8" t="str">
            <v>PCS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B9" t="str">
            <v>ZM0006</v>
          </cell>
          <cell r="C9" t="str">
            <v>C385下盖</v>
          </cell>
          <cell r="D9" t="str">
            <v>纵目</v>
          </cell>
          <cell r="E9" t="str">
            <v>成品</v>
          </cell>
          <cell r="F9" t="str">
            <v>PCS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B10" t="str">
            <v>ZM0006-1</v>
          </cell>
          <cell r="C10" t="str">
            <v>C385下盖</v>
          </cell>
          <cell r="D10" t="str">
            <v>纵目</v>
          </cell>
          <cell r="E10" t="str">
            <v>成品</v>
          </cell>
          <cell r="F10" t="str">
            <v>PCS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B11" t="str">
            <v>ZM0007</v>
          </cell>
          <cell r="C11" t="str">
            <v>C001_APA主机上盖</v>
          </cell>
          <cell r="D11" t="str">
            <v>纵目</v>
          </cell>
          <cell r="E11" t="str">
            <v>成品</v>
          </cell>
          <cell r="F11" t="str">
            <v>PCS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B12" t="str">
            <v>ZM0008</v>
          </cell>
          <cell r="C12" t="str">
            <v>C001_APA主机下盖</v>
          </cell>
          <cell r="D12" t="str">
            <v>纵目</v>
          </cell>
          <cell r="E12" t="str">
            <v>成品</v>
          </cell>
          <cell r="F12" t="str">
            <v>PCS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B13" t="str">
            <v>ZM001</v>
          </cell>
          <cell r="C13" t="str">
            <v>P-3</v>
          </cell>
          <cell r="D13" t="str">
            <v>卓民</v>
          </cell>
          <cell r="E13" t="str">
            <v>成品</v>
          </cell>
          <cell r="F13" t="str">
            <v>PCS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B14" t="str">
            <v>ZM002</v>
          </cell>
          <cell r="C14" t="str">
            <v>S-3</v>
          </cell>
          <cell r="D14" t="str">
            <v>卓民</v>
          </cell>
          <cell r="E14" t="str">
            <v>成品</v>
          </cell>
          <cell r="F14" t="str">
            <v>PCS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B15" t="str">
            <v>ZM003</v>
          </cell>
          <cell r="C15" t="str">
            <v>61-55N05G001(61-55固定架)</v>
          </cell>
          <cell r="D15" t="str">
            <v>卓民</v>
          </cell>
          <cell r="E15" t="str">
            <v>成品</v>
          </cell>
          <cell r="F15" t="str">
            <v>PCS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B16" t="str">
            <v>ZD001</v>
          </cell>
          <cell r="C16" t="str">
            <v>铝合金前壳</v>
          </cell>
          <cell r="D16" t="str">
            <v>展东机械</v>
          </cell>
          <cell r="E16" t="str">
            <v>成品</v>
          </cell>
          <cell r="F16" t="str">
            <v>PCS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B17" t="str">
            <v>YBQ001</v>
          </cell>
          <cell r="C17" t="str">
            <v>6000固定柱</v>
          </cell>
          <cell r="D17" t="str">
            <v>远邦谦</v>
          </cell>
          <cell r="E17" t="str">
            <v>成品</v>
          </cell>
          <cell r="F17" t="str">
            <v>PCS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B18" t="str">
            <v>YD001</v>
          </cell>
          <cell r="C18" t="str">
            <v>DH506地上型主体(门吸)</v>
          </cell>
          <cell r="D18" t="str">
            <v>毅达</v>
          </cell>
          <cell r="E18" t="str">
            <v>成品</v>
          </cell>
          <cell r="F18" t="str">
            <v>PCS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B19" t="str">
            <v>YX001</v>
          </cell>
          <cell r="C19" t="str">
            <v>MT012A39</v>
          </cell>
          <cell r="D19" t="str">
            <v>奕昕</v>
          </cell>
          <cell r="E19" t="str">
            <v>成品</v>
          </cell>
          <cell r="F19" t="str">
            <v>PCS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B20" t="str">
            <v>YX002</v>
          </cell>
          <cell r="C20" t="str">
            <v>马达后盖MT012M00</v>
          </cell>
          <cell r="D20" t="str">
            <v>奕昕</v>
          </cell>
          <cell r="E20" t="str">
            <v>成品</v>
          </cell>
          <cell r="F20" t="str">
            <v>PCS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B21" t="str">
            <v>YX003</v>
          </cell>
          <cell r="C21" t="str">
            <v>马达前盖MT001Q01</v>
          </cell>
          <cell r="D21" t="str">
            <v>奕昕</v>
          </cell>
          <cell r="E21" t="str">
            <v>成品</v>
          </cell>
          <cell r="F21" t="str">
            <v>PCS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B22" t="str">
            <v>YX004</v>
          </cell>
          <cell r="C22" t="str">
            <v>MT041A25轴承套</v>
          </cell>
          <cell r="D22" t="str">
            <v>奕昕</v>
          </cell>
          <cell r="E22" t="str">
            <v>成品</v>
          </cell>
          <cell r="F22" t="str">
            <v>PCS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B23" t="str">
            <v>YX005</v>
          </cell>
          <cell r="C23" t="str">
            <v>MT041A27轴承套</v>
          </cell>
          <cell r="D23" t="str">
            <v>奕昕</v>
          </cell>
          <cell r="E23" t="str">
            <v>成品</v>
          </cell>
          <cell r="F23" t="str">
            <v>PCS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B24" t="str">
            <v>YX006</v>
          </cell>
          <cell r="C24" t="str">
            <v>MT001A67前盖</v>
          </cell>
          <cell r="D24" t="str">
            <v>奕昕</v>
          </cell>
          <cell r="E24" t="str">
            <v>成品</v>
          </cell>
          <cell r="F24" t="str">
            <v>PCS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B25" t="str">
            <v>YX007</v>
          </cell>
          <cell r="C25" t="str">
            <v>MT012A73后盖</v>
          </cell>
          <cell r="D25" t="str">
            <v>奕昕</v>
          </cell>
          <cell r="E25" t="str">
            <v>成品</v>
          </cell>
          <cell r="F25" t="str">
            <v>PCS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 t="str">
            <v>YX008</v>
          </cell>
          <cell r="C26" t="str">
            <v>MT041A26</v>
          </cell>
          <cell r="D26" t="str">
            <v>奕昕</v>
          </cell>
          <cell r="E26" t="str">
            <v>成品</v>
          </cell>
          <cell r="F26" t="str">
            <v>PCS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B27" t="str">
            <v>YX009</v>
          </cell>
          <cell r="C27" t="str">
            <v>MT041A28</v>
          </cell>
          <cell r="D27" t="str">
            <v>奕昕</v>
          </cell>
          <cell r="E27" t="str">
            <v>成品</v>
          </cell>
          <cell r="F27" t="str">
            <v>PCS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 t="str">
            <v>YS002</v>
          </cell>
          <cell r="C28" t="str">
            <v>AP31主机上盖(360上盖)</v>
          </cell>
          <cell r="D28" t="str">
            <v>铱斯</v>
          </cell>
          <cell r="E28" t="str">
            <v>成品</v>
          </cell>
          <cell r="F28" t="str">
            <v>PCS</v>
          </cell>
          <cell r="G28">
            <v>2819</v>
          </cell>
          <cell r="H28">
            <v>0</v>
          </cell>
          <cell r="I28">
            <v>0</v>
          </cell>
          <cell r="J28">
            <v>2819</v>
          </cell>
        </row>
        <row r="29">
          <cell r="B29" t="str">
            <v>YS001</v>
          </cell>
          <cell r="C29" t="str">
            <v>AP31主机下盖(360下盖)</v>
          </cell>
          <cell r="D29" t="str">
            <v>铱斯</v>
          </cell>
          <cell r="E29" t="str">
            <v>成品</v>
          </cell>
          <cell r="F29" t="str">
            <v>PCS</v>
          </cell>
          <cell r="G29">
            <v>866</v>
          </cell>
          <cell r="H29">
            <v>0</v>
          </cell>
          <cell r="I29">
            <v>0</v>
          </cell>
          <cell r="J29">
            <v>866</v>
          </cell>
        </row>
        <row r="30">
          <cell r="B30" t="str">
            <v>YS003</v>
          </cell>
          <cell r="C30" t="str">
            <v>AS23主机上盖</v>
          </cell>
          <cell r="D30" t="str">
            <v>铱斯</v>
          </cell>
          <cell r="E30" t="str">
            <v>成品</v>
          </cell>
          <cell r="F30" t="str">
            <v>PCS</v>
          </cell>
          <cell r="G30">
            <v>115</v>
          </cell>
          <cell r="H30">
            <v>0</v>
          </cell>
          <cell r="I30">
            <v>0</v>
          </cell>
          <cell r="J30">
            <v>115</v>
          </cell>
        </row>
        <row r="31">
          <cell r="B31" t="str">
            <v>YS004</v>
          </cell>
          <cell r="C31" t="str">
            <v>AS23主机下盖</v>
          </cell>
          <cell r="D31" t="str">
            <v>铱斯</v>
          </cell>
          <cell r="E31" t="str">
            <v>成品</v>
          </cell>
          <cell r="F31" t="str">
            <v>PCS</v>
          </cell>
          <cell r="G31">
            <v>331</v>
          </cell>
          <cell r="H31">
            <v>0</v>
          </cell>
          <cell r="I31">
            <v>0</v>
          </cell>
          <cell r="J31">
            <v>331</v>
          </cell>
        </row>
        <row r="32">
          <cell r="B32" t="str">
            <v>YZH001</v>
          </cell>
          <cell r="C32" t="str">
            <v>支架连接座</v>
          </cell>
          <cell r="D32" t="str">
            <v>洋之翰</v>
          </cell>
          <cell r="E32" t="str">
            <v>成品</v>
          </cell>
          <cell r="F32" t="str">
            <v>PCS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 t="str">
            <v>XJH001</v>
          </cell>
          <cell r="C33" t="str">
            <v>510-00234</v>
          </cell>
          <cell r="D33" t="str">
            <v>鑫捷华</v>
          </cell>
          <cell r="E33" t="str">
            <v>成品</v>
          </cell>
          <cell r="F33" t="str">
            <v>PCS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 t="str">
            <v>XFT0019</v>
          </cell>
          <cell r="C34" t="str">
            <v>600154202G</v>
          </cell>
          <cell r="D34" t="str">
            <v>鑫福泰（将煜）</v>
          </cell>
          <cell r="E34" t="str">
            <v>成品</v>
          </cell>
          <cell r="F34" t="str">
            <v>PCS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 t="str">
            <v>XFT021</v>
          </cell>
          <cell r="C35" t="str">
            <v>600152701G</v>
          </cell>
          <cell r="D35" t="str">
            <v>鑫福泰（将煜）</v>
          </cell>
          <cell r="E35" t="str">
            <v>成品</v>
          </cell>
          <cell r="F35" t="str">
            <v>PCS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 t="str">
            <v>XFT022-S1</v>
          </cell>
          <cell r="C36" t="str">
            <v>600159500G</v>
          </cell>
          <cell r="D36" t="str">
            <v>鑫福泰（将煜）</v>
          </cell>
          <cell r="E36" t="str">
            <v>成品</v>
          </cell>
          <cell r="F36" t="str">
            <v>PCS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 t="str">
            <v>XFT022-S2</v>
          </cell>
          <cell r="C37" t="str">
            <v>600175900G</v>
          </cell>
          <cell r="D37" t="str">
            <v>鑫福泰（将煜）</v>
          </cell>
          <cell r="E37" t="str">
            <v>成品</v>
          </cell>
          <cell r="F37" t="str">
            <v>PCS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 t="str">
            <v>XFT023-S</v>
          </cell>
          <cell r="C38" t="str">
            <v>600156700G</v>
          </cell>
          <cell r="D38" t="str">
            <v>鑫福泰（将煜）</v>
          </cell>
          <cell r="E38" t="str">
            <v>成品</v>
          </cell>
          <cell r="F38" t="str">
            <v>PCS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 t="str">
            <v>XFT023-S1</v>
          </cell>
          <cell r="C39" t="str">
            <v>600156710G</v>
          </cell>
          <cell r="D39" t="str">
            <v>鑫福泰（将煜）</v>
          </cell>
          <cell r="E39" t="str">
            <v>成品</v>
          </cell>
          <cell r="F39" t="str">
            <v>PCS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 t="str">
            <v>XFT023-S2</v>
          </cell>
          <cell r="C40" t="str">
            <v>600156720G</v>
          </cell>
          <cell r="D40" t="str">
            <v>鑫福泰（将煜）</v>
          </cell>
          <cell r="E40" t="str">
            <v>成品</v>
          </cell>
          <cell r="F40" t="str">
            <v>PCS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 t="str">
            <v>XFT023-S3</v>
          </cell>
          <cell r="C41" t="str">
            <v>600183300G</v>
          </cell>
          <cell r="D41" t="str">
            <v>鑫福泰（将煜）</v>
          </cell>
          <cell r="E41" t="str">
            <v>成品</v>
          </cell>
          <cell r="F41" t="str">
            <v>PCS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 t="str">
            <v>XFT023-S4</v>
          </cell>
          <cell r="C42" t="str">
            <v>600174900G</v>
          </cell>
          <cell r="D42" t="str">
            <v>鑫福泰（将煜）</v>
          </cell>
          <cell r="E42" t="str">
            <v>成品</v>
          </cell>
          <cell r="F42" t="str">
            <v>PCS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 t="str">
            <v>XFT023-S5</v>
          </cell>
          <cell r="C43" t="str">
            <v>600156701G</v>
          </cell>
          <cell r="D43" t="str">
            <v>鑫福泰（将煜）</v>
          </cell>
          <cell r="E43" t="str">
            <v>成品</v>
          </cell>
          <cell r="F43" t="str">
            <v>PCS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 t="str">
            <v>XFT024</v>
          </cell>
          <cell r="C44" t="str">
            <v>600154301G</v>
          </cell>
          <cell r="D44" t="str">
            <v>鑫福泰（将煜）</v>
          </cell>
          <cell r="E44" t="str">
            <v>成品</v>
          </cell>
          <cell r="F44" t="str">
            <v>PCS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 t="str">
            <v>XFT025</v>
          </cell>
          <cell r="C45" t="str">
            <v>600160600G</v>
          </cell>
          <cell r="D45" t="str">
            <v>鑫福泰（将煜）</v>
          </cell>
          <cell r="E45" t="str">
            <v>成品</v>
          </cell>
          <cell r="F45" t="str">
            <v>PCS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 t="str">
            <v>XFT026-K</v>
          </cell>
          <cell r="C46" t="str">
            <v>600152800G</v>
          </cell>
          <cell r="D46" t="str">
            <v>鑫福泰（将煜）</v>
          </cell>
          <cell r="E46" t="str">
            <v>或成品</v>
          </cell>
          <cell r="F46" t="str">
            <v>PCS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 t="str">
            <v>XFT026-S1</v>
          </cell>
          <cell r="C47" t="str">
            <v>600152800G</v>
          </cell>
          <cell r="D47" t="str">
            <v>鑫福泰（将煜）</v>
          </cell>
          <cell r="E47" t="str">
            <v>或成品</v>
          </cell>
          <cell r="F47" t="str">
            <v>PCS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 t="str">
            <v>XFT026-S</v>
          </cell>
          <cell r="C48" t="str">
            <v>600152810G</v>
          </cell>
          <cell r="D48" t="str">
            <v>鑫福泰（将煜）</v>
          </cell>
          <cell r="E48" t="str">
            <v>成品</v>
          </cell>
          <cell r="F48" t="str">
            <v>PCS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 t="str">
            <v>XFT027-S1</v>
          </cell>
          <cell r="C49" t="str">
            <v>600173800G</v>
          </cell>
          <cell r="D49" t="str">
            <v>鑫福泰（将煜）</v>
          </cell>
          <cell r="E49" t="str">
            <v>成品</v>
          </cell>
          <cell r="F49" t="str">
            <v>PCS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 t="str">
            <v>XFT027-S2</v>
          </cell>
          <cell r="C50" t="str">
            <v>600183400G</v>
          </cell>
          <cell r="D50" t="str">
            <v>鑫福泰（将煜）</v>
          </cell>
          <cell r="E50" t="str">
            <v>成品</v>
          </cell>
          <cell r="F50" t="str">
            <v>PCS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 t="str">
            <v>XFT027-S3</v>
          </cell>
          <cell r="C51" t="str">
            <v>600174000G</v>
          </cell>
          <cell r="D51" t="str">
            <v>鑫福泰（将煜）</v>
          </cell>
          <cell r="E51" t="str">
            <v>成品</v>
          </cell>
          <cell r="F51" t="str">
            <v>PCS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 t="str">
            <v>XFT027-S4</v>
          </cell>
          <cell r="C52" t="str">
            <v>600160700G</v>
          </cell>
          <cell r="D52" t="str">
            <v>鑫福泰（将煜）</v>
          </cell>
          <cell r="E52" t="str">
            <v>成品</v>
          </cell>
          <cell r="F52" t="str">
            <v>PCS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 t="str">
            <v>XFT027-S5</v>
          </cell>
          <cell r="C53" t="str">
            <v>600161000G</v>
          </cell>
          <cell r="D53" t="str">
            <v>鑫福泰（将煜）</v>
          </cell>
          <cell r="E53" t="str">
            <v>成品</v>
          </cell>
          <cell r="F53" t="str">
            <v>PCS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B54" t="str">
            <v>XFT027-S7</v>
          </cell>
          <cell r="C54" t="str">
            <v>600161001G</v>
          </cell>
          <cell r="D54" t="str">
            <v>鑫福泰（将煜）</v>
          </cell>
          <cell r="E54" t="str">
            <v>成品</v>
          </cell>
          <cell r="F54" t="str">
            <v>PCS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B55" t="str">
            <v>XFT027-S6</v>
          </cell>
          <cell r="C55" t="str">
            <v>600181500G</v>
          </cell>
          <cell r="D55" t="str">
            <v>鑫福泰（将煜）</v>
          </cell>
          <cell r="E55" t="str">
            <v>成品</v>
          </cell>
          <cell r="F55" t="str">
            <v>PCS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B56" t="str">
            <v>XFT001</v>
          </cell>
          <cell r="C56" t="str">
            <v>0007</v>
          </cell>
          <cell r="D56" t="str">
            <v>鑫福泰</v>
          </cell>
          <cell r="E56" t="str">
            <v>成品</v>
          </cell>
          <cell r="F56" t="str">
            <v>PCS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B57" t="str">
            <v>XFT002</v>
          </cell>
          <cell r="C57" t="str">
            <v>0008</v>
          </cell>
          <cell r="D57" t="str">
            <v>鑫福泰</v>
          </cell>
          <cell r="E57" t="str">
            <v>成品</v>
          </cell>
          <cell r="F57" t="str">
            <v>PCS</v>
          </cell>
          <cell r="G57">
            <v>6097</v>
          </cell>
          <cell r="H57">
            <v>0</v>
          </cell>
          <cell r="I57">
            <v>0</v>
          </cell>
          <cell r="J57">
            <v>6097</v>
          </cell>
        </row>
        <row r="58">
          <cell r="B58" t="str">
            <v>XFT003</v>
          </cell>
          <cell r="C58" t="str">
            <v>0009中框</v>
          </cell>
          <cell r="D58" t="str">
            <v>鑫福泰</v>
          </cell>
          <cell r="E58" t="str">
            <v>成品</v>
          </cell>
          <cell r="F58" t="str">
            <v>PCS</v>
          </cell>
          <cell r="G58">
            <v>22323</v>
          </cell>
          <cell r="H58">
            <v>0</v>
          </cell>
          <cell r="I58">
            <v>0</v>
          </cell>
          <cell r="J58">
            <v>22323</v>
          </cell>
        </row>
        <row r="59">
          <cell r="B59" t="str">
            <v>XFT004</v>
          </cell>
          <cell r="C59" t="str">
            <v>DBC1481L1</v>
          </cell>
          <cell r="D59" t="str">
            <v>鑫福泰</v>
          </cell>
          <cell r="E59" t="str">
            <v>成品</v>
          </cell>
          <cell r="F59" t="str">
            <v>PCS</v>
          </cell>
          <cell r="G59">
            <v>2424</v>
          </cell>
          <cell r="H59">
            <v>0</v>
          </cell>
          <cell r="I59">
            <v>0</v>
          </cell>
          <cell r="J59">
            <v>2424</v>
          </cell>
        </row>
        <row r="60">
          <cell r="B60" t="str">
            <v>XFT005</v>
          </cell>
          <cell r="C60" t="str">
            <v>DBC1480L1</v>
          </cell>
          <cell r="D60" t="str">
            <v>鑫福泰</v>
          </cell>
          <cell r="E60" t="str">
            <v>成品</v>
          </cell>
          <cell r="F60" t="str">
            <v>PCS</v>
          </cell>
          <cell r="G60">
            <v>270</v>
          </cell>
          <cell r="H60">
            <v>0</v>
          </cell>
          <cell r="I60">
            <v>0</v>
          </cell>
          <cell r="J60">
            <v>270</v>
          </cell>
        </row>
        <row r="61">
          <cell r="B61" t="str">
            <v>XFT006</v>
          </cell>
          <cell r="C61" t="str">
            <v>UDU9011</v>
          </cell>
          <cell r="D61" t="str">
            <v>鑫福泰</v>
          </cell>
          <cell r="E61" t="str">
            <v>成品</v>
          </cell>
          <cell r="F61" t="str">
            <v>PCS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</row>
        <row r="62">
          <cell r="B62" t="str">
            <v>XFT007</v>
          </cell>
          <cell r="C62" t="str">
            <v>DBC15A0</v>
          </cell>
          <cell r="D62" t="str">
            <v>鑫福泰</v>
          </cell>
          <cell r="E62" t="str">
            <v>成品</v>
          </cell>
          <cell r="F62" t="str">
            <v>PCS</v>
          </cell>
          <cell r="G62">
            <v>2352</v>
          </cell>
          <cell r="H62">
            <v>0</v>
          </cell>
          <cell r="I62">
            <v>0</v>
          </cell>
          <cell r="J62">
            <v>2352</v>
          </cell>
        </row>
        <row r="63">
          <cell r="B63" t="str">
            <v>XFT008</v>
          </cell>
          <cell r="C63" t="str">
            <v>0007-001</v>
          </cell>
          <cell r="D63" t="str">
            <v>鑫福泰</v>
          </cell>
          <cell r="E63" t="str">
            <v>成品</v>
          </cell>
          <cell r="F63" t="str">
            <v>PCS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</row>
        <row r="64">
          <cell r="B64" t="str">
            <v>XFT009</v>
          </cell>
          <cell r="C64" t="str">
            <v>70U00162</v>
          </cell>
          <cell r="D64" t="str">
            <v>鑫福泰</v>
          </cell>
          <cell r="E64" t="str">
            <v>成品</v>
          </cell>
          <cell r="F64" t="str">
            <v>PCS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 t="str">
            <v>XFT010</v>
          </cell>
          <cell r="C65" t="str">
            <v>MHSP-SP-AX</v>
          </cell>
          <cell r="D65" t="str">
            <v>鑫福泰</v>
          </cell>
          <cell r="E65" t="str">
            <v>成品</v>
          </cell>
          <cell r="F65" t="str">
            <v>PCS</v>
          </cell>
          <cell r="G65">
            <v>12778</v>
          </cell>
          <cell r="H65">
            <v>0</v>
          </cell>
          <cell r="I65">
            <v>0</v>
          </cell>
          <cell r="J65">
            <v>12778</v>
          </cell>
        </row>
        <row r="66">
          <cell r="B66" t="str">
            <v>XFT011</v>
          </cell>
          <cell r="C66" t="str">
            <v>BHSP-SP-AX</v>
          </cell>
          <cell r="D66" t="str">
            <v>鑫福泰</v>
          </cell>
          <cell r="E66" t="str">
            <v>成品</v>
          </cell>
          <cell r="F66" t="str">
            <v>PCS</v>
          </cell>
          <cell r="G66">
            <v>136</v>
          </cell>
          <cell r="H66">
            <v>0</v>
          </cell>
          <cell r="I66">
            <v>0</v>
          </cell>
          <cell r="J66">
            <v>136</v>
          </cell>
        </row>
        <row r="67">
          <cell r="B67" t="str">
            <v>XFT012</v>
          </cell>
          <cell r="C67" t="str">
            <v>V3-BHSP-AX</v>
          </cell>
          <cell r="D67" t="str">
            <v>鑫福泰</v>
          </cell>
          <cell r="E67" t="str">
            <v>成品</v>
          </cell>
          <cell r="F67" t="str">
            <v>PCS</v>
          </cell>
          <cell r="G67">
            <v>1060</v>
          </cell>
          <cell r="H67">
            <v>0</v>
          </cell>
          <cell r="I67">
            <v>0</v>
          </cell>
          <cell r="J67">
            <v>1060</v>
          </cell>
        </row>
        <row r="68">
          <cell r="B68" t="str">
            <v>XFT013</v>
          </cell>
          <cell r="C68" t="str">
            <v>后盖</v>
          </cell>
          <cell r="D68" t="str">
            <v>鑫福泰</v>
          </cell>
          <cell r="E68" t="str">
            <v>成品</v>
          </cell>
          <cell r="F68" t="str">
            <v>PCS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B69" t="str">
            <v>XFT014</v>
          </cell>
          <cell r="C69" t="str">
            <v>前盖</v>
          </cell>
          <cell r="D69" t="str">
            <v>鑫福泰</v>
          </cell>
          <cell r="E69" t="str">
            <v>成品</v>
          </cell>
          <cell r="F69" t="str">
            <v>PCS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</row>
        <row r="70">
          <cell r="B70" t="str">
            <v>XFT015</v>
          </cell>
          <cell r="C70" t="str">
            <v>盖板</v>
          </cell>
          <cell r="D70" t="str">
            <v>鑫福泰</v>
          </cell>
          <cell r="E70" t="str">
            <v>成品</v>
          </cell>
          <cell r="F70" t="str">
            <v>PCS</v>
          </cell>
          <cell r="G70">
            <v>144</v>
          </cell>
          <cell r="H70">
            <v>0</v>
          </cell>
          <cell r="I70">
            <v>0</v>
          </cell>
          <cell r="J70">
            <v>144</v>
          </cell>
        </row>
        <row r="71">
          <cell r="B71" t="str">
            <v>XFT016</v>
          </cell>
          <cell r="C71" t="str">
            <v>ATT1LA-BHSP</v>
          </cell>
          <cell r="D71" t="str">
            <v>鑫福泰</v>
          </cell>
          <cell r="E71" t="str">
            <v>成品</v>
          </cell>
          <cell r="F71" t="str">
            <v>PCS</v>
          </cell>
          <cell r="G71">
            <v>1453</v>
          </cell>
          <cell r="H71">
            <v>0</v>
          </cell>
          <cell r="I71">
            <v>0</v>
          </cell>
          <cell r="J71">
            <v>1453</v>
          </cell>
        </row>
        <row r="72">
          <cell r="B72" t="str">
            <v>XFT017</v>
          </cell>
          <cell r="C72" t="str">
            <v>ATT1LA-PHSK</v>
          </cell>
          <cell r="D72" t="str">
            <v>鑫福泰</v>
          </cell>
          <cell r="E72" t="str">
            <v>成品</v>
          </cell>
          <cell r="F72" t="str">
            <v>PCS</v>
          </cell>
          <cell r="G72">
            <v>3634</v>
          </cell>
          <cell r="H72">
            <v>0</v>
          </cell>
          <cell r="I72">
            <v>0</v>
          </cell>
          <cell r="J72">
            <v>3634</v>
          </cell>
        </row>
        <row r="73">
          <cell r="B73" t="str">
            <v>XFT018</v>
          </cell>
          <cell r="C73" t="str">
            <v>ATT1LA-MHSP（4个牙）</v>
          </cell>
          <cell r="D73" t="str">
            <v>鑫福泰</v>
          </cell>
          <cell r="E73" t="str">
            <v>成品</v>
          </cell>
          <cell r="F73" t="str">
            <v>PCS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B74" t="str">
            <v>XFT018-1</v>
          </cell>
          <cell r="C74" t="str">
            <v>ATT1LA-MHSP(8个牙）</v>
          </cell>
          <cell r="D74" t="str">
            <v>鑫福泰</v>
          </cell>
          <cell r="E74" t="str">
            <v>成品</v>
          </cell>
          <cell r="F74" t="str">
            <v>PCS</v>
          </cell>
          <cell r="G74">
            <v>1630</v>
          </cell>
          <cell r="H74">
            <v>0</v>
          </cell>
          <cell r="I74">
            <v>0</v>
          </cell>
          <cell r="J74">
            <v>1630</v>
          </cell>
        </row>
        <row r="75">
          <cell r="B75" t="str">
            <v>XFT019</v>
          </cell>
          <cell r="C75" t="str">
            <v>ATT1LA-THSP</v>
          </cell>
          <cell r="D75" t="str">
            <v>鑫福泰</v>
          </cell>
          <cell r="E75" t="str">
            <v>成品</v>
          </cell>
          <cell r="F75" t="str">
            <v>PCS</v>
          </cell>
          <cell r="G75">
            <v>639</v>
          </cell>
          <cell r="H75">
            <v>0</v>
          </cell>
          <cell r="I75">
            <v>0</v>
          </cell>
          <cell r="J75">
            <v>639</v>
          </cell>
        </row>
        <row r="76">
          <cell r="B76" t="str">
            <v>XFT0017</v>
          </cell>
          <cell r="C76" t="str">
            <v>锌合金-1</v>
          </cell>
          <cell r="D76" t="str">
            <v>鑫福泰</v>
          </cell>
          <cell r="E76" t="str">
            <v>成品</v>
          </cell>
          <cell r="F76" t="str">
            <v>PCS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</row>
        <row r="77">
          <cell r="B77" t="str">
            <v>XFT0018</v>
          </cell>
          <cell r="C77" t="str">
            <v>锌合金-2</v>
          </cell>
          <cell r="D77" t="str">
            <v>鑫福泰</v>
          </cell>
          <cell r="E77" t="str">
            <v>成品</v>
          </cell>
          <cell r="F77" t="str">
            <v>PCS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</row>
        <row r="78">
          <cell r="B78" t="str">
            <v>XFT028</v>
          </cell>
          <cell r="C78" t="str">
            <v>9012上盖</v>
          </cell>
          <cell r="D78" t="str">
            <v>鑫福泰</v>
          </cell>
          <cell r="E78" t="str">
            <v>成品</v>
          </cell>
          <cell r="F78" t="str">
            <v>PCS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</row>
        <row r="79">
          <cell r="B79" t="str">
            <v>XFT029</v>
          </cell>
          <cell r="C79" t="str">
            <v>ZS-THSP</v>
          </cell>
          <cell r="D79" t="str">
            <v>鑫福泰</v>
          </cell>
          <cell r="E79" t="str">
            <v>成品</v>
          </cell>
          <cell r="F79" t="str">
            <v>PCS</v>
          </cell>
          <cell r="G79">
            <v>167</v>
          </cell>
          <cell r="H79">
            <v>0</v>
          </cell>
          <cell r="I79">
            <v>0</v>
          </cell>
          <cell r="J79">
            <v>167</v>
          </cell>
        </row>
        <row r="80">
          <cell r="B80" t="str">
            <v>XFT031</v>
          </cell>
          <cell r="C80" t="str">
            <v>ZS-MHSP</v>
          </cell>
          <cell r="D80" t="str">
            <v>鑫福泰</v>
          </cell>
          <cell r="E80" t="str">
            <v>成品</v>
          </cell>
          <cell r="F80" t="str">
            <v>PCS</v>
          </cell>
          <cell r="G80">
            <v>237</v>
          </cell>
          <cell r="H80">
            <v>0</v>
          </cell>
          <cell r="I80">
            <v>0</v>
          </cell>
          <cell r="J80">
            <v>237</v>
          </cell>
        </row>
        <row r="81">
          <cell r="B81" t="str">
            <v>XFT030</v>
          </cell>
          <cell r="C81" t="str">
            <v>ZS-BHSP</v>
          </cell>
          <cell r="D81" t="str">
            <v>鑫福泰</v>
          </cell>
          <cell r="E81" t="str">
            <v>成品</v>
          </cell>
          <cell r="F81" t="str">
            <v>PCS</v>
          </cell>
          <cell r="G81">
            <v>530</v>
          </cell>
          <cell r="H81">
            <v>0</v>
          </cell>
          <cell r="I81">
            <v>0</v>
          </cell>
          <cell r="J81">
            <v>530</v>
          </cell>
        </row>
        <row r="82">
          <cell r="B82" t="str">
            <v>XFT032</v>
          </cell>
          <cell r="C82" t="str">
            <v>DUD3500D1</v>
          </cell>
          <cell r="D82" t="str">
            <v>鑫福泰</v>
          </cell>
          <cell r="E82" t="str">
            <v>成品</v>
          </cell>
          <cell r="F82" t="str">
            <v>PCS</v>
          </cell>
          <cell r="G82">
            <v>152</v>
          </cell>
          <cell r="H82">
            <v>0</v>
          </cell>
          <cell r="I82">
            <v>3</v>
          </cell>
          <cell r="J82">
            <v>149</v>
          </cell>
        </row>
        <row r="83">
          <cell r="B83" t="str">
            <v>XFT033</v>
          </cell>
          <cell r="C83" t="str">
            <v>VSD9007S2</v>
          </cell>
          <cell r="D83" t="str">
            <v>鑫福泰</v>
          </cell>
          <cell r="E83" t="str">
            <v>成品</v>
          </cell>
          <cell r="F83" t="str">
            <v>PCS</v>
          </cell>
          <cell r="G83">
            <v>1676</v>
          </cell>
          <cell r="H83">
            <v>0</v>
          </cell>
          <cell r="I83">
            <v>0</v>
          </cell>
          <cell r="J83">
            <v>1676</v>
          </cell>
        </row>
        <row r="84">
          <cell r="B84" t="str">
            <v>XFT034</v>
          </cell>
          <cell r="C84" t="str">
            <v>(002)Kreka MHSP Tool</v>
          </cell>
          <cell r="D84" t="str">
            <v>鑫福泰</v>
          </cell>
          <cell r="E84" t="str">
            <v>成品</v>
          </cell>
          <cell r="F84" t="str">
            <v>PCS</v>
          </cell>
          <cell r="G84">
            <v>194</v>
          </cell>
          <cell r="H84">
            <v>0</v>
          </cell>
          <cell r="I84">
            <v>0</v>
          </cell>
          <cell r="J84">
            <v>194</v>
          </cell>
        </row>
        <row r="85">
          <cell r="B85" t="str">
            <v>XFT035</v>
          </cell>
          <cell r="C85" t="str">
            <v>(001)Kreka Harrier/PHSP</v>
          </cell>
          <cell r="D85" t="str">
            <v>鑫福泰</v>
          </cell>
          <cell r="E85" t="str">
            <v>成品</v>
          </cell>
          <cell r="F85" t="str">
            <v>PCS</v>
          </cell>
          <cell r="G85">
            <v>438</v>
          </cell>
          <cell r="H85">
            <v>0</v>
          </cell>
          <cell r="I85">
            <v>0</v>
          </cell>
          <cell r="J85">
            <v>438</v>
          </cell>
        </row>
        <row r="86">
          <cell r="B86" t="str">
            <v>XFT036</v>
          </cell>
          <cell r="C86" t="str">
            <v>Kreka THSP DOECAV</v>
          </cell>
          <cell r="D86" t="str">
            <v>鑫福泰</v>
          </cell>
          <cell r="E86" t="str">
            <v>成品</v>
          </cell>
          <cell r="F86" t="str">
            <v>PCS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 t="str">
            <v>XFT037</v>
          </cell>
          <cell r="C87" t="str">
            <v>(003)Kreka THSP POR</v>
          </cell>
          <cell r="D87" t="str">
            <v>鑫福泰</v>
          </cell>
          <cell r="E87" t="str">
            <v>成品</v>
          </cell>
          <cell r="F87" t="str">
            <v>PCS</v>
          </cell>
          <cell r="G87">
            <v>242</v>
          </cell>
          <cell r="H87">
            <v>0</v>
          </cell>
          <cell r="I87">
            <v>0</v>
          </cell>
          <cell r="J87">
            <v>242</v>
          </cell>
        </row>
        <row r="88">
          <cell r="B88" t="str">
            <v>XFT038</v>
          </cell>
          <cell r="C88" t="str">
            <v>BPFA0303011（日本电产/大电产）</v>
          </cell>
          <cell r="D88" t="str">
            <v>鑫福泰（尼得科）</v>
          </cell>
          <cell r="E88" t="str">
            <v>成品</v>
          </cell>
          <cell r="F88" t="str">
            <v>PCS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 t="str">
            <v>XFT039</v>
          </cell>
          <cell r="C89" t="str">
            <v>前壳</v>
          </cell>
          <cell r="D89" t="str">
            <v>鑫福泰（华目）</v>
          </cell>
          <cell r="E89" t="str">
            <v>成品</v>
          </cell>
          <cell r="F89" t="str">
            <v>PCS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 t="str">
            <v>XFT040</v>
          </cell>
          <cell r="C90" t="str">
            <v>Barca-BHSP（4牙）</v>
          </cell>
          <cell r="D90" t="str">
            <v>鑫福泰（巨圣）</v>
          </cell>
          <cell r="E90" t="str">
            <v>成品</v>
          </cell>
          <cell r="F90" t="str">
            <v>PCS</v>
          </cell>
          <cell r="G90">
            <v>1836</v>
          </cell>
          <cell r="H90">
            <v>0</v>
          </cell>
          <cell r="I90">
            <v>0</v>
          </cell>
          <cell r="J90">
            <v>1836</v>
          </cell>
        </row>
        <row r="91">
          <cell r="B91" t="str">
            <v>XFT041</v>
          </cell>
          <cell r="C91" t="str">
            <v>Barca-MHSP  （1牙）</v>
          </cell>
          <cell r="D91" t="str">
            <v>鑫福泰（巨圣）</v>
          </cell>
          <cell r="E91" t="str">
            <v>成品</v>
          </cell>
          <cell r="F91" t="str">
            <v>PCS</v>
          </cell>
          <cell r="G91">
            <v>3102</v>
          </cell>
          <cell r="H91">
            <v>0</v>
          </cell>
          <cell r="I91">
            <v>0</v>
          </cell>
          <cell r="J91">
            <v>3102</v>
          </cell>
        </row>
        <row r="92">
          <cell r="B92" t="str">
            <v>XFT054</v>
          </cell>
          <cell r="C92" t="str">
            <v>Barca EU BHSP压铸件（白色）</v>
          </cell>
          <cell r="D92" t="str">
            <v>鑫福泰（巨圣）</v>
          </cell>
          <cell r="E92" t="str">
            <v>成品</v>
          </cell>
          <cell r="F92" t="str">
            <v>PCS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</row>
        <row r="93">
          <cell r="B93" t="str">
            <v>XFT042</v>
          </cell>
          <cell r="C93" t="str">
            <v>BPFA0203011（小电产）</v>
          </cell>
          <cell r="D93" t="str">
            <v>鑫福泰（尼得科）</v>
          </cell>
          <cell r="E93" t="str">
            <v>成品</v>
          </cell>
          <cell r="F93" t="str">
            <v>PCS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</row>
        <row r="94">
          <cell r="B94" t="str">
            <v>XFT043</v>
          </cell>
          <cell r="C94" t="str">
            <v>FVRB7802630(630大电产）</v>
          </cell>
          <cell r="D94" t="str">
            <v>鑫福泰（尼得科）</v>
          </cell>
          <cell r="E94" t="str">
            <v>成品</v>
          </cell>
          <cell r="F94" t="str">
            <v>PCS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</row>
        <row r="95">
          <cell r="B95" t="str">
            <v>XFT044</v>
          </cell>
          <cell r="C95" t="str">
            <v>FVRB7813220（新电产）</v>
          </cell>
          <cell r="D95" t="str">
            <v>鑫福泰（尼得科）</v>
          </cell>
          <cell r="E95" t="str">
            <v>成品</v>
          </cell>
          <cell r="F95" t="str">
            <v>PCS</v>
          </cell>
          <cell r="G95">
            <v>362</v>
          </cell>
          <cell r="H95">
            <v>0</v>
          </cell>
          <cell r="I95">
            <v>0</v>
          </cell>
          <cell r="J95">
            <v>362</v>
          </cell>
        </row>
        <row r="96">
          <cell r="B96" t="str">
            <v>XFT045</v>
          </cell>
          <cell r="C96" t="str">
            <v>FVRB6892490（新款小电产）</v>
          </cell>
          <cell r="D96" t="str">
            <v>鑫福泰（尼得科）</v>
          </cell>
          <cell r="E96" t="str">
            <v>成品</v>
          </cell>
          <cell r="F96" t="str">
            <v>PCS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</row>
        <row r="97">
          <cell r="B97" t="str">
            <v>XFT046</v>
          </cell>
          <cell r="C97" t="str">
            <v>0243B00100（金属外壳）</v>
          </cell>
          <cell r="D97" t="str">
            <v>鑫福泰（町洋）</v>
          </cell>
          <cell r="E97" t="str">
            <v>成品</v>
          </cell>
          <cell r="F97" t="str">
            <v>PCS</v>
          </cell>
          <cell r="G97">
            <v>113</v>
          </cell>
          <cell r="H97">
            <v>0</v>
          </cell>
          <cell r="I97">
            <v>0</v>
          </cell>
          <cell r="J97">
            <v>113</v>
          </cell>
        </row>
        <row r="98">
          <cell r="B98" t="str">
            <v>XFT047</v>
          </cell>
          <cell r="C98" t="str">
            <v>ME-003( THSP)</v>
          </cell>
          <cell r="D98" t="str">
            <v>鑫福泰</v>
          </cell>
          <cell r="E98" t="str">
            <v>成品</v>
          </cell>
          <cell r="F98" t="str">
            <v>PCS</v>
          </cell>
          <cell r="G98">
            <v>4312</v>
          </cell>
          <cell r="H98">
            <v>0</v>
          </cell>
          <cell r="I98">
            <v>0</v>
          </cell>
          <cell r="J98">
            <v>4312</v>
          </cell>
        </row>
        <row r="99">
          <cell r="B99" t="str">
            <v>XFT048</v>
          </cell>
          <cell r="C99" t="str">
            <v>ME-017(BHSP)</v>
          </cell>
          <cell r="D99" t="str">
            <v>鑫福泰</v>
          </cell>
          <cell r="E99" t="str">
            <v>成品</v>
          </cell>
          <cell r="F99" t="str">
            <v>PCS</v>
          </cell>
          <cell r="G99">
            <v>1768</v>
          </cell>
          <cell r="H99">
            <v>0</v>
          </cell>
          <cell r="I99">
            <v>0</v>
          </cell>
          <cell r="J99">
            <v>1768</v>
          </cell>
        </row>
        <row r="100">
          <cell r="B100" t="str">
            <v>XFT049</v>
          </cell>
          <cell r="C100" t="str">
            <v>ME-019(BTB SHELD)</v>
          </cell>
          <cell r="D100" t="str">
            <v>鑫福泰</v>
          </cell>
          <cell r="E100" t="str">
            <v>成品</v>
          </cell>
          <cell r="F100" t="str">
            <v>PCS</v>
          </cell>
          <cell r="G100">
            <v>1394</v>
          </cell>
          <cell r="H100">
            <v>0</v>
          </cell>
          <cell r="I100">
            <v>0</v>
          </cell>
          <cell r="J100">
            <v>1394</v>
          </cell>
        </row>
        <row r="101">
          <cell r="B101" t="str">
            <v>XFT050</v>
          </cell>
          <cell r="C101" t="str">
            <v>CG-00077</v>
          </cell>
          <cell r="D101" t="str">
            <v>鑫福泰</v>
          </cell>
          <cell r="E101" t="str">
            <v>成品</v>
          </cell>
          <cell r="F101" t="str">
            <v>PCS</v>
          </cell>
          <cell r="G101">
            <v>199</v>
          </cell>
          <cell r="H101">
            <v>0</v>
          </cell>
          <cell r="I101">
            <v>0</v>
          </cell>
          <cell r="J101">
            <v>199</v>
          </cell>
        </row>
        <row r="102">
          <cell r="B102" t="str">
            <v>XFT051</v>
          </cell>
          <cell r="C102" t="str">
            <v>DBF7505L1 散熱片</v>
          </cell>
          <cell r="D102" t="str">
            <v>鑫福泰</v>
          </cell>
          <cell r="E102" t="str">
            <v>成品</v>
          </cell>
          <cell r="F102" t="str">
            <v>PCS</v>
          </cell>
          <cell r="G102">
            <v>376</v>
          </cell>
          <cell r="H102">
            <v>0</v>
          </cell>
          <cell r="I102">
            <v>0</v>
          </cell>
          <cell r="J102">
            <v>376</v>
          </cell>
        </row>
        <row r="103">
          <cell r="B103" t="str">
            <v>XFT052</v>
          </cell>
          <cell r="C103" t="str">
            <v>DUG7391V1 </v>
          </cell>
          <cell r="D103" t="str">
            <v>鑫福泰</v>
          </cell>
          <cell r="E103" t="str">
            <v>成品</v>
          </cell>
          <cell r="F103" t="str">
            <v>PCS</v>
          </cell>
          <cell r="G103">
            <v>4759</v>
          </cell>
          <cell r="H103">
            <v>0</v>
          </cell>
          <cell r="I103">
            <v>0</v>
          </cell>
          <cell r="J103">
            <v>4759</v>
          </cell>
        </row>
        <row r="104">
          <cell r="B104" t="str">
            <v>XFT053</v>
          </cell>
          <cell r="C104" t="str">
            <v>HVO9142散热片</v>
          </cell>
          <cell r="D104" t="str">
            <v>鑫福泰</v>
          </cell>
          <cell r="E104" t="str">
            <v>成品</v>
          </cell>
          <cell r="F104" t="str">
            <v>PCS</v>
          </cell>
          <cell r="G104">
            <v>5757</v>
          </cell>
          <cell r="H104">
            <v>0</v>
          </cell>
          <cell r="I104">
            <v>0</v>
          </cell>
          <cell r="J104">
            <v>5757</v>
          </cell>
        </row>
        <row r="105">
          <cell r="B105" t="str">
            <v>XLG001</v>
          </cell>
          <cell r="C105" t="str">
            <v>P6固定架-L</v>
          </cell>
          <cell r="D105" t="str">
            <v>新连刚</v>
          </cell>
          <cell r="E105" t="str">
            <v>成品</v>
          </cell>
          <cell r="F105" t="str">
            <v>PCS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</row>
        <row r="106">
          <cell r="B106" t="str">
            <v>XLG002</v>
          </cell>
          <cell r="C106" t="str">
            <v>P6固定架-R</v>
          </cell>
          <cell r="D106" t="str">
            <v>新连刚</v>
          </cell>
          <cell r="E106" t="str">
            <v>成品</v>
          </cell>
          <cell r="F106" t="str">
            <v>PCS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B107" t="str">
            <v>WKT039</v>
          </cell>
          <cell r="C107" t="str">
            <v>锌合金固定架</v>
          </cell>
          <cell r="D107" t="str">
            <v>新厂（国城）</v>
          </cell>
          <cell r="E107" t="str">
            <v>成品</v>
          </cell>
          <cell r="F107" t="str">
            <v>PCS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</row>
        <row r="108">
          <cell r="B108" t="str">
            <v>XC0001</v>
          </cell>
          <cell r="C108" t="str">
            <v>J6P</v>
          </cell>
          <cell r="D108" t="str">
            <v>新厂</v>
          </cell>
          <cell r="E108" t="str">
            <v>成品</v>
          </cell>
          <cell r="F108" t="str">
            <v>PCS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B109" t="str">
            <v>XJ001</v>
          </cell>
          <cell r="C109" t="str">
            <v>DMG6-35W-SINK1</v>
          </cell>
          <cell r="D109" t="str">
            <v>先进电子</v>
          </cell>
          <cell r="E109" t="str">
            <v>成品</v>
          </cell>
          <cell r="F109" t="str">
            <v>PCS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</row>
        <row r="110">
          <cell r="B110" t="str">
            <v>XJ002</v>
          </cell>
          <cell r="C110" t="str">
            <v>DMG6-65W-SINK1</v>
          </cell>
          <cell r="D110" t="str">
            <v>先进电子</v>
          </cell>
          <cell r="E110" t="str">
            <v>成品</v>
          </cell>
          <cell r="F110" t="str">
            <v>PCS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B111" t="str">
            <v>XJ003</v>
          </cell>
          <cell r="C111" t="str">
            <v>DMG8-35W-SINK1</v>
          </cell>
          <cell r="D111" t="str">
            <v>先进电子</v>
          </cell>
          <cell r="E111" t="str">
            <v>成品</v>
          </cell>
          <cell r="F111" t="str">
            <v>PCS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</row>
        <row r="112">
          <cell r="B112" t="str">
            <v>XJ004</v>
          </cell>
          <cell r="C112" t="str">
            <v>DMG8-65W-SINK1</v>
          </cell>
          <cell r="D112" t="str">
            <v>先进电子</v>
          </cell>
          <cell r="E112" t="str">
            <v>成品</v>
          </cell>
          <cell r="F112" t="str">
            <v>PCS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B113" t="str">
            <v>XKM001</v>
          </cell>
          <cell r="C113" t="str">
            <v>A111-0825</v>
          </cell>
          <cell r="D113" t="str">
            <v>西克麦</v>
          </cell>
          <cell r="E113" t="str">
            <v>成品</v>
          </cell>
          <cell r="F113" t="str">
            <v>PCS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B114" t="str">
            <v>XKM002</v>
          </cell>
          <cell r="C114" t="str">
            <v>A111-0826</v>
          </cell>
          <cell r="D114" t="str">
            <v>西克麦</v>
          </cell>
          <cell r="E114" t="str">
            <v>成品</v>
          </cell>
          <cell r="F114" t="str">
            <v>PCS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</row>
        <row r="115">
          <cell r="B115" t="str">
            <v>XKM003</v>
          </cell>
          <cell r="C115" t="str">
            <v>A113-0702</v>
          </cell>
          <cell r="D115" t="str">
            <v>西克麦</v>
          </cell>
          <cell r="E115" t="str">
            <v>成品</v>
          </cell>
          <cell r="F115" t="str">
            <v>PCS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</row>
        <row r="116">
          <cell r="B116" t="str">
            <v>XKM004</v>
          </cell>
          <cell r="C116" t="str">
            <v>A113-0735</v>
          </cell>
          <cell r="D116" t="str">
            <v>西克麦</v>
          </cell>
          <cell r="E116" t="str">
            <v>成品</v>
          </cell>
          <cell r="F116" t="str">
            <v>PCS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B117" t="str">
            <v>XKM005</v>
          </cell>
          <cell r="C117" t="str">
            <v>A113-0711</v>
          </cell>
          <cell r="D117" t="str">
            <v>西克麦</v>
          </cell>
          <cell r="E117" t="str">
            <v>成品</v>
          </cell>
          <cell r="F117" t="str">
            <v>PCS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B118" t="str">
            <v>XKM006</v>
          </cell>
          <cell r="C118" t="str">
            <v>A113-0304</v>
          </cell>
          <cell r="D118" t="str">
            <v>西克麦</v>
          </cell>
          <cell r="E118" t="str">
            <v>成品</v>
          </cell>
          <cell r="F118" t="str">
            <v>PCS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B119" t="str">
            <v>XKM007</v>
          </cell>
          <cell r="C119" t="str">
            <v>A113-0706</v>
          </cell>
          <cell r="D119" t="str">
            <v>西克麦</v>
          </cell>
          <cell r="E119" t="str">
            <v>成品</v>
          </cell>
          <cell r="F119" t="str">
            <v>PCS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</row>
        <row r="120">
          <cell r="B120" t="str">
            <v>XKM008</v>
          </cell>
          <cell r="C120" t="str">
            <v>A113-0501</v>
          </cell>
          <cell r="D120" t="str">
            <v>西克麦</v>
          </cell>
          <cell r="E120" t="str">
            <v>成品</v>
          </cell>
          <cell r="F120" t="str">
            <v>PCS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</row>
        <row r="121">
          <cell r="B121" t="str">
            <v>XKM009</v>
          </cell>
          <cell r="C121" t="str">
            <v>A113-0712</v>
          </cell>
          <cell r="D121" t="str">
            <v>西克麦</v>
          </cell>
          <cell r="E121" t="str">
            <v>成品</v>
          </cell>
          <cell r="F121" t="str">
            <v>PCS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</row>
        <row r="122">
          <cell r="B122" t="str">
            <v>XKM010</v>
          </cell>
          <cell r="C122" t="str">
            <v>A111-0818</v>
          </cell>
          <cell r="D122" t="str">
            <v>西克麦</v>
          </cell>
          <cell r="E122" t="str">
            <v>成品</v>
          </cell>
          <cell r="F122" t="str">
            <v>PCS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</row>
        <row r="123">
          <cell r="B123" t="str">
            <v>XKM011</v>
          </cell>
          <cell r="C123" t="str">
            <v>A111-0302</v>
          </cell>
          <cell r="D123" t="str">
            <v>西克麦</v>
          </cell>
          <cell r="E123" t="str">
            <v>成品</v>
          </cell>
          <cell r="F123" t="str">
            <v>PCS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</row>
        <row r="124">
          <cell r="B124" t="str">
            <v>XKM012</v>
          </cell>
          <cell r="C124" t="str">
            <v>A111-0303</v>
          </cell>
          <cell r="D124" t="str">
            <v>西克麦</v>
          </cell>
          <cell r="E124" t="str">
            <v>成品</v>
          </cell>
          <cell r="F124" t="str">
            <v>PCS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B125" t="str">
            <v>XKM013</v>
          </cell>
          <cell r="C125" t="str">
            <v>A111-0915</v>
          </cell>
          <cell r="D125" t="str">
            <v>西克麦</v>
          </cell>
          <cell r="E125" t="str">
            <v>成品</v>
          </cell>
          <cell r="F125" t="str">
            <v>PCS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B126" t="str">
            <v>XKM014</v>
          </cell>
          <cell r="C126" t="str">
            <v>A111-0817</v>
          </cell>
          <cell r="D126" t="str">
            <v>西克麦</v>
          </cell>
          <cell r="E126" t="str">
            <v>成品</v>
          </cell>
          <cell r="F126" t="str">
            <v>PCS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</row>
        <row r="127">
          <cell r="B127" t="str">
            <v>XKM015</v>
          </cell>
          <cell r="C127" t="str">
            <v>A111-0816</v>
          </cell>
          <cell r="D127" t="str">
            <v>西克麦</v>
          </cell>
          <cell r="E127" t="str">
            <v>成品</v>
          </cell>
          <cell r="F127" t="str">
            <v>PCS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</row>
        <row r="128">
          <cell r="B128" t="str">
            <v>XKM016</v>
          </cell>
          <cell r="C128" t="str">
            <v>A111-0828</v>
          </cell>
          <cell r="D128" t="str">
            <v>西克麦</v>
          </cell>
          <cell r="E128" t="str">
            <v>成品</v>
          </cell>
          <cell r="F128" t="str">
            <v>PCS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B129" t="str">
            <v>XKM017</v>
          </cell>
          <cell r="C129" t="str">
            <v>A113-0703</v>
          </cell>
          <cell r="D129" t="str">
            <v>西克麦</v>
          </cell>
          <cell r="E129" t="str">
            <v>成品</v>
          </cell>
          <cell r="F129" t="str">
            <v>PCS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B130" t="str">
            <v>XKM018</v>
          </cell>
          <cell r="C130" t="str">
            <v>A113-0704</v>
          </cell>
          <cell r="D130" t="str">
            <v>西克麦</v>
          </cell>
          <cell r="E130" t="str">
            <v>成品</v>
          </cell>
          <cell r="F130" t="str">
            <v>PCS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B131" t="str">
            <v>XKM019</v>
          </cell>
          <cell r="C131" t="str">
            <v>A113-0701</v>
          </cell>
          <cell r="D131" t="str">
            <v>西克麦</v>
          </cell>
          <cell r="E131" t="str">
            <v>成品</v>
          </cell>
          <cell r="F131" t="str">
            <v>PCS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B132" t="str">
            <v>XKM020</v>
          </cell>
          <cell r="C132" t="str">
            <v>A113-0708</v>
          </cell>
          <cell r="D132" t="str">
            <v>西克麦</v>
          </cell>
          <cell r="E132" t="str">
            <v>成品</v>
          </cell>
          <cell r="F132" t="str">
            <v>PCS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B133" t="str">
            <v>WS003</v>
          </cell>
          <cell r="C133" t="str">
            <v>P6固定架-L(VS-P6-L)</v>
          </cell>
          <cell r="D133" t="str">
            <v>玮硕</v>
          </cell>
          <cell r="E133" t="str">
            <v>成品</v>
          </cell>
          <cell r="F133" t="str">
            <v>PCS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B134" t="str">
            <v>WS004</v>
          </cell>
          <cell r="C134" t="str">
            <v>P6固定架-R(VS-P6-R)</v>
          </cell>
          <cell r="D134" t="str">
            <v>玮硕</v>
          </cell>
          <cell r="E134" t="str">
            <v>成品</v>
          </cell>
          <cell r="F134" t="str">
            <v>PCS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</row>
        <row r="135">
          <cell r="B135" t="str">
            <v>WKT001</v>
          </cell>
          <cell r="C135" t="str">
            <v>YODA2-L</v>
          </cell>
          <cell r="D135" t="str">
            <v>威可特新厂</v>
          </cell>
          <cell r="E135" t="str">
            <v>成品</v>
          </cell>
          <cell r="F135" t="str">
            <v>PCS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B136" t="str">
            <v>WKT002</v>
          </cell>
          <cell r="C136" t="str">
            <v>YODA2-R</v>
          </cell>
          <cell r="D136" t="str">
            <v>威可特新厂</v>
          </cell>
          <cell r="E136" t="str">
            <v>成品</v>
          </cell>
          <cell r="F136" t="str">
            <v>PCS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B137" t="str">
            <v>WKT005</v>
          </cell>
          <cell r="C137" t="str">
            <v>ET480-R</v>
          </cell>
          <cell r="D137" t="str">
            <v>威可特新厂</v>
          </cell>
          <cell r="E137" t="str">
            <v>成品</v>
          </cell>
          <cell r="F137" t="str">
            <v>PCS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</row>
        <row r="138">
          <cell r="B138" t="str">
            <v>WKT006</v>
          </cell>
          <cell r="C138" t="str">
            <v>ET480-L</v>
          </cell>
          <cell r="D138" t="str">
            <v>威可特新厂</v>
          </cell>
          <cell r="E138" t="str">
            <v>成品</v>
          </cell>
          <cell r="F138" t="str">
            <v>PCS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</row>
        <row r="139">
          <cell r="B139" t="str">
            <v>WKT007</v>
          </cell>
          <cell r="C139" t="str">
            <v>LLA-L</v>
          </cell>
          <cell r="D139" t="str">
            <v>威可特新厂</v>
          </cell>
          <cell r="E139" t="str">
            <v>成品</v>
          </cell>
          <cell r="F139" t="str">
            <v>PCS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</row>
        <row r="140">
          <cell r="B140" t="str">
            <v>WKT008</v>
          </cell>
          <cell r="C140" t="str">
            <v>LLA-R</v>
          </cell>
          <cell r="D140" t="str">
            <v>威可特新厂</v>
          </cell>
          <cell r="E140" t="str">
            <v>成品</v>
          </cell>
          <cell r="F140" t="str">
            <v>PCS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</row>
        <row r="141">
          <cell r="B141" t="str">
            <v>WKT009</v>
          </cell>
          <cell r="C141" t="str">
            <v>EG20-L</v>
          </cell>
          <cell r="D141" t="str">
            <v>威可特新厂</v>
          </cell>
          <cell r="E141" t="str">
            <v>成品</v>
          </cell>
          <cell r="F141" t="str">
            <v>PCS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</row>
        <row r="142">
          <cell r="B142" t="str">
            <v>WKT010</v>
          </cell>
          <cell r="C142" t="str">
            <v>EG20-R</v>
          </cell>
          <cell r="D142" t="str">
            <v>威可特新厂</v>
          </cell>
          <cell r="E142" t="str">
            <v>成品</v>
          </cell>
          <cell r="F142" t="str">
            <v>PCS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</row>
        <row r="143">
          <cell r="B143" t="str">
            <v>WKT011</v>
          </cell>
          <cell r="C143" t="str">
            <v>EP720-R</v>
          </cell>
          <cell r="D143" t="str">
            <v>威可特新厂</v>
          </cell>
          <cell r="E143" t="str">
            <v>成品</v>
          </cell>
          <cell r="F143" t="str">
            <v>PCS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</row>
        <row r="144">
          <cell r="B144" t="str">
            <v>WKT012</v>
          </cell>
          <cell r="C144" t="str">
            <v>EP720-L</v>
          </cell>
          <cell r="D144" t="str">
            <v>威可特新厂</v>
          </cell>
          <cell r="E144" t="str">
            <v>成品</v>
          </cell>
          <cell r="F144" t="str">
            <v>PCS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</row>
        <row r="145">
          <cell r="B145" t="str">
            <v>WKT013</v>
          </cell>
          <cell r="C145" t="str">
            <v>EP520-R</v>
          </cell>
          <cell r="D145" t="str">
            <v>威可特新厂</v>
          </cell>
          <cell r="E145" t="str">
            <v>成品</v>
          </cell>
          <cell r="F145" t="str">
            <v>PCS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</row>
        <row r="146">
          <cell r="B146" t="str">
            <v>WKT014</v>
          </cell>
          <cell r="C146" t="str">
            <v>EP520-L</v>
          </cell>
          <cell r="D146" t="str">
            <v>威可特新厂</v>
          </cell>
          <cell r="E146" t="str">
            <v>成品</v>
          </cell>
          <cell r="F146" t="str">
            <v>PCS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B147" t="str">
            <v>WKT015</v>
          </cell>
          <cell r="C147" t="str">
            <v>FINN-L</v>
          </cell>
          <cell r="D147" t="str">
            <v>威可特新厂</v>
          </cell>
          <cell r="E147" t="str">
            <v>成品</v>
          </cell>
          <cell r="F147" t="str">
            <v>PCS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</row>
        <row r="148">
          <cell r="B148" t="str">
            <v>WKT016</v>
          </cell>
          <cell r="C148" t="str">
            <v>FINN-R</v>
          </cell>
          <cell r="D148" t="str">
            <v>威可特新厂</v>
          </cell>
          <cell r="E148" t="str">
            <v>成品</v>
          </cell>
          <cell r="F148" t="str">
            <v>PCS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</row>
        <row r="149">
          <cell r="B149" t="str">
            <v>WKT017</v>
          </cell>
          <cell r="C149" t="str">
            <v>LEG0-D03</v>
          </cell>
          <cell r="D149" t="str">
            <v>威可特新厂</v>
          </cell>
          <cell r="E149" t="str">
            <v>成品</v>
          </cell>
          <cell r="F149" t="str">
            <v>PCS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</row>
        <row r="150">
          <cell r="B150" t="str">
            <v>WKT018</v>
          </cell>
          <cell r="C150" t="str">
            <v>LEG0-D04</v>
          </cell>
          <cell r="D150" t="str">
            <v>威可特新厂</v>
          </cell>
          <cell r="E150" t="str">
            <v>成品</v>
          </cell>
          <cell r="F150" t="str">
            <v>PCS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</row>
        <row r="151">
          <cell r="B151" t="str">
            <v>WKT019</v>
          </cell>
          <cell r="C151" t="str">
            <v>LEG0-D06</v>
          </cell>
          <cell r="D151" t="str">
            <v>威可特新厂</v>
          </cell>
          <cell r="E151" t="str">
            <v>成品</v>
          </cell>
          <cell r="F151" t="str">
            <v>PCS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</row>
        <row r="152">
          <cell r="B152" t="str">
            <v>WKT020</v>
          </cell>
          <cell r="C152" t="str">
            <v>LEG0-D07</v>
          </cell>
          <cell r="D152" t="str">
            <v>威可特新厂</v>
          </cell>
          <cell r="E152" t="str">
            <v>成品</v>
          </cell>
          <cell r="F152" t="str">
            <v>PCS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</row>
        <row r="153">
          <cell r="B153" t="str">
            <v>WKT021</v>
          </cell>
          <cell r="C153" t="str">
            <v>LEG0-K01-L</v>
          </cell>
          <cell r="D153" t="str">
            <v>威可特新厂</v>
          </cell>
          <cell r="E153" t="str">
            <v>成品</v>
          </cell>
          <cell r="F153" t="str">
            <v>PCS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</row>
        <row r="154">
          <cell r="B154" t="str">
            <v>WKT022</v>
          </cell>
          <cell r="C154" t="str">
            <v>LEG0-K01-R</v>
          </cell>
          <cell r="D154" t="str">
            <v>威可特新厂</v>
          </cell>
          <cell r="E154" t="str">
            <v>成品</v>
          </cell>
          <cell r="F154" t="str">
            <v>PCS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</row>
        <row r="155">
          <cell r="B155" t="str">
            <v>WKT023</v>
          </cell>
          <cell r="C155" t="str">
            <v>LH-FT491C-L</v>
          </cell>
          <cell r="D155" t="str">
            <v>威可特新厂</v>
          </cell>
          <cell r="E155" t="str">
            <v>成品</v>
          </cell>
          <cell r="F155" t="str">
            <v>PCS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B156" t="str">
            <v>WKT024</v>
          </cell>
          <cell r="C156" t="str">
            <v>LH-FT491C-R</v>
          </cell>
          <cell r="D156" t="str">
            <v>威可特新厂</v>
          </cell>
          <cell r="E156" t="str">
            <v>成品</v>
          </cell>
          <cell r="F156" t="str">
            <v>PCS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B157" t="str">
            <v>WKT025</v>
          </cell>
          <cell r="C157" t="str">
            <v>LH-EL580-L</v>
          </cell>
          <cell r="D157" t="str">
            <v>威可特新厂</v>
          </cell>
          <cell r="E157" t="str">
            <v>成品</v>
          </cell>
          <cell r="F157" t="str">
            <v>PCS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</row>
        <row r="158">
          <cell r="B158" t="str">
            <v>WKT026</v>
          </cell>
          <cell r="C158" t="str">
            <v>LH-EL580-R</v>
          </cell>
          <cell r="D158" t="str">
            <v>威可特新厂</v>
          </cell>
          <cell r="E158" t="str">
            <v>成品</v>
          </cell>
          <cell r="F158" t="str">
            <v>PCS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</row>
        <row r="159">
          <cell r="B159" t="str">
            <v>WKT027</v>
          </cell>
          <cell r="C159" t="str">
            <v>LH-V54014CAP-L</v>
          </cell>
          <cell r="D159" t="str">
            <v>威可特新厂</v>
          </cell>
          <cell r="E159" t="str">
            <v>成品</v>
          </cell>
          <cell r="F159" t="str">
            <v>PCS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B160" t="str">
            <v>WKT028</v>
          </cell>
          <cell r="C160" t="str">
            <v>LH-V54014CAP-R</v>
          </cell>
          <cell r="D160" t="str">
            <v>威可特新厂</v>
          </cell>
          <cell r="E160" t="str">
            <v>成品</v>
          </cell>
          <cell r="F160" t="str">
            <v>PCS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</row>
        <row r="161">
          <cell r="B161" t="str">
            <v>WKT029</v>
          </cell>
          <cell r="C161" t="str">
            <v>SZS-EL480-L</v>
          </cell>
          <cell r="D161" t="str">
            <v>威可特新厂</v>
          </cell>
          <cell r="E161" t="str">
            <v>成品</v>
          </cell>
          <cell r="F161" t="str">
            <v>PCS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</row>
        <row r="162">
          <cell r="B162" t="str">
            <v>WKT030</v>
          </cell>
          <cell r="C162" t="str">
            <v>SZS-EL480-R</v>
          </cell>
          <cell r="D162" t="str">
            <v>威可特新厂</v>
          </cell>
          <cell r="E162" t="str">
            <v>成品</v>
          </cell>
          <cell r="F162" t="str">
            <v>PCS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</row>
        <row r="163">
          <cell r="B163" t="str">
            <v>WKT039</v>
          </cell>
          <cell r="C163" t="str">
            <v>SZS-GP-540-CAP-L</v>
          </cell>
          <cell r="D163" t="str">
            <v>威可特新厂</v>
          </cell>
          <cell r="E163" t="str">
            <v>成品</v>
          </cell>
          <cell r="F163" t="str">
            <v>PCS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</row>
        <row r="164">
          <cell r="B164" t="str">
            <v>WKT040</v>
          </cell>
          <cell r="C164" t="str">
            <v>SZS-GP-540-CAP-R</v>
          </cell>
          <cell r="D164" t="str">
            <v>威可特新厂</v>
          </cell>
          <cell r="E164" t="str">
            <v>成品</v>
          </cell>
          <cell r="F164" t="str">
            <v>PCS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</row>
        <row r="165">
          <cell r="B165" t="str">
            <v>WKT041</v>
          </cell>
          <cell r="C165" t="str">
            <v>SZS-GP-540-固定架-L</v>
          </cell>
          <cell r="D165" t="str">
            <v>威可特新厂</v>
          </cell>
          <cell r="E165" t="str">
            <v>成品</v>
          </cell>
          <cell r="F165" t="str">
            <v>PCS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</row>
        <row r="166">
          <cell r="B166" t="str">
            <v>WKT042</v>
          </cell>
          <cell r="C166" t="str">
            <v>SZS-GP-540-固定架-R</v>
          </cell>
          <cell r="D166" t="str">
            <v>威可特新厂</v>
          </cell>
          <cell r="E166" t="str">
            <v>成品</v>
          </cell>
          <cell r="F166" t="str">
            <v>PCS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B167" t="str">
            <v>WKT031</v>
          </cell>
          <cell r="C167" t="str">
            <v>VS-V54013CAP-L</v>
          </cell>
          <cell r="D167" t="str">
            <v>威可特新厂</v>
          </cell>
          <cell r="E167" t="str">
            <v>成品</v>
          </cell>
          <cell r="F167" t="str">
            <v>PCS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</row>
        <row r="168">
          <cell r="B168" t="str">
            <v>WKT032</v>
          </cell>
          <cell r="C168" t="str">
            <v>VS-V54013CAP-R</v>
          </cell>
          <cell r="D168" t="str">
            <v>威可特新厂</v>
          </cell>
          <cell r="E168" t="str">
            <v>成品</v>
          </cell>
          <cell r="F168" t="str">
            <v>PCS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</row>
        <row r="169">
          <cell r="B169" t="str">
            <v>WKT033</v>
          </cell>
          <cell r="C169" t="str">
            <v>VS-V54014CAP-L</v>
          </cell>
          <cell r="D169" t="str">
            <v>威可特新厂</v>
          </cell>
          <cell r="E169" t="str">
            <v>成品</v>
          </cell>
          <cell r="F169" t="str">
            <v>PCS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</row>
        <row r="170">
          <cell r="B170" t="str">
            <v>WKT034</v>
          </cell>
          <cell r="C170" t="str">
            <v>VS-V54014CAP-R</v>
          </cell>
          <cell r="D170" t="str">
            <v>威可特新厂</v>
          </cell>
          <cell r="E170" t="str">
            <v>成品</v>
          </cell>
          <cell r="F170" t="str">
            <v>PCS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</row>
        <row r="171">
          <cell r="B171" t="str">
            <v>WKT035</v>
          </cell>
          <cell r="C171" t="str">
            <v>LH-EY519-L</v>
          </cell>
          <cell r="D171" t="str">
            <v>威可特新厂</v>
          </cell>
          <cell r="E171" t="str">
            <v>成品</v>
          </cell>
          <cell r="F171" t="str">
            <v>PCS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</row>
        <row r="172">
          <cell r="B172" t="str">
            <v>WKT036</v>
          </cell>
          <cell r="C172" t="str">
            <v>LH-EY519-R</v>
          </cell>
          <cell r="D172" t="str">
            <v>威可特新厂</v>
          </cell>
          <cell r="E172" t="str">
            <v>成品</v>
          </cell>
          <cell r="F172" t="str">
            <v>PCS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B173" t="str">
            <v>WKT037</v>
          </cell>
          <cell r="C173" t="str">
            <v>CJ-GL4A0-PL-L</v>
          </cell>
          <cell r="D173" t="str">
            <v>威可特新厂</v>
          </cell>
          <cell r="E173" t="str">
            <v>成品</v>
          </cell>
          <cell r="F173" t="str">
            <v>PCS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B174" t="str">
            <v>WKT038</v>
          </cell>
          <cell r="C174" t="str">
            <v>CJ-GL4A0-PL-R</v>
          </cell>
          <cell r="D174" t="str">
            <v>威可特新厂</v>
          </cell>
          <cell r="E174" t="str">
            <v>成品</v>
          </cell>
          <cell r="F174" t="str">
            <v>PCS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B175" t="str">
            <v>WKT043</v>
          </cell>
          <cell r="C175" t="str">
            <v>ALC228301000上盖</v>
          </cell>
          <cell r="D175" t="str">
            <v>威可特新厂</v>
          </cell>
          <cell r="E175" t="str">
            <v>成品</v>
          </cell>
          <cell r="F175" t="str">
            <v>PCS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</row>
        <row r="176">
          <cell r="B176" t="str">
            <v>WKT044</v>
          </cell>
          <cell r="C176" t="str">
            <v>03.03.D00273-415-XTA11-E(XTA11外壳）</v>
          </cell>
          <cell r="D176" t="str">
            <v>威可特新厂（思捷）</v>
          </cell>
          <cell r="E176" t="str">
            <v>成品</v>
          </cell>
          <cell r="F176" t="str">
            <v>PCS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</row>
        <row r="177">
          <cell r="B177" t="str">
            <v>WKT045</v>
          </cell>
          <cell r="C177" t="str">
            <v>60-02-DC0000铝壳（小火车）</v>
          </cell>
          <cell r="D177" t="str">
            <v>威可特新厂</v>
          </cell>
          <cell r="E177" t="str">
            <v>成品</v>
          </cell>
          <cell r="F177" t="str">
            <v>PCS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B178" t="str">
            <v>WKT046</v>
          </cell>
          <cell r="C178" t="str">
            <v>G4</v>
          </cell>
          <cell r="D178" t="str">
            <v>威可特新厂</v>
          </cell>
          <cell r="E178" t="str">
            <v>成品</v>
          </cell>
          <cell r="F178" t="str">
            <v>PCS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</row>
        <row r="179">
          <cell r="B179" t="str">
            <v>WKT047</v>
          </cell>
          <cell r="C179" t="str">
            <v>03.03.D00295-525-A1654铝支架-黑松露</v>
          </cell>
          <cell r="D179" t="str">
            <v>威可特新厂（思捷）</v>
          </cell>
          <cell r="E179" t="str">
            <v>成品</v>
          </cell>
          <cell r="F179" t="str">
            <v>PCS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</row>
        <row r="180">
          <cell r="B180" t="str">
            <v>WKT047-1</v>
          </cell>
          <cell r="C180" t="str">
            <v>03.03.D00295-525-A1654铝支架-银色</v>
          </cell>
          <cell r="D180" t="str">
            <v>威可特新厂（思捷）</v>
          </cell>
          <cell r="E180" t="str">
            <v>成品</v>
          </cell>
          <cell r="F180" t="str">
            <v>PCS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</row>
        <row r="181">
          <cell r="B181" t="str">
            <v>WKT048</v>
          </cell>
          <cell r="C181" t="str">
            <v>SJ-GP160-CAP-L</v>
          </cell>
          <cell r="D181" t="str">
            <v>威可特新厂</v>
          </cell>
          <cell r="E181" t="str">
            <v>成品</v>
          </cell>
          <cell r="F181" t="str">
            <v>PCS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B182" t="str">
            <v>WKT049</v>
          </cell>
          <cell r="C182" t="str">
            <v>SJ-GP160-CAP-R</v>
          </cell>
          <cell r="D182" t="str">
            <v>威可特新厂</v>
          </cell>
          <cell r="E182" t="str">
            <v>成品</v>
          </cell>
          <cell r="F182" t="str">
            <v>PCS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</row>
        <row r="183">
          <cell r="B183" t="str">
            <v>TS001</v>
          </cell>
          <cell r="C183" t="str">
            <v>铝壳</v>
          </cell>
          <cell r="D183" t="str">
            <v>团盛</v>
          </cell>
          <cell r="E183" t="str">
            <v>成品</v>
          </cell>
          <cell r="F183" t="str">
            <v>PCS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</row>
        <row r="184">
          <cell r="B184" t="str">
            <v>TXTX001</v>
          </cell>
          <cell r="C184" t="str">
            <v>手机边框</v>
          </cell>
          <cell r="D184" t="str">
            <v>特兴通讯</v>
          </cell>
          <cell r="E184" t="str">
            <v>成品</v>
          </cell>
          <cell r="F184" t="str">
            <v>PCS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B185" t="str">
            <v>SY001</v>
          </cell>
          <cell r="C185" t="str">
            <v>高频合路器</v>
          </cell>
          <cell r="D185" t="str">
            <v>思源</v>
          </cell>
          <cell r="E185" t="str">
            <v>成品</v>
          </cell>
          <cell r="F185" t="str">
            <v>PCS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</row>
        <row r="186">
          <cell r="B186" t="str">
            <v>SY002</v>
          </cell>
          <cell r="C186" t="str">
            <v>低频合路器</v>
          </cell>
          <cell r="D186" t="str">
            <v>思源</v>
          </cell>
          <cell r="E186" t="str">
            <v>成品</v>
          </cell>
          <cell r="F186" t="str">
            <v>PCS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</row>
        <row r="187">
          <cell r="B187" t="str">
            <v>SY003</v>
          </cell>
          <cell r="C187" t="str">
            <v>支撑杆27</v>
          </cell>
          <cell r="D187" t="str">
            <v>思源</v>
          </cell>
          <cell r="E187" t="str">
            <v>成品</v>
          </cell>
          <cell r="F187" t="str">
            <v>PCS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</row>
        <row r="188">
          <cell r="B188" t="str">
            <v>SY004</v>
          </cell>
          <cell r="C188" t="str">
            <v>支撑杆28</v>
          </cell>
          <cell r="D188" t="str">
            <v>思源</v>
          </cell>
          <cell r="E188" t="str">
            <v>成品</v>
          </cell>
          <cell r="F188" t="str">
            <v>PCS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B189" t="str">
            <v>SY005</v>
          </cell>
          <cell r="C189" t="str">
            <v>支撑杆30</v>
          </cell>
          <cell r="D189" t="str">
            <v>思源</v>
          </cell>
          <cell r="E189" t="str">
            <v>成品</v>
          </cell>
          <cell r="F189" t="str">
            <v>PCS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</row>
        <row r="190">
          <cell r="B190" t="str">
            <v>SY006</v>
          </cell>
          <cell r="C190" t="str">
            <v>支撑杆31</v>
          </cell>
          <cell r="D190" t="str">
            <v>思源</v>
          </cell>
          <cell r="E190" t="str">
            <v>成品</v>
          </cell>
          <cell r="F190" t="str">
            <v>PCS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</row>
        <row r="191">
          <cell r="B191" t="str">
            <v>SY007</v>
          </cell>
          <cell r="C191" t="str">
            <v>支撑杆55</v>
          </cell>
          <cell r="D191" t="str">
            <v>思源</v>
          </cell>
          <cell r="E191" t="str">
            <v>成品</v>
          </cell>
          <cell r="F191" t="str">
            <v>PCS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</row>
        <row r="192">
          <cell r="B192" t="str">
            <v>SY008</v>
          </cell>
          <cell r="C192" t="str">
            <v>支撑杆57</v>
          </cell>
          <cell r="D192" t="str">
            <v>思源</v>
          </cell>
          <cell r="E192" t="str">
            <v>成品</v>
          </cell>
          <cell r="F192" t="str">
            <v>PCS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</row>
        <row r="193">
          <cell r="B193" t="str">
            <v>SY009</v>
          </cell>
          <cell r="C193" t="str">
            <v>振子（MEC-017768)</v>
          </cell>
          <cell r="D193" t="str">
            <v>思源</v>
          </cell>
          <cell r="E193" t="str">
            <v>成品</v>
          </cell>
          <cell r="F193" t="str">
            <v>PCS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</row>
        <row r="194">
          <cell r="B194" t="str">
            <v>SY010</v>
          </cell>
          <cell r="C194" t="str">
            <v>018493</v>
          </cell>
          <cell r="D194" t="str">
            <v>思源</v>
          </cell>
          <cell r="E194" t="str">
            <v>成品</v>
          </cell>
          <cell r="F194" t="str">
            <v>PCS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</row>
        <row r="195">
          <cell r="B195" t="str">
            <v>SY011</v>
          </cell>
          <cell r="C195" t="str">
            <v>线缆低频合路器(JY01.001.0035腔体)</v>
          </cell>
          <cell r="D195" t="str">
            <v>思源</v>
          </cell>
          <cell r="E195" t="str">
            <v>成品</v>
          </cell>
          <cell r="F195" t="str">
            <v>PCS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</row>
        <row r="196">
          <cell r="B196" t="str">
            <v>SY012</v>
          </cell>
          <cell r="C196" t="str">
            <v>低频合路器(JY01.001.0036腔体)</v>
          </cell>
          <cell r="D196" t="str">
            <v>思源</v>
          </cell>
          <cell r="E196" t="str">
            <v>成品</v>
          </cell>
          <cell r="F196" t="str">
            <v>PCS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</row>
        <row r="197">
          <cell r="B197" t="str">
            <v>SY013</v>
          </cell>
          <cell r="C197" t="str">
            <v>低频合路器（0039腔体）</v>
          </cell>
          <cell r="D197" t="str">
            <v>思源</v>
          </cell>
          <cell r="E197" t="str">
            <v>成品</v>
          </cell>
          <cell r="F197" t="str">
            <v>PCS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</row>
        <row r="198">
          <cell r="B198" t="str">
            <v>SRY001</v>
          </cell>
          <cell r="C198" t="str">
            <v>WL52-bottom（WL92)</v>
          </cell>
          <cell r="D198" t="str">
            <v>思瑞奕</v>
          </cell>
          <cell r="E198" t="str">
            <v>成品</v>
          </cell>
          <cell r="F198" t="str">
            <v>PCS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</row>
        <row r="199">
          <cell r="B199" t="str">
            <v>SRY0002</v>
          </cell>
          <cell r="C199" t="str">
            <v>AD-F5</v>
          </cell>
          <cell r="D199" t="str">
            <v>思瑞奕</v>
          </cell>
          <cell r="E199" t="str">
            <v>成品</v>
          </cell>
          <cell r="F199" t="str">
            <v>PCS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B200" t="str">
            <v>SRY0003</v>
          </cell>
          <cell r="C200" t="str">
            <v>39076-0001</v>
          </cell>
          <cell r="D200" t="str">
            <v>思瑞奕</v>
          </cell>
          <cell r="E200" t="str">
            <v>成品</v>
          </cell>
          <cell r="F200" t="str">
            <v>PCS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</row>
        <row r="201">
          <cell r="B201" t="str">
            <v>SRY0004</v>
          </cell>
          <cell r="C201" t="str">
            <v>36017-00001屏蔽外壳1</v>
          </cell>
          <cell r="D201" t="str">
            <v>思瑞奕</v>
          </cell>
          <cell r="E201" t="str">
            <v>成品</v>
          </cell>
          <cell r="F201" t="str">
            <v>PCS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B202" t="str">
            <v>SRY0005</v>
          </cell>
          <cell r="C202" t="str">
            <v>36018-00001屏蔽外壳2</v>
          </cell>
          <cell r="D202" t="str">
            <v>思瑞奕</v>
          </cell>
          <cell r="E202" t="str">
            <v>成品</v>
          </cell>
          <cell r="F202" t="str">
            <v>PCS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B203" t="str">
            <v>SRY0006</v>
          </cell>
          <cell r="C203" t="str">
            <v>36020-00001外壳2</v>
          </cell>
          <cell r="D203" t="str">
            <v>思瑞奕</v>
          </cell>
          <cell r="E203" t="str">
            <v>成品</v>
          </cell>
          <cell r="F203" t="str">
            <v>PCS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</row>
        <row r="204">
          <cell r="B204" t="str">
            <v>SRY0007</v>
          </cell>
          <cell r="C204" t="str">
            <v>36019-00001外壳1</v>
          </cell>
          <cell r="D204" t="str">
            <v>思瑞奕</v>
          </cell>
          <cell r="E204" t="str">
            <v>成品</v>
          </cell>
          <cell r="F204" t="str">
            <v>PCS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B205" t="str">
            <v>SG001</v>
          </cell>
          <cell r="C205" t="str">
            <v>8系列隐藏式接头(8系接头）</v>
          </cell>
          <cell r="D205" t="str">
            <v>顺广</v>
          </cell>
          <cell r="E205" t="str">
            <v>成品</v>
          </cell>
          <cell r="F205" t="str">
            <v>PCS</v>
          </cell>
          <cell r="G205">
            <v>50978</v>
          </cell>
          <cell r="H205">
            <v>0</v>
          </cell>
          <cell r="I205">
            <v>0</v>
          </cell>
          <cell r="J205">
            <v>50978</v>
          </cell>
        </row>
        <row r="206">
          <cell r="B206" t="str">
            <v>SK001</v>
          </cell>
          <cell r="C206" t="str">
            <v>D021007罩盖</v>
          </cell>
          <cell r="D206" t="str">
            <v>舒康</v>
          </cell>
          <cell r="E206" t="str">
            <v>成品</v>
          </cell>
          <cell r="F206" t="str">
            <v>PCS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</row>
        <row r="207">
          <cell r="B207" t="str">
            <v>SK002</v>
          </cell>
          <cell r="C207" t="str">
            <v>CP10DCT028 法兰</v>
          </cell>
          <cell r="D207" t="str">
            <v>舒康</v>
          </cell>
          <cell r="E207" t="str">
            <v>成品</v>
          </cell>
          <cell r="F207" t="str">
            <v>PCS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</row>
        <row r="208">
          <cell r="B208" t="str">
            <v>SK003</v>
          </cell>
          <cell r="C208" t="str">
            <v>D016040</v>
          </cell>
          <cell r="D208" t="str">
            <v>舒康</v>
          </cell>
          <cell r="E208" t="str">
            <v>成品</v>
          </cell>
          <cell r="F208" t="str">
            <v>PCS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B209" t="str">
            <v>SK004</v>
          </cell>
          <cell r="C209" t="str">
            <v>J-box基座主体</v>
          </cell>
          <cell r="D209" t="str">
            <v>舒康</v>
          </cell>
          <cell r="E209" t="str">
            <v>成品</v>
          </cell>
          <cell r="F209" t="str">
            <v>PCS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</row>
        <row r="210">
          <cell r="B210" t="str">
            <v>SK005</v>
          </cell>
          <cell r="C210" t="str">
            <v>#1-04螺旋堵头</v>
          </cell>
          <cell r="D210" t="str">
            <v>舒康</v>
          </cell>
          <cell r="E210" t="str">
            <v>成品</v>
          </cell>
          <cell r="F210" t="str">
            <v>PCS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</row>
        <row r="211">
          <cell r="B211" t="str">
            <v>SK006</v>
          </cell>
          <cell r="C211" t="str">
            <v>D017057 支架</v>
          </cell>
          <cell r="D211" t="str">
            <v>舒康</v>
          </cell>
          <cell r="E211" t="str">
            <v>成品</v>
          </cell>
          <cell r="F211" t="str">
            <v>PCS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B212" t="str">
            <v>SK007</v>
          </cell>
          <cell r="C212" t="str">
            <v>D016004</v>
          </cell>
          <cell r="D212" t="str">
            <v>舒康</v>
          </cell>
          <cell r="E212" t="str">
            <v>成品</v>
          </cell>
          <cell r="F212" t="str">
            <v>PCS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B213" t="str">
            <v>SK008</v>
          </cell>
          <cell r="C213" t="str">
            <v>D016041</v>
          </cell>
          <cell r="D213" t="str">
            <v>舒康</v>
          </cell>
          <cell r="E213" t="str">
            <v>成品</v>
          </cell>
          <cell r="F213" t="str">
            <v>PCS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</row>
        <row r="214">
          <cell r="B214" t="str">
            <v>SK009</v>
          </cell>
          <cell r="C214" t="str">
            <v>D017059 支架</v>
          </cell>
          <cell r="D214" t="str">
            <v>舒康</v>
          </cell>
          <cell r="E214" t="str">
            <v>成品</v>
          </cell>
          <cell r="F214" t="str">
            <v>PCS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</row>
        <row r="215">
          <cell r="B215" t="str">
            <v>SK010</v>
          </cell>
          <cell r="C215" t="str">
            <v>D019035</v>
          </cell>
          <cell r="D215" t="str">
            <v>舒康</v>
          </cell>
          <cell r="E215" t="str">
            <v>成品</v>
          </cell>
          <cell r="F215" t="str">
            <v>PCS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</row>
        <row r="216">
          <cell r="B216" t="str">
            <v>SK011</v>
          </cell>
          <cell r="C216" t="str">
            <v>D019048</v>
          </cell>
          <cell r="D216" t="str">
            <v>舒康</v>
          </cell>
          <cell r="E216" t="str">
            <v>成品</v>
          </cell>
          <cell r="F216" t="str">
            <v>PCS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</row>
        <row r="217">
          <cell r="B217" t="str">
            <v>SK012</v>
          </cell>
          <cell r="C217" t="str">
            <v>D016007</v>
          </cell>
          <cell r="D217" t="str">
            <v>舒康</v>
          </cell>
          <cell r="E217" t="str">
            <v>成品</v>
          </cell>
          <cell r="F217" t="str">
            <v>PCS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</row>
        <row r="218">
          <cell r="B218" t="str">
            <v>SK013</v>
          </cell>
          <cell r="C218" t="str">
            <v>D016008</v>
          </cell>
          <cell r="D218" t="str">
            <v>舒康</v>
          </cell>
          <cell r="E218" t="str">
            <v>成品</v>
          </cell>
          <cell r="F218" t="str">
            <v>PCS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</row>
        <row r="219">
          <cell r="B219" t="str">
            <v>SK014</v>
          </cell>
          <cell r="C219" t="str">
            <v>D011026</v>
          </cell>
          <cell r="D219" t="str">
            <v>舒康</v>
          </cell>
          <cell r="E219" t="str">
            <v>成品</v>
          </cell>
          <cell r="F219" t="str">
            <v>PCS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B220" t="str">
            <v>SK015</v>
          </cell>
          <cell r="C220" t="str">
            <v>D019007</v>
          </cell>
          <cell r="D220" t="str">
            <v>舒康</v>
          </cell>
          <cell r="E220" t="str">
            <v>成品</v>
          </cell>
          <cell r="F220" t="str">
            <v>PCS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</row>
        <row r="221">
          <cell r="B221" t="str">
            <v>SK016</v>
          </cell>
          <cell r="C221" t="str">
            <v>GD017048</v>
          </cell>
          <cell r="D221" t="str">
            <v>舒康</v>
          </cell>
          <cell r="E221" t="str">
            <v>成品</v>
          </cell>
          <cell r="F221" t="str">
            <v>PCS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</row>
        <row r="222">
          <cell r="B222" t="str">
            <v>SK017</v>
          </cell>
          <cell r="C222" t="str">
            <v>D016010</v>
          </cell>
          <cell r="D222" t="str">
            <v>舒康</v>
          </cell>
          <cell r="E222" t="str">
            <v>成品</v>
          </cell>
          <cell r="F222" t="str">
            <v>PCS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</row>
        <row r="223">
          <cell r="B223" t="str">
            <v>SK018</v>
          </cell>
          <cell r="C223" t="str">
            <v>D016019</v>
          </cell>
          <cell r="D223" t="str">
            <v>舒康</v>
          </cell>
          <cell r="E223" t="str">
            <v>成品</v>
          </cell>
          <cell r="F223" t="str">
            <v>PCS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</row>
        <row r="224">
          <cell r="B224" t="str">
            <v>SK019</v>
          </cell>
          <cell r="C224" t="str">
            <v>D016027</v>
          </cell>
          <cell r="D224" t="str">
            <v>舒康</v>
          </cell>
          <cell r="E224" t="str">
            <v>成品</v>
          </cell>
          <cell r="F224" t="str">
            <v>PCS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</row>
        <row r="225">
          <cell r="B225" t="str">
            <v>SK020</v>
          </cell>
          <cell r="C225" t="str">
            <v>D022008</v>
          </cell>
          <cell r="D225" t="str">
            <v>舒康</v>
          </cell>
          <cell r="E225" t="str">
            <v>成品</v>
          </cell>
          <cell r="F225" t="str">
            <v>PCS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B226" t="str">
            <v>SK021</v>
          </cell>
          <cell r="C226" t="str">
            <v>D017060</v>
          </cell>
          <cell r="D226" t="str">
            <v>舒康</v>
          </cell>
          <cell r="E226" t="str">
            <v>成品</v>
          </cell>
          <cell r="F226" t="str">
            <v>PCS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</row>
        <row r="227">
          <cell r="B227" t="str">
            <v>SK022</v>
          </cell>
          <cell r="C227" t="str">
            <v>D019041</v>
          </cell>
          <cell r="D227" t="str">
            <v>舒康</v>
          </cell>
          <cell r="E227" t="str">
            <v>成品</v>
          </cell>
          <cell r="F227" t="str">
            <v>PCS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</row>
        <row r="228">
          <cell r="B228" t="str">
            <v>SL0001</v>
          </cell>
          <cell r="C228" t="str">
            <v>H81</v>
          </cell>
          <cell r="D228" t="str">
            <v>胜利</v>
          </cell>
          <cell r="E228" t="str">
            <v>成品</v>
          </cell>
          <cell r="F228" t="str">
            <v>PCS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</row>
        <row r="229">
          <cell r="B229" t="str">
            <v>SH001</v>
          </cell>
          <cell r="C229" t="str">
            <v>3HRNAQ007A3</v>
          </cell>
          <cell r="D229" t="str">
            <v>上达</v>
          </cell>
          <cell r="E229" t="str">
            <v>成品</v>
          </cell>
          <cell r="F229" t="str">
            <v>PCS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</row>
        <row r="230">
          <cell r="B230" t="str">
            <v>RTK001</v>
          </cell>
          <cell r="C230" t="str">
            <v>HK3210</v>
          </cell>
          <cell r="D230" t="str">
            <v>睿腾科</v>
          </cell>
          <cell r="E230" t="str">
            <v>成品</v>
          </cell>
          <cell r="F230" t="str">
            <v>PCS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</row>
        <row r="231">
          <cell r="B231" t="str">
            <v>RTK002</v>
          </cell>
          <cell r="C231" t="str">
            <v>CCB-3L-2</v>
          </cell>
          <cell r="D231" t="str">
            <v>睿腾科</v>
          </cell>
          <cell r="E231" t="str">
            <v>成品</v>
          </cell>
          <cell r="F231" t="str">
            <v>PCS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</row>
        <row r="232">
          <cell r="B232" t="str">
            <v>RTK003</v>
          </cell>
          <cell r="C232" t="str">
            <v>5034699（MKY-2）</v>
          </cell>
          <cell r="D232" t="str">
            <v>睿腾科</v>
          </cell>
          <cell r="E232" t="str">
            <v>成品</v>
          </cell>
          <cell r="F232" t="str">
            <v>PCS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</row>
        <row r="233">
          <cell r="B233" t="str">
            <v>RXT001</v>
          </cell>
          <cell r="C233" t="str">
            <v>锁壳上盖</v>
          </cell>
          <cell r="D233" t="str">
            <v>瑞希泰</v>
          </cell>
          <cell r="E233" t="str">
            <v>成品</v>
          </cell>
          <cell r="F233" t="str">
            <v>PCS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</row>
        <row r="234">
          <cell r="B234" t="str">
            <v>QL001</v>
          </cell>
          <cell r="C234" t="str">
            <v>限位铝盖帽</v>
          </cell>
          <cell r="D234" t="str">
            <v>奇朗</v>
          </cell>
          <cell r="E234" t="str">
            <v>成品</v>
          </cell>
          <cell r="F234" t="str">
            <v>PCS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</row>
        <row r="235">
          <cell r="B235" t="str">
            <v>QL002</v>
          </cell>
          <cell r="C235" t="str">
            <v>前侧铝盖</v>
          </cell>
          <cell r="D235" t="str">
            <v>奇朗</v>
          </cell>
          <cell r="E235" t="str">
            <v>成品</v>
          </cell>
          <cell r="F235" t="str">
            <v>PCS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</row>
        <row r="236">
          <cell r="B236" t="str">
            <v>QL003</v>
          </cell>
          <cell r="C236" t="str">
            <v>后侧固定盖</v>
          </cell>
          <cell r="D236" t="str">
            <v>奇朗</v>
          </cell>
          <cell r="E236" t="str">
            <v>成品</v>
          </cell>
          <cell r="F236" t="str">
            <v>PCS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</row>
        <row r="237">
          <cell r="B237" t="str">
            <v>QL003-1</v>
          </cell>
          <cell r="C237" t="str">
            <v>后侧固定盖(设变前）</v>
          </cell>
          <cell r="D237" t="str">
            <v>奇朗</v>
          </cell>
          <cell r="E237" t="str">
            <v>成品</v>
          </cell>
          <cell r="F237" t="str">
            <v>PCS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</row>
        <row r="238">
          <cell r="B238" t="str">
            <v>QL004</v>
          </cell>
          <cell r="C238" t="str">
            <v>后侧调节盖</v>
          </cell>
          <cell r="D238" t="str">
            <v>奇朗</v>
          </cell>
          <cell r="E238" t="str">
            <v>成品</v>
          </cell>
          <cell r="F238" t="str">
            <v>PCS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B239" t="str">
            <v>MC001</v>
          </cell>
          <cell r="C239" t="str">
            <v>左合页-L</v>
          </cell>
          <cell r="D239" t="str">
            <v>木琛</v>
          </cell>
          <cell r="E239" t="str">
            <v>成品</v>
          </cell>
          <cell r="F239" t="str">
            <v>PCS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</row>
        <row r="240">
          <cell r="B240" t="str">
            <v>MC002</v>
          </cell>
          <cell r="C240" t="str">
            <v>右合页-R</v>
          </cell>
          <cell r="D240" t="str">
            <v>木琛</v>
          </cell>
          <cell r="E240" t="str">
            <v>成品</v>
          </cell>
          <cell r="F240" t="str">
            <v>PCS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</row>
        <row r="241">
          <cell r="B241" t="str">
            <v>MJ002</v>
          </cell>
          <cell r="C241" t="str">
            <v>曲柄销套</v>
          </cell>
          <cell r="D241" t="str">
            <v>铭捷</v>
          </cell>
          <cell r="E241" t="str">
            <v>成品</v>
          </cell>
          <cell r="F241" t="str">
            <v>PCS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</row>
        <row r="242">
          <cell r="B242" t="str">
            <v>ML001</v>
          </cell>
          <cell r="C242" t="str">
            <v>壳体</v>
          </cell>
          <cell r="D242" t="str">
            <v>明立铸业</v>
          </cell>
          <cell r="E242" t="str">
            <v>成品</v>
          </cell>
          <cell r="F242" t="str">
            <v>PCS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</row>
        <row r="243">
          <cell r="B243" t="str">
            <v>LSD001</v>
          </cell>
          <cell r="C243" t="str">
            <v>AGL80散热器</v>
          </cell>
          <cell r="D243" t="str">
            <v>龙胜达</v>
          </cell>
          <cell r="E243" t="str">
            <v>成品</v>
          </cell>
          <cell r="F243" t="str">
            <v>PCS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</row>
        <row r="244">
          <cell r="B244" t="str">
            <v>LX0001</v>
          </cell>
          <cell r="C244" t="str">
            <v>T93-03B</v>
          </cell>
          <cell r="D244" t="str">
            <v>朗信</v>
          </cell>
          <cell r="E244" t="str">
            <v>成品</v>
          </cell>
          <cell r="F244" t="str">
            <v>PCS</v>
          </cell>
          <cell r="G244">
            <v>12150</v>
          </cell>
          <cell r="H244">
            <v>0</v>
          </cell>
          <cell r="I244">
            <v>0</v>
          </cell>
          <cell r="J244">
            <v>12150</v>
          </cell>
        </row>
        <row r="245">
          <cell r="B245" t="str">
            <v>LX0002</v>
          </cell>
          <cell r="C245" t="str">
            <v>T93-02A</v>
          </cell>
          <cell r="D245" t="str">
            <v>朗信</v>
          </cell>
          <cell r="E245" t="str">
            <v>成品</v>
          </cell>
          <cell r="F245" t="str">
            <v>PCS</v>
          </cell>
          <cell r="G245">
            <v>10015</v>
          </cell>
          <cell r="H245">
            <v>0</v>
          </cell>
          <cell r="I245">
            <v>0</v>
          </cell>
          <cell r="J245">
            <v>10015</v>
          </cell>
        </row>
        <row r="246">
          <cell r="B246" t="str">
            <v>LX0003</v>
          </cell>
          <cell r="C246" t="str">
            <v>T93-13</v>
          </cell>
          <cell r="D246" t="str">
            <v>朗信</v>
          </cell>
          <cell r="E246" t="str">
            <v>成品</v>
          </cell>
          <cell r="F246" t="str">
            <v>PCS</v>
          </cell>
          <cell r="G246">
            <v>2628</v>
          </cell>
          <cell r="H246">
            <v>0</v>
          </cell>
          <cell r="I246">
            <v>1350</v>
          </cell>
          <cell r="J246">
            <v>1278</v>
          </cell>
        </row>
        <row r="247">
          <cell r="B247" t="str">
            <v>LX0004</v>
          </cell>
          <cell r="C247" t="str">
            <v>JK111-01机壳(有牙）</v>
          </cell>
          <cell r="D247" t="str">
            <v>朗信</v>
          </cell>
          <cell r="E247" t="str">
            <v>成品</v>
          </cell>
          <cell r="F247" t="str">
            <v>PCS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</row>
        <row r="248">
          <cell r="B248" t="str">
            <v>LX0005</v>
          </cell>
          <cell r="C248" t="str">
            <v>T93-04</v>
          </cell>
          <cell r="D248" t="str">
            <v>朗信</v>
          </cell>
          <cell r="E248" t="str">
            <v>成品</v>
          </cell>
          <cell r="F248" t="str">
            <v>PCS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</row>
        <row r="249">
          <cell r="B249" t="str">
            <v>LX0009</v>
          </cell>
          <cell r="C249" t="str">
            <v>T93-06.01</v>
          </cell>
          <cell r="D249" t="str">
            <v>朗信</v>
          </cell>
          <cell r="E249" t="str">
            <v>成品</v>
          </cell>
          <cell r="F249" t="str">
            <v>PCS</v>
          </cell>
          <cell r="G249">
            <v>78</v>
          </cell>
          <cell r="H249">
            <v>0</v>
          </cell>
          <cell r="I249">
            <v>0</v>
          </cell>
          <cell r="J249">
            <v>78</v>
          </cell>
        </row>
        <row r="250">
          <cell r="B250" t="str">
            <v>LX0006</v>
          </cell>
          <cell r="C250" t="str">
            <v>T93-17</v>
          </cell>
          <cell r="D250" t="str">
            <v>朗信</v>
          </cell>
          <cell r="E250" t="str">
            <v>成品</v>
          </cell>
          <cell r="F250" t="str">
            <v>PCS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</row>
        <row r="251">
          <cell r="B251" t="str">
            <v>LX0010</v>
          </cell>
          <cell r="C251" t="str">
            <v>T93-20</v>
          </cell>
          <cell r="D251" t="str">
            <v>朗信</v>
          </cell>
          <cell r="E251" t="str">
            <v>成品</v>
          </cell>
          <cell r="F251" t="str">
            <v>PCS</v>
          </cell>
          <cell r="G251">
            <v>14936</v>
          </cell>
          <cell r="H251">
            <v>-411</v>
          </cell>
          <cell r="I251">
            <v>7169</v>
          </cell>
          <cell r="J251">
            <v>7356</v>
          </cell>
        </row>
        <row r="252">
          <cell r="B252" t="str">
            <v>LX0007</v>
          </cell>
          <cell r="C252" t="str">
            <v>T93-22</v>
          </cell>
          <cell r="D252" t="str">
            <v>朗信</v>
          </cell>
          <cell r="E252" t="str">
            <v>成品</v>
          </cell>
          <cell r="F252" t="str">
            <v>PCS</v>
          </cell>
          <cell r="G252">
            <v>1558</v>
          </cell>
          <cell r="H252">
            <v>0</v>
          </cell>
          <cell r="I252">
            <v>0</v>
          </cell>
          <cell r="J252">
            <v>1558</v>
          </cell>
        </row>
        <row r="253">
          <cell r="B253" t="str">
            <v>LX0008</v>
          </cell>
          <cell r="C253" t="str">
            <v>T93-23</v>
          </cell>
          <cell r="D253" t="str">
            <v>朗信</v>
          </cell>
          <cell r="E253" t="str">
            <v>成品</v>
          </cell>
          <cell r="F253" t="str">
            <v>PCS</v>
          </cell>
          <cell r="G253">
            <v>5016</v>
          </cell>
          <cell r="H253">
            <v>0</v>
          </cell>
          <cell r="I253">
            <v>0</v>
          </cell>
          <cell r="J253">
            <v>5016</v>
          </cell>
        </row>
        <row r="254">
          <cell r="B254" t="str">
            <v>LX0011</v>
          </cell>
          <cell r="C254" t="str">
            <v>T93-25</v>
          </cell>
          <cell r="D254" t="str">
            <v>朗信</v>
          </cell>
          <cell r="E254" t="str">
            <v>成品</v>
          </cell>
          <cell r="F254" t="str">
            <v>PCS</v>
          </cell>
          <cell r="G254">
            <v>2477</v>
          </cell>
          <cell r="H254">
            <v>0</v>
          </cell>
          <cell r="I254">
            <v>0</v>
          </cell>
          <cell r="J254">
            <v>2477</v>
          </cell>
        </row>
        <row r="255">
          <cell r="B255" t="str">
            <v>LX0011-1</v>
          </cell>
          <cell r="C255" t="str">
            <v>T93-43</v>
          </cell>
          <cell r="D255" t="str">
            <v>朗信</v>
          </cell>
          <cell r="E255" t="str">
            <v>成品</v>
          </cell>
          <cell r="F255" t="str">
            <v>PCS</v>
          </cell>
          <cell r="G255">
            <v>201</v>
          </cell>
          <cell r="H255">
            <v>0</v>
          </cell>
          <cell r="I255">
            <v>0</v>
          </cell>
          <cell r="J255">
            <v>201</v>
          </cell>
        </row>
        <row r="256">
          <cell r="B256" t="str">
            <v>LX0012</v>
          </cell>
          <cell r="C256" t="str">
            <v>T93-27</v>
          </cell>
          <cell r="D256" t="str">
            <v>朗信</v>
          </cell>
          <cell r="E256" t="str">
            <v>成品</v>
          </cell>
          <cell r="F256" t="str">
            <v>PCS</v>
          </cell>
          <cell r="G256">
            <v>833</v>
          </cell>
          <cell r="H256">
            <v>0</v>
          </cell>
          <cell r="I256">
            <v>0</v>
          </cell>
          <cell r="J256">
            <v>833</v>
          </cell>
        </row>
        <row r="257">
          <cell r="B257" t="str">
            <v>LX0013</v>
          </cell>
          <cell r="C257" t="str">
            <v>T93-31</v>
          </cell>
          <cell r="D257" t="str">
            <v>朗信</v>
          </cell>
          <cell r="E257" t="str">
            <v>成品</v>
          </cell>
          <cell r="F257" t="str">
            <v>PCS</v>
          </cell>
          <cell r="G257">
            <v>7218</v>
          </cell>
          <cell r="H257">
            <v>0</v>
          </cell>
          <cell r="I257">
            <v>0</v>
          </cell>
          <cell r="J257">
            <v>7218</v>
          </cell>
        </row>
        <row r="258">
          <cell r="B258" t="str">
            <v>LX0014</v>
          </cell>
          <cell r="C258" t="str">
            <v>T93-32</v>
          </cell>
          <cell r="D258" t="str">
            <v>朗信</v>
          </cell>
          <cell r="E258" t="str">
            <v>成品</v>
          </cell>
          <cell r="F258" t="str">
            <v>PCS</v>
          </cell>
          <cell r="G258">
            <v>3539</v>
          </cell>
          <cell r="H258">
            <v>0</v>
          </cell>
          <cell r="I258">
            <v>0</v>
          </cell>
          <cell r="J258">
            <v>3539</v>
          </cell>
        </row>
        <row r="259">
          <cell r="B259" t="str">
            <v>LX0015</v>
          </cell>
          <cell r="C259" t="str">
            <v>T46-03</v>
          </cell>
          <cell r="D259" t="str">
            <v>朗信</v>
          </cell>
          <cell r="E259" t="str">
            <v>成品</v>
          </cell>
          <cell r="F259" t="str">
            <v>PCS</v>
          </cell>
          <cell r="G259">
            <v>1599</v>
          </cell>
          <cell r="H259">
            <v>0</v>
          </cell>
          <cell r="I259">
            <v>0</v>
          </cell>
          <cell r="J259">
            <v>1599</v>
          </cell>
        </row>
        <row r="260">
          <cell r="B260" t="str">
            <v>LX0017-1</v>
          </cell>
          <cell r="C260" t="str">
            <v>JK111-04机壳（无牙）</v>
          </cell>
          <cell r="D260" t="str">
            <v>朗信</v>
          </cell>
          <cell r="E260" t="str">
            <v>成品</v>
          </cell>
          <cell r="F260" t="str">
            <v>PCS</v>
          </cell>
          <cell r="G260">
            <v>955</v>
          </cell>
          <cell r="H260">
            <v>0</v>
          </cell>
          <cell r="I260">
            <v>0</v>
          </cell>
          <cell r="J260">
            <v>955</v>
          </cell>
        </row>
        <row r="261">
          <cell r="B261" t="str">
            <v>LX0018</v>
          </cell>
          <cell r="C261" t="str">
            <v>JK111-02机壳</v>
          </cell>
          <cell r="D261" t="str">
            <v>朗信</v>
          </cell>
          <cell r="E261" t="str">
            <v>成品</v>
          </cell>
          <cell r="F261" t="str">
            <v>PCS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</row>
        <row r="262">
          <cell r="B262" t="str">
            <v>LX0019-1</v>
          </cell>
          <cell r="C262" t="str">
            <v>T93-29镭雕</v>
          </cell>
          <cell r="D262" t="str">
            <v>朗信</v>
          </cell>
          <cell r="E262" t="str">
            <v>成品</v>
          </cell>
          <cell r="F262" t="str">
            <v>PCS</v>
          </cell>
          <cell r="G262">
            <v>3612</v>
          </cell>
          <cell r="H262">
            <v>1620</v>
          </cell>
          <cell r="I262">
            <v>1385</v>
          </cell>
          <cell r="J262">
            <v>3847</v>
          </cell>
        </row>
        <row r="263">
          <cell r="B263" t="str">
            <v>LX0020-1</v>
          </cell>
          <cell r="C263" t="str">
            <v>T93-33镭雕（4孔）</v>
          </cell>
          <cell r="D263" t="str">
            <v>朗信</v>
          </cell>
          <cell r="E263" t="str">
            <v>成品</v>
          </cell>
          <cell r="F263" t="str">
            <v>PCS</v>
          </cell>
          <cell r="G263">
            <v>1182</v>
          </cell>
          <cell r="H263">
            <v>1080</v>
          </cell>
          <cell r="I263">
            <v>25</v>
          </cell>
          <cell r="J263">
            <v>2237</v>
          </cell>
        </row>
        <row r="264">
          <cell r="B264" t="str">
            <v>LX0020-2</v>
          </cell>
          <cell r="C264" t="str">
            <v>T93-33L镭雕</v>
          </cell>
          <cell r="D264" t="str">
            <v>朗信</v>
          </cell>
          <cell r="E264" t="str">
            <v>成品</v>
          </cell>
          <cell r="F264" t="str">
            <v>PCS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B265" t="str">
            <v>LX0021</v>
          </cell>
          <cell r="C265" t="str">
            <v>T93-SUE</v>
          </cell>
          <cell r="D265" t="str">
            <v>朗信</v>
          </cell>
          <cell r="E265" t="str">
            <v>成品</v>
          </cell>
          <cell r="F265" t="str">
            <v>PCS</v>
          </cell>
          <cell r="G265">
            <v>88</v>
          </cell>
          <cell r="H265">
            <v>0</v>
          </cell>
          <cell r="I265">
            <v>0</v>
          </cell>
          <cell r="J265">
            <v>88</v>
          </cell>
        </row>
        <row r="266">
          <cell r="B266" t="str">
            <v>LX0022</v>
          </cell>
          <cell r="C266" t="str">
            <v>JK111-01机壳（设变品）</v>
          </cell>
          <cell r="D266" t="str">
            <v>朗信</v>
          </cell>
          <cell r="E266" t="str">
            <v>成品</v>
          </cell>
          <cell r="F266" t="str">
            <v>PCS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</row>
        <row r="267">
          <cell r="B267" t="str">
            <v>LX0023</v>
          </cell>
          <cell r="C267" t="str">
            <v>JK111-03机壳（无牙）</v>
          </cell>
          <cell r="D267" t="str">
            <v>朗信</v>
          </cell>
          <cell r="E267" t="str">
            <v>成品</v>
          </cell>
          <cell r="F267" t="str">
            <v>PCS</v>
          </cell>
          <cell r="G267">
            <v>6241</v>
          </cell>
          <cell r="H267">
            <v>4499</v>
          </cell>
          <cell r="I267">
            <v>1457</v>
          </cell>
          <cell r="J267">
            <v>9283</v>
          </cell>
        </row>
        <row r="268">
          <cell r="B268" t="str">
            <v>LX0025</v>
          </cell>
          <cell r="C268" t="str">
            <v>JK111-05机壳（无牙）</v>
          </cell>
          <cell r="D268" t="str">
            <v>朗信</v>
          </cell>
          <cell r="E268" t="str">
            <v>成品</v>
          </cell>
          <cell r="F268" t="str">
            <v>PCS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B269" t="str">
            <v>LX0026</v>
          </cell>
          <cell r="C269" t="str">
            <v>JK111-06机壳（无牙）</v>
          </cell>
          <cell r="D269" t="str">
            <v>朗信</v>
          </cell>
          <cell r="E269" t="str">
            <v>成品</v>
          </cell>
          <cell r="F269" t="str">
            <v>PCS</v>
          </cell>
          <cell r="G269">
            <v>2580</v>
          </cell>
          <cell r="H269">
            <v>0</v>
          </cell>
          <cell r="I269">
            <v>0</v>
          </cell>
          <cell r="J269">
            <v>2580</v>
          </cell>
        </row>
        <row r="270">
          <cell r="B270" t="str">
            <v>LX0027</v>
          </cell>
          <cell r="C270" t="str">
            <v>T93-53</v>
          </cell>
          <cell r="D270" t="str">
            <v>朗信</v>
          </cell>
          <cell r="E270" t="str">
            <v>成品</v>
          </cell>
          <cell r="F270" t="str">
            <v>PCS</v>
          </cell>
          <cell r="G270">
            <v>36</v>
          </cell>
          <cell r="H270">
            <v>0</v>
          </cell>
          <cell r="I270">
            <v>0</v>
          </cell>
          <cell r="J270">
            <v>36</v>
          </cell>
        </row>
        <row r="271">
          <cell r="B271" t="str">
            <v>LX0028</v>
          </cell>
          <cell r="C271" t="str">
            <v>T93-54（镭雕）</v>
          </cell>
          <cell r="D271" t="str">
            <v>朗信</v>
          </cell>
          <cell r="E271" t="str">
            <v>成品</v>
          </cell>
          <cell r="F271" t="str">
            <v>PCS</v>
          </cell>
          <cell r="G271">
            <v>35</v>
          </cell>
          <cell r="H271">
            <v>0</v>
          </cell>
          <cell r="I271">
            <v>0</v>
          </cell>
          <cell r="J271">
            <v>35</v>
          </cell>
        </row>
        <row r="272">
          <cell r="B272" t="str">
            <v>LX0029</v>
          </cell>
          <cell r="C272" t="str">
            <v>T93-56镭雕</v>
          </cell>
          <cell r="D272" t="str">
            <v>朗信</v>
          </cell>
          <cell r="E272" t="str">
            <v>成品</v>
          </cell>
          <cell r="F272" t="str">
            <v>PCS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</row>
        <row r="273">
          <cell r="B273" t="str">
            <v>LX0030</v>
          </cell>
          <cell r="C273" t="str">
            <v>T93-58</v>
          </cell>
          <cell r="D273" t="str">
            <v>朗信</v>
          </cell>
          <cell r="E273" t="str">
            <v>成品</v>
          </cell>
          <cell r="F273" t="str">
            <v>PCS</v>
          </cell>
          <cell r="G273">
            <v>23</v>
          </cell>
          <cell r="H273">
            <v>0</v>
          </cell>
          <cell r="I273">
            <v>0</v>
          </cell>
          <cell r="J273">
            <v>23</v>
          </cell>
        </row>
        <row r="274">
          <cell r="B274" t="str">
            <v>LX0031</v>
          </cell>
          <cell r="C274" t="str">
            <v>T93-59</v>
          </cell>
          <cell r="D274" t="str">
            <v>朗信</v>
          </cell>
          <cell r="E274" t="str">
            <v>成品</v>
          </cell>
          <cell r="F274" t="str">
            <v>PCS</v>
          </cell>
          <cell r="G274">
            <v>19</v>
          </cell>
          <cell r="H274">
            <v>0</v>
          </cell>
          <cell r="I274">
            <v>0</v>
          </cell>
          <cell r="J274">
            <v>19</v>
          </cell>
        </row>
        <row r="275">
          <cell r="B275" t="str">
            <v>LX0032</v>
          </cell>
          <cell r="C275" t="str">
            <v>T93-60</v>
          </cell>
          <cell r="D275" t="str">
            <v>朗信</v>
          </cell>
          <cell r="E275" t="str">
            <v>成品</v>
          </cell>
          <cell r="F275" t="str">
            <v>PCS</v>
          </cell>
          <cell r="G275">
            <v>22</v>
          </cell>
          <cell r="H275">
            <v>0</v>
          </cell>
          <cell r="I275">
            <v>0</v>
          </cell>
          <cell r="J275">
            <v>22</v>
          </cell>
        </row>
        <row r="276">
          <cell r="B276" t="str">
            <v>LX0033</v>
          </cell>
          <cell r="C276" t="str">
            <v>T93-62</v>
          </cell>
          <cell r="D276" t="str">
            <v>朗信</v>
          </cell>
          <cell r="E276" t="str">
            <v>成品</v>
          </cell>
          <cell r="F276" t="str">
            <v>PCS</v>
          </cell>
          <cell r="G276">
            <v>176</v>
          </cell>
          <cell r="H276">
            <v>0</v>
          </cell>
          <cell r="I276">
            <v>0</v>
          </cell>
          <cell r="J276">
            <v>176</v>
          </cell>
        </row>
        <row r="277">
          <cell r="B277" t="str">
            <v>LM0001</v>
          </cell>
          <cell r="C277" t="str">
            <v>SHELL中框（铝铸中框）</v>
          </cell>
          <cell r="D277" t="str">
            <v>徕木</v>
          </cell>
          <cell r="E277" t="str">
            <v>成品</v>
          </cell>
          <cell r="F277" t="str">
            <v>PCS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</row>
        <row r="278">
          <cell r="B278" t="str">
            <v>LM0002</v>
          </cell>
          <cell r="C278" t="str">
            <v>SHELL底盖（铝铸底盖）</v>
          </cell>
          <cell r="D278" t="str">
            <v>徕木</v>
          </cell>
          <cell r="E278" t="str">
            <v>成品</v>
          </cell>
          <cell r="F278" t="str">
            <v>PCS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</row>
        <row r="279">
          <cell r="B279" t="str">
            <v>LM0003</v>
          </cell>
          <cell r="C279" t="str">
            <v>铝挤材（QH-G-3351)/铝挤板端（1403-00013-01）</v>
          </cell>
          <cell r="D279" t="str">
            <v>徕木</v>
          </cell>
          <cell r="E279" t="str">
            <v>成品</v>
          </cell>
          <cell r="F279" t="str">
            <v>PCS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B280" t="str">
            <v>SRY002</v>
          </cell>
          <cell r="C280" t="str">
            <v>托架</v>
          </cell>
          <cell r="D280" t="str">
            <v>昆山刚毅</v>
          </cell>
          <cell r="E280" t="str">
            <v>成品</v>
          </cell>
          <cell r="F280" t="str">
            <v>PCS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</row>
        <row r="281">
          <cell r="B281" t="str">
            <v>SRY003</v>
          </cell>
          <cell r="C281" t="str">
            <v>背盖</v>
          </cell>
          <cell r="D281" t="str">
            <v>昆山刚毅</v>
          </cell>
          <cell r="E281" t="str">
            <v>成品</v>
          </cell>
          <cell r="F281" t="str">
            <v>PCS</v>
          </cell>
          <cell r="G281">
            <v>161</v>
          </cell>
          <cell r="H281">
            <v>0</v>
          </cell>
          <cell r="I281">
            <v>0</v>
          </cell>
          <cell r="J281">
            <v>161</v>
          </cell>
        </row>
        <row r="282">
          <cell r="B282" t="str">
            <v>KJL0001</v>
          </cell>
          <cell r="C282" t="str">
            <v>F51999169</v>
          </cell>
          <cell r="D282" t="str">
            <v>昆甲林</v>
          </cell>
          <cell r="E282" t="str">
            <v>成品</v>
          </cell>
          <cell r="F282" t="str">
            <v>PCS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</row>
        <row r="283">
          <cell r="B283" t="str">
            <v>KJL0002</v>
          </cell>
          <cell r="C283" t="str">
            <v>F51999170</v>
          </cell>
          <cell r="D283" t="str">
            <v>昆甲林</v>
          </cell>
          <cell r="E283" t="str">
            <v>成品</v>
          </cell>
          <cell r="F283" t="str">
            <v>PCS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</row>
        <row r="284">
          <cell r="B284" t="str">
            <v>KJL0003</v>
          </cell>
          <cell r="C284" t="str">
            <v>F51999171</v>
          </cell>
          <cell r="D284" t="str">
            <v>昆甲林</v>
          </cell>
          <cell r="E284" t="str">
            <v>成品</v>
          </cell>
          <cell r="F284" t="str">
            <v>PCS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</row>
        <row r="285">
          <cell r="B285" t="str">
            <v>KJL0004</v>
          </cell>
          <cell r="C285" t="str">
            <v>F51999172</v>
          </cell>
          <cell r="D285" t="str">
            <v>昆甲林</v>
          </cell>
          <cell r="E285" t="str">
            <v>成品</v>
          </cell>
          <cell r="F285" t="str">
            <v>PCS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</row>
        <row r="286">
          <cell r="B286" t="str">
            <v>KJL0005</v>
          </cell>
          <cell r="C286" t="str">
            <v>F51999173</v>
          </cell>
          <cell r="D286" t="str">
            <v>昆甲林</v>
          </cell>
          <cell r="E286" t="str">
            <v>成品</v>
          </cell>
          <cell r="F286" t="str">
            <v>PCS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B287" t="str">
            <v>KJL0006</v>
          </cell>
          <cell r="C287" t="str">
            <v>F40999311</v>
          </cell>
          <cell r="D287" t="str">
            <v>昆甲林</v>
          </cell>
          <cell r="E287" t="str">
            <v>成品</v>
          </cell>
          <cell r="F287" t="str">
            <v>PCS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B288" t="str">
            <v>KJL0007</v>
          </cell>
          <cell r="C288" t="str">
            <v>F40999312</v>
          </cell>
          <cell r="D288" t="str">
            <v>昆甲林</v>
          </cell>
          <cell r="E288" t="str">
            <v>成品</v>
          </cell>
          <cell r="F288" t="str">
            <v>PCS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</row>
        <row r="289">
          <cell r="B289" t="str">
            <v>KJL0008</v>
          </cell>
          <cell r="C289" t="str">
            <v>F40999313</v>
          </cell>
          <cell r="D289" t="str">
            <v>昆甲林</v>
          </cell>
          <cell r="E289" t="str">
            <v>成品</v>
          </cell>
          <cell r="F289" t="str">
            <v>PCS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B290" t="str">
            <v>KJL0009</v>
          </cell>
          <cell r="C290" t="str">
            <v>F40999314</v>
          </cell>
          <cell r="D290" t="str">
            <v>昆甲林</v>
          </cell>
          <cell r="E290" t="str">
            <v>成品</v>
          </cell>
          <cell r="F290" t="str">
            <v>PCS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B291" t="str">
            <v>KJL0010</v>
          </cell>
          <cell r="C291" t="str">
            <v>F40999315</v>
          </cell>
          <cell r="D291" t="str">
            <v>昆甲林</v>
          </cell>
          <cell r="E291" t="str">
            <v>成品</v>
          </cell>
          <cell r="F291" t="str">
            <v>PCS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B292" t="str">
            <v>KJL0011</v>
          </cell>
          <cell r="C292" t="str">
            <v>F40999316</v>
          </cell>
          <cell r="D292" t="str">
            <v>昆甲林</v>
          </cell>
          <cell r="E292" t="str">
            <v>成品</v>
          </cell>
          <cell r="F292" t="str">
            <v>PCS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</row>
        <row r="293">
          <cell r="B293" t="str">
            <v>KJL0012</v>
          </cell>
          <cell r="C293" t="str">
            <v>F40999317</v>
          </cell>
          <cell r="D293" t="str">
            <v>昆甲林</v>
          </cell>
          <cell r="E293" t="str">
            <v>成品</v>
          </cell>
          <cell r="F293" t="str">
            <v>PCS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</row>
        <row r="294">
          <cell r="B294" t="str">
            <v>KJL0013</v>
          </cell>
          <cell r="C294" t="str">
            <v>F40999318</v>
          </cell>
          <cell r="D294" t="str">
            <v>昆甲林</v>
          </cell>
          <cell r="E294" t="str">
            <v>成品</v>
          </cell>
          <cell r="F294" t="str">
            <v>PCS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</row>
        <row r="295">
          <cell r="B295" t="str">
            <v>KJL0014</v>
          </cell>
          <cell r="C295" t="str">
            <v>铝波轮</v>
          </cell>
          <cell r="D295" t="str">
            <v>昆甲林</v>
          </cell>
          <cell r="E295" t="str">
            <v>成品</v>
          </cell>
          <cell r="F295" t="str">
            <v>PCS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</row>
        <row r="296">
          <cell r="B296" t="str">
            <v>KJL0015</v>
          </cell>
          <cell r="C296" t="str">
            <v>固定块-01</v>
          </cell>
          <cell r="D296" t="str">
            <v>昆甲林</v>
          </cell>
          <cell r="E296" t="str">
            <v>成品</v>
          </cell>
          <cell r="F296" t="str">
            <v>PCS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</row>
        <row r="297">
          <cell r="B297" t="str">
            <v>KJL0016</v>
          </cell>
          <cell r="C297" t="str">
            <v>固定块-02</v>
          </cell>
          <cell r="D297" t="str">
            <v>昆甲林</v>
          </cell>
          <cell r="E297" t="str">
            <v>成品</v>
          </cell>
          <cell r="F297" t="str">
            <v>PCS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</row>
        <row r="298">
          <cell r="B298" t="str">
            <v>KJL0017A</v>
          </cell>
          <cell r="C298" t="str">
            <v>伞齿固定座L</v>
          </cell>
          <cell r="D298" t="str">
            <v>昆甲林</v>
          </cell>
          <cell r="E298" t="str">
            <v>成品</v>
          </cell>
          <cell r="F298" t="str">
            <v>PCS</v>
          </cell>
          <cell r="G298">
            <v>5594</v>
          </cell>
          <cell r="H298">
            <v>0</v>
          </cell>
          <cell r="I298">
            <v>0</v>
          </cell>
          <cell r="J298">
            <v>5594</v>
          </cell>
        </row>
        <row r="299">
          <cell r="B299" t="str">
            <v>KJL0017B</v>
          </cell>
          <cell r="C299" t="str">
            <v>伞齿固定座R</v>
          </cell>
          <cell r="D299" t="str">
            <v>昆甲林</v>
          </cell>
          <cell r="E299" t="str">
            <v>成品</v>
          </cell>
          <cell r="F299" t="str">
            <v>PCS</v>
          </cell>
          <cell r="G299">
            <v>5594</v>
          </cell>
          <cell r="H299">
            <v>0</v>
          </cell>
          <cell r="I299">
            <v>0</v>
          </cell>
          <cell r="J299">
            <v>5594</v>
          </cell>
        </row>
        <row r="300">
          <cell r="B300" t="str">
            <v>KJL0018</v>
          </cell>
          <cell r="C300" t="str">
            <v>连接座</v>
          </cell>
          <cell r="D300" t="str">
            <v>昆甲林</v>
          </cell>
          <cell r="E300" t="str">
            <v>成品</v>
          </cell>
          <cell r="F300" t="str">
            <v>PCS</v>
          </cell>
          <cell r="G300">
            <v>5979</v>
          </cell>
          <cell r="H300">
            <v>0</v>
          </cell>
          <cell r="I300">
            <v>0</v>
          </cell>
          <cell r="J300">
            <v>5979</v>
          </cell>
        </row>
        <row r="301">
          <cell r="B301" t="str">
            <v>KEX001</v>
          </cell>
          <cell r="C301" t="str">
            <v>41-1007</v>
          </cell>
          <cell r="D301" t="str">
            <v>康尔学</v>
          </cell>
          <cell r="E301" t="str">
            <v>成品</v>
          </cell>
          <cell r="F301" t="str">
            <v>PCS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</row>
        <row r="302">
          <cell r="B302" t="str">
            <v>KBL001</v>
          </cell>
          <cell r="C302" t="str">
            <v>外壳</v>
          </cell>
          <cell r="D302" t="str">
            <v>康比利（宇称）</v>
          </cell>
          <cell r="E302" t="str">
            <v>成品</v>
          </cell>
          <cell r="F302" t="str">
            <v>PCS</v>
          </cell>
          <cell r="G302">
            <v>11849</v>
          </cell>
          <cell r="H302">
            <v>0</v>
          </cell>
          <cell r="I302">
            <v>0</v>
          </cell>
          <cell r="J302">
            <v>11849</v>
          </cell>
        </row>
        <row r="303">
          <cell r="B303" t="str">
            <v>KBL002</v>
          </cell>
          <cell r="C303" t="str">
            <v>压盖</v>
          </cell>
          <cell r="D303" t="str">
            <v>康比利（宇称）</v>
          </cell>
          <cell r="E303" t="str">
            <v>成品</v>
          </cell>
          <cell r="F303" t="str">
            <v>PCS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</row>
        <row r="304">
          <cell r="B304" t="str">
            <v>KBL003</v>
          </cell>
          <cell r="C304" t="str">
            <v>涨紧圈（方）</v>
          </cell>
          <cell r="D304" t="str">
            <v>康比利（宇称）</v>
          </cell>
          <cell r="E304" t="str">
            <v>成品</v>
          </cell>
          <cell r="F304" t="str">
            <v>PCS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</row>
        <row r="305">
          <cell r="B305" t="str">
            <v>KBL004</v>
          </cell>
          <cell r="C305" t="str">
            <v>涨紧圈（圆无LOGO）</v>
          </cell>
          <cell r="D305" t="str">
            <v>康比利（宇称）</v>
          </cell>
          <cell r="E305" t="str">
            <v>成品</v>
          </cell>
          <cell r="F305" t="str">
            <v>PCS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</row>
        <row r="306">
          <cell r="B306" t="str">
            <v>KBL005</v>
          </cell>
          <cell r="C306" t="str">
            <v>48-基座</v>
          </cell>
          <cell r="D306" t="str">
            <v>康比利（宇称）</v>
          </cell>
          <cell r="E306" t="str">
            <v>成品</v>
          </cell>
          <cell r="F306" t="str">
            <v>PCS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B307" t="str">
            <v>KBL006</v>
          </cell>
          <cell r="C307" t="str">
            <v>紧固件</v>
          </cell>
          <cell r="D307" t="str">
            <v>康比利（宇称）</v>
          </cell>
          <cell r="E307" t="str">
            <v>成品</v>
          </cell>
          <cell r="F307" t="str">
            <v>PCS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B308" t="str">
            <v>KBL007</v>
          </cell>
          <cell r="C308" t="str">
            <v>涨紧圈（圆有LOGO）</v>
          </cell>
          <cell r="D308" t="str">
            <v>康比利（宇称）</v>
          </cell>
          <cell r="E308" t="str">
            <v>成品</v>
          </cell>
          <cell r="F308" t="str">
            <v>PCS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</row>
        <row r="309">
          <cell r="B309" t="str">
            <v>KBL008</v>
          </cell>
          <cell r="C309" t="str">
            <v>100-机壳</v>
          </cell>
          <cell r="D309" t="str">
            <v>康比利（宇称）</v>
          </cell>
          <cell r="E309" t="str">
            <v>成品</v>
          </cell>
          <cell r="F309" t="str">
            <v>PCS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</row>
        <row r="310">
          <cell r="B310" t="str">
            <v>KBL009</v>
          </cell>
          <cell r="C310" t="str">
            <v>100-基座</v>
          </cell>
          <cell r="D310" t="str">
            <v>康比利（宇称）</v>
          </cell>
          <cell r="E310" t="str">
            <v>成品</v>
          </cell>
          <cell r="F310" t="str">
            <v>PCS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</row>
        <row r="311">
          <cell r="B311" t="str">
            <v>KBL010</v>
          </cell>
          <cell r="C311" t="str">
            <v>5801-基座</v>
          </cell>
          <cell r="D311" t="str">
            <v>康比利（宇称）</v>
          </cell>
          <cell r="E311" t="str">
            <v>成品</v>
          </cell>
          <cell r="F311" t="str">
            <v>PCS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</row>
        <row r="312">
          <cell r="B312" t="str">
            <v>JY001</v>
          </cell>
          <cell r="C312" t="str">
            <v>FT0083A</v>
          </cell>
          <cell r="D312" t="str">
            <v>久越</v>
          </cell>
          <cell r="E312" t="str">
            <v>成品</v>
          </cell>
          <cell r="F312" t="str">
            <v>PCS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</row>
        <row r="313">
          <cell r="B313" t="str">
            <v>JY002</v>
          </cell>
          <cell r="C313" t="str">
            <v>FT0868</v>
          </cell>
          <cell r="D313" t="str">
            <v>久越</v>
          </cell>
          <cell r="E313" t="str">
            <v>成品</v>
          </cell>
          <cell r="F313" t="str">
            <v>PCS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</row>
        <row r="314">
          <cell r="B314" t="str">
            <v>JY003</v>
          </cell>
          <cell r="C314" t="str">
            <v>HT0090A</v>
          </cell>
          <cell r="D314" t="str">
            <v>久越</v>
          </cell>
          <cell r="E314" t="str">
            <v>成品</v>
          </cell>
          <cell r="F314" t="str">
            <v>PCS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</row>
        <row r="315">
          <cell r="B315" t="str">
            <v>JY004</v>
          </cell>
          <cell r="C315" t="str">
            <v>FT0936</v>
          </cell>
          <cell r="D315" t="str">
            <v>久越</v>
          </cell>
          <cell r="E315" t="str">
            <v>成品</v>
          </cell>
          <cell r="F315" t="str">
            <v>PCS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</row>
        <row r="316">
          <cell r="B316" t="str">
            <v>JC001</v>
          </cell>
          <cell r="C316" t="str">
            <v>1810-001(泵座)</v>
          </cell>
          <cell r="D316" t="str">
            <v>精弛</v>
          </cell>
          <cell r="E316" t="str">
            <v>成品</v>
          </cell>
          <cell r="F316" t="str">
            <v>PCS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B317" t="str">
            <v>JC002</v>
          </cell>
          <cell r="C317" t="str">
            <v>1810-002（泵盖）</v>
          </cell>
          <cell r="D317" t="str">
            <v>精弛</v>
          </cell>
          <cell r="E317" t="str">
            <v>成品</v>
          </cell>
          <cell r="F317" t="str">
            <v>PCS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B318" t="str">
            <v>JC003</v>
          </cell>
          <cell r="C318" t="str">
            <v>906680-001.40</v>
          </cell>
          <cell r="D318" t="str">
            <v>精弛</v>
          </cell>
          <cell r="E318" t="str">
            <v>成品</v>
          </cell>
          <cell r="F318" t="str">
            <v>PCS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</row>
        <row r="319">
          <cell r="B319" t="str">
            <v>JM0001</v>
          </cell>
          <cell r="C319" t="str">
            <v>G2040上盖</v>
          </cell>
          <cell r="D319" t="str">
            <v>金脉</v>
          </cell>
          <cell r="E319" t="str">
            <v>成品</v>
          </cell>
          <cell r="F319" t="str">
            <v>PCS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</row>
        <row r="320">
          <cell r="B320" t="str">
            <v>JM0004</v>
          </cell>
          <cell r="C320" t="str">
            <v>G2124DM11B01</v>
          </cell>
          <cell r="D320" t="str">
            <v>金脉</v>
          </cell>
          <cell r="E320" t="str">
            <v>成品</v>
          </cell>
          <cell r="F320" t="str">
            <v>PCS</v>
          </cell>
          <cell r="G320">
            <v>7638</v>
          </cell>
          <cell r="H320">
            <v>0</v>
          </cell>
          <cell r="I320">
            <v>1262</v>
          </cell>
          <cell r="J320">
            <v>6376</v>
          </cell>
        </row>
        <row r="321">
          <cell r="B321" t="str">
            <v>JM0002</v>
          </cell>
          <cell r="C321" t="str">
            <v>BMS1997上盖</v>
          </cell>
          <cell r="D321" t="str">
            <v>金脉</v>
          </cell>
          <cell r="E321" t="str">
            <v>成品</v>
          </cell>
          <cell r="F321" t="str">
            <v>PCS</v>
          </cell>
          <cell r="G321">
            <v>2473</v>
          </cell>
          <cell r="H321">
            <v>0</v>
          </cell>
          <cell r="I321">
            <v>0</v>
          </cell>
          <cell r="J321">
            <v>2473</v>
          </cell>
        </row>
        <row r="322">
          <cell r="B322" t="str">
            <v>JM0003</v>
          </cell>
          <cell r="C322" t="str">
            <v>BMS1997下盖</v>
          </cell>
          <cell r="D322" t="str">
            <v>金脉</v>
          </cell>
          <cell r="E322" t="str">
            <v>成品</v>
          </cell>
          <cell r="F322" t="str">
            <v>PCS</v>
          </cell>
          <cell r="G322">
            <v>2632</v>
          </cell>
          <cell r="H322">
            <v>0</v>
          </cell>
          <cell r="I322">
            <v>0</v>
          </cell>
          <cell r="J322">
            <v>2632</v>
          </cell>
        </row>
        <row r="323">
          <cell r="B323" t="str">
            <v>JM0005</v>
          </cell>
          <cell r="C323" t="str">
            <v>G2184</v>
          </cell>
          <cell r="D323" t="str">
            <v>金脉</v>
          </cell>
          <cell r="E323" t="str">
            <v>成品</v>
          </cell>
          <cell r="F323" t="str">
            <v>PCS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B324" t="str">
            <v>JM0006</v>
          </cell>
          <cell r="C324" t="str">
            <v>2206盖板</v>
          </cell>
          <cell r="D324" t="str">
            <v>金脉</v>
          </cell>
          <cell r="E324" t="str">
            <v>成品</v>
          </cell>
          <cell r="F324" t="str">
            <v>PCS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</row>
        <row r="325">
          <cell r="B325" t="str">
            <v>JM0007</v>
          </cell>
          <cell r="C325" t="str">
            <v>2206底壳</v>
          </cell>
          <cell r="D325" t="str">
            <v>金脉</v>
          </cell>
          <cell r="E325" t="str">
            <v>成品</v>
          </cell>
          <cell r="F325" t="str">
            <v>PCS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</row>
        <row r="326">
          <cell r="B326" t="str">
            <v>JM0008</v>
          </cell>
          <cell r="C326" t="str">
            <v>G2131主控上盖</v>
          </cell>
          <cell r="D326" t="str">
            <v>金脉</v>
          </cell>
          <cell r="E326" t="str">
            <v>成品</v>
          </cell>
          <cell r="F326" t="str">
            <v>PCS</v>
          </cell>
          <cell r="G326">
            <v>193</v>
          </cell>
          <cell r="H326">
            <v>0</v>
          </cell>
          <cell r="I326">
            <v>0</v>
          </cell>
          <cell r="J326">
            <v>193</v>
          </cell>
        </row>
        <row r="327">
          <cell r="B327" t="str">
            <v>JM0009</v>
          </cell>
          <cell r="C327" t="str">
            <v>G2131底座（下盖）</v>
          </cell>
          <cell r="D327" t="str">
            <v>金脉</v>
          </cell>
          <cell r="E327" t="str">
            <v>成品</v>
          </cell>
          <cell r="F327" t="str">
            <v>PCS</v>
          </cell>
          <cell r="G327">
            <v>48</v>
          </cell>
          <cell r="H327">
            <v>0</v>
          </cell>
          <cell r="I327">
            <v>0</v>
          </cell>
          <cell r="J327">
            <v>48</v>
          </cell>
        </row>
        <row r="328">
          <cell r="B328" t="str">
            <v>JB0001</v>
          </cell>
          <cell r="C328" t="str">
            <v>内保险扣</v>
          </cell>
          <cell r="D328" t="str">
            <v>金棒</v>
          </cell>
          <cell r="E328" t="str">
            <v>成品</v>
          </cell>
          <cell r="F328" t="str">
            <v>PCS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B329" t="str">
            <v>JB0002</v>
          </cell>
          <cell r="C329" t="str">
            <v>外保险扣</v>
          </cell>
          <cell r="D329" t="str">
            <v>金棒</v>
          </cell>
          <cell r="E329" t="str">
            <v>成品</v>
          </cell>
          <cell r="F329" t="str">
            <v>PCS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B330" t="str">
            <v>JB0003</v>
          </cell>
          <cell r="C330" t="str">
            <v>JB562/手机支架夹紧块</v>
          </cell>
          <cell r="D330" t="str">
            <v>金棒</v>
          </cell>
          <cell r="E330" t="str">
            <v>成品</v>
          </cell>
          <cell r="F330" t="str">
            <v>PCS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</row>
        <row r="331">
          <cell r="B331" t="str">
            <v>JB0004</v>
          </cell>
          <cell r="C331" t="str">
            <v>JB527挂钩壳</v>
          </cell>
          <cell r="D331" t="str">
            <v>金棒</v>
          </cell>
          <cell r="E331" t="str">
            <v>成品</v>
          </cell>
          <cell r="F331" t="str">
            <v>PCS</v>
          </cell>
          <cell r="G331">
            <v>572</v>
          </cell>
          <cell r="H331">
            <v>0</v>
          </cell>
          <cell r="I331">
            <v>0</v>
          </cell>
          <cell r="J331">
            <v>572</v>
          </cell>
        </row>
        <row r="332">
          <cell r="B332" t="str">
            <v>JB0005</v>
          </cell>
          <cell r="C332" t="str">
            <v>JB527折叠挂钩</v>
          </cell>
          <cell r="D332" t="str">
            <v>金棒</v>
          </cell>
          <cell r="E332" t="str">
            <v>成品</v>
          </cell>
          <cell r="F332" t="str">
            <v>PCS</v>
          </cell>
          <cell r="G332">
            <v>75</v>
          </cell>
          <cell r="H332">
            <v>0</v>
          </cell>
          <cell r="I332">
            <v>0</v>
          </cell>
          <cell r="J332">
            <v>75</v>
          </cell>
        </row>
        <row r="333">
          <cell r="B333" t="str">
            <v>JB0006</v>
          </cell>
          <cell r="C333" t="str">
            <v>JB297头壳</v>
          </cell>
          <cell r="D333" t="str">
            <v>金棒</v>
          </cell>
          <cell r="E333" t="str">
            <v>成品</v>
          </cell>
          <cell r="F333" t="str">
            <v>PCS</v>
          </cell>
          <cell r="G333">
            <v>549</v>
          </cell>
          <cell r="H333">
            <v>0</v>
          </cell>
          <cell r="I333">
            <v>0</v>
          </cell>
          <cell r="J333">
            <v>549</v>
          </cell>
        </row>
        <row r="334">
          <cell r="B334" t="str">
            <v>JB0007</v>
          </cell>
          <cell r="C334" t="str">
            <v>JB297压块</v>
          </cell>
          <cell r="D334" t="str">
            <v>金棒</v>
          </cell>
          <cell r="E334" t="str">
            <v>成品</v>
          </cell>
          <cell r="F334" t="str">
            <v>PCS</v>
          </cell>
          <cell r="G334">
            <v>1101</v>
          </cell>
          <cell r="H334">
            <v>0</v>
          </cell>
          <cell r="I334">
            <v>0</v>
          </cell>
          <cell r="J334">
            <v>1101</v>
          </cell>
        </row>
        <row r="335">
          <cell r="B335" t="str">
            <v>JB0008</v>
          </cell>
          <cell r="C335" t="str">
            <v>JB297头壳前盖</v>
          </cell>
          <cell r="D335" t="str">
            <v>金棒</v>
          </cell>
          <cell r="E335" t="str">
            <v>成品</v>
          </cell>
          <cell r="F335" t="str">
            <v>PCS</v>
          </cell>
          <cell r="G335">
            <v>888</v>
          </cell>
          <cell r="H335">
            <v>0</v>
          </cell>
          <cell r="I335">
            <v>0</v>
          </cell>
          <cell r="J335">
            <v>888</v>
          </cell>
        </row>
        <row r="336">
          <cell r="B336" t="str">
            <v>JB0009</v>
          </cell>
          <cell r="C336" t="str">
            <v>JB539头壳</v>
          </cell>
          <cell r="D336" t="str">
            <v>金棒</v>
          </cell>
          <cell r="E336" t="str">
            <v>成品</v>
          </cell>
          <cell r="F336" t="str">
            <v>PCS</v>
          </cell>
          <cell r="G336">
            <v>1272</v>
          </cell>
          <cell r="H336">
            <v>0</v>
          </cell>
          <cell r="I336">
            <v>0</v>
          </cell>
          <cell r="J336">
            <v>1272</v>
          </cell>
        </row>
        <row r="337">
          <cell r="B337" t="str">
            <v>JB0010</v>
          </cell>
          <cell r="C337" t="str">
            <v>JB527头壳</v>
          </cell>
          <cell r="D337" t="str">
            <v>金棒</v>
          </cell>
          <cell r="E337" t="str">
            <v>成品</v>
          </cell>
          <cell r="F337" t="str">
            <v>PCS</v>
          </cell>
          <cell r="G337">
            <v>114</v>
          </cell>
          <cell r="H337">
            <v>0</v>
          </cell>
          <cell r="I337">
            <v>0</v>
          </cell>
          <cell r="J337">
            <v>114</v>
          </cell>
        </row>
        <row r="338">
          <cell r="B338" t="str">
            <v>JB0011</v>
          </cell>
          <cell r="C338" t="str">
            <v>JB541A/头部壳体</v>
          </cell>
          <cell r="D338" t="str">
            <v>金棒</v>
          </cell>
          <cell r="E338" t="str">
            <v>成品</v>
          </cell>
          <cell r="F338" t="str">
            <v>PCS</v>
          </cell>
          <cell r="G338">
            <v>4381</v>
          </cell>
          <cell r="H338">
            <v>0</v>
          </cell>
          <cell r="I338">
            <v>0</v>
          </cell>
          <cell r="J338">
            <v>4381</v>
          </cell>
        </row>
        <row r="339">
          <cell r="B339" t="str">
            <v>JE001</v>
          </cell>
          <cell r="C339">
            <v>7589</v>
          </cell>
          <cell r="D339" t="str">
            <v>杰尔</v>
          </cell>
          <cell r="E339" t="str">
            <v>成品</v>
          </cell>
          <cell r="F339" t="str">
            <v>PCS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</row>
        <row r="340">
          <cell r="B340" t="str">
            <v>JE002</v>
          </cell>
          <cell r="C340">
            <v>5328</v>
          </cell>
          <cell r="D340" t="str">
            <v>杰尔</v>
          </cell>
          <cell r="E340" t="str">
            <v>成品</v>
          </cell>
          <cell r="F340" t="str">
            <v>PCS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</row>
        <row r="341">
          <cell r="B341" t="str">
            <v>JWT001</v>
          </cell>
          <cell r="C341" t="str">
            <v>底座连接块</v>
          </cell>
          <cell r="D341" t="str">
            <v>嘉玮泰</v>
          </cell>
          <cell r="E341" t="str">
            <v>成品</v>
          </cell>
          <cell r="F341" t="str">
            <v>PCS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</row>
        <row r="342">
          <cell r="B342" t="str">
            <v>JWT002</v>
          </cell>
          <cell r="C342" t="str">
            <v>(F2)支架滑块</v>
          </cell>
          <cell r="D342" t="str">
            <v>嘉玮泰</v>
          </cell>
          <cell r="E342" t="str">
            <v>成品</v>
          </cell>
          <cell r="F342" t="str">
            <v>PCS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B343" t="str">
            <v>JWT003</v>
          </cell>
          <cell r="C343" t="str">
            <v>中环压铸件</v>
          </cell>
          <cell r="D343" t="str">
            <v>嘉玮泰</v>
          </cell>
          <cell r="E343" t="str">
            <v>成品</v>
          </cell>
          <cell r="F343" t="str">
            <v>PCS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B344" t="str">
            <v>HJT001</v>
          </cell>
          <cell r="C344" t="str">
            <v>100-上盖（控制器）</v>
          </cell>
          <cell r="D344" t="str">
            <v>华捷腾</v>
          </cell>
          <cell r="E344" t="str">
            <v>成品</v>
          </cell>
          <cell r="F344" t="str">
            <v>PCS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B345" t="str">
            <v>HJT002</v>
          </cell>
          <cell r="C345" t="str">
            <v>底板</v>
          </cell>
          <cell r="D345" t="str">
            <v>华捷腾</v>
          </cell>
          <cell r="E345" t="str">
            <v>成品</v>
          </cell>
          <cell r="F345" t="str">
            <v>PCS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</row>
        <row r="346">
          <cell r="B346" t="str">
            <v>HJT003</v>
          </cell>
          <cell r="C346" t="str">
            <v>侧板</v>
          </cell>
          <cell r="D346" t="str">
            <v>华捷腾</v>
          </cell>
          <cell r="E346" t="str">
            <v>成品</v>
          </cell>
          <cell r="F346" t="str">
            <v>PCS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</row>
        <row r="347">
          <cell r="B347" t="str">
            <v>HJT004</v>
          </cell>
          <cell r="C347" t="str">
            <v>后壳</v>
          </cell>
          <cell r="D347" t="str">
            <v>华捷腾</v>
          </cell>
          <cell r="E347" t="str">
            <v>成品</v>
          </cell>
          <cell r="F347" t="str">
            <v>PCS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</row>
        <row r="348">
          <cell r="B348" t="str">
            <v>HJT005</v>
          </cell>
          <cell r="C348" t="str">
            <v>前壳</v>
          </cell>
          <cell r="D348" t="str">
            <v>华捷腾</v>
          </cell>
          <cell r="E348" t="str">
            <v>成品</v>
          </cell>
          <cell r="F348" t="str">
            <v>PCS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</row>
        <row r="349">
          <cell r="B349" t="str">
            <v>YHC001</v>
          </cell>
          <cell r="C349" t="str">
            <v>15959HC</v>
          </cell>
          <cell r="D349" t="str">
            <v>华创</v>
          </cell>
          <cell r="E349" t="str">
            <v>成品</v>
          </cell>
          <cell r="F349" t="str">
            <v>PCS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</row>
        <row r="350">
          <cell r="B350" t="str">
            <v>HZH001</v>
          </cell>
          <cell r="C350" t="str">
            <v>HZ150-27铝轮</v>
          </cell>
          <cell r="D350" t="str">
            <v>厚泽</v>
          </cell>
          <cell r="E350" t="str">
            <v>成品</v>
          </cell>
          <cell r="F350" t="str">
            <v>PCS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</row>
        <row r="351">
          <cell r="B351" t="str">
            <v>HZH002</v>
          </cell>
          <cell r="C351" t="str">
            <v>HZ150-38铝轮</v>
          </cell>
          <cell r="D351" t="str">
            <v>厚泽</v>
          </cell>
          <cell r="E351" t="str">
            <v>成品</v>
          </cell>
          <cell r="F351" t="str">
            <v>PCS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</row>
        <row r="352">
          <cell r="B352" t="str">
            <v>HZH003</v>
          </cell>
          <cell r="C352" t="str">
            <v>铝支架</v>
          </cell>
          <cell r="D352" t="str">
            <v>厚泽</v>
          </cell>
          <cell r="E352" t="str">
            <v>成品</v>
          </cell>
          <cell r="F352" t="str">
            <v>PCS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</row>
        <row r="353">
          <cell r="B353" t="str">
            <v>HZH004</v>
          </cell>
          <cell r="C353" t="str">
            <v>125铝轮</v>
          </cell>
          <cell r="D353" t="str">
            <v>厚泽</v>
          </cell>
          <cell r="E353" t="str">
            <v>成品</v>
          </cell>
          <cell r="F353" t="str">
            <v>PCS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</row>
        <row r="354">
          <cell r="B354" t="str">
            <v>HZH005</v>
          </cell>
          <cell r="C354" t="str">
            <v>80铝轮</v>
          </cell>
          <cell r="D354" t="str">
            <v>厚泽</v>
          </cell>
          <cell r="E354" t="str">
            <v>成品</v>
          </cell>
          <cell r="F354" t="str">
            <v>PCS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B355" t="str">
            <v>HZH006</v>
          </cell>
          <cell r="C355" t="str">
            <v>150铝盖</v>
          </cell>
          <cell r="D355" t="str">
            <v>厚泽</v>
          </cell>
          <cell r="E355" t="str">
            <v>成品</v>
          </cell>
          <cell r="F355" t="str">
            <v>PCS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B356" t="str">
            <v>HZH007</v>
          </cell>
          <cell r="C356" t="str">
            <v>200铝盖</v>
          </cell>
          <cell r="D356" t="str">
            <v>厚泽</v>
          </cell>
          <cell r="E356" t="str">
            <v>成品</v>
          </cell>
          <cell r="F356" t="str">
            <v>PCS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B357" t="str">
            <v>HZH008</v>
          </cell>
          <cell r="C357" t="str">
            <v>300铝轮</v>
          </cell>
          <cell r="D357" t="str">
            <v>厚泽</v>
          </cell>
          <cell r="E357" t="str">
            <v>成品</v>
          </cell>
          <cell r="F357" t="str">
            <v>PCS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HZH009</v>
          </cell>
          <cell r="C358" t="str">
            <v>200-27铝轮</v>
          </cell>
          <cell r="D358" t="str">
            <v>厚泽</v>
          </cell>
          <cell r="E358" t="str">
            <v>成品</v>
          </cell>
          <cell r="F358" t="str">
            <v>PCS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</row>
        <row r="359">
          <cell r="B359" t="str">
            <v>HZH010</v>
          </cell>
          <cell r="C359" t="str">
            <v>27铝轮-旧</v>
          </cell>
          <cell r="D359" t="str">
            <v>厚泽</v>
          </cell>
          <cell r="E359" t="str">
            <v>成品</v>
          </cell>
          <cell r="F359" t="str">
            <v>PCS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B360" t="str">
            <v>HZH011</v>
          </cell>
          <cell r="C360" t="str">
            <v>200-38铝轮</v>
          </cell>
          <cell r="D360" t="str">
            <v>厚泽</v>
          </cell>
          <cell r="E360" t="str">
            <v>成品</v>
          </cell>
          <cell r="F360" t="str">
            <v>PCS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HHZ001</v>
          </cell>
          <cell r="C361" t="str">
            <v>530-0005</v>
          </cell>
          <cell r="D361" t="str">
            <v>宏汇泽</v>
          </cell>
          <cell r="E361" t="str">
            <v>成品</v>
          </cell>
          <cell r="F361" t="str">
            <v>PCS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B362" t="str">
            <v>HHZ002</v>
          </cell>
          <cell r="C362" t="str">
            <v>下连接臂</v>
          </cell>
          <cell r="D362" t="str">
            <v>宏汇泽</v>
          </cell>
          <cell r="E362" t="str">
            <v>成品</v>
          </cell>
          <cell r="F362" t="str">
            <v>PCS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</row>
        <row r="363">
          <cell r="B363" t="str">
            <v>HHZ003</v>
          </cell>
          <cell r="C363" t="str">
            <v>主板支架</v>
          </cell>
          <cell r="D363" t="str">
            <v>宏汇泽</v>
          </cell>
          <cell r="E363" t="str">
            <v>成品</v>
          </cell>
          <cell r="F363" t="str">
            <v>PCS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HH0001</v>
          </cell>
          <cell r="C364" t="str">
            <v>红孩儿B型铝连杆（红孩儿铝连杆）</v>
          </cell>
          <cell r="D364" t="str">
            <v>红黑科技</v>
          </cell>
          <cell r="E364" t="str">
            <v>成品</v>
          </cell>
          <cell r="F364" t="str">
            <v>PCS</v>
          </cell>
          <cell r="G364">
            <v>3595</v>
          </cell>
          <cell r="H364">
            <v>0</v>
          </cell>
          <cell r="I364">
            <v>0</v>
          </cell>
          <cell r="J364">
            <v>3595</v>
          </cell>
        </row>
        <row r="365">
          <cell r="B365" t="str">
            <v>HH0002</v>
          </cell>
          <cell r="C365" t="str">
            <v>红孩儿B型铝压盖（红孩儿铝压盖）</v>
          </cell>
          <cell r="D365" t="str">
            <v>红黑科技</v>
          </cell>
          <cell r="E365" t="str">
            <v>成品</v>
          </cell>
          <cell r="F365" t="str">
            <v>PCS</v>
          </cell>
          <cell r="G365">
            <v>3600</v>
          </cell>
          <cell r="H365">
            <v>0</v>
          </cell>
          <cell r="I365">
            <v>0</v>
          </cell>
          <cell r="J365">
            <v>3600</v>
          </cell>
        </row>
        <row r="366">
          <cell r="B366" t="str">
            <v>HH0003</v>
          </cell>
          <cell r="C366" t="str">
            <v>红孩儿B型铝底座（红孩儿铝底座）</v>
          </cell>
          <cell r="D366" t="str">
            <v>红黑科技</v>
          </cell>
          <cell r="E366" t="str">
            <v>成品</v>
          </cell>
          <cell r="F366" t="str">
            <v>PCS</v>
          </cell>
          <cell r="G366">
            <v>2046</v>
          </cell>
          <cell r="H366">
            <v>0</v>
          </cell>
          <cell r="I366">
            <v>0</v>
          </cell>
          <cell r="J366">
            <v>2046</v>
          </cell>
        </row>
        <row r="367">
          <cell r="B367" t="str">
            <v>HH0004</v>
          </cell>
          <cell r="C367" t="str">
            <v>小金童铝连杆</v>
          </cell>
          <cell r="D367" t="str">
            <v>红黑科技</v>
          </cell>
          <cell r="E367" t="str">
            <v>成品</v>
          </cell>
          <cell r="F367" t="str">
            <v>PCS</v>
          </cell>
          <cell r="G367">
            <v>1106</v>
          </cell>
          <cell r="H367">
            <v>0</v>
          </cell>
          <cell r="I367">
            <v>0</v>
          </cell>
          <cell r="J367">
            <v>1106</v>
          </cell>
        </row>
        <row r="368">
          <cell r="B368" t="str">
            <v>HH0006</v>
          </cell>
          <cell r="C368" t="str">
            <v>HH8027/散热片（至尊宝散热片）</v>
          </cell>
          <cell r="D368" t="str">
            <v>红黑科技</v>
          </cell>
          <cell r="E368" t="str">
            <v>成品</v>
          </cell>
          <cell r="F368" t="str">
            <v>PCS</v>
          </cell>
          <cell r="G368">
            <v>3363</v>
          </cell>
          <cell r="H368">
            <v>0</v>
          </cell>
          <cell r="I368">
            <v>0</v>
          </cell>
          <cell r="J368">
            <v>3363</v>
          </cell>
        </row>
        <row r="369">
          <cell r="B369" t="str">
            <v>HH0007</v>
          </cell>
          <cell r="C369" t="str">
            <v>HH8027/充电内圈（至尊宝充电内圈）</v>
          </cell>
          <cell r="D369" t="str">
            <v>红黑科技</v>
          </cell>
          <cell r="E369" t="str">
            <v>成品</v>
          </cell>
          <cell r="F369" t="str">
            <v>PCS</v>
          </cell>
          <cell r="G369">
            <v>3660</v>
          </cell>
          <cell r="H369">
            <v>0</v>
          </cell>
          <cell r="I369">
            <v>0</v>
          </cell>
          <cell r="J369">
            <v>3660</v>
          </cell>
        </row>
        <row r="370">
          <cell r="B370" t="str">
            <v>HH0008</v>
          </cell>
          <cell r="C370" t="str">
            <v>HH8027/充电外圈（至尊宝充电外圈）</v>
          </cell>
          <cell r="D370" t="str">
            <v>红黑科技</v>
          </cell>
          <cell r="E370" t="str">
            <v>成品</v>
          </cell>
          <cell r="F370" t="str">
            <v>PCS</v>
          </cell>
          <cell r="G370">
            <v>3097</v>
          </cell>
          <cell r="H370">
            <v>0</v>
          </cell>
          <cell r="I370">
            <v>0</v>
          </cell>
          <cell r="J370">
            <v>3097</v>
          </cell>
        </row>
        <row r="371">
          <cell r="B371" t="str">
            <v>HH0009</v>
          </cell>
          <cell r="C371" t="str">
            <v>HH8027/冷热按摩头传导片（至尊宝传导片）</v>
          </cell>
          <cell r="D371" t="str">
            <v>红黑科技</v>
          </cell>
          <cell r="E371" t="str">
            <v>成品</v>
          </cell>
          <cell r="F371" t="str">
            <v>PCS</v>
          </cell>
          <cell r="G371">
            <v>856</v>
          </cell>
          <cell r="H371">
            <v>0</v>
          </cell>
          <cell r="I371">
            <v>0</v>
          </cell>
          <cell r="J371">
            <v>856</v>
          </cell>
        </row>
        <row r="372">
          <cell r="B372" t="str">
            <v>HH0010</v>
          </cell>
          <cell r="C372" t="str">
            <v>HH8027/连杆（至尊宝铝连杆）</v>
          </cell>
          <cell r="D372" t="str">
            <v>红黑科技</v>
          </cell>
          <cell r="E372" t="str">
            <v>成品</v>
          </cell>
          <cell r="F372" t="str">
            <v>PCS</v>
          </cell>
          <cell r="G372">
            <v>6708</v>
          </cell>
          <cell r="H372">
            <v>0</v>
          </cell>
          <cell r="I372">
            <v>0</v>
          </cell>
          <cell r="J372">
            <v>6708</v>
          </cell>
        </row>
        <row r="373">
          <cell r="B373" t="str">
            <v>HH0011</v>
          </cell>
          <cell r="C373" t="str">
            <v>千里眼铝底座（HH8023)</v>
          </cell>
          <cell r="D373" t="str">
            <v>红黑科技</v>
          </cell>
          <cell r="E373" t="str">
            <v>成品</v>
          </cell>
          <cell r="F373" t="str">
            <v>PCS</v>
          </cell>
          <cell r="G373">
            <v>808</v>
          </cell>
          <cell r="H373">
            <v>0</v>
          </cell>
          <cell r="I373">
            <v>0</v>
          </cell>
          <cell r="J373">
            <v>808</v>
          </cell>
        </row>
        <row r="374">
          <cell r="B374" t="str">
            <v>HH0012</v>
          </cell>
          <cell r="C374" t="str">
            <v>千里眼铝压盖（HH8023)</v>
          </cell>
          <cell r="D374" t="str">
            <v>红黑科技</v>
          </cell>
          <cell r="E374" t="str">
            <v>成品</v>
          </cell>
          <cell r="F374" t="str">
            <v>PCS</v>
          </cell>
          <cell r="G374">
            <v>419</v>
          </cell>
          <cell r="H374">
            <v>0</v>
          </cell>
          <cell r="I374">
            <v>0</v>
          </cell>
          <cell r="J374">
            <v>419</v>
          </cell>
        </row>
        <row r="375">
          <cell r="B375" t="str">
            <v>HH0013</v>
          </cell>
          <cell r="C375" t="str">
            <v>HH8303二郎神旋转卡钮</v>
          </cell>
          <cell r="D375" t="str">
            <v>红黑科技</v>
          </cell>
          <cell r="E375" t="str">
            <v>成品</v>
          </cell>
          <cell r="F375" t="str">
            <v>PCS</v>
          </cell>
          <cell r="G375">
            <v>2074</v>
          </cell>
          <cell r="H375">
            <v>0</v>
          </cell>
          <cell r="I375">
            <v>0</v>
          </cell>
          <cell r="J375">
            <v>2074</v>
          </cell>
        </row>
        <row r="376">
          <cell r="B376" t="str">
            <v>HH0014</v>
          </cell>
          <cell r="C376" t="str">
            <v>HH8303二郎神铝连杆</v>
          </cell>
          <cell r="D376" t="str">
            <v>红黑科技</v>
          </cell>
          <cell r="E376" t="str">
            <v>成品</v>
          </cell>
          <cell r="F376" t="str">
            <v>PCS</v>
          </cell>
          <cell r="G376">
            <v>2741</v>
          </cell>
          <cell r="H376">
            <v>0</v>
          </cell>
          <cell r="I376">
            <v>0</v>
          </cell>
          <cell r="J376">
            <v>2741</v>
          </cell>
        </row>
        <row r="377">
          <cell r="B377" t="str">
            <v>HH0015</v>
          </cell>
          <cell r="C377" t="str">
            <v>HH8303二郎神内壳</v>
          </cell>
          <cell r="D377" t="str">
            <v>红黑科技</v>
          </cell>
          <cell r="E377" t="str">
            <v>成品</v>
          </cell>
          <cell r="F377" t="str">
            <v>PCS</v>
          </cell>
          <cell r="G377">
            <v>2903</v>
          </cell>
          <cell r="H377">
            <v>0</v>
          </cell>
          <cell r="I377">
            <v>0</v>
          </cell>
          <cell r="J377">
            <v>2903</v>
          </cell>
        </row>
        <row r="378">
          <cell r="B378" t="str">
            <v>HH0016</v>
          </cell>
          <cell r="C378" t="str">
            <v>HVG02支架（电机支架）</v>
          </cell>
          <cell r="D378" t="str">
            <v>红黑科技</v>
          </cell>
          <cell r="E378" t="str">
            <v>成品</v>
          </cell>
          <cell r="F378" t="str">
            <v>PCS</v>
          </cell>
          <cell r="G378">
            <v>127</v>
          </cell>
          <cell r="H378">
            <v>0</v>
          </cell>
          <cell r="I378">
            <v>0</v>
          </cell>
          <cell r="J378">
            <v>127</v>
          </cell>
        </row>
        <row r="379">
          <cell r="B379" t="str">
            <v>HH0017</v>
          </cell>
          <cell r="C379" t="str">
            <v>HH8812/冷热按摩头传导片</v>
          </cell>
          <cell r="D379" t="str">
            <v>红黑科技</v>
          </cell>
          <cell r="E379" t="str">
            <v>成品</v>
          </cell>
          <cell r="F379" t="str">
            <v>PCS</v>
          </cell>
          <cell r="G379">
            <v>301</v>
          </cell>
          <cell r="H379">
            <v>0</v>
          </cell>
          <cell r="I379">
            <v>0</v>
          </cell>
          <cell r="J379">
            <v>301</v>
          </cell>
        </row>
        <row r="380">
          <cell r="B380" t="str">
            <v>HH0018</v>
          </cell>
          <cell r="C380" t="str">
            <v>8812散热片</v>
          </cell>
          <cell r="D380" t="str">
            <v>红黑科技</v>
          </cell>
          <cell r="E380" t="str">
            <v>成品</v>
          </cell>
          <cell r="F380" t="str">
            <v>PCS</v>
          </cell>
          <cell r="G380">
            <v>2625</v>
          </cell>
          <cell r="H380">
            <v>0</v>
          </cell>
          <cell r="I380">
            <v>0</v>
          </cell>
          <cell r="J380">
            <v>2625</v>
          </cell>
        </row>
        <row r="381">
          <cell r="B381" t="str">
            <v>HH0018-1</v>
          </cell>
          <cell r="C381" t="str">
            <v>8812A散热片</v>
          </cell>
          <cell r="D381" t="str">
            <v>红黑科技</v>
          </cell>
          <cell r="E381" t="str">
            <v>成品</v>
          </cell>
          <cell r="F381" t="str">
            <v>PCS</v>
          </cell>
          <cell r="G381">
            <v>3259</v>
          </cell>
          <cell r="H381">
            <v>0</v>
          </cell>
          <cell r="I381">
            <v>0</v>
          </cell>
          <cell r="J381">
            <v>3259</v>
          </cell>
        </row>
        <row r="382">
          <cell r="B382" t="str">
            <v>HH0019</v>
          </cell>
          <cell r="C382" t="str">
            <v>HH8038连杆</v>
          </cell>
          <cell r="D382" t="str">
            <v>红黑科技</v>
          </cell>
          <cell r="E382" t="str">
            <v>成品</v>
          </cell>
          <cell r="F382" t="str">
            <v>PCS</v>
          </cell>
          <cell r="G382">
            <v>4700</v>
          </cell>
          <cell r="H382">
            <v>0</v>
          </cell>
          <cell r="I382">
            <v>0</v>
          </cell>
          <cell r="J382">
            <v>4700</v>
          </cell>
        </row>
        <row r="383">
          <cell r="B383" t="str">
            <v>HH0020</v>
          </cell>
          <cell r="C383" t="str">
            <v>HH8038电机定位版（电机支架）</v>
          </cell>
          <cell r="D383" t="str">
            <v>红黑科技</v>
          </cell>
          <cell r="E383" t="str">
            <v>成品</v>
          </cell>
          <cell r="F383" t="str">
            <v>PCS</v>
          </cell>
          <cell r="G383">
            <v>2209</v>
          </cell>
          <cell r="H383">
            <v>0</v>
          </cell>
          <cell r="I383">
            <v>0</v>
          </cell>
          <cell r="J383">
            <v>2209</v>
          </cell>
        </row>
        <row r="384">
          <cell r="B384" t="str">
            <v>HH0021</v>
          </cell>
          <cell r="C384" t="str">
            <v>HH8027A-1散热片</v>
          </cell>
          <cell r="D384" t="str">
            <v>红黑科技</v>
          </cell>
          <cell r="E384" t="str">
            <v>成品</v>
          </cell>
          <cell r="F384" t="str">
            <v>PCS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</row>
        <row r="385">
          <cell r="B385" t="str">
            <v>HH0021-1</v>
          </cell>
          <cell r="C385" t="str">
            <v>HH8027A-1散热片（设变后）</v>
          </cell>
          <cell r="D385" t="str">
            <v>红黑科技</v>
          </cell>
          <cell r="E385" t="str">
            <v>成品</v>
          </cell>
          <cell r="F385" t="str">
            <v>PCS</v>
          </cell>
          <cell r="G385">
            <v>76</v>
          </cell>
          <cell r="H385">
            <v>0</v>
          </cell>
          <cell r="I385">
            <v>0</v>
          </cell>
          <cell r="J385">
            <v>76</v>
          </cell>
        </row>
        <row r="386">
          <cell r="B386" t="str">
            <v>HH0022</v>
          </cell>
          <cell r="C386" t="str">
            <v>HH8318连杆</v>
          </cell>
          <cell r="D386" t="str">
            <v>红黑科技</v>
          </cell>
          <cell r="E386" t="str">
            <v>成品</v>
          </cell>
          <cell r="F386" t="str">
            <v>PCS</v>
          </cell>
          <cell r="G386">
            <v>14129</v>
          </cell>
          <cell r="H386">
            <v>0</v>
          </cell>
          <cell r="I386">
            <v>0</v>
          </cell>
          <cell r="J386">
            <v>14129</v>
          </cell>
        </row>
        <row r="387">
          <cell r="B387" t="str">
            <v>HH0023</v>
          </cell>
          <cell r="C387" t="str">
            <v>HH8513冷热按摩传导片（铝合金）</v>
          </cell>
          <cell r="D387" t="str">
            <v>红黑科技</v>
          </cell>
          <cell r="E387" t="str">
            <v>成品</v>
          </cell>
          <cell r="F387" t="str">
            <v>PCS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</row>
        <row r="388">
          <cell r="B388" t="str">
            <v>HH0024</v>
          </cell>
          <cell r="C388" t="str">
            <v>HH8513散热片</v>
          </cell>
          <cell r="D388" t="str">
            <v>红黑科技</v>
          </cell>
          <cell r="E388" t="str">
            <v>成品</v>
          </cell>
          <cell r="F388" t="str">
            <v>PCS</v>
          </cell>
          <cell r="G388">
            <v>4670</v>
          </cell>
          <cell r="H388">
            <v>0</v>
          </cell>
          <cell r="I388">
            <v>0</v>
          </cell>
          <cell r="J388">
            <v>4670</v>
          </cell>
        </row>
        <row r="389">
          <cell r="B389" t="str">
            <v>HH0025</v>
          </cell>
          <cell r="C389" t="str">
            <v>HH8513旋钮</v>
          </cell>
          <cell r="D389" t="str">
            <v>红黑科技</v>
          </cell>
          <cell r="E389" t="str">
            <v>成品</v>
          </cell>
          <cell r="F389" t="str">
            <v>PCS</v>
          </cell>
          <cell r="G389">
            <v>123</v>
          </cell>
          <cell r="H389">
            <v>9150</v>
          </cell>
          <cell r="I389">
            <v>-4917</v>
          </cell>
          <cell r="J389">
            <v>14190</v>
          </cell>
        </row>
        <row r="390">
          <cell r="B390" t="str">
            <v>HH0026</v>
          </cell>
          <cell r="C390" t="str">
            <v>铝底座/8526</v>
          </cell>
          <cell r="D390" t="str">
            <v>红黑科技</v>
          </cell>
          <cell r="E390" t="str">
            <v>成品</v>
          </cell>
          <cell r="F390" t="str">
            <v>PCS</v>
          </cell>
          <cell r="G390">
            <v>228</v>
          </cell>
          <cell r="H390">
            <v>0</v>
          </cell>
          <cell r="I390">
            <v>0</v>
          </cell>
          <cell r="J390">
            <v>228</v>
          </cell>
        </row>
        <row r="391">
          <cell r="B391" t="str">
            <v>HH0027</v>
          </cell>
          <cell r="C391" t="str">
            <v>铝压盖/8526</v>
          </cell>
          <cell r="D391" t="str">
            <v>红黑科技</v>
          </cell>
          <cell r="E391" t="str">
            <v>成品</v>
          </cell>
          <cell r="F391" t="str">
            <v>PCS</v>
          </cell>
          <cell r="G391">
            <v>1834</v>
          </cell>
          <cell r="H391">
            <v>0</v>
          </cell>
          <cell r="I391">
            <v>10</v>
          </cell>
          <cell r="J391">
            <v>1824</v>
          </cell>
        </row>
        <row r="392">
          <cell r="B392" t="str">
            <v>HH0028</v>
          </cell>
          <cell r="C392" t="str">
            <v>8527旋钮</v>
          </cell>
          <cell r="D392" t="str">
            <v>红黑科技</v>
          </cell>
          <cell r="E392" t="str">
            <v>成品</v>
          </cell>
          <cell r="F392" t="str">
            <v>PCS</v>
          </cell>
          <cell r="G392">
            <v>134</v>
          </cell>
          <cell r="H392">
            <v>0</v>
          </cell>
          <cell r="I392">
            <v>30</v>
          </cell>
          <cell r="J392">
            <v>104</v>
          </cell>
        </row>
        <row r="393">
          <cell r="B393" t="str">
            <v>HH0029</v>
          </cell>
          <cell r="C393" t="str">
            <v>HH8808冷热传导盖</v>
          </cell>
          <cell r="D393" t="str">
            <v>红黑科技</v>
          </cell>
          <cell r="E393" t="str">
            <v>成品</v>
          </cell>
          <cell r="F393" t="str">
            <v>PCS</v>
          </cell>
          <cell r="G393">
            <v>1100</v>
          </cell>
          <cell r="H393">
            <v>0</v>
          </cell>
          <cell r="I393">
            <v>0</v>
          </cell>
          <cell r="J393">
            <v>1100</v>
          </cell>
        </row>
        <row r="394">
          <cell r="B394" t="str">
            <v>HH0030</v>
          </cell>
          <cell r="C394" t="str">
            <v>HH8808散热片</v>
          </cell>
          <cell r="D394" t="str">
            <v>红黑科技</v>
          </cell>
          <cell r="E394" t="str">
            <v>成品</v>
          </cell>
          <cell r="F394" t="str">
            <v>PCS</v>
          </cell>
          <cell r="G394">
            <v>152</v>
          </cell>
          <cell r="H394">
            <v>0</v>
          </cell>
          <cell r="I394">
            <v>0</v>
          </cell>
          <cell r="J394">
            <v>152</v>
          </cell>
        </row>
        <row r="395">
          <cell r="B395" t="str">
            <v>HH0031</v>
          </cell>
          <cell r="C395" t="str">
            <v>8525/8513滑杆（同8527滑杆）</v>
          </cell>
          <cell r="D395" t="str">
            <v>红黑科技</v>
          </cell>
          <cell r="E395" t="str">
            <v>成品</v>
          </cell>
          <cell r="F395" t="str">
            <v>PCS</v>
          </cell>
          <cell r="G395">
            <v>43</v>
          </cell>
          <cell r="H395">
            <v>0</v>
          </cell>
          <cell r="I395">
            <v>0</v>
          </cell>
          <cell r="J395">
            <v>43</v>
          </cell>
        </row>
        <row r="396">
          <cell r="B396" t="str">
            <v>HH0032</v>
          </cell>
          <cell r="C396" t="str">
            <v>8527散热片</v>
          </cell>
          <cell r="D396" t="str">
            <v>红黑科技</v>
          </cell>
          <cell r="E396" t="str">
            <v>成品</v>
          </cell>
          <cell r="F396" t="str">
            <v>PCS</v>
          </cell>
          <cell r="G396">
            <v>272</v>
          </cell>
          <cell r="H396">
            <v>7404</v>
          </cell>
          <cell r="I396">
            <v>0</v>
          </cell>
          <cell r="J396">
            <v>7676</v>
          </cell>
        </row>
        <row r="397">
          <cell r="B397" t="str">
            <v>HH0033</v>
          </cell>
          <cell r="C397" t="str">
            <v>8527滑杆</v>
          </cell>
          <cell r="D397" t="str">
            <v>红黑科技</v>
          </cell>
          <cell r="E397" t="str">
            <v>成品</v>
          </cell>
          <cell r="F397" t="str">
            <v>PCS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</row>
        <row r="398">
          <cell r="B398" t="str">
            <v>HH0034</v>
          </cell>
          <cell r="C398" t="str">
            <v>8528滑杆</v>
          </cell>
          <cell r="D398" t="str">
            <v>红黑科技</v>
          </cell>
          <cell r="E398" t="str">
            <v>成品</v>
          </cell>
          <cell r="F398" t="str">
            <v>PCS</v>
          </cell>
          <cell r="G398">
            <v>1695</v>
          </cell>
          <cell r="H398">
            <v>0</v>
          </cell>
          <cell r="I398">
            <v>0</v>
          </cell>
          <cell r="J398">
            <v>1695</v>
          </cell>
        </row>
        <row r="399">
          <cell r="B399" t="str">
            <v>HH0035</v>
          </cell>
          <cell r="C399" t="str">
            <v>8624滑杆</v>
          </cell>
          <cell r="D399" t="str">
            <v>红黑科技</v>
          </cell>
          <cell r="E399" t="str">
            <v>成品</v>
          </cell>
          <cell r="F399" t="str">
            <v>PCS</v>
          </cell>
          <cell r="G399">
            <v>800</v>
          </cell>
          <cell r="H399">
            <v>0</v>
          </cell>
          <cell r="I399">
            <v>0</v>
          </cell>
          <cell r="J399">
            <v>800</v>
          </cell>
        </row>
        <row r="400">
          <cell r="B400" t="str">
            <v>HH0036</v>
          </cell>
          <cell r="C400" t="str">
            <v>8592连杆</v>
          </cell>
          <cell r="D400" t="str">
            <v>红黑科技</v>
          </cell>
          <cell r="E400" t="str">
            <v>成品</v>
          </cell>
          <cell r="F400" t="str">
            <v>PCS</v>
          </cell>
          <cell r="G400">
            <v>322</v>
          </cell>
          <cell r="H400">
            <v>0</v>
          </cell>
          <cell r="I400">
            <v>0</v>
          </cell>
          <cell r="J400">
            <v>322</v>
          </cell>
        </row>
        <row r="401">
          <cell r="B401" t="str">
            <v>HH0037</v>
          </cell>
          <cell r="C401" t="str">
            <v>8015沙和尚-底座</v>
          </cell>
          <cell r="D401" t="str">
            <v>红黑科技</v>
          </cell>
          <cell r="E401" t="str">
            <v>成品</v>
          </cell>
          <cell r="F401" t="str">
            <v>PCS</v>
          </cell>
          <cell r="G401">
            <v>521</v>
          </cell>
          <cell r="H401">
            <v>0</v>
          </cell>
          <cell r="I401">
            <v>0</v>
          </cell>
          <cell r="J401">
            <v>521</v>
          </cell>
        </row>
        <row r="402">
          <cell r="B402" t="str">
            <v>HH0038</v>
          </cell>
          <cell r="C402" t="str">
            <v>8015沙和尚-压盖</v>
          </cell>
          <cell r="D402" t="str">
            <v>红黑科技</v>
          </cell>
          <cell r="E402" t="str">
            <v>成品</v>
          </cell>
          <cell r="F402" t="str">
            <v>PCS</v>
          </cell>
          <cell r="G402">
            <v>2148</v>
          </cell>
          <cell r="H402">
            <v>0</v>
          </cell>
          <cell r="I402">
            <v>0</v>
          </cell>
          <cell r="J402">
            <v>2148</v>
          </cell>
        </row>
        <row r="403">
          <cell r="B403" t="str">
            <v>HH0039</v>
          </cell>
          <cell r="C403" t="str">
            <v>8015沙和尚-连杆</v>
          </cell>
          <cell r="D403" t="str">
            <v>红黑科技</v>
          </cell>
          <cell r="E403" t="str">
            <v>成品</v>
          </cell>
          <cell r="F403" t="str">
            <v>PCS</v>
          </cell>
          <cell r="G403">
            <v>1703</v>
          </cell>
          <cell r="H403">
            <v>0</v>
          </cell>
          <cell r="I403">
            <v>0</v>
          </cell>
          <cell r="J403">
            <v>1703</v>
          </cell>
        </row>
        <row r="404">
          <cell r="B404" t="str">
            <v>HH0040</v>
          </cell>
          <cell r="C404" t="str">
            <v>8040铝连杆</v>
          </cell>
          <cell r="D404" t="str">
            <v>红黑科技</v>
          </cell>
          <cell r="E404" t="str">
            <v>成品</v>
          </cell>
          <cell r="F404" t="str">
            <v>PCS</v>
          </cell>
          <cell r="G404">
            <v>5115</v>
          </cell>
          <cell r="H404">
            <v>0</v>
          </cell>
          <cell r="I404">
            <v>0</v>
          </cell>
          <cell r="J404">
            <v>5115</v>
          </cell>
        </row>
        <row r="405">
          <cell r="B405" t="str">
            <v>SHHZ001</v>
          </cell>
          <cell r="C405" t="str">
            <v>前盖
UVTC8.004.0444-MP</v>
          </cell>
          <cell r="D405" t="str">
            <v>和祖</v>
          </cell>
          <cell r="E405" t="str">
            <v>成品</v>
          </cell>
          <cell r="F405" t="str">
            <v>PCS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</row>
        <row r="406">
          <cell r="B406" t="str">
            <v>SHHZ002</v>
          </cell>
          <cell r="C406">
            <v>166</v>
          </cell>
          <cell r="D406" t="str">
            <v>和祖</v>
          </cell>
          <cell r="E406" t="str">
            <v>成品</v>
          </cell>
          <cell r="F406" t="str">
            <v>PCS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B407" t="str">
            <v>SHHZ003</v>
          </cell>
          <cell r="C407" t="str">
            <v>定焦前脸
(UVTC8.004.0680-MP)</v>
          </cell>
          <cell r="D407" t="str">
            <v>和祖</v>
          </cell>
          <cell r="E407" t="str">
            <v>成品</v>
          </cell>
          <cell r="F407" t="str">
            <v>PCS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</row>
        <row r="408">
          <cell r="B408" t="str">
            <v>SHHZ004</v>
          </cell>
          <cell r="C408" t="str">
            <v>OEM酒杯筒筒身
UVTC8.004.1129-MP</v>
          </cell>
          <cell r="D408" t="str">
            <v>和祖</v>
          </cell>
          <cell r="E408" t="str">
            <v>成品</v>
          </cell>
          <cell r="F408" t="str">
            <v>PCS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</row>
        <row r="409">
          <cell r="B409" t="str">
            <v>SHHZ005</v>
          </cell>
          <cell r="C409" t="str">
            <v>水晶系列上盖
DH3.0020.1001-MP</v>
          </cell>
          <cell r="D409" t="str">
            <v>和祖</v>
          </cell>
          <cell r="E409" t="str">
            <v>成品</v>
          </cell>
          <cell r="F409" t="str">
            <v>PCS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</row>
        <row r="410">
          <cell r="B410" t="str">
            <v>SHHZ006</v>
          </cell>
          <cell r="C410" t="str">
            <v>球罩
DH3.X0878.1001-MP</v>
          </cell>
          <cell r="D410" t="str">
            <v>和祖</v>
          </cell>
          <cell r="E410" t="str">
            <v>成品</v>
          </cell>
          <cell r="F410" t="str">
            <v>PCS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</row>
        <row r="411">
          <cell r="B411" t="str">
            <v>SHHZ008</v>
          </cell>
          <cell r="C411" t="str">
            <v>腔体3991166701</v>
          </cell>
          <cell r="D411" t="str">
            <v>和祖</v>
          </cell>
          <cell r="E411" t="str">
            <v>成品</v>
          </cell>
          <cell r="F411" t="str">
            <v>PCS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</row>
        <row r="412">
          <cell r="B412" t="str">
            <v>SHHZ009</v>
          </cell>
          <cell r="C412" t="str">
            <v>UVTC8.004.2109-MP</v>
          </cell>
          <cell r="D412" t="str">
            <v>和祖</v>
          </cell>
          <cell r="E412" t="str">
            <v>成品</v>
          </cell>
          <cell r="F412" t="str">
            <v>PCS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B413" t="str">
            <v>HZ001</v>
          </cell>
          <cell r="C413" t="str">
            <v>骨架A</v>
          </cell>
          <cell r="D413" t="str">
            <v>禾准</v>
          </cell>
          <cell r="E413" t="str">
            <v>成品</v>
          </cell>
          <cell r="F413" t="str">
            <v>PCS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</row>
        <row r="414">
          <cell r="B414" t="str">
            <v>HZ002</v>
          </cell>
          <cell r="C414" t="str">
            <v>骨架B</v>
          </cell>
          <cell r="D414" t="str">
            <v>禾准</v>
          </cell>
          <cell r="E414" t="str">
            <v>成品</v>
          </cell>
          <cell r="F414" t="str">
            <v>PCS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</row>
        <row r="415">
          <cell r="B415" t="str">
            <v>HZ003</v>
          </cell>
          <cell r="C415" t="str">
            <v>传感器支架</v>
          </cell>
          <cell r="D415" t="str">
            <v>禾准</v>
          </cell>
          <cell r="E415" t="str">
            <v>成品</v>
          </cell>
          <cell r="F415" t="str">
            <v>PCS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</row>
        <row r="416">
          <cell r="B416" t="str">
            <v>HYS004</v>
          </cell>
          <cell r="C416" t="str">
            <v>UFO-Heatsink</v>
          </cell>
          <cell r="D416" t="str">
            <v>好岩石</v>
          </cell>
          <cell r="E416" t="str">
            <v>成品</v>
          </cell>
          <cell r="F416" t="str">
            <v>PCS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</row>
        <row r="417">
          <cell r="B417" t="str">
            <v>HJ0001</v>
          </cell>
          <cell r="C417" t="str">
            <v>铝碗</v>
          </cell>
          <cell r="D417" t="str">
            <v>海进</v>
          </cell>
          <cell r="E417" t="str">
            <v>成品</v>
          </cell>
          <cell r="F417" t="str">
            <v>PCS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B418" t="str">
            <v>WKT043</v>
          </cell>
          <cell r="C418" t="str">
            <v>X10A固定架</v>
          </cell>
          <cell r="D418" t="str">
            <v>国城</v>
          </cell>
          <cell r="E418" t="str">
            <v>成品</v>
          </cell>
          <cell r="F418" t="str">
            <v>PCS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</row>
        <row r="419">
          <cell r="B419" t="str">
            <v>GH001</v>
          </cell>
          <cell r="C419" t="str">
            <v>FN15012</v>
          </cell>
          <cell r="D419" t="str">
            <v>广禾</v>
          </cell>
          <cell r="E419" t="str">
            <v>成品</v>
          </cell>
          <cell r="F419" t="str">
            <v>PCS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B420" t="str">
            <v>GH002</v>
          </cell>
          <cell r="C420" t="str">
            <v>FN15013</v>
          </cell>
          <cell r="D420" t="str">
            <v>广禾</v>
          </cell>
          <cell r="E420" t="str">
            <v>成品</v>
          </cell>
          <cell r="F420" t="str">
            <v>PCS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</row>
        <row r="421">
          <cell r="B421" t="str">
            <v>GH003</v>
          </cell>
          <cell r="C421" t="str">
            <v>FN17002</v>
          </cell>
          <cell r="D421" t="str">
            <v>广禾</v>
          </cell>
          <cell r="E421" t="str">
            <v>成品</v>
          </cell>
          <cell r="F421" t="str">
            <v>PCS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</row>
        <row r="422">
          <cell r="B422" t="str">
            <v>GH004</v>
          </cell>
          <cell r="C422" t="str">
            <v>FN17003</v>
          </cell>
          <cell r="D422" t="str">
            <v>广禾</v>
          </cell>
          <cell r="E422" t="str">
            <v>成品</v>
          </cell>
          <cell r="F422" t="str">
            <v>PCS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</row>
        <row r="423">
          <cell r="B423" t="str">
            <v>GH005</v>
          </cell>
          <cell r="C423" t="str">
            <v>FN13001</v>
          </cell>
          <cell r="D423" t="str">
            <v>广禾</v>
          </cell>
          <cell r="E423" t="str">
            <v>成品</v>
          </cell>
          <cell r="F423" t="str">
            <v>PCS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</row>
        <row r="424">
          <cell r="B424" t="str">
            <v>GH006</v>
          </cell>
          <cell r="C424" t="str">
            <v>FN13002</v>
          </cell>
          <cell r="D424" t="str">
            <v>广禾</v>
          </cell>
          <cell r="E424" t="str">
            <v>成品</v>
          </cell>
          <cell r="F424" t="str">
            <v>PCS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B425" t="str">
            <v>GH007</v>
          </cell>
          <cell r="C425" t="str">
            <v>FN15014</v>
          </cell>
          <cell r="D425" t="str">
            <v>广禾</v>
          </cell>
          <cell r="E425" t="str">
            <v>成品</v>
          </cell>
          <cell r="F425" t="str">
            <v>PCS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B426" t="str">
            <v>GH008</v>
          </cell>
          <cell r="C426" t="str">
            <v>FN15015</v>
          </cell>
          <cell r="D426" t="str">
            <v>广禾</v>
          </cell>
          <cell r="E426" t="str">
            <v>成品</v>
          </cell>
          <cell r="F426" t="str">
            <v>PCS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</row>
        <row r="427">
          <cell r="B427" t="str">
            <v>GH009</v>
          </cell>
          <cell r="C427" t="str">
            <v>FN13003</v>
          </cell>
          <cell r="D427" t="str">
            <v>广禾</v>
          </cell>
          <cell r="E427" t="str">
            <v>成品</v>
          </cell>
          <cell r="F427" t="str">
            <v>PCS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</row>
        <row r="428">
          <cell r="B428" t="str">
            <v>GY001</v>
          </cell>
          <cell r="C428" t="str">
            <v>GE5KN6-01L</v>
          </cell>
          <cell r="D428" t="str">
            <v>刚毅</v>
          </cell>
          <cell r="E428" t="str">
            <v>成品</v>
          </cell>
          <cell r="F428" t="str">
            <v>PCS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</row>
        <row r="429">
          <cell r="B429" t="str">
            <v>GY002</v>
          </cell>
          <cell r="C429" t="str">
            <v>GE5KN6-02R</v>
          </cell>
          <cell r="D429" t="str">
            <v>刚毅</v>
          </cell>
          <cell r="E429" t="str">
            <v>成品</v>
          </cell>
          <cell r="F429" t="str">
            <v>PCS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</row>
        <row r="430">
          <cell r="B430" t="str">
            <v>GY003</v>
          </cell>
          <cell r="C430" t="str">
            <v>GE5KN6-03</v>
          </cell>
          <cell r="D430" t="str">
            <v>刚毅</v>
          </cell>
          <cell r="E430" t="str">
            <v>成品</v>
          </cell>
          <cell r="F430" t="str">
            <v>PCS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B431" t="str">
            <v>GY004</v>
          </cell>
          <cell r="C431" t="str">
            <v>VR固定柱</v>
          </cell>
          <cell r="D431" t="str">
            <v>刚毅</v>
          </cell>
          <cell r="E431" t="str">
            <v>成品</v>
          </cell>
          <cell r="F431" t="str">
            <v>PCS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</row>
        <row r="432">
          <cell r="B432" t="str">
            <v>DLT001</v>
          </cell>
          <cell r="C432" t="str">
            <v>锁舌</v>
          </cell>
          <cell r="D432" t="str">
            <v>鼎立通</v>
          </cell>
          <cell r="E432" t="str">
            <v>成品</v>
          </cell>
          <cell r="F432" t="str">
            <v>PCS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B433" t="str">
            <v>DLT002</v>
          </cell>
          <cell r="C433">
            <v>3178371</v>
          </cell>
          <cell r="D433" t="str">
            <v>鼎立通</v>
          </cell>
          <cell r="E433" t="str">
            <v>成品</v>
          </cell>
          <cell r="F433" t="str">
            <v>PCS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B434" t="str">
            <v>DLT003</v>
          </cell>
          <cell r="C434" t="str">
            <v>961锁盒</v>
          </cell>
          <cell r="D434" t="str">
            <v>鼎立通</v>
          </cell>
          <cell r="E434" t="str">
            <v>成品</v>
          </cell>
          <cell r="F434" t="str">
            <v>PCS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</row>
        <row r="435">
          <cell r="B435" t="str">
            <v>DLT004</v>
          </cell>
          <cell r="C435" t="str">
            <v>螺纹档块</v>
          </cell>
          <cell r="D435" t="str">
            <v>鼎立通</v>
          </cell>
          <cell r="E435" t="str">
            <v>成品</v>
          </cell>
          <cell r="F435" t="str">
            <v>PCS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</row>
        <row r="436">
          <cell r="B436" t="str">
            <v>DLT005</v>
          </cell>
          <cell r="C436" t="str">
            <v>3186958齿轮座</v>
          </cell>
          <cell r="D436" t="str">
            <v>鼎立通</v>
          </cell>
          <cell r="E436" t="str">
            <v>成品</v>
          </cell>
          <cell r="F436" t="str">
            <v>PCS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</row>
        <row r="437">
          <cell r="B437" t="str">
            <v>DLT006</v>
          </cell>
          <cell r="C437" t="str">
            <v>阀门支撑板</v>
          </cell>
          <cell r="D437" t="str">
            <v>鼎立通</v>
          </cell>
          <cell r="E437" t="str">
            <v>成品</v>
          </cell>
          <cell r="F437" t="str">
            <v>PCS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B438" t="str">
            <v>DLT007</v>
          </cell>
          <cell r="C438">
            <v>142980</v>
          </cell>
          <cell r="D438" t="str">
            <v>鼎立通</v>
          </cell>
          <cell r="E438" t="str">
            <v>成品</v>
          </cell>
          <cell r="F438" t="str">
            <v>PCS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</row>
        <row r="439">
          <cell r="B439" t="str">
            <v>DLT008</v>
          </cell>
          <cell r="C439" t="str">
            <v>灵清格栅</v>
          </cell>
          <cell r="D439" t="str">
            <v>鼎立通</v>
          </cell>
          <cell r="E439" t="str">
            <v>成品</v>
          </cell>
          <cell r="F439" t="str">
            <v>PCS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</row>
        <row r="440">
          <cell r="B440" t="str">
            <v>DLT009</v>
          </cell>
          <cell r="C440" t="str">
            <v>4寸压铸散件</v>
          </cell>
          <cell r="D440" t="str">
            <v>鼎立通</v>
          </cell>
          <cell r="E440" t="str">
            <v>成品</v>
          </cell>
          <cell r="F440" t="str">
            <v>PCS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</row>
        <row r="441">
          <cell r="B441" t="str">
            <v>DLT010</v>
          </cell>
          <cell r="C441" t="str">
            <v>灵清2代</v>
          </cell>
          <cell r="D441" t="str">
            <v>鼎立通</v>
          </cell>
          <cell r="E441" t="str">
            <v>成品</v>
          </cell>
          <cell r="F441" t="str">
            <v>PCS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</row>
        <row r="442">
          <cell r="B442" t="str">
            <v>DLT011</v>
          </cell>
          <cell r="C442" t="str">
            <v>7040主基座</v>
          </cell>
          <cell r="D442" t="str">
            <v>鼎立通</v>
          </cell>
          <cell r="E442" t="str">
            <v>成品</v>
          </cell>
          <cell r="F442" t="str">
            <v>PCS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</row>
        <row r="443">
          <cell r="B443" t="str">
            <v>DLT012</v>
          </cell>
          <cell r="C443" t="str">
            <v>7130主基座</v>
          </cell>
          <cell r="D443" t="str">
            <v>鼎立通</v>
          </cell>
          <cell r="E443" t="str">
            <v>成品</v>
          </cell>
          <cell r="F443" t="str">
            <v>PCS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</row>
        <row r="444">
          <cell r="B444" t="str">
            <v>DL001</v>
          </cell>
          <cell r="C444" t="str">
            <v>散热片</v>
          </cell>
          <cell r="D444" t="str">
            <v>鼎力</v>
          </cell>
          <cell r="E444" t="str">
            <v>成品</v>
          </cell>
          <cell r="F444" t="str">
            <v>PCS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</row>
        <row r="445">
          <cell r="B445" t="str">
            <v>DSD001</v>
          </cell>
          <cell r="C445" t="str">
            <v>VAIL USB金属支架</v>
          </cell>
          <cell r="D445" t="str">
            <v>丁是丁</v>
          </cell>
          <cell r="E445" t="str">
            <v>成品</v>
          </cell>
          <cell r="F445" t="str">
            <v>PCS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</row>
        <row r="446">
          <cell r="B446" t="str">
            <v>DT0001</v>
          </cell>
          <cell r="C446" t="str">
            <v>N082603壳体</v>
          </cell>
          <cell r="D446" t="str">
            <v>大唐</v>
          </cell>
          <cell r="E446" t="str">
            <v>成品</v>
          </cell>
          <cell r="F446" t="str">
            <v>PCS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B447" t="str">
            <v>CYI0001</v>
          </cell>
          <cell r="C447" t="str">
            <v>透明罩盖压环（透明环）</v>
          </cell>
          <cell r="D447" t="str">
            <v>川仪</v>
          </cell>
          <cell r="E447" t="str">
            <v>成品</v>
          </cell>
          <cell r="F447" t="str">
            <v>PCS</v>
          </cell>
          <cell r="G447">
            <v>987</v>
          </cell>
          <cell r="H447">
            <v>0</v>
          </cell>
          <cell r="I447">
            <v>0</v>
          </cell>
          <cell r="J447">
            <v>987</v>
          </cell>
        </row>
        <row r="448">
          <cell r="B448" t="str">
            <v>CY0001</v>
          </cell>
          <cell r="C448" t="str">
            <v>3DB093</v>
          </cell>
          <cell r="D448" t="str">
            <v>诚远</v>
          </cell>
          <cell r="E448" t="str">
            <v>成品</v>
          </cell>
          <cell r="F448" t="str">
            <v>PCS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</row>
        <row r="449">
          <cell r="B449" t="str">
            <v>CXD001</v>
          </cell>
          <cell r="C449" t="str">
            <v>M3 Sus TS brt LS 左摆臂</v>
          </cell>
          <cell r="D449" t="str">
            <v>晨兴德机械</v>
          </cell>
          <cell r="E449" t="str">
            <v>成品</v>
          </cell>
          <cell r="F449" t="str">
            <v>PCS</v>
          </cell>
          <cell r="G449">
            <v>0</v>
          </cell>
          <cell r="H449">
            <v>0</v>
          </cell>
          <cell r="I449">
            <v>-761</v>
          </cell>
          <cell r="J449">
            <v>761</v>
          </cell>
        </row>
        <row r="450">
          <cell r="B450" t="str">
            <v>CXD002</v>
          </cell>
          <cell r="C450" t="str">
            <v>M3 Sus TS brt RS 右摆臂</v>
          </cell>
          <cell r="D450" t="str">
            <v>晨兴德机械</v>
          </cell>
          <cell r="E450" t="str">
            <v>成品</v>
          </cell>
          <cell r="F450" t="str">
            <v>PCS</v>
          </cell>
          <cell r="G450">
            <v>0</v>
          </cell>
          <cell r="H450">
            <v>0</v>
          </cell>
          <cell r="I450">
            <v>-360</v>
          </cell>
          <cell r="J450">
            <v>360</v>
          </cell>
        </row>
        <row r="451">
          <cell r="B451" t="str">
            <v>CXD003</v>
          </cell>
          <cell r="C451" t="str">
            <v>M1 TSemdblock 支架</v>
          </cell>
          <cell r="D451" t="str">
            <v>晨兴德机械</v>
          </cell>
          <cell r="E451" t="str">
            <v>成品</v>
          </cell>
          <cell r="F451" t="str">
            <v>PCS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</row>
        <row r="452">
          <cell r="B452" t="str">
            <v>BHC001</v>
          </cell>
          <cell r="C452" t="str">
            <v>后盖-B</v>
          </cell>
          <cell r="D452" t="str">
            <v>百和晟</v>
          </cell>
          <cell r="E452" t="str">
            <v>成品</v>
          </cell>
          <cell r="F452" t="str">
            <v>PCS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B453" t="str">
            <v>BHC002</v>
          </cell>
          <cell r="C453" t="str">
            <v>马达后壳</v>
          </cell>
          <cell r="D453" t="str">
            <v>百和晟</v>
          </cell>
          <cell r="E453" t="str">
            <v>成品</v>
          </cell>
          <cell r="F453" t="str">
            <v>PCS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B454" t="str">
            <v>BHC003</v>
          </cell>
          <cell r="C454" t="str">
            <v>变速盘</v>
          </cell>
          <cell r="D454" t="str">
            <v>百和晟</v>
          </cell>
          <cell r="E454" t="str">
            <v>成品</v>
          </cell>
          <cell r="F454" t="str">
            <v>PCS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</row>
        <row r="455">
          <cell r="B455" t="str">
            <v>ABL001</v>
          </cell>
          <cell r="C455" t="str">
            <v>K1散热片</v>
          </cell>
          <cell r="D455" t="str">
            <v>爱毕黎</v>
          </cell>
          <cell r="E455" t="str">
            <v>成品</v>
          </cell>
          <cell r="F455" t="str">
            <v>PCS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</row>
        <row r="456">
          <cell r="B456" t="str">
            <v>ABL002</v>
          </cell>
          <cell r="C456" t="str">
            <v>夹爪爪头-1</v>
          </cell>
          <cell r="D456" t="str">
            <v>爱毕黎</v>
          </cell>
          <cell r="E456" t="str">
            <v>成品</v>
          </cell>
          <cell r="F456" t="str">
            <v>PCS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</row>
        <row r="457">
          <cell r="B457" t="str">
            <v>ABL003</v>
          </cell>
          <cell r="C457" t="str">
            <v>夹爪爪头-2</v>
          </cell>
          <cell r="D457" t="str">
            <v>爱毕黎</v>
          </cell>
          <cell r="E457" t="str">
            <v>成品</v>
          </cell>
          <cell r="F457" t="str">
            <v>PCS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</row>
        <row r="458">
          <cell r="B458" t="str">
            <v>ABL004</v>
          </cell>
          <cell r="C458" t="str">
            <v>转轴支架</v>
          </cell>
          <cell r="D458" t="str">
            <v>爱毕黎</v>
          </cell>
          <cell r="E458" t="str">
            <v>成品</v>
          </cell>
          <cell r="F458" t="str">
            <v>PCS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B459" t="str">
            <v>ABL005</v>
          </cell>
          <cell r="C459" t="str">
            <v>T3H后壳</v>
          </cell>
          <cell r="D459" t="str">
            <v>爱毕黎</v>
          </cell>
          <cell r="E459" t="str">
            <v>成品</v>
          </cell>
          <cell r="F459" t="str">
            <v>PCS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</row>
        <row r="460">
          <cell r="B460" t="str">
            <v>ABL006</v>
          </cell>
          <cell r="C460" t="str">
            <v>双嘴钳</v>
          </cell>
          <cell r="D460" t="str">
            <v>爱毕黎</v>
          </cell>
          <cell r="E460" t="str">
            <v>成品</v>
          </cell>
          <cell r="F460" t="str">
            <v>PCS</v>
          </cell>
          <cell r="G460">
            <v>0</v>
          </cell>
          <cell r="H460">
            <v>5088</v>
          </cell>
          <cell r="I460">
            <v>5095</v>
          </cell>
          <cell r="J460">
            <v>-7</v>
          </cell>
        </row>
        <row r="461">
          <cell r="B461" t="str">
            <v>AWE001</v>
          </cell>
          <cell r="C461" t="str">
            <v>前盖</v>
          </cell>
          <cell r="D461" t="str">
            <v>艾为尔</v>
          </cell>
          <cell r="E461" t="str">
            <v>成品</v>
          </cell>
          <cell r="F461" t="str">
            <v>PCS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B462" t="str">
            <v>AWE002</v>
          </cell>
          <cell r="C462" t="str">
            <v>散热片</v>
          </cell>
          <cell r="D462" t="str">
            <v>艾为尔</v>
          </cell>
          <cell r="E462" t="str">
            <v>成品</v>
          </cell>
          <cell r="F462" t="str">
            <v>PCS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B463" t="str">
            <v>JH001</v>
          </cell>
          <cell r="C463" t="str">
            <v>710A-55上盖</v>
          </cell>
          <cell r="D463" t="str">
            <v>精华</v>
          </cell>
          <cell r="E463" t="str">
            <v>成品</v>
          </cell>
          <cell r="F463" t="str">
            <v>PCS</v>
          </cell>
          <cell r="G463">
            <v>301</v>
          </cell>
          <cell r="H463">
            <v>0</v>
          </cell>
          <cell r="I463">
            <v>0</v>
          </cell>
          <cell r="J463">
            <v>301</v>
          </cell>
        </row>
        <row r="464">
          <cell r="B464" t="str">
            <v>JH002</v>
          </cell>
          <cell r="C464" t="str">
            <v>710A-55下盖</v>
          </cell>
          <cell r="D464" t="str">
            <v>精华</v>
          </cell>
          <cell r="E464" t="str">
            <v>成品</v>
          </cell>
          <cell r="F464" t="str">
            <v>PCS</v>
          </cell>
          <cell r="G464">
            <v>249</v>
          </cell>
          <cell r="H464">
            <v>0</v>
          </cell>
          <cell r="I464">
            <v>0</v>
          </cell>
          <cell r="J464">
            <v>249</v>
          </cell>
        </row>
        <row r="465">
          <cell r="B465" t="str">
            <v>BJM001</v>
          </cell>
          <cell r="C465" t="str">
            <v>塞子</v>
          </cell>
          <cell r="D465" t="str">
            <v>宝进镁</v>
          </cell>
          <cell r="E465" t="str">
            <v>成品</v>
          </cell>
          <cell r="F465" t="str">
            <v>PCS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</row>
        <row r="466">
          <cell r="B466" t="str">
            <v>CB001</v>
          </cell>
          <cell r="C466" t="str">
            <v>AP31COVER1(AP31)</v>
          </cell>
          <cell r="D466" t="str">
            <v>纯柏</v>
          </cell>
          <cell r="E466" t="str">
            <v>成品</v>
          </cell>
          <cell r="F466" t="str">
            <v>PCS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B467" t="str">
            <v>OFG001</v>
          </cell>
          <cell r="C467" t="str">
            <v>前盖(YC0136002225
00)</v>
          </cell>
          <cell r="D467" t="str">
            <v>欧菲光</v>
          </cell>
          <cell r="E467" t="str">
            <v>成品</v>
          </cell>
          <cell r="F467" t="str">
            <v>PCS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B468" t="str">
            <v>OFG002</v>
          </cell>
          <cell r="C468" t="str">
            <v>后盖(YC013600222600)
</v>
          </cell>
          <cell r="D468" t="str">
            <v>欧菲光</v>
          </cell>
          <cell r="E468" t="str">
            <v>成品</v>
          </cell>
          <cell r="F468" t="str">
            <v>PCS</v>
          </cell>
          <cell r="G468">
            <v>9270</v>
          </cell>
          <cell r="H468">
            <v>0</v>
          </cell>
          <cell r="I468">
            <v>0</v>
          </cell>
          <cell r="J468">
            <v>9270</v>
          </cell>
        </row>
        <row r="469">
          <cell r="B469" t="str">
            <v>OFG003</v>
          </cell>
          <cell r="C469" t="str">
            <v>REAR_H
OUSING(YC013600237800)</v>
          </cell>
          <cell r="D469" t="str">
            <v>欧菲光</v>
          </cell>
          <cell r="E469" t="str">
            <v>成品</v>
          </cell>
          <cell r="F469" t="str">
            <v>PCS</v>
          </cell>
          <cell r="G469">
            <v>682</v>
          </cell>
          <cell r="H469">
            <v>0</v>
          </cell>
          <cell r="I469">
            <v>0</v>
          </cell>
          <cell r="J469">
            <v>682</v>
          </cell>
        </row>
        <row r="470">
          <cell r="B470" t="str">
            <v>OFG004</v>
          </cell>
          <cell r="C470" t="str">
            <v>YC013600237900</v>
          </cell>
          <cell r="D470" t="str">
            <v>欧菲光</v>
          </cell>
          <cell r="E470" t="str">
            <v>成品</v>
          </cell>
          <cell r="F470" t="str">
            <v>PCS</v>
          </cell>
          <cell r="G470">
            <v>10255</v>
          </cell>
          <cell r="H470">
            <v>0</v>
          </cell>
          <cell r="I470">
            <v>0</v>
          </cell>
          <cell r="J470">
            <v>10255</v>
          </cell>
        </row>
        <row r="471">
          <cell r="B471" t="str">
            <v>OFG004-1</v>
          </cell>
          <cell r="C471" t="str">
            <v>YC013600237901设变后</v>
          </cell>
          <cell r="D471" t="str">
            <v>欧菲光</v>
          </cell>
          <cell r="E471" t="str">
            <v>成品</v>
          </cell>
          <cell r="F471" t="str">
            <v>PCS</v>
          </cell>
          <cell r="G471">
            <v>3608</v>
          </cell>
          <cell r="H471">
            <v>0</v>
          </cell>
          <cell r="I471">
            <v>0</v>
          </cell>
          <cell r="J471">
            <v>3608</v>
          </cell>
        </row>
        <row r="472">
          <cell r="B472" t="str">
            <v>OFG005</v>
          </cell>
          <cell r="C472" t="str">
            <v>(YC013600000210)</v>
          </cell>
          <cell r="D472" t="str">
            <v>欧菲光</v>
          </cell>
          <cell r="E472" t="str">
            <v>成品</v>
          </cell>
          <cell r="F472" t="str">
            <v>PCS</v>
          </cell>
          <cell r="G472">
            <v>1261</v>
          </cell>
          <cell r="H472">
            <v>0</v>
          </cell>
          <cell r="I472">
            <v>0</v>
          </cell>
          <cell r="J472">
            <v>1261</v>
          </cell>
        </row>
        <row r="473">
          <cell r="B473" t="str">
            <v>OFG006</v>
          </cell>
          <cell r="C473" t="str">
            <v>（YC013600303900）/MS11前壳</v>
          </cell>
          <cell r="D473" t="str">
            <v>欧菲光</v>
          </cell>
          <cell r="E473" t="str">
            <v>成品</v>
          </cell>
          <cell r="F473" t="str">
            <v>PCS</v>
          </cell>
          <cell r="G473">
            <v>25018</v>
          </cell>
          <cell r="H473">
            <v>0</v>
          </cell>
          <cell r="I473">
            <v>0</v>
          </cell>
          <cell r="J473">
            <v>25018</v>
          </cell>
        </row>
        <row r="474">
          <cell r="B474" t="str">
            <v>OFG007</v>
          </cell>
          <cell r="C474" t="str">
            <v>（YC013600304000）/MS11后壳</v>
          </cell>
          <cell r="D474" t="str">
            <v>欧菲光</v>
          </cell>
          <cell r="E474" t="str">
            <v>成品</v>
          </cell>
          <cell r="F474" t="str">
            <v>PCS</v>
          </cell>
          <cell r="G474">
            <v>35936</v>
          </cell>
          <cell r="H474">
            <v>0</v>
          </cell>
          <cell r="I474">
            <v>0</v>
          </cell>
          <cell r="J474">
            <v>35936</v>
          </cell>
        </row>
        <row r="475">
          <cell r="B475" t="str">
            <v>OFG008</v>
          </cell>
          <cell r="C475" t="str">
            <v>YC013600303400</v>
          </cell>
          <cell r="D475" t="str">
            <v>欧菲光</v>
          </cell>
          <cell r="E475" t="str">
            <v>成品</v>
          </cell>
          <cell r="F475" t="str">
            <v>PCS</v>
          </cell>
          <cell r="G475">
            <v>1351</v>
          </cell>
          <cell r="H475">
            <v>0</v>
          </cell>
          <cell r="I475">
            <v>0</v>
          </cell>
          <cell r="J475">
            <v>1351</v>
          </cell>
        </row>
        <row r="476">
          <cell r="B476" t="str">
            <v>OFG009</v>
          </cell>
          <cell r="C476" t="str">
            <v>YC013600303500</v>
          </cell>
          <cell r="D476" t="str">
            <v>欧菲光</v>
          </cell>
          <cell r="E476" t="str">
            <v>成品</v>
          </cell>
          <cell r="F476" t="str">
            <v>PCS</v>
          </cell>
          <cell r="G476">
            <v>1803</v>
          </cell>
          <cell r="H476">
            <v>0</v>
          </cell>
          <cell r="I476">
            <v>0</v>
          </cell>
          <cell r="J476">
            <v>1803</v>
          </cell>
        </row>
        <row r="477">
          <cell r="B477" t="str">
            <v>OFG010</v>
          </cell>
          <cell r="C477" t="str">
            <v>YC013600222501（摄像头前盖）</v>
          </cell>
          <cell r="D477" t="str">
            <v>欧菲光</v>
          </cell>
          <cell r="E477" t="str">
            <v>成品</v>
          </cell>
          <cell r="F477" t="str">
            <v>PCS</v>
          </cell>
          <cell r="G477">
            <v>9071</v>
          </cell>
          <cell r="H477">
            <v>0</v>
          </cell>
          <cell r="I477">
            <v>0</v>
          </cell>
          <cell r="J477">
            <v>9071</v>
          </cell>
        </row>
        <row r="478">
          <cell r="B478" t="str">
            <v>OFG011</v>
          </cell>
          <cell r="C478" t="str">
            <v>YC013600330900</v>
          </cell>
          <cell r="D478" t="str">
            <v>欧菲光</v>
          </cell>
          <cell r="E478" t="str">
            <v>成品</v>
          </cell>
          <cell r="F478" t="str">
            <v>PCS</v>
          </cell>
          <cell r="G478">
            <v>586</v>
          </cell>
          <cell r="H478">
            <v>0</v>
          </cell>
          <cell r="I478">
            <v>0</v>
          </cell>
          <cell r="J478">
            <v>586</v>
          </cell>
        </row>
        <row r="479">
          <cell r="B479" t="str">
            <v>OFG012</v>
          </cell>
          <cell r="C479" t="str">
            <v>YC013600252200（毛毡）</v>
          </cell>
          <cell r="D479" t="str">
            <v>欧菲光</v>
          </cell>
          <cell r="E479" t="str">
            <v>成品</v>
          </cell>
          <cell r="F479" t="str">
            <v>PCS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</row>
        <row r="480">
          <cell r="B480" t="str">
            <v>OFG013</v>
          </cell>
          <cell r="C480" t="str">
            <v>YC013600351600</v>
          </cell>
          <cell r="D480" t="str">
            <v>欧菲光</v>
          </cell>
          <cell r="E480" t="str">
            <v>成品</v>
          </cell>
          <cell r="F480" t="str">
            <v>PCS</v>
          </cell>
          <cell r="G480">
            <v>2096</v>
          </cell>
          <cell r="H480">
            <v>0</v>
          </cell>
          <cell r="I480">
            <v>0</v>
          </cell>
          <cell r="J480">
            <v>2096</v>
          </cell>
        </row>
        <row r="481">
          <cell r="B481" t="str">
            <v>OFG014</v>
          </cell>
          <cell r="C481" t="str">
            <v>YC013600155100(CAM前壳）</v>
          </cell>
          <cell r="D481" t="str">
            <v>欧菲光</v>
          </cell>
          <cell r="E481" t="str">
            <v>成品</v>
          </cell>
          <cell r="F481" t="str">
            <v>PCS</v>
          </cell>
          <cell r="G481">
            <v>260</v>
          </cell>
          <cell r="H481">
            <v>0</v>
          </cell>
          <cell r="I481">
            <v>0</v>
          </cell>
          <cell r="J481">
            <v>260</v>
          </cell>
        </row>
        <row r="482">
          <cell r="B482" t="str">
            <v>OFG015</v>
          </cell>
          <cell r="C482" t="str">
            <v>YC013600155200(CAM后壳）</v>
          </cell>
          <cell r="D482" t="str">
            <v>欧菲光</v>
          </cell>
          <cell r="E482" t="str">
            <v>成品</v>
          </cell>
          <cell r="F482" t="str">
            <v>PCS</v>
          </cell>
          <cell r="G482">
            <v>1316</v>
          </cell>
          <cell r="H482">
            <v>0</v>
          </cell>
          <cell r="I482">
            <v>0</v>
          </cell>
          <cell r="J482">
            <v>1316</v>
          </cell>
        </row>
        <row r="483">
          <cell r="B483" t="str">
            <v>OFG016</v>
          </cell>
          <cell r="C483" t="str">
            <v>YC013600149200(DMS前壳）</v>
          </cell>
          <cell r="D483" t="str">
            <v>欧菲光</v>
          </cell>
          <cell r="E483" t="str">
            <v>成品</v>
          </cell>
          <cell r="F483" t="str">
            <v>PCS</v>
          </cell>
          <cell r="G483">
            <v>105</v>
          </cell>
          <cell r="H483">
            <v>0</v>
          </cell>
          <cell r="I483">
            <v>0</v>
          </cell>
          <cell r="J483">
            <v>105</v>
          </cell>
        </row>
        <row r="484">
          <cell r="B484" t="str">
            <v>OFG017</v>
          </cell>
          <cell r="C484" t="str">
            <v>YC013600361200</v>
          </cell>
          <cell r="D484" t="str">
            <v>欧菲光</v>
          </cell>
          <cell r="E484" t="str">
            <v>成品</v>
          </cell>
          <cell r="F484" t="str">
            <v>PCS</v>
          </cell>
          <cell r="G484">
            <v>735</v>
          </cell>
          <cell r="H484">
            <v>0</v>
          </cell>
          <cell r="I484">
            <v>0</v>
          </cell>
          <cell r="J484">
            <v>735</v>
          </cell>
        </row>
        <row r="485">
          <cell r="B485" t="str">
            <v>OFG018</v>
          </cell>
          <cell r="C485" t="str">
            <v>YC013600364900</v>
          </cell>
          <cell r="D485" t="str">
            <v>欧菲光</v>
          </cell>
          <cell r="E485" t="str">
            <v>成品</v>
          </cell>
          <cell r="F485" t="str">
            <v>PCS</v>
          </cell>
          <cell r="G485">
            <v>209</v>
          </cell>
          <cell r="H485">
            <v>0</v>
          </cell>
          <cell r="I485">
            <v>0</v>
          </cell>
          <cell r="J485">
            <v>209</v>
          </cell>
        </row>
        <row r="486">
          <cell r="B486" t="str">
            <v>OFG019</v>
          </cell>
          <cell r="C486" t="str">
            <v>YC013600377500</v>
          </cell>
          <cell r="D486" t="str">
            <v>欧菲光</v>
          </cell>
          <cell r="E486" t="str">
            <v>成品</v>
          </cell>
          <cell r="F486" t="str">
            <v>PCS</v>
          </cell>
          <cell r="G486">
            <v>813</v>
          </cell>
          <cell r="H486">
            <v>0</v>
          </cell>
          <cell r="I486">
            <v>0</v>
          </cell>
          <cell r="J486">
            <v>813</v>
          </cell>
        </row>
        <row r="487">
          <cell r="B487" t="str">
            <v>OFG020</v>
          </cell>
          <cell r="C487" t="str">
            <v>YC013600377801</v>
          </cell>
          <cell r="D487" t="str">
            <v>欧菲光</v>
          </cell>
          <cell r="E487" t="str">
            <v>成品</v>
          </cell>
          <cell r="F487" t="str">
            <v>PCS</v>
          </cell>
          <cell r="G487">
            <v>306</v>
          </cell>
          <cell r="H487">
            <v>0</v>
          </cell>
          <cell r="I487">
            <v>0</v>
          </cell>
          <cell r="J487">
            <v>306</v>
          </cell>
        </row>
        <row r="488">
          <cell r="B488" t="str">
            <v>OFG021</v>
          </cell>
          <cell r="C488" t="str">
            <v>YC013600441100</v>
          </cell>
          <cell r="D488" t="str">
            <v>欧菲光</v>
          </cell>
          <cell r="E488" t="str">
            <v>成品</v>
          </cell>
          <cell r="F488" t="str">
            <v>PCS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</row>
        <row r="489">
          <cell r="B489" t="str">
            <v>XL001</v>
          </cell>
          <cell r="C489" t="str">
            <v>（铝铸下盖）采集器后盖</v>
          </cell>
          <cell r="D489" t="str">
            <v>讯联</v>
          </cell>
          <cell r="E489" t="str">
            <v>成品</v>
          </cell>
          <cell r="F489" t="str">
            <v>PCS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</row>
        <row r="490">
          <cell r="B490" t="str">
            <v>XL002</v>
          </cell>
          <cell r="C490" t="str">
            <v>（铝铸上盖）采集器前壳(单孔）</v>
          </cell>
          <cell r="D490" t="str">
            <v>讯联</v>
          </cell>
          <cell r="E490" t="str">
            <v>成品</v>
          </cell>
          <cell r="F490" t="str">
            <v>PCS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</row>
        <row r="491">
          <cell r="B491" t="str">
            <v>XL003</v>
          </cell>
          <cell r="C491" t="str">
            <v>（铝铸上盖）采集器前壳（双孔）</v>
          </cell>
          <cell r="D491" t="str">
            <v>讯联</v>
          </cell>
          <cell r="E491" t="str">
            <v>成品</v>
          </cell>
          <cell r="F491" t="str">
            <v>PCS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</row>
        <row r="492">
          <cell r="B492" t="str">
            <v>CS001</v>
          </cell>
          <cell r="C492" t="str">
            <v>半球50-金属藏线盒</v>
          </cell>
          <cell r="D492" t="str">
            <v>春盛</v>
          </cell>
          <cell r="E492" t="str">
            <v>成品</v>
          </cell>
          <cell r="F492" t="str">
            <v>PCS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B493" t="str">
            <v>CS002</v>
          </cell>
          <cell r="C493" t="str">
            <v>筒机40-机身2</v>
          </cell>
          <cell r="D493" t="str">
            <v>春盛</v>
          </cell>
          <cell r="E493" t="str">
            <v>成品</v>
          </cell>
          <cell r="F493" t="str">
            <v>PCS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B494" t="str">
            <v>RB001</v>
          </cell>
          <cell r="C494" t="str">
            <v>扳手806头壳(含轴套)(DTW380牙箱壳）</v>
          </cell>
          <cell r="D494" t="str">
            <v>锐霸</v>
          </cell>
          <cell r="E494" t="str">
            <v>成品</v>
          </cell>
          <cell r="F494" t="str">
            <v>PCS</v>
          </cell>
          <cell r="G494">
            <v>7146</v>
          </cell>
          <cell r="H494">
            <v>0</v>
          </cell>
          <cell r="I494">
            <v>0</v>
          </cell>
          <cell r="J494">
            <v>7146</v>
          </cell>
        </row>
        <row r="495">
          <cell r="B495" t="str">
            <v>RB002</v>
          </cell>
          <cell r="C495" t="str">
            <v>扳手809头壳(含轴套)</v>
          </cell>
          <cell r="D495" t="str">
            <v>锐霸</v>
          </cell>
          <cell r="E495" t="str">
            <v>成品</v>
          </cell>
          <cell r="F495" t="str">
            <v>PCS</v>
          </cell>
          <cell r="G495">
            <v>2100</v>
          </cell>
          <cell r="H495">
            <v>3116</v>
          </cell>
          <cell r="I495">
            <v>3541</v>
          </cell>
          <cell r="J495">
            <v>1675</v>
          </cell>
        </row>
        <row r="496">
          <cell r="B496" t="str">
            <v>RB002-1</v>
          </cell>
          <cell r="C496" t="str">
            <v>扳手809头壳-黑色（TRU)</v>
          </cell>
          <cell r="D496" t="str">
            <v>锐霸</v>
          </cell>
          <cell r="E496" t="str">
            <v>成品</v>
          </cell>
          <cell r="F496" t="str">
            <v>PCS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B497" t="str">
            <v>RB003</v>
          </cell>
          <cell r="C497" t="str">
            <v>扳手809端盖</v>
          </cell>
          <cell r="D497" t="str">
            <v>锐霸</v>
          </cell>
          <cell r="E497" t="str">
            <v>成品</v>
          </cell>
          <cell r="F497" t="str">
            <v>PCS</v>
          </cell>
          <cell r="G497">
            <v>5574</v>
          </cell>
          <cell r="H497">
            <v>0</v>
          </cell>
          <cell r="I497">
            <v>0</v>
          </cell>
          <cell r="J497">
            <v>5574</v>
          </cell>
        </row>
        <row r="498">
          <cell r="B498" t="str">
            <v>RB004</v>
          </cell>
          <cell r="C498" t="str">
            <v>起子机2108-W头壳（230N头壳无轴套）</v>
          </cell>
          <cell r="D498" t="str">
            <v>锐霸</v>
          </cell>
          <cell r="E498" t="str">
            <v>成品</v>
          </cell>
          <cell r="F498" t="str">
            <v>PCS</v>
          </cell>
          <cell r="G498">
            <v>1670</v>
          </cell>
          <cell r="H498">
            <v>200</v>
          </cell>
          <cell r="I498">
            <v>200</v>
          </cell>
          <cell r="J498">
            <v>1670</v>
          </cell>
        </row>
        <row r="499">
          <cell r="B499" t="str">
            <v>RB004-1</v>
          </cell>
          <cell r="C499" t="str">
            <v>起子机2108头壳-锐霸灰色（230N头壳含轴套）</v>
          </cell>
          <cell r="D499" t="str">
            <v>锐霸</v>
          </cell>
          <cell r="E499" t="str">
            <v>成品</v>
          </cell>
          <cell r="F499" t="str">
            <v>PCS</v>
          </cell>
          <cell r="G499">
            <v>2761</v>
          </cell>
          <cell r="H499">
            <v>0</v>
          </cell>
          <cell r="I499">
            <v>0</v>
          </cell>
          <cell r="J499">
            <v>2761</v>
          </cell>
        </row>
        <row r="500">
          <cell r="B500" t="str">
            <v>RB004-2</v>
          </cell>
          <cell r="C500" t="str">
            <v>起子机2108头壳-黑色（无轴套）</v>
          </cell>
          <cell r="D500" t="str">
            <v>锐霸</v>
          </cell>
          <cell r="E500" t="str">
            <v>成品</v>
          </cell>
          <cell r="F500" t="str">
            <v>PCS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B501" t="str">
            <v>RB004-3</v>
          </cell>
          <cell r="C501" t="str">
            <v>起子机2108头壳（升级款）</v>
          </cell>
          <cell r="D501" t="str">
            <v>锐霸</v>
          </cell>
          <cell r="E501" t="str">
            <v>成品</v>
          </cell>
          <cell r="F501" t="str">
            <v>PCS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</row>
        <row r="502">
          <cell r="B502" t="str">
            <v>RB005</v>
          </cell>
          <cell r="C502" t="str">
            <v>806-SK头壳(含轴套）</v>
          </cell>
          <cell r="D502" t="str">
            <v>锐霸</v>
          </cell>
          <cell r="E502" t="str">
            <v>成品</v>
          </cell>
          <cell r="F502" t="str">
            <v>PCS</v>
          </cell>
          <cell r="G502">
            <v>713</v>
          </cell>
          <cell r="H502">
            <v>0</v>
          </cell>
          <cell r="I502">
            <v>0</v>
          </cell>
          <cell r="J502">
            <v>713</v>
          </cell>
        </row>
        <row r="503">
          <cell r="B503" t="str">
            <v>RB006</v>
          </cell>
          <cell r="C503" t="str">
            <v>扳手818端盖</v>
          </cell>
          <cell r="D503" t="str">
            <v>锐霸</v>
          </cell>
          <cell r="E503" t="str">
            <v>成品</v>
          </cell>
          <cell r="F503" t="str">
            <v>PCS</v>
          </cell>
          <cell r="G503">
            <v>456</v>
          </cell>
          <cell r="H503">
            <v>0</v>
          </cell>
          <cell r="I503">
            <v>0</v>
          </cell>
          <cell r="J503">
            <v>456</v>
          </cell>
        </row>
        <row r="504">
          <cell r="B504" t="str">
            <v>RB007</v>
          </cell>
          <cell r="C504" t="str">
            <v>扳手818头壳（带花纹含轴套）</v>
          </cell>
          <cell r="D504" t="str">
            <v>锐霸</v>
          </cell>
          <cell r="E504" t="str">
            <v>成品</v>
          </cell>
          <cell r="F504" t="str">
            <v>PCS</v>
          </cell>
          <cell r="G504">
            <v>1720</v>
          </cell>
          <cell r="H504">
            <v>2542</v>
          </cell>
          <cell r="I504">
            <v>4</v>
          </cell>
          <cell r="J504">
            <v>4258</v>
          </cell>
        </row>
        <row r="505">
          <cell r="B505" t="str">
            <v>RB008</v>
          </cell>
          <cell r="C505" t="str">
            <v>扳手818头壳-不带花纹</v>
          </cell>
          <cell r="D505" t="str">
            <v>锐霸</v>
          </cell>
          <cell r="E505" t="str">
            <v>成品</v>
          </cell>
          <cell r="F505" t="str">
            <v>PCS</v>
          </cell>
          <cell r="G505">
            <v>536</v>
          </cell>
          <cell r="H505">
            <v>0</v>
          </cell>
          <cell r="I505">
            <v>0</v>
          </cell>
          <cell r="J505">
            <v>536</v>
          </cell>
        </row>
        <row r="506">
          <cell r="B506" t="str">
            <v>RB009</v>
          </cell>
          <cell r="C506" t="str">
            <v>2109左卡钳</v>
          </cell>
          <cell r="D506" t="str">
            <v>锐霸</v>
          </cell>
          <cell r="E506" t="str">
            <v>成品</v>
          </cell>
          <cell r="F506" t="str">
            <v>PCS</v>
          </cell>
          <cell r="G506">
            <v>2601</v>
          </cell>
          <cell r="H506">
            <v>0</v>
          </cell>
          <cell r="I506">
            <v>0</v>
          </cell>
          <cell r="J506">
            <v>2601</v>
          </cell>
        </row>
        <row r="507">
          <cell r="B507" t="str">
            <v>RB010</v>
          </cell>
          <cell r="C507" t="str">
            <v>2109右卡钳</v>
          </cell>
          <cell r="D507" t="str">
            <v>锐霸</v>
          </cell>
          <cell r="E507" t="str">
            <v>成品</v>
          </cell>
          <cell r="F507" t="str">
            <v>PCS</v>
          </cell>
          <cell r="G507">
            <v>2734</v>
          </cell>
          <cell r="H507">
            <v>0</v>
          </cell>
          <cell r="I507">
            <v>0</v>
          </cell>
          <cell r="J507">
            <v>2734</v>
          </cell>
        </row>
        <row r="508">
          <cell r="B508" t="str">
            <v>RB011</v>
          </cell>
          <cell r="C508" t="str">
            <v>扳手810头壳（无轴套）</v>
          </cell>
          <cell r="D508" t="str">
            <v>锐霸</v>
          </cell>
          <cell r="E508" t="str">
            <v>成品</v>
          </cell>
          <cell r="F508" t="str">
            <v>PCS</v>
          </cell>
          <cell r="G508">
            <v>2048</v>
          </cell>
          <cell r="H508">
            <v>0</v>
          </cell>
          <cell r="I508">
            <v>0</v>
          </cell>
          <cell r="J508">
            <v>2048</v>
          </cell>
        </row>
        <row r="509">
          <cell r="B509" t="str">
            <v>RB012</v>
          </cell>
          <cell r="C509" t="str">
            <v>扳手810端盖</v>
          </cell>
          <cell r="D509" t="str">
            <v>锐霸</v>
          </cell>
          <cell r="E509" t="str">
            <v>成品</v>
          </cell>
          <cell r="F509" t="str">
            <v>PCS</v>
          </cell>
          <cell r="G509">
            <v>5953</v>
          </cell>
          <cell r="H509">
            <v>0</v>
          </cell>
          <cell r="I509">
            <v>0</v>
          </cell>
          <cell r="J509">
            <v>5953</v>
          </cell>
        </row>
        <row r="510">
          <cell r="B510" t="str">
            <v>RB012-1</v>
          </cell>
          <cell r="C510" t="str">
            <v>扳手810端盖--黑色</v>
          </cell>
          <cell r="D510" t="str">
            <v>锐霸</v>
          </cell>
          <cell r="E510" t="str">
            <v>成品</v>
          </cell>
          <cell r="F510" t="str">
            <v>PCS</v>
          </cell>
          <cell r="G510">
            <v>0</v>
          </cell>
          <cell r="H510">
            <v>2985</v>
          </cell>
          <cell r="I510">
            <v>110</v>
          </cell>
          <cell r="J510">
            <v>2875</v>
          </cell>
        </row>
        <row r="511">
          <cell r="B511" t="str">
            <v>RB013</v>
          </cell>
          <cell r="C511" t="str">
            <v>电锤BH24A齿轮箱</v>
          </cell>
          <cell r="D511" t="str">
            <v>锐霸</v>
          </cell>
          <cell r="E511" t="str">
            <v>成品</v>
          </cell>
          <cell r="F511" t="str">
            <v>PCS</v>
          </cell>
          <cell r="G511">
            <v>1487</v>
          </cell>
          <cell r="H511">
            <v>0</v>
          </cell>
          <cell r="I511">
            <v>0</v>
          </cell>
          <cell r="J511">
            <v>1487</v>
          </cell>
        </row>
        <row r="512">
          <cell r="B512" t="str">
            <v>RB014</v>
          </cell>
          <cell r="C512" t="str">
            <v>819头壳（含轴套）</v>
          </cell>
          <cell r="D512" t="str">
            <v>锐霸</v>
          </cell>
          <cell r="E512" t="str">
            <v>成品</v>
          </cell>
          <cell r="F512" t="str">
            <v>PCS</v>
          </cell>
          <cell r="G512">
            <v>26</v>
          </cell>
          <cell r="H512">
            <v>0</v>
          </cell>
          <cell r="I512">
            <v>0</v>
          </cell>
          <cell r="J512">
            <v>26</v>
          </cell>
        </row>
        <row r="513">
          <cell r="B513" t="str">
            <v>RB015</v>
          </cell>
          <cell r="C513" t="str">
            <v>826头壳（含轴套）</v>
          </cell>
          <cell r="D513" t="str">
            <v>锐霸</v>
          </cell>
          <cell r="E513" t="str">
            <v>成品</v>
          </cell>
          <cell r="F513" t="str">
            <v>PCS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</row>
        <row r="514">
          <cell r="B514" t="str">
            <v>RB016</v>
          </cell>
          <cell r="C514" t="str">
            <v>819/826/826A(头壳通用端盖）</v>
          </cell>
          <cell r="D514" t="str">
            <v>锐霸</v>
          </cell>
          <cell r="E514" t="str">
            <v>成品</v>
          </cell>
          <cell r="F514" t="str">
            <v>PCS</v>
          </cell>
          <cell r="G514">
            <v>3328</v>
          </cell>
          <cell r="H514">
            <v>0</v>
          </cell>
          <cell r="I514">
            <v>0</v>
          </cell>
          <cell r="J514">
            <v>3328</v>
          </cell>
        </row>
        <row r="515">
          <cell r="B515" t="str">
            <v>RB017</v>
          </cell>
          <cell r="C515" t="str">
            <v>826A头壳（含轴套）</v>
          </cell>
          <cell r="D515" t="str">
            <v>锐霸</v>
          </cell>
          <cell r="E515" t="str">
            <v>成品</v>
          </cell>
          <cell r="F515" t="str">
            <v>PCS</v>
          </cell>
          <cell r="G515">
            <v>2405</v>
          </cell>
          <cell r="H515">
            <v>0</v>
          </cell>
          <cell r="I515">
            <v>0</v>
          </cell>
          <cell r="J515">
            <v>2405</v>
          </cell>
        </row>
        <row r="516">
          <cell r="B516" t="str">
            <v>RB018</v>
          </cell>
          <cell r="C516" t="str">
            <v>827头壳</v>
          </cell>
          <cell r="D516" t="str">
            <v>锐霸</v>
          </cell>
          <cell r="E516" t="str">
            <v>成品</v>
          </cell>
          <cell r="F516" t="str">
            <v>PCS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</row>
        <row r="517">
          <cell r="B517" t="str">
            <v>RB018-1</v>
          </cell>
          <cell r="C517" t="str">
            <v>827头壳（含轴套）</v>
          </cell>
          <cell r="D517" t="str">
            <v>锐霸</v>
          </cell>
          <cell r="E517" t="str">
            <v>成品</v>
          </cell>
          <cell r="F517" t="str">
            <v>PCS</v>
          </cell>
          <cell r="G517">
            <v>667</v>
          </cell>
          <cell r="H517">
            <v>0</v>
          </cell>
          <cell r="I517">
            <v>0</v>
          </cell>
          <cell r="J517">
            <v>667</v>
          </cell>
        </row>
        <row r="518">
          <cell r="B518" t="str">
            <v>RB019</v>
          </cell>
          <cell r="C518" t="str">
            <v>827立式副把手旋钮</v>
          </cell>
          <cell r="D518" t="str">
            <v>锐霸</v>
          </cell>
          <cell r="E518" t="str">
            <v>成品</v>
          </cell>
          <cell r="F518" t="str">
            <v>PCS</v>
          </cell>
          <cell r="G518">
            <v>1141</v>
          </cell>
          <cell r="H518">
            <v>0</v>
          </cell>
          <cell r="I518">
            <v>0</v>
          </cell>
          <cell r="J518">
            <v>1141</v>
          </cell>
        </row>
        <row r="519">
          <cell r="B519" t="str">
            <v>RB020</v>
          </cell>
          <cell r="C519" t="str">
            <v>电钻2118左卡钳</v>
          </cell>
          <cell r="D519" t="str">
            <v>锐霸</v>
          </cell>
          <cell r="E519" t="str">
            <v>成品</v>
          </cell>
          <cell r="F519" t="str">
            <v>PCS</v>
          </cell>
          <cell r="G519">
            <v>1247</v>
          </cell>
          <cell r="H519">
            <v>0</v>
          </cell>
          <cell r="I519">
            <v>0</v>
          </cell>
          <cell r="J519">
            <v>1247</v>
          </cell>
        </row>
        <row r="520">
          <cell r="B520" t="str">
            <v>RB021</v>
          </cell>
          <cell r="C520" t="str">
            <v>电钻2118右卡钳</v>
          </cell>
          <cell r="D520" t="str">
            <v>锐霸</v>
          </cell>
          <cell r="E520" t="str">
            <v>成品</v>
          </cell>
          <cell r="F520" t="str">
            <v>PCS</v>
          </cell>
          <cell r="G520">
            <v>1266</v>
          </cell>
          <cell r="H520">
            <v>0</v>
          </cell>
          <cell r="I520">
            <v>0</v>
          </cell>
          <cell r="J520">
            <v>1266</v>
          </cell>
        </row>
        <row r="521">
          <cell r="B521" t="str">
            <v>RB022</v>
          </cell>
          <cell r="C521" t="str">
            <v>扳手828头壳</v>
          </cell>
          <cell r="D521" t="str">
            <v>锐霸</v>
          </cell>
          <cell r="E521" t="str">
            <v>成品</v>
          </cell>
          <cell r="F521" t="str">
            <v>PCS</v>
          </cell>
          <cell r="G521">
            <v>629</v>
          </cell>
          <cell r="H521">
            <v>0</v>
          </cell>
          <cell r="I521">
            <v>0</v>
          </cell>
          <cell r="J521">
            <v>629</v>
          </cell>
        </row>
        <row r="522">
          <cell r="B522" t="str">
            <v>RB023</v>
          </cell>
          <cell r="C522" t="str">
            <v>扳手828端盖</v>
          </cell>
          <cell r="D522" t="str">
            <v>锐霸</v>
          </cell>
          <cell r="E522" t="str">
            <v>成品</v>
          </cell>
          <cell r="F522" t="str">
            <v>PCS</v>
          </cell>
          <cell r="G522">
            <v>189</v>
          </cell>
          <cell r="H522">
            <v>0</v>
          </cell>
          <cell r="I522">
            <v>0</v>
          </cell>
          <cell r="J522">
            <v>189</v>
          </cell>
        </row>
        <row r="523">
          <cell r="B523" t="str">
            <v>RB024</v>
          </cell>
          <cell r="C523" t="str">
            <v>扳手828把手支架</v>
          </cell>
          <cell r="D523" t="str">
            <v>锐霸</v>
          </cell>
          <cell r="E523" t="str">
            <v>成品</v>
          </cell>
          <cell r="F523" t="str">
            <v>PCS</v>
          </cell>
          <cell r="G523">
            <v>1138</v>
          </cell>
          <cell r="H523">
            <v>0</v>
          </cell>
          <cell r="I523">
            <v>0</v>
          </cell>
          <cell r="J523">
            <v>1138</v>
          </cell>
        </row>
        <row r="524">
          <cell r="B524" t="str">
            <v>RB025</v>
          </cell>
          <cell r="C524" t="str">
            <v>扳手806S头壳 SD</v>
          </cell>
          <cell r="D524" t="str">
            <v>锐霸</v>
          </cell>
          <cell r="E524" t="str">
            <v>成品</v>
          </cell>
          <cell r="F524" t="str">
            <v>PCS</v>
          </cell>
          <cell r="G524">
            <v>32</v>
          </cell>
          <cell r="H524">
            <v>2400</v>
          </cell>
          <cell r="I524">
            <v>0</v>
          </cell>
          <cell r="J524">
            <v>2432</v>
          </cell>
        </row>
        <row r="525">
          <cell r="B525" t="str">
            <v>RB026</v>
          </cell>
          <cell r="C525" t="str">
            <v>扳手810STK2头壳</v>
          </cell>
          <cell r="D525" t="str">
            <v>锐霸</v>
          </cell>
          <cell r="E525" t="str">
            <v>成品</v>
          </cell>
          <cell r="F525" t="str">
            <v>PCS</v>
          </cell>
          <cell r="G525">
            <v>2205</v>
          </cell>
          <cell r="H525">
            <v>1173</v>
          </cell>
          <cell r="I525">
            <v>3385</v>
          </cell>
          <cell r="J525">
            <v>-7</v>
          </cell>
        </row>
        <row r="526">
          <cell r="B526" t="str">
            <v>RB026-1</v>
          </cell>
          <cell r="C526" t="str">
            <v>扳手810STK2头壳-黑色</v>
          </cell>
          <cell r="D526" t="str">
            <v>锐霸</v>
          </cell>
          <cell r="E526" t="str">
            <v>成品</v>
          </cell>
          <cell r="F526" t="str">
            <v>PCS</v>
          </cell>
          <cell r="G526">
            <v>53</v>
          </cell>
          <cell r="H526">
            <v>2000</v>
          </cell>
          <cell r="I526">
            <v>0</v>
          </cell>
          <cell r="J526">
            <v>2053</v>
          </cell>
        </row>
        <row r="527">
          <cell r="B527" t="str">
            <v>RB027</v>
          </cell>
          <cell r="C527" t="str">
            <v>扳手810S 端盖 世达款</v>
          </cell>
          <cell r="D527" t="str">
            <v>锐霸</v>
          </cell>
          <cell r="E527" t="str">
            <v>成品</v>
          </cell>
          <cell r="F527" t="str">
            <v>PCS</v>
          </cell>
          <cell r="G527">
            <v>598</v>
          </cell>
          <cell r="H527">
            <v>0</v>
          </cell>
          <cell r="I527">
            <v>0</v>
          </cell>
          <cell r="J527">
            <v>598</v>
          </cell>
        </row>
        <row r="528">
          <cell r="B528" t="str">
            <v>RB028</v>
          </cell>
          <cell r="C528" t="str">
            <v>扳手809S 头壳 世达款</v>
          </cell>
          <cell r="D528" t="str">
            <v>锐霸</v>
          </cell>
          <cell r="E528" t="str">
            <v>成品</v>
          </cell>
          <cell r="F528" t="str">
            <v>PCS</v>
          </cell>
          <cell r="G528">
            <v>707</v>
          </cell>
          <cell r="H528">
            <v>0</v>
          </cell>
          <cell r="I528">
            <v>707</v>
          </cell>
          <cell r="J528">
            <v>0</v>
          </cell>
        </row>
        <row r="529">
          <cell r="B529" t="str">
            <v>RB029</v>
          </cell>
          <cell r="C529" t="str">
            <v>扳手818S 头壳 世达款</v>
          </cell>
          <cell r="D529" t="str">
            <v>锐霸</v>
          </cell>
          <cell r="E529" t="str">
            <v>成品</v>
          </cell>
          <cell r="F529" t="str">
            <v>PCS</v>
          </cell>
          <cell r="G529">
            <v>10</v>
          </cell>
          <cell r="H529">
            <v>0</v>
          </cell>
          <cell r="I529">
            <v>0</v>
          </cell>
          <cell r="J529">
            <v>10</v>
          </cell>
        </row>
        <row r="530">
          <cell r="B530" t="str">
            <v>RB030</v>
          </cell>
          <cell r="C530" t="str">
            <v>扳手818S 端盖 世达款</v>
          </cell>
          <cell r="D530" t="str">
            <v>锐霸</v>
          </cell>
          <cell r="E530" t="str">
            <v>成品</v>
          </cell>
          <cell r="F530" t="str">
            <v>PCS</v>
          </cell>
          <cell r="G530">
            <v>888</v>
          </cell>
          <cell r="H530">
            <v>0</v>
          </cell>
          <cell r="I530">
            <v>0</v>
          </cell>
          <cell r="J530">
            <v>888</v>
          </cell>
        </row>
        <row r="531">
          <cell r="B531" t="str">
            <v>RB031</v>
          </cell>
          <cell r="C531" t="str">
            <v>扳手810S头壳 世达款</v>
          </cell>
          <cell r="D531" t="str">
            <v>锐霸</v>
          </cell>
          <cell r="E531" t="str">
            <v>成品</v>
          </cell>
          <cell r="F531" t="str">
            <v>PCS</v>
          </cell>
          <cell r="G531">
            <v>529</v>
          </cell>
          <cell r="H531">
            <v>0</v>
          </cell>
          <cell r="I531">
            <v>0</v>
          </cell>
          <cell r="J531">
            <v>529</v>
          </cell>
        </row>
        <row r="532">
          <cell r="B532" t="str">
            <v>RB032</v>
          </cell>
          <cell r="C532" t="str">
            <v>起子机2108 头壳 世达款</v>
          </cell>
          <cell r="D532" t="str">
            <v>锐霸</v>
          </cell>
          <cell r="E532" t="str">
            <v>成品</v>
          </cell>
          <cell r="F532" t="str">
            <v>PCS</v>
          </cell>
          <cell r="G532">
            <v>365</v>
          </cell>
          <cell r="H532">
            <v>0</v>
          </cell>
          <cell r="I532">
            <v>0</v>
          </cell>
          <cell r="J532">
            <v>365</v>
          </cell>
        </row>
        <row r="533">
          <cell r="B533" t="str">
            <v>RB033</v>
          </cell>
          <cell r="C533" t="str">
            <v>扳手818头壳（不带花纹白色）</v>
          </cell>
          <cell r="D533" t="str">
            <v>锐霸</v>
          </cell>
          <cell r="E533" t="str">
            <v>成品</v>
          </cell>
          <cell r="F533" t="str">
            <v>PCS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</row>
        <row r="534">
          <cell r="B534" t="str">
            <v>RB034</v>
          </cell>
          <cell r="C534" t="str">
            <v>扳手818端盖（白色）</v>
          </cell>
          <cell r="D534" t="str">
            <v>锐霸</v>
          </cell>
          <cell r="E534" t="str">
            <v>成品</v>
          </cell>
          <cell r="F534" t="str">
            <v>PCS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B535" t="str">
            <v>RB035</v>
          </cell>
          <cell r="C535" t="str">
            <v>826A头壳（世达款）</v>
          </cell>
          <cell r="D535" t="str">
            <v>锐霸</v>
          </cell>
          <cell r="E535" t="str">
            <v>成品</v>
          </cell>
          <cell r="F535" t="str">
            <v>PCS</v>
          </cell>
          <cell r="G535">
            <v>9</v>
          </cell>
          <cell r="H535">
            <v>0</v>
          </cell>
          <cell r="I535">
            <v>0</v>
          </cell>
          <cell r="J535">
            <v>9</v>
          </cell>
        </row>
        <row r="536">
          <cell r="B536" t="str">
            <v>RB036</v>
          </cell>
          <cell r="C536" t="str">
            <v>819/826头壳（世达款）</v>
          </cell>
          <cell r="D536" t="str">
            <v>锐霸</v>
          </cell>
          <cell r="E536" t="str">
            <v>成品</v>
          </cell>
          <cell r="F536" t="str">
            <v>PCS</v>
          </cell>
          <cell r="G536">
            <v>226</v>
          </cell>
          <cell r="H536">
            <v>0</v>
          </cell>
          <cell r="I536">
            <v>0</v>
          </cell>
          <cell r="J536">
            <v>226</v>
          </cell>
        </row>
        <row r="537">
          <cell r="B537" t="str">
            <v>RB037</v>
          </cell>
          <cell r="C537" t="str">
            <v>819/826端盖（世达款）</v>
          </cell>
          <cell r="D537" t="str">
            <v>锐霸</v>
          </cell>
          <cell r="E537" t="str">
            <v>成品</v>
          </cell>
          <cell r="F537" t="str">
            <v>PCS</v>
          </cell>
          <cell r="G537">
            <v>409</v>
          </cell>
          <cell r="H537">
            <v>0</v>
          </cell>
          <cell r="I537">
            <v>0</v>
          </cell>
          <cell r="J537">
            <v>409</v>
          </cell>
        </row>
        <row r="538">
          <cell r="B538" t="str">
            <v>RB038</v>
          </cell>
          <cell r="C538" t="str">
            <v>黄油枪HY01A齿轮箱</v>
          </cell>
          <cell r="D538" t="str">
            <v>锐霸</v>
          </cell>
          <cell r="E538" t="str">
            <v>成品</v>
          </cell>
          <cell r="F538" t="str">
            <v>PCS</v>
          </cell>
          <cell r="G538">
            <v>345</v>
          </cell>
          <cell r="H538">
            <v>0</v>
          </cell>
          <cell r="I538">
            <v>341</v>
          </cell>
          <cell r="J538">
            <v>4</v>
          </cell>
        </row>
        <row r="539">
          <cell r="B539" t="str">
            <v>RB039</v>
          </cell>
          <cell r="C539" t="str">
            <v>左卡钳（黑色）</v>
          </cell>
          <cell r="D539" t="str">
            <v>锐霸</v>
          </cell>
          <cell r="E539" t="str">
            <v>成品</v>
          </cell>
          <cell r="F539" t="str">
            <v>PCS</v>
          </cell>
          <cell r="G539">
            <v>2206</v>
          </cell>
          <cell r="H539">
            <v>0</v>
          </cell>
          <cell r="I539">
            <v>0</v>
          </cell>
          <cell r="J539">
            <v>2206</v>
          </cell>
        </row>
        <row r="540">
          <cell r="B540" t="str">
            <v>RB040</v>
          </cell>
          <cell r="C540" t="str">
            <v>右卡钳（黑色）</v>
          </cell>
          <cell r="D540" t="str">
            <v>锐霸</v>
          </cell>
          <cell r="E540" t="str">
            <v>成品</v>
          </cell>
          <cell r="F540" t="str">
            <v>PCS</v>
          </cell>
          <cell r="G540">
            <v>1792</v>
          </cell>
          <cell r="H540">
            <v>0</v>
          </cell>
          <cell r="I540">
            <v>0</v>
          </cell>
          <cell r="J540">
            <v>1792</v>
          </cell>
        </row>
        <row r="541">
          <cell r="B541" t="str">
            <v>RB041</v>
          </cell>
          <cell r="C541" t="str">
            <v>819头壳（黑色）</v>
          </cell>
          <cell r="D541" t="str">
            <v>锐霸</v>
          </cell>
          <cell r="E541" t="str">
            <v>成品</v>
          </cell>
          <cell r="F541" t="str">
            <v>PCS</v>
          </cell>
          <cell r="G541">
            <v>2</v>
          </cell>
          <cell r="H541">
            <v>0</v>
          </cell>
          <cell r="I541">
            <v>0</v>
          </cell>
          <cell r="J541">
            <v>2</v>
          </cell>
        </row>
        <row r="542">
          <cell r="B542" t="str">
            <v>RB042</v>
          </cell>
          <cell r="C542" t="str">
            <v>819端盖（黑色）</v>
          </cell>
          <cell r="D542" t="str">
            <v>锐霸</v>
          </cell>
          <cell r="E542" t="str">
            <v>成品</v>
          </cell>
          <cell r="F542" t="str">
            <v>PCS</v>
          </cell>
          <cell r="G542">
            <v>2502</v>
          </cell>
          <cell r="H542">
            <v>0</v>
          </cell>
          <cell r="I542">
            <v>0</v>
          </cell>
          <cell r="J542">
            <v>2502</v>
          </cell>
        </row>
        <row r="543">
          <cell r="B543" t="str">
            <v>RB043</v>
          </cell>
          <cell r="C543" t="str">
            <v>起子机2108-L头壳含轴套 （世达款）</v>
          </cell>
          <cell r="D543" t="str">
            <v>锐霸</v>
          </cell>
          <cell r="E543" t="str">
            <v>成品</v>
          </cell>
          <cell r="F543" t="str">
            <v>PCS</v>
          </cell>
          <cell r="G543">
            <v>111</v>
          </cell>
          <cell r="H543">
            <v>-4</v>
          </cell>
          <cell r="I543">
            <v>0</v>
          </cell>
          <cell r="J543">
            <v>107</v>
          </cell>
        </row>
        <row r="544">
          <cell r="B544" t="str">
            <v>YL001</v>
          </cell>
          <cell r="C544" t="str">
            <v>1A321W1M001-0A(EL-321W-GL04 铝壳）</v>
          </cell>
          <cell r="D544" t="str">
            <v>怡利</v>
          </cell>
          <cell r="E544" t="str">
            <v>成品</v>
          </cell>
          <cell r="F544" t="str">
            <v>PCS</v>
          </cell>
          <cell r="G544">
            <v>378</v>
          </cell>
          <cell r="H544">
            <v>0</v>
          </cell>
          <cell r="I544">
            <v>0</v>
          </cell>
          <cell r="J544">
            <v>378</v>
          </cell>
        </row>
        <row r="545">
          <cell r="B545" t="str">
            <v>YL002</v>
          </cell>
          <cell r="C545" t="str">
            <v>1A321W1N001-0A（EL-321W-GL0L铝挤散热片)</v>
          </cell>
          <cell r="D545" t="str">
            <v>怡利</v>
          </cell>
          <cell r="E545" t="str">
            <v>成品</v>
          </cell>
          <cell r="F545" t="str">
            <v>PCS</v>
          </cell>
          <cell r="G545">
            <v>173</v>
          </cell>
          <cell r="H545">
            <v>0</v>
          </cell>
          <cell r="I545">
            <v>0</v>
          </cell>
          <cell r="J545">
            <v>173</v>
          </cell>
        </row>
        <row r="546">
          <cell r="B546" t="str">
            <v>YL003</v>
          </cell>
          <cell r="C546" t="str">
            <v>1A321W1N002-0A（EL-321W-GL0P铝散热片)</v>
          </cell>
          <cell r="D546" t="str">
            <v>怡利</v>
          </cell>
          <cell r="E546" t="str">
            <v>成品</v>
          </cell>
          <cell r="F546" t="str">
            <v>PCS</v>
          </cell>
          <cell r="G546">
            <v>982</v>
          </cell>
          <cell r="H546">
            <v>0</v>
          </cell>
          <cell r="I546">
            <v>0</v>
          </cell>
          <cell r="J546">
            <v>982</v>
          </cell>
        </row>
        <row r="547">
          <cell r="B547" t="str">
            <v>YL004</v>
          </cell>
          <cell r="C547" t="str">
            <v>EL-104D-RW01 左转轴</v>
          </cell>
          <cell r="D547" t="str">
            <v>怡利</v>
          </cell>
          <cell r="E547" t="str">
            <v>配件</v>
          </cell>
          <cell r="F547" t="str">
            <v>PCS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B548" t="str">
            <v>YL005</v>
          </cell>
          <cell r="C548" t="str">
            <v>EL-104D-RW01 右转轴</v>
          </cell>
          <cell r="D548" t="str">
            <v>怡利</v>
          </cell>
          <cell r="E548" t="str">
            <v>配件</v>
          </cell>
          <cell r="F548" t="str">
            <v>PCS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</row>
        <row r="549">
          <cell r="B549" t="str">
            <v>YL006</v>
          </cell>
          <cell r="C549" t="str">
            <v>EL-104D-RW01 左转轴支架</v>
          </cell>
          <cell r="D549" t="str">
            <v>怡利</v>
          </cell>
          <cell r="E549" t="str">
            <v>配件</v>
          </cell>
          <cell r="F549" t="str">
            <v>PCS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</row>
        <row r="550">
          <cell r="B550" t="str">
            <v>YL007</v>
          </cell>
          <cell r="C550" t="str">
            <v>EL-104D-RW01 右转轴支架</v>
          </cell>
          <cell r="D550" t="str">
            <v>怡利</v>
          </cell>
          <cell r="E550" t="str">
            <v>配件</v>
          </cell>
          <cell r="F550" t="str">
            <v>PCS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</row>
        <row r="551">
          <cell r="B551" t="str">
            <v>YL008</v>
          </cell>
          <cell r="C551" t="str">
            <v>EL-104D-RW01 垫片</v>
          </cell>
          <cell r="D551" t="str">
            <v>怡利</v>
          </cell>
          <cell r="E551" t="str">
            <v>配件</v>
          </cell>
          <cell r="F551" t="str">
            <v>PCS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</row>
        <row r="552">
          <cell r="B552" t="str">
            <v>YL009</v>
          </cell>
          <cell r="C552" t="str">
            <v>EL-104D-RW01 M8尼帽</v>
          </cell>
          <cell r="D552" t="str">
            <v>怡利</v>
          </cell>
          <cell r="E552" t="str">
            <v>配件</v>
          </cell>
          <cell r="F552" t="str">
            <v>PCS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</row>
        <row r="553">
          <cell r="B553" t="str">
            <v>YL010</v>
          </cell>
          <cell r="C553" t="str">
            <v>EL-104D-0003_M5金属转轴A</v>
          </cell>
          <cell r="D553" t="str">
            <v>怡利</v>
          </cell>
          <cell r="E553" t="str">
            <v>成品</v>
          </cell>
          <cell r="F553" t="str">
            <v>PCS</v>
          </cell>
          <cell r="G553">
            <v>401</v>
          </cell>
          <cell r="H553">
            <v>0</v>
          </cell>
          <cell r="I553">
            <v>0</v>
          </cell>
          <cell r="J553">
            <v>401</v>
          </cell>
        </row>
        <row r="554">
          <cell r="B554" t="str">
            <v>YL011</v>
          </cell>
          <cell r="C554" t="str">
            <v>EL-104D-0003_M5金属转轴B</v>
          </cell>
          <cell r="D554" t="str">
            <v>怡利</v>
          </cell>
          <cell r="E554" t="str">
            <v>成品</v>
          </cell>
          <cell r="F554" t="str">
            <v>PCS</v>
          </cell>
          <cell r="G554">
            <v>355</v>
          </cell>
          <cell r="H554">
            <v>0</v>
          </cell>
          <cell r="I554">
            <v>0</v>
          </cell>
          <cell r="J554">
            <v>355</v>
          </cell>
        </row>
        <row r="555">
          <cell r="B555" t="str">
            <v>YL012</v>
          </cell>
          <cell r="C555" t="str">
            <v>EL-321W-NS01铝挤散热片</v>
          </cell>
          <cell r="D555" t="str">
            <v>怡利</v>
          </cell>
          <cell r="E555" t="str">
            <v>成品</v>
          </cell>
          <cell r="F555" t="str">
            <v>PCS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</row>
        <row r="556">
          <cell r="B556" t="str">
            <v>YL013</v>
          </cell>
          <cell r="C556" t="str">
            <v>EL-321W-GLOX 铝挤散热片</v>
          </cell>
          <cell r="D556" t="str">
            <v>怡利</v>
          </cell>
          <cell r="E556" t="str">
            <v>成品</v>
          </cell>
          <cell r="F556" t="str">
            <v>PCS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</row>
        <row r="557">
          <cell r="B557" t="str">
            <v>YL014</v>
          </cell>
          <cell r="C557" t="str">
            <v>1A321W2D001-0A铝挤型散热片</v>
          </cell>
          <cell r="D557" t="str">
            <v>怡利</v>
          </cell>
          <cell r="E557" t="str">
            <v>成品</v>
          </cell>
          <cell r="F557" t="str">
            <v>PCS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B558" t="str">
            <v>YL015</v>
          </cell>
          <cell r="C558" t="str">
            <v>1A321W2E001-OA(EL-321W-GL0EF铝挤型散热片）</v>
          </cell>
          <cell r="D558" t="str">
            <v>怡利</v>
          </cell>
          <cell r="E558" t="str">
            <v>成品</v>
          </cell>
          <cell r="F558" t="str">
            <v>PCS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B559" t="str">
            <v>YL016</v>
          </cell>
          <cell r="C559" t="str">
            <v>EL-321W-NS02  (1A321W2F001)</v>
          </cell>
          <cell r="D559" t="str">
            <v>怡利</v>
          </cell>
          <cell r="E559" t="str">
            <v>成品</v>
          </cell>
          <cell r="F559" t="str">
            <v>PCS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</row>
        <row r="560">
          <cell r="B560" t="str">
            <v>JD001</v>
          </cell>
          <cell r="C560">
            <v>6335</v>
          </cell>
          <cell r="D560" t="str">
            <v>嘉都</v>
          </cell>
          <cell r="E560" t="str">
            <v>成品</v>
          </cell>
          <cell r="F560" t="str">
            <v>PCS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</row>
        <row r="561">
          <cell r="B561" t="str">
            <v>JD002</v>
          </cell>
          <cell r="C561">
            <v>8397</v>
          </cell>
          <cell r="D561" t="str">
            <v>嘉都</v>
          </cell>
          <cell r="E561" t="str">
            <v>成品</v>
          </cell>
          <cell r="F561" t="str">
            <v>PCS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</row>
        <row r="562">
          <cell r="B562" t="str">
            <v>JD003</v>
          </cell>
          <cell r="C562" t="str">
            <v>231端盖</v>
          </cell>
          <cell r="D562" t="str">
            <v>嘉都</v>
          </cell>
          <cell r="E562" t="str">
            <v>成品</v>
          </cell>
          <cell r="F562" t="str">
            <v>PCS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</row>
        <row r="563">
          <cell r="B563" t="str">
            <v>KT001</v>
          </cell>
          <cell r="C563" t="str">
            <v>01020前挡板</v>
          </cell>
          <cell r="D563" t="str">
            <v>凯泰</v>
          </cell>
          <cell r="E563" t="str">
            <v>成品</v>
          </cell>
          <cell r="F563" t="str">
            <v>PCS</v>
          </cell>
          <cell r="G563">
            <v>3592</v>
          </cell>
          <cell r="H563">
            <v>0</v>
          </cell>
          <cell r="I563">
            <v>0</v>
          </cell>
          <cell r="J563">
            <v>3592</v>
          </cell>
        </row>
        <row r="564">
          <cell r="B564" t="str">
            <v>KT002</v>
          </cell>
          <cell r="C564" t="str">
            <v>01030前挡板</v>
          </cell>
          <cell r="D564" t="str">
            <v>凯泰</v>
          </cell>
          <cell r="E564" t="str">
            <v>成品</v>
          </cell>
          <cell r="F564" t="str">
            <v>PCS</v>
          </cell>
          <cell r="G564">
            <v>132</v>
          </cell>
          <cell r="H564">
            <v>0</v>
          </cell>
          <cell r="I564">
            <v>0</v>
          </cell>
          <cell r="J564">
            <v>132</v>
          </cell>
        </row>
        <row r="565">
          <cell r="B565" t="str">
            <v>KT003</v>
          </cell>
          <cell r="C565" t="str">
            <v>01050前挡板</v>
          </cell>
          <cell r="D565" t="str">
            <v>凯泰</v>
          </cell>
          <cell r="E565" t="str">
            <v>成品</v>
          </cell>
          <cell r="F565" t="str">
            <v>PCS</v>
          </cell>
          <cell r="G565">
            <v>10347</v>
          </cell>
          <cell r="H565">
            <v>0</v>
          </cell>
          <cell r="I565">
            <v>0</v>
          </cell>
          <cell r="J565">
            <v>10347</v>
          </cell>
        </row>
        <row r="566">
          <cell r="B566" t="str">
            <v>KT004</v>
          </cell>
          <cell r="C566" t="str">
            <v>PL9-12580-10-0A前挡板</v>
          </cell>
          <cell r="D566" t="str">
            <v>凯泰</v>
          </cell>
          <cell r="E566" t="str">
            <v>成品</v>
          </cell>
          <cell r="F566" t="str">
            <v>PCS</v>
          </cell>
          <cell r="G566">
            <v>15672</v>
          </cell>
          <cell r="H566">
            <v>0</v>
          </cell>
          <cell r="I566">
            <v>0</v>
          </cell>
          <cell r="J566">
            <v>15672</v>
          </cell>
        </row>
        <row r="567">
          <cell r="B567" t="str">
            <v>KT005</v>
          </cell>
          <cell r="C567" t="str">
            <v>双目支架</v>
          </cell>
          <cell r="D567" t="str">
            <v>凯泰</v>
          </cell>
          <cell r="E567" t="str">
            <v>成品</v>
          </cell>
          <cell r="F567" t="str">
            <v>PCS</v>
          </cell>
          <cell r="G567">
            <v>16126</v>
          </cell>
          <cell r="H567">
            <v>0</v>
          </cell>
          <cell r="I567">
            <v>3120</v>
          </cell>
          <cell r="J567">
            <v>13006</v>
          </cell>
        </row>
        <row r="568">
          <cell r="B568" t="str">
            <v>KT006</v>
          </cell>
          <cell r="C568" t="str">
            <v>超频主机上盖-1个单芯-PL9-01100-00-0A</v>
          </cell>
          <cell r="D568" t="str">
            <v>凯泰</v>
          </cell>
          <cell r="E568" t="str">
            <v>成品</v>
          </cell>
          <cell r="F568" t="str">
            <v>PCS</v>
          </cell>
          <cell r="G568">
            <v>870</v>
          </cell>
          <cell r="H568">
            <v>0</v>
          </cell>
          <cell r="I568">
            <v>0</v>
          </cell>
          <cell r="J568">
            <v>870</v>
          </cell>
        </row>
        <row r="569">
          <cell r="B569" t="str">
            <v>KT007</v>
          </cell>
          <cell r="C569" t="str">
            <v>超频主机上盖-2个单芯-PL9-01100-10-0A</v>
          </cell>
          <cell r="D569" t="str">
            <v>凯泰</v>
          </cell>
          <cell r="E569" t="str">
            <v>成品</v>
          </cell>
          <cell r="F569" t="str">
            <v>PCS</v>
          </cell>
          <cell r="G569">
            <v>2411</v>
          </cell>
          <cell r="H569">
            <v>0</v>
          </cell>
          <cell r="I569">
            <v>0</v>
          </cell>
          <cell r="J569">
            <v>2411</v>
          </cell>
        </row>
        <row r="570">
          <cell r="B570" t="str">
            <v>KT008</v>
          </cell>
          <cell r="C570" t="str">
            <v>M82双目支架</v>
          </cell>
          <cell r="D570" t="str">
            <v>凯泰</v>
          </cell>
          <cell r="E570" t="str">
            <v>成品</v>
          </cell>
          <cell r="F570" t="str">
            <v>PCS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B571" t="str">
            <v>KT009</v>
          </cell>
          <cell r="C571" t="str">
            <v>PL9-01160-30-0A(双目支架）</v>
          </cell>
          <cell r="D571" t="str">
            <v>凯泰</v>
          </cell>
          <cell r="E571" t="str">
            <v>成品</v>
          </cell>
          <cell r="F571" t="str">
            <v>PCS</v>
          </cell>
          <cell r="G571">
            <v>3</v>
          </cell>
          <cell r="H571">
            <v>2066</v>
          </cell>
          <cell r="I571">
            <v>0</v>
          </cell>
          <cell r="J571">
            <v>2069</v>
          </cell>
        </row>
        <row r="572">
          <cell r="B572" t="str">
            <v>TZY001</v>
          </cell>
          <cell r="C572" t="str">
            <v>M23信号母插(短）</v>
          </cell>
          <cell r="D572" t="str">
            <v>天之跃</v>
          </cell>
          <cell r="E572" t="str">
            <v>成品</v>
          </cell>
          <cell r="F572" t="str">
            <v>PCS</v>
          </cell>
          <cell r="G572">
            <v>970</v>
          </cell>
          <cell r="H572">
            <v>0</v>
          </cell>
          <cell r="I572">
            <v>0</v>
          </cell>
          <cell r="J572">
            <v>970</v>
          </cell>
        </row>
        <row r="573">
          <cell r="B573" t="str">
            <v>TZY002</v>
          </cell>
          <cell r="C573" t="str">
            <v>M23信号公插（长）（公插头）</v>
          </cell>
          <cell r="D573" t="str">
            <v>天之跃</v>
          </cell>
          <cell r="E573" t="str">
            <v>成品</v>
          </cell>
          <cell r="F573" t="str">
            <v>PCS</v>
          </cell>
          <cell r="G573">
            <v>5075</v>
          </cell>
          <cell r="H573">
            <v>0</v>
          </cell>
          <cell r="I573">
            <v>0</v>
          </cell>
          <cell r="J573">
            <v>5075</v>
          </cell>
        </row>
        <row r="574">
          <cell r="B574" t="str">
            <v>HAPX001</v>
          </cell>
          <cell r="C574" t="str">
            <v>040330084下壳（电池盒底座）</v>
          </cell>
          <cell r="D574" t="str">
            <v>淮安品向</v>
          </cell>
          <cell r="E574" t="str">
            <v>成品</v>
          </cell>
          <cell r="F574" t="str">
            <v>PCS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B575" t="str">
            <v>HAPX002</v>
          </cell>
          <cell r="C575" t="str">
            <v>040330058前电池公头底座（电池公头底座）</v>
          </cell>
          <cell r="D575" t="str">
            <v>淮安品向</v>
          </cell>
          <cell r="E575" t="str">
            <v>成品</v>
          </cell>
          <cell r="F575" t="str">
            <v>PCS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B576" t="str">
            <v>HAPX003</v>
          </cell>
          <cell r="C576" t="str">
            <v>040330083上盖（电池提手）</v>
          </cell>
          <cell r="D576" t="str">
            <v>淮安品向</v>
          </cell>
          <cell r="E576" t="str">
            <v>成品</v>
          </cell>
          <cell r="F576" t="str">
            <v>PCS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</row>
        <row r="577">
          <cell r="B577" t="str">
            <v>HAPX004</v>
          </cell>
          <cell r="C577" t="str">
            <v>电子锁铝外壳上壳</v>
          </cell>
          <cell r="D577" t="str">
            <v>淮安品向</v>
          </cell>
          <cell r="E577" t="str">
            <v>成品</v>
          </cell>
          <cell r="F577" t="str">
            <v>PCS</v>
          </cell>
          <cell r="G577">
            <v>163</v>
          </cell>
          <cell r="H577">
            <v>0</v>
          </cell>
          <cell r="I577">
            <v>0</v>
          </cell>
          <cell r="J577">
            <v>163</v>
          </cell>
        </row>
        <row r="578">
          <cell r="B578" t="str">
            <v>HAPX005</v>
          </cell>
          <cell r="C578" t="str">
            <v>电子锁铝外壳下壳</v>
          </cell>
          <cell r="D578" t="str">
            <v>淮安品向</v>
          </cell>
          <cell r="E578" t="str">
            <v>成品</v>
          </cell>
          <cell r="F578" t="str">
            <v>PCS</v>
          </cell>
          <cell r="G578">
            <v>877</v>
          </cell>
          <cell r="H578">
            <v>0</v>
          </cell>
          <cell r="I578">
            <v>0</v>
          </cell>
          <cell r="J578">
            <v>877</v>
          </cell>
        </row>
        <row r="579">
          <cell r="B579" t="str">
            <v>HAPX006</v>
          </cell>
          <cell r="C579" t="str">
            <v>公头底座</v>
          </cell>
          <cell r="D579" t="str">
            <v>淮安品向</v>
          </cell>
          <cell r="E579" t="str">
            <v>成品</v>
          </cell>
          <cell r="F579" t="str">
            <v>PCS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</row>
        <row r="580">
          <cell r="B580" t="str">
            <v>HAPX007</v>
          </cell>
          <cell r="C580" t="str">
            <v>黑色挂钩（喷粉）</v>
          </cell>
          <cell r="D580" t="str">
            <v>淮安品向</v>
          </cell>
          <cell r="E580" t="str">
            <v>成品</v>
          </cell>
          <cell r="F580" t="str">
            <v>PCS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</row>
        <row r="581">
          <cell r="B581" t="str">
            <v>HAPX008</v>
          </cell>
          <cell r="C581" t="str">
            <v>小黄车控制器上壳</v>
          </cell>
          <cell r="D581" t="str">
            <v>淮安品向</v>
          </cell>
          <cell r="E581" t="str">
            <v>成品</v>
          </cell>
          <cell r="F581" t="str">
            <v>PCS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</row>
        <row r="582">
          <cell r="B582" t="str">
            <v>HAPX009</v>
          </cell>
          <cell r="C582" t="str">
            <v>小黄车压轴板</v>
          </cell>
          <cell r="D582" t="str">
            <v>淮安品向</v>
          </cell>
          <cell r="E582" t="str">
            <v>成品</v>
          </cell>
          <cell r="F582" t="str">
            <v>PCS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</row>
        <row r="583">
          <cell r="B583" t="str">
            <v>HAPX010</v>
          </cell>
          <cell r="C583" t="str">
            <v>小黄车电池后堵头</v>
          </cell>
          <cell r="D583" t="str">
            <v>淮安品向</v>
          </cell>
          <cell r="E583" t="str">
            <v>成品</v>
          </cell>
          <cell r="F583" t="str">
            <v>PCS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B584" t="str">
            <v>HAPX011</v>
          </cell>
          <cell r="C584" t="str">
            <v>前立杆固定支架</v>
          </cell>
          <cell r="D584" t="str">
            <v>淮安品向</v>
          </cell>
          <cell r="E584" t="str">
            <v>成品</v>
          </cell>
          <cell r="F584" t="str">
            <v>PCS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</row>
        <row r="585">
          <cell r="B585" t="str">
            <v>HAPX012</v>
          </cell>
          <cell r="C585" t="str">
            <v>小黄车电池提手</v>
          </cell>
          <cell r="D585" t="str">
            <v>淮安品向</v>
          </cell>
          <cell r="E585" t="str">
            <v>成品</v>
          </cell>
          <cell r="F585" t="str">
            <v>PCS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</row>
        <row r="586">
          <cell r="B586" t="str">
            <v>HAPX013</v>
          </cell>
          <cell r="C586" t="str">
            <v>挡泥板内衬</v>
          </cell>
          <cell r="D586" t="str">
            <v>淮安品向</v>
          </cell>
          <cell r="E586" t="str">
            <v>成品</v>
          </cell>
          <cell r="F586" t="str">
            <v>PCS</v>
          </cell>
          <cell r="G586">
            <v>102</v>
          </cell>
          <cell r="H586">
            <v>0</v>
          </cell>
          <cell r="I586">
            <v>0</v>
          </cell>
          <cell r="J586">
            <v>102</v>
          </cell>
        </row>
        <row r="587">
          <cell r="B587" t="str">
            <v>TZ001</v>
          </cell>
          <cell r="C587" t="str">
            <v> 八百万-双目Holder(MPL9-01000-00-0A)上盖</v>
          </cell>
          <cell r="D587" t="str">
            <v>同致</v>
          </cell>
          <cell r="E587" t="str">
            <v>成品</v>
          </cell>
          <cell r="F587" t="str">
            <v>PCS</v>
          </cell>
          <cell r="G587">
            <v>541</v>
          </cell>
          <cell r="H587">
            <v>0</v>
          </cell>
          <cell r="I587">
            <v>0</v>
          </cell>
          <cell r="J587">
            <v>541</v>
          </cell>
        </row>
        <row r="588">
          <cell r="B588" t="str">
            <v>TZ002</v>
          </cell>
          <cell r="C588" t="str">
            <v> 八百万-双目Cover(MPL9-01000-10-0A)下盖</v>
          </cell>
          <cell r="D588" t="str">
            <v>同致</v>
          </cell>
          <cell r="E588" t="str">
            <v>成品</v>
          </cell>
          <cell r="F588" t="str">
            <v>PCS</v>
          </cell>
          <cell r="G588">
            <v>478</v>
          </cell>
          <cell r="H588">
            <v>0</v>
          </cell>
          <cell r="I588">
            <v>0</v>
          </cell>
          <cell r="J588">
            <v>478</v>
          </cell>
        </row>
        <row r="589">
          <cell r="B589" t="str">
            <v>FY001</v>
          </cell>
          <cell r="C589" t="str">
            <v>电磁锁1</v>
          </cell>
          <cell r="D589" t="str">
            <v>凤友</v>
          </cell>
          <cell r="E589" t="str">
            <v>成品</v>
          </cell>
          <cell r="F589" t="str">
            <v>PCS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</row>
        <row r="590">
          <cell r="B590" t="str">
            <v>FY002</v>
          </cell>
          <cell r="C590" t="str">
            <v>电磁锁2</v>
          </cell>
          <cell r="D590" t="str">
            <v>凤友</v>
          </cell>
          <cell r="E590" t="str">
            <v>成品</v>
          </cell>
          <cell r="F590" t="str">
            <v>PCS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</row>
        <row r="591">
          <cell r="B591" t="str">
            <v>FY003</v>
          </cell>
          <cell r="C591" t="str">
            <v>电磁锁3</v>
          </cell>
          <cell r="D591" t="str">
            <v>凤友</v>
          </cell>
          <cell r="E591" t="str">
            <v>成品</v>
          </cell>
          <cell r="F591" t="str">
            <v>PCS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</row>
        <row r="592">
          <cell r="B592" t="str">
            <v>FY004</v>
          </cell>
          <cell r="C592" t="str">
            <v>001铝材（大）</v>
          </cell>
          <cell r="D592" t="str">
            <v>凤友</v>
          </cell>
          <cell r="E592" t="str">
            <v>成品</v>
          </cell>
          <cell r="F592" t="str">
            <v>PCS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</row>
        <row r="593">
          <cell r="B593" t="str">
            <v>FY005</v>
          </cell>
          <cell r="C593" t="str">
            <v>001铝材（小）</v>
          </cell>
          <cell r="D593" t="str">
            <v>凤友</v>
          </cell>
          <cell r="E593" t="str">
            <v>成品</v>
          </cell>
          <cell r="F593" t="str">
            <v>PCS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</row>
        <row r="594">
          <cell r="B594" t="str">
            <v>FY006</v>
          </cell>
          <cell r="C594" t="str">
            <v>激光后盖</v>
          </cell>
          <cell r="D594" t="str">
            <v>凤友</v>
          </cell>
          <cell r="E594" t="str">
            <v>成品</v>
          </cell>
          <cell r="F594" t="str">
            <v>PCS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</row>
        <row r="595">
          <cell r="B595" t="str">
            <v>FY007</v>
          </cell>
          <cell r="C595" t="str">
            <v>激光中框</v>
          </cell>
          <cell r="D595" t="str">
            <v>凤友</v>
          </cell>
          <cell r="E595" t="str">
            <v>成品</v>
          </cell>
          <cell r="F595" t="str">
            <v>PCS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</row>
        <row r="596">
          <cell r="B596" t="str">
            <v>FY008</v>
          </cell>
          <cell r="C596" t="str">
            <v>镜光支座</v>
          </cell>
          <cell r="D596" t="str">
            <v>凤友</v>
          </cell>
          <cell r="E596" t="str">
            <v>成品</v>
          </cell>
          <cell r="F596" t="str">
            <v>PCS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</row>
        <row r="597">
          <cell r="B597" t="str">
            <v>FY009</v>
          </cell>
          <cell r="C597" t="str">
            <v>悬臂</v>
          </cell>
          <cell r="D597" t="str">
            <v>凤友</v>
          </cell>
          <cell r="E597" t="str">
            <v>成品</v>
          </cell>
          <cell r="F597" t="str">
            <v>PCS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</row>
        <row r="598">
          <cell r="B598" t="str">
            <v>FY010</v>
          </cell>
          <cell r="C598" t="str">
            <v>弯头</v>
          </cell>
          <cell r="D598" t="str">
            <v>凤友</v>
          </cell>
          <cell r="E598" t="str">
            <v>成品</v>
          </cell>
          <cell r="F598" t="str">
            <v>PCS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</row>
        <row r="599">
          <cell r="B599" t="str">
            <v>CL001</v>
          </cell>
          <cell r="C599" t="str">
            <v>大力夹-云台底座</v>
          </cell>
          <cell r="D599" t="str">
            <v>昶乐</v>
          </cell>
          <cell r="E599" t="str">
            <v>成品</v>
          </cell>
          <cell r="F599" t="str">
            <v>PCS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B600" t="str">
            <v>CL002</v>
          </cell>
          <cell r="C600" t="str">
            <v>大力夹-止转盖</v>
          </cell>
          <cell r="D600" t="str">
            <v>昶乐</v>
          </cell>
          <cell r="E600" t="str">
            <v>成品</v>
          </cell>
          <cell r="F600" t="str">
            <v>PCS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</row>
        <row r="601">
          <cell r="B601" t="str">
            <v>CL003</v>
          </cell>
          <cell r="C601" t="str">
            <v>大力夹-滑块锌合金</v>
          </cell>
          <cell r="D601" t="str">
            <v>昶乐</v>
          </cell>
          <cell r="E601" t="str">
            <v>成品</v>
          </cell>
          <cell r="F601" t="str">
            <v>PCS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</row>
        <row r="602">
          <cell r="B602" t="str">
            <v>CL004</v>
          </cell>
          <cell r="C602" t="str">
            <v>大力夹-连接块</v>
          </cell>
          <cell r="D602" t="str">
            <v>昶乐</v>
          </cell>
          <cell r="E602" t="str">
            <v>成品</v>
          </cell>
          <cell r="F602" t="str">
            <v>PCS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</row>
        <row r="603">
          <cell r="B603" t="str">
            <v>CL005</v>
          </cell>
          <cell r="C603" t="str">
            <v>大力夹-A爪</v>
          </cell>
          <cell r="D603" t="str">
            <v>昶乐</v>
          </cell>
          <cell r="E603" t="str">
            <v>成品</v>
          </cell>
          <cell r="F603" t="str">
            <v>PCS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</row>
        <row r="604">
          <cell r="B604" t="str">
            <v>CL006</v>
          </cell>
          <cell r="C604" t="str">
            <v>大力夹-B爪</v>
          </cell>
          <cell r="D604" t="str">
            <v>昶乐</v>
          </cell>
          <cell r="E604" t="str">
            <v>成品</v>
          </cell>
          <cell r="F604" t="str">
            <v>PCS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B605" t="str">
            <v>KSL001</v>
          </cell>
          <cell r="C605" t="str">
            <v>3Port-ST-Housing</v>
          </cell>
          <cell r="D605" t="str">
            <v>克斯勒</v>
          </cell>
          <cell r="E605" t="str">
            <v>成品</v>
          </cell>
          <cell r="F605" t="str">
            <v>PCS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</row>
        <row r="606">
          <cell r="B606" t="str">
            <v>TST001</v>
          </cell>
          <cell r="C606" t="str">
            <v>E1S下盖</v>
          </cell>
          <cell r="D606" t="str">
            <v>泰仕通</v>
          </cell>
          <cell r="E606" t="str">
            <v>成品</v>
          </cell>
          <cell r="F606" t="str">
            <v>PCS</v>
          </cell>
          <cell r="G606">
            <v>1470</v>
          </cell>
          <cell r="H606">
            <v>0</v>
          </cell>
          <cell r="I606">
            <v>0</v>
          </cell>
          <cell r="J606">
            <v>1470</v>
          </cell>
        </row>
        <row r="607">
          <cell r="B607" t="str">
            <v>TST001-1</v>
          </cell>
          <cell r="C607" t="str">
            <v>E1S下盖(镭雕）</v>
          </cell>
          <cell r="D607" t="str">
            <v>泰仕通</v>
          </cell>
          <cell r="E607" t="str">
            <v>成品</v>
          </cell>
          <cell r="F607" t="str">
            <v>PCS</v>
          </cell>
          <cell r="G607">
            <v>150</v>
          </cell>
          <cell r="H607">
            <v>0</v>
          </cell>
          <cell r="I607">
            <v>0</v>
          </cell>
          <cell r="J607">
            <v>150</v>
          </cell>
        </row>
        <row r="608">
          <cell r="B608" t="str">
            <v>TST002</v>
          </cell>
          <cell r="C608" t="str">
            <v>E1S-02-B2</v>
          </cell>
          <cell r="D608" t="str">
            <v>泰仕通</v>
          </cell>
          <cell r="E608" t="str">
            <v>成品</v>
          </cell>
          <cell r="F608" t="str">
            <v>PCS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</row>
        <row r="609">
          <cell r="B609" t="str">
            <v>XZ001</v>
          </cell>
          <cell r="C609" t="str">
            <v>XZ-HS-0195</v>
          </cell>
          <cell r="D609" t="str">
            <v>星赞</v>
          </cell>
          <cell r="E609" t="str">
            <v>成品</v>
          </cell>
          <cell r="F609" t="str">
            <v>PCS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</row>
        <row r="610">
          <cell r="B610" t="str">
            <v>SZTS001</v>
          </cell>
          <cell r="C610" t="str">
            <v>壳体（MS2000)加铣外部34牙</v>
          </cell>
          <cell r="D610" t="str">
            <v>苏州腾圣</v>
          </cell>
          <cell r="E610" t="str">
            <v>成品</v>
          </cell>
          <cell r="F610" t="str">
            <v>PCS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</row>
        <row r="611">
          <cell r="B611" t="str">
            <v>SZTS001-1</v>
          </cell>
          <cell r="C611" t="str">
            <v>壳体（MS2000)加铣BOSS柱30牙</v>
          </cell>
          <cell r="D611" t="str">
            <v>苏州腾圣</v>
          </cell>
          <cell r="E611" t="str">
            <v>成品</v>
          </cell>
          <cell r="F611" t="str">
            <v>PCS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</row>
        <row r="612">
          <cell r="B612" t="str">
            <v>HX001</v>
          </cell>
          <cell r="C612" t="str">
            <v>手持屏T3（硅胶按键）</v>
          </cell>
          <cell r="D612" t="str">
            <v>海鑫</v>
          </cell>
          <cell r="E612" t="str">
            <v>成品</v>
          </cell>
          <cell r="F612" t="str">
            <v>PCS</v>
          </cell>
          <cell r="G612">
            <v>4043</v>
          </cell>
          <cell r="H612">
            <v>0</v>
          </cell>
          <cell r="I612">
            <v>0</v>
          </cell>
          <cell r="J612">
            <v>4043</v>
          </cell>
        </row>
        <row r="613">
          <cell r="B613" t="str">
            <v>FS001</v>
          </cell>
          <cell r="C613" t="str">
            <v>2111.12-01-01（油盘）HX6914T-03</v>
          </cell>
          <cell r="D613" t="str">
            <v>富山</v>
          </cell>
          <cell r="E613" t="str">
            <v>成品</v>
          </cell>
          <cell r="F613" t="str">
            <v>PCS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</row>
        <row r="614">
          <cell r="B614" t="str">
            <v>WN001</v>
          </cell>
          <cell r="C614" t="str">
            <v>锁-1</v>
          </cell>
          <cell r="D614" t="str">
            <v>维诺</v>
          </cell>
          <cell r="E614" t="str">
            <v>成品</v>
          </cell>
          <cell r="F614" t="str">
            <v>PCS</v>
          </cell>
          <cell r="G614">
            <v>2323</v>
          </cell>
          <cell r="H614">
            <v>0</v>
          </cell>
          <cell r="I614">
            <v>0</v>
          </cell>
          <cell r="J614">
            <v>2323</v>
          </cell>
        </row>
        <row r="615">
          <cell r="B615" t="str">
            <v>WN002</v>
          </cell>
          <cell r="C615" t="str">
            <v>锁-3</v>
          </cell>
          <cell r="D615" t="str">
            <v>维诺</v>
          </cell>
          <cell r="E615" t="str">
            <v>成品</v>
          </cell>
          <cell r="F615" t="str">
            <v>PCS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</row>
        <row r="616">
          <cell r="B616" t="str">
            <v>WN003</v>
          </cell>
          <cell r="C616" t="str">
            <v>锁-5</v>
          </cell>
          <cell r="D616" t="str">
            <v>维诺</v>
          </cell>
          <cell r="E616" t="str">
            <v>成品</v>
          </cell>
          <cell r="F616" t="str">
            <v>PCS</v>
          </cell>
          <cell r="G616">
            <v>2302</v>
          </cell>
          <cell r="H616">
            <v>0</v>
          </cell>
          <cell r="I616">
            <v>0</v>
          </cell>
          <cell r="J616">
            <v>2302</v>
          </cell>
        </row>
        <row r="617">
          <cell r="B617" t="str">
            <v>WN004</v>
          </cell>
          <cell r="C617" t="str">
            <v>钥匙</v>
          </cell>
          <cell r="D617" t="str">
            <v>维诺</v>
          </cell>
          <cell r="E617" t="str">
            <v>成品</v>
          </cell>
          <cell r="F617" t="str">
            <v>PCS</v>
          </cell>
          <cell r="G617">
            <v>2218</v>
          </cell>
          <cell r="H617">
            <v>0</v>
          </cell>
          <cell r="I617">
            <v>0</v>
          </cell>
          <cell r="J617">
            <v>2218</v>
          </cell>
        </row>
        <row r="618">
          <cell r="B618" t="str">
            <v>WN005</v>
          </cell>
          <cell r="C618" t="str">
            <v>压条</v>
          </cell>
          <cell r="D618" t="str">
            <v>维诺</v>
          </cell>
          <cell r="E618" t="str">
            <v>成品</v>
          </cell>
          <cell r="F618" t="str">
            <v>PCS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</row>
        <row r="619">
          <cell r="B619" t="str">
            <v>WN006</v>
          </cell>
          <cell r="C619" t="str">
            <v>锁-2</v>
          </cell>
          <cell r="D619" t="str">
            <v>维诺</v>
          </cell>
          <cell r="E619" t="str">
            <v>成品</v>
          </cell>
          <cell r="F619" t="str">
            <v>PCS</v>
          </cell>
          <cell r="G619">
            <v>428</v>
          </cell>
          <cell r="H619">
            <v>0</v>
          </cell>
          <cell r="I619">
            <v>0</v>
          </cell>
          <cell r="J619">
            <v>428</v>
          </cell>
        </row>
        <row r="620">
          <cell r="B620" t="str">
            <v>RS001</v>
          </cell>
          <cell r="C620" t="str">
            <v>小米功放散热器</v>
          </cell>
          <cell r="D620" t="str">
            <v>瑞声（先锋）</v>
          </cell>
          <cell r="E620" t="str">
            <v>成品</v>
          </cell>
          <cell r="F620" t="str">
            <v>PCS</v>
          </cell>
          <cell r="G620">
            <v>8817</v>
          </cell>
          <cell r="H620">
            <v>0</v>
          </cell>
          <cell r="I620">
            <v>0</v>
          </cell>
          <cell r="J620">
            <v>8817</v>
          </cell>
        </row>
        <row r="621">
          <cell r="B621" t="str">
            <v>RS002</v>
          </cell>
          <cell r="C621" t="str">
            <v>CS11-A5功放散热器上盖</v>
          </cell>
          <cell r="D621" t="str">
            <v>瑞声（先锋）</v>
          </cell>
          <cell r="E621" t="str">
            <v>成品</v>
          </cell>
          <cell r="F621" t="str">
            <v>PCS</v>
          </cell>
          <cell r="G621">
            <v>2571</v>
          </cell>
          <cell r="H621">
            <v>0</v>
          </cell>
          <cell r="I621">
            <v>0</v>
          </cell>
          <cell r="J621">
            <v>2571</v>
          </cell>
        </row>
        <row r="622">
          <cell r="B622" t="str">
            <v>RS003</v>
          </cell>
          <cell r="C622" t="str">
            <v>VF9功放散热器(VF8)</v>
          </cell>
          <cell r="D622" t="str">
            <v>瑞声（先锋）</v>
          </cell>
          <cell r="E622" t="str">
            <v>成品</v>
          </cell>
          <cell r="F622" t="str">
            <v>PCS</v>
          </cell>
          <cell r="G622">
            <v>69</v>
          </cell>
          <cell r="H622">
            <v>0</v>
          </cell>
          <cell r="I622">
            <v>0</v>
          </cell>
          <cell r="J622">
            <v>69</v>
          </cell>
        </row>
        <row r="623">
          <cell r="B623" t="str">
            <v>HX002</v>
          </cell>
          <cell r="C623" t="str">
            <v>子燕电池支撑加固件</v>
          </cell>
          <cell r="D623" t="str">
            <v>互协</v>
          </cell>
          <cell r="E623" t="str">
            <v>成品</v>
          </cell>
          <cell r="F623" t="str">
            <v>PCS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B624" t="str">
            <v>SM001</v>
          </cell>
          <cell r="C624" t="str">
            <v>SD04指示灯铝合金支架（LED）</v>
          </cell>
          <cell r="D624" t="str">
            <v>商米</v>
          </cell>
          <cell r="E624" t="str">
            <v>成品</v>
          </cell>
          <cell r="F624" t="str">
            <v>PCS</v>
          </cell>
          <cell r="G624">
            <v>90</v>
          </cell>
          <cell r="H624">
            <v>0</v>
          </cell>
          <cell r="I624">
            <v>0</v>
          </cell>
          <cell r="J624">
            <v>90</v>
          </cell>
        </row>
        <row r="625">
          <cell r="B625" t="str">
            <v>SM002</v>
          </cell>
          <cell r="C625" t="str">
            <v>F3_60W_POE模组中框支架_压铸(POE)</v>
          </cell>
          <cell r="D625" t="str">
            <v>商米</v>
          </cell>
          <cell r="E625" t="str">
            <v>成品</v>
          </cell>
          <cell r="F625" t="str">
            <v>PCS</v>
          </cell>
          <cell r="G625">
            <v>146</v>
          </cell>
          <cell r="H625">
            <v>0</v>
          </cell>
          <cell r="I625">
            <v>0</v>
          </cell>
          <cell r="J625">
            <v>146</v>
          </cell>
        </row>
        <row r="626">
          <cell r="B626" t="str">
            <v>SM003</v>
          </cell>
          <cell r="C626" t="str">
            <v>SD04摄像头模组金属支架(CAMERA)</v>
          </cell>
          <cell r="D626" t="str">
            <v>商米</v>
          </cell>
          <cell r="E626" t="str">
            <v>成品</v>
          </cell>
          <cell r="F626" t="str">
            <v>PCS</v>
          </cell>
          <cell r="G626">
            <v>31</v>
          </cell>
          <cell r="H626">
            <v>0</v>
          </cell>
          <cell r="I626">
            <v>0</v>
          </cell>
          <cell r="J626">
            <v>31</v>
          </cell>
        </row>
        <row r="627">
          <cell r="B627" t="str">
            <v>SM004</v>
          </cell>
          <cell r="C627" t="str">
            <v>SD04三合一铝合金支架(3T1)</v>
          </cell>
          <cell r="D627" t="str">
            <v>商米</v>
          </cell>
          <cell r="E627" t="str">
            <v>成品</v>
          </cell>
          <cell r="F627" t="str">
            <v>PCS</v>
          </cell>
          <cell r="G627">
            <v>49</v>
          </cell>
          <cell r="H627">
            <v>0</v>
          </cell>
          <cell r="I627">
            <v>0</v>
          </cell>
          <cell r="J627">
            <v>49</v>
          </cell>
        </row>
        <row r="628">
          <cell r="B628" t="str">
            <v>SM005</v>
          </cell>
          <cell r="C628" t="str">
            <v>D3mini80旋转摄像头</v>
          </cell>
          <cell r="D628" t="str">
            <v>商米</v>
          </cell>
          <cell r="E628" t="str">
            <v>成品</v>
          </cell>
          <cell r="F628" t="str">
            <v>PCS</v>
          </cell>
          <cell r="G628">
            <v>769</v>
          </cell>
          <cell r="H628">
            <v>0</v>
          </cell>
          <cell r="I628">
            <v>0</v>
          </cell>
          <cell r="J628">
            <v>769</v>
          </cell>
        </row>
        <row r="629">
          <cell r="B629" t="str">
            <v>LX001</v>
          </cell>
          <cell r="C629" t="str">
            <v>SP03_台式转接背夹组件</v>
          </cell>
          <cell r="D629" t="str">
            <v>立讯</v>
          </cell>
          <cell r="E629" t="str">
            <v>成品</v>
          </cell>
          <cell r="F629" t="str">
            <v>PCS</v>
          </cell>
          <cell r="G629">
            <v>4604</v>
          </cell>
          <cell r="H629">
            <v>0</v>
          </cell>
          <cell r="I629">
            <v>0</v>
          </cell>
          <cell r="J629">
            <v>4604</v>
          </cell>
        </row>
        <row r="630">
          <cell r="B630" t="str">
            <v>JD0001</v>
          </cell>
          <cell r="C630" t="str">
            <v>电机外壳</v>
          </cell>
          <cell r="D630" t="str">
            <v>精达</v>
          </cell>
          <cell r="E630" t="str">
            <v>成品</v>
          </cell>
          <cell r="F630" t="str">
            <v>PCS</v>
          </cell>
          <cell r="G630">
            <v>1619</v>
          </cell>
          <cell r="H630">
            <v>0</v>
          </cell>
          <cell r="I630">
            <v>0</v>
          </cell>
          <cell r="J630">
            <v>1619</v>
          </cell>
        </row>
        <row r="631">
          <cell r="B631" t="str">
            <v>JD0002</v>
          </cell>
          <cell r="C631" t="str">
            <v>安全阀盖板</v>
          </cell>
          <cell r="D631" t="str">
            <v>精达</v>
          </cell>
          <cell r="E631" t="str">
            <v>成品</v>
          </cell>
          <cell r="F631" t="str">
            <v>PCS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B632" t="str">
            <v>JD0003</v>
          </cell>
          <cell r="C632" t="str">
            <v>固定架</v>
          </cell>
          <cell r="D632" t="str">
            <v>精达</v>
          </cell>
          <cell r="E632" t="str">
            <v>成品</v>
          </cell>
          <cell r="F632" t="str">
            <v>PCS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</row>
        <row r="633">
          <cell r="B633" t="str">
            <v>JD004</v>
          </cell>
          <cell r="C633" t="str">
            <v>安全阀盖</v>
          </cell>
          <cell r="D633" t="str">
            <v>精达</v>
          </cell>
          <cell r="E633" t="str">
            <v>成品</v>
          </cell>
          <cell r="F633" t="str">
            <v>PCS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</row>
        <row r="634">
          <cell r="B634" t="str">
            <v>JD005</v>
          </cell>
          <cell r="C634" t="str">
            <v>连杆</v>
          </cell>
          <cell r="D634" t="str">
            <v>精达</v>
          </cell>
          <cell r="E634" t="str">
            <v>成品</v>
          </cell>
          <cell r="F634" t="str">
            <v>PCS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</row>
        <row r="635">
          <cell r="B635" t="str">
            <v>JD006</v>
          </cell>
          <cell r="C635" t="str">
            <v>压盖</v>
          </cell>
          <cell r="D635" t="str">
            <v>精达</v>
          </cell>
          <cell r="E635" t="str">
            <v>成品</v>
          </cell>
          <cell r="F635" t="str">
            <v>PCS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</row>
        <row r="636">
          <cell r="B636" t="str">
            <v>JD007</v>
          </cell>
          <cell r="C636" t="str">
            <v>罩壳</v>
          </cell>
          <cell r="D636" t="str">
            <v>精达</v>
          </cell>
          <cell r="E636" t="str">
            <v>成品</v>
          </cell>
          <cell r="F636" t="str">
            <v>PCS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</row>
        <row r="637">
          <cell r="B637" t="str">
            <v>JD008</v>
          </cell>
          <cell r="C637" t="str">
            <v>电磁阀压盖</v>
          </cell>
          <cell r="D637" t="str">
            <v>精达</v>
          </cell>
          <cell r="E637" t="str">
            <v>成品</v>
          </cell>
          <cell r="F637" t="str">
            <v>PCS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</row>
        <row r="638">
          <cell r="B638" t="str">
            <v>JD009</v>
          </cell>
          <cell r="C638" t="str">
            <v>三孔连杆</v>
          </cell>
          <cell r="D638" t="str">
            <v>精达</v>
          </cell>
          <cell r="E638" t="str">
            <v>成品</v>
          </cell>
          <cell r="F638" t="str">
            <v>PCS</v>
          </cell>
          <cell r="G638">
            <v>23</v>
          </cell>
          <cell r="H638">
            <v>0</v>
          </cell>
          <cell r="I638">
            <v>0</v>
          </cell>
          <cell r="J638">
            <v>23</v>
          </cell>
        </row>
        <row r="639">
          <cell r="B639" t="str">
            <v>JD010</v>
          </cell>
          <cell r="C639" t="str">
            <v>气缸端盖</v>
          </cell>
          <cell r="D639" t="str">
            <v>精达</v>
          </cell>
          <cell r="E639" t="str">
            <v>成品</v>
          </cell>
          <cell r="F639" t="str">
            <v>PCS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</row>
        <row r="640">
          <cell r="B640" t="str">
            <v>JD011</v>
          </cell>
          <cell r="C640" t="str">
            <v>三孔压盖</v>
          </cell>
          <cell r="D640" t="str">
            <v>精达</v>
          </cell>
          <cell r="E640" t="str">
            <v>成品</v>
          </cell>
          <cell r="F640" t="str">
            <v>PCS</v>
          </cell>
          <cell r="G640">
            <v>2780</v>
          </cell>
          <cell r="H640">
            <v>0</v>
          </cell>
          <cell r="I640">
            <v>0</v>
          </cell>
          <cell r="J640">
            <v>2780</v>
          </cell>
        </row>
        <row r="641">
          <cell r="B641" t="str">
            <v>JD012</v>
          </cell>
          <cell r="C641" t="str">
            <v>缓起控制板外壳</v>
          </cell>
          <cell r="D641" t="str">
            <v>精达</v>
          </cell>
          <cell r="E641" t="str">
            <v>成品</v>
          </cell>
          <cell r="F641" t="str">
            <v>PCS</v>
          </cell>
          <cell r="G641">
            <v>1727</v>
          </cell>
          <cell r="H641">
            <v>0</v>
          </cell>
          <cell r="I641">
            <v>0</v>
          </cell>
          <cell r="J641">
            <v>1727</v>
          </cell>
        </row>
        <row r="642">
          <cell r="B642" t="str">
            <v>YR001</v>
          </cell>
          <cell r="C642" t="str">
            <v>PV4-K-016(新把手座)</v>
          </cell>
          <cell r="D642" t="str">
            <v>允锐（油力）</v>
          </cell>
          <cell r="E642" t="str">
            <v>成品</v>
          </cell>
          <cell r="F642" t="str">
            <v>PCS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</row>
        <row r="643">
          <cell r="B643" t="str">
            <v>YR002</v>
          </cell>
          <cell r="C643" t="str">
            <v>PV4-K-017(暂时无名称)</v>
          </cell>
          <cell r="D643" t="str">
            <v>允锐（油力）</v>
          </cell>
          <cell r="E643" t="str">
            <v>成品</v>
          </cell>
          <cell r="F643" t="str">
            <v>PCS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</row>
        <row r="644">
          <cell r="B644" t="str">
            <v>RYZM001</v>
          </cell>
          <cell r="C644" t="str">
            <v>轴承主体支架</v>
          </cell>
          <cell r="D644" t="str">
            <v>日月照明</v>
          </cell>
          <cell r="E644" t="str">
            <v>成品</v>
          </cell>
          <cell r="F644" t="str">
            <v>PCS</v>
          </cell>
          <cell r="G644">
            <v>181</v>
          </cell>
          <cell r="H644">
            <v>0</v>
          </cell>
          <cell r="I644">
            <v>0</v>
          </cell>
          <cell r="J644">
            <v>181</v>
          </cell>
        </row>
        <row r="645">
          <cell r="B645" t="str">
            <v>RYZM002</v>
          </cell>
          <cell r="C645" t="str">
            <v>相机卡扣</v>
          </cell>
          <cell r="D645" t="str">
            <v>日月照明</v>
          </cell>
          <cell r="E645" t="str">
            <v>成品</v>
          </cell>
          <cell r="F645" t="str">
            <v>PCS</v>
          </cell>
          <cell r="G645">
            <v>619</v>
          </cell>
          <cell r="H645">
            <v>0</v>
          </cell>
          <cell r="I645">
            <v>0</v>
          </cell>
          <cell r="J645">
            <v>619</v>
          </cell>
        </row>
        <row r="646">
          <cell r="B646" t="str">
            <v>DW001</v>
          </cell>
          <cell r="C646" t="str">
            <v>W2805-850N端盖</v>
          </cell>
          <cell r="D646" t="str">
            <v>大沃</v>
          </cell>
          <cell r="E646" t="str">
            <v>成品</v>
          </cell>
          <cell r="F646" t="str">
            <v>PCS</v>
          </cell>
          <cell r="G646">
            <v>551</v>
          </cell>
          <cell r="H646">
            <v>0</v>
          </cell>
          <cell r="I646">
            <v>0</v>
          </cell>
          <cell r="J646">
            <v>551</v>
          </cell>
        </row>
        <row r="647">
          <cell r="B647" t="str">
            <v>DW002</v>
          </cell>
          <cell r="C647" t="str">
            <v>W2803-650N端盖</v>
          </cell>
          <cell r="D647" t="str">
            <v>大沃</v>
          </cell>
          <cell r="E647" t="str">
            <v>成品</v>
          </cell>
          <cell r="F647" t="str">
            <v>PCS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B648" t="str">
            <v>DW003</v>
          </cell>
          <cell r="C648" t="str">
            <v>W2808-1850N端盖</v>
          </cell>
          <cell r="D648" t="str">
            <v>大沃</v>
          </cell>
          <cell r="E648" t="str">
            <v>成品</v>
          </cell>
          <cell r="F648" t="str">
            <v>PCS</v>
          </cell>
          <cell r="G648">
            <v>1234</v>
          </cell>
          <cell r="H648">
            <v>0</v>
          </cell>
          <cell r="I648">
            <v>0</v>
          </cell>
          <cell r="J648">
            <v>1234</v>
          </cell>
        </row>
        <row r="649">
          <cell r="B649" t="str">
            <v>DW004</v>
          </cell>
          <cell r="C649" t="str">
            <v>W2808-1850N挂钩</v>
          </cell>
          <cell r="D649" t="str">
            <v>大沃</v>
          </cell>
          <cell r="E649" t="str">
            <v>成品</v>
          </cell>
          <cell r="F649" t="str">
            <v>PCS</v>
          </cell>
          <cell r="G649">
            <v>1148</v>
          </cell>
          <cell r="H649">
            <v>0</v>
          </cell>
          <cell r="I649">
            <v>0</v>
          </cell>
          <cell r="J649">
            <v>1148</v>
          </cell>
        </row>
        <row r="650">
          <cell r="B650" t="str">
            <v>DW005</v>
          </cell>
          <cell r="C650" t="str">
            <v>W2803-650N头壳</v>
          </cell>
          <cell r="D650" t="str">
            <v>大沃</v>
          </cell>
          <cell r="E650" t="str">
            <v>成品</v>
          </cell>
          <cell r="F650" t="str">
            <v>PCS</v>
          </cell>
          <cell r="G650">
            <v>15</v>
          </cell>
          <cell r="H650">
            <v>0</v>
          </cell>
          <cell r="I650">
            <v>0</v>
          </cell>
          <cell r="J650">
            <v>15</v>
          </cell>
        </row>
        <row r="651">
          <cell r="B651" t="str">
            <v>DW006</v>
          </cell>
          <cell r="C651" t="str">
            <v>W2808-1850N头壳</v>
          </cell>
          <cell r="D651" t="str">
            <v>大沃</v>
          </cell>
          <cell r="E651" t="str">
            <v>成品</v>
          </cell>
          <cell r="F651" t="str">
            <v>PCS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</row>
        <row r="652">
          <cell r="B652" t="str">
            <v>DW007</v>
          </cell>
          <cell r="C652" t="str">
            <v>W2806-1350N头壳</v>
          </cell>
          <cell r="D652" t="str">
            <v>大沃</v>
          </cell>
          <cell r="E652" t="str">
            <v>成品</v>
          </cell>
          <cell r="F652" t="str">
            <v>PCS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</row>
        <row r="653">
          <cell r="B653" t="str">
            <v>DW008</v>
          </cell>
          <cell r="C653" t="str">
            <v>W2802-450N头壳</v>
          </cell>
          <cell r="D653" t="str">
            <v>大沃</v>
          </cell>
          <cell r="E653" t="str">
            <v>成品</v>
          </cell>
          <cell r="F653" t="str">
            <v>PCS</v>
          </cell>
          <cell r="G653">
            <v>226</v>
          </cell>
          <cell r="H653">
            <v>0</v>
          </cell>
          <cell r="I653">
            <v>0</v>
          </cell>
          <cell r="J653">
            <v>226</v>
          </cell>
        </row>
        <row r="654">
          <cell r="B654" t="str">
            <v>DW009</v>
          </cell>
          <cell r="C654" t="str">
            <v>W2801-300N起子机SD头壳</v>
          </cell>
          <cell r="D654" t="str">
            <v>大沃</v>
          </cell>
          <cell r="E654" t="str">
            <v>成品</v>
          </cell>
          <cell r="F654" t="str">
            <v>PCS</v>
          </cell>
          <cell r="G654">
            <v>43</v>
          </cell>
          <cell r="H654">
            <v>0</v>
          </cell>
          <cell r="I654">
            <v>0</v>
          </cell>
          <cell r="J654">
            <v>43</v>
          </cell>
        </row>
        <row r="655">
          <cell r="B655" t="str">
            <v>DW010</v>
          </cell>
          <cell r="C655" t="str">
            <v>W2805-850N头壳</v>
          </cell>
          <cell r="D655" t="str">
            <v>大沃</v>
          </cell>
          <cell r="E655" t="str">
            <v>成品</v>
          </cell>
          <cell r="F655" t="str">
            <v>PCS</v>
          </cell>
          <cell r="G655">
            <v>618</v>
          </cell>
          <cell r="H655">
            <v>0</v>
          </cell>
          <cell r="I655">
            <v>0</v>
          </cell>
          <cell r="J655">
            <v>618</v>
          </cell>
        </row>
        <row r="656">
          <cell r="B656" t="str">
            <v>HPD001</v>
          </cell>
          <cell r="C656" t="str">
            <v>KP31金属壳体</v>
          </cell>
          <cell r="D656" t="str">
            <v>鸿鹏达</v>
          </cell>
          <cell r="E656" t="str">
            <v>成品</v>
          </cell>
          <cell r="F656" t="str">
            <v>PCS</v>
          </cell>
          <cell r="G656">
            <v>68</v>
          </cell>
          <cell r="H656">
            <v>0</v>
          </cell>
          <cell r="I656">
            <v>0</v>
          </cell>
          <cell r="J656">
            <v>68</v>
          </cell>
        </row>
        <row r="657">
          <cell r="E657" t="str">
            <v>成品</v>
          </cell>
          <cell r="F657" t="str">
            <v>PCS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showZeros="0" showOutlineSymbols="0" topLeftCell="B13874" workbookViewId="0">
      <selection activeCell="B1579" sqref="B1579"/>
    </sheetView>
  </sheetViews>
  <sheetFormatPr defaultColWidth="9" defaultRowHeight="16.5"/>
  <sheetData/>
  <pageMargins left="0.75" right="0.75" top="1" bottom="1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"/>
  <sheetViews>
    <sheetView workbookViewId="0">
      <pane ySplit="2" topLeftCell="A3" activePane="bottomLeft" state="frozen"/>
      <selection/>
      <selection pane="bottomLeft" activeCell="M5" sqref="M5"/>
    </sheetView>
  </sheetViews>
  <sheetFormatPr defaultColWidth="9" defaultRowHeight="16.5"/>
  <cols>
    <col min="1" max="1" width="7.125" style="230" customWidth="1"/>
    <col min="2" max="2" width="14.875" style="231" customWidth="1"/>
    <col min="3" max="3" width="13.75" style="22" customWidth="1"/>
    <col min="4" max="4" width="40.875" style="230" customWidth="1"/>
    <col min="5" max="5" width="5.625" style="230" customWidth="1"/>
    <col min="6" max="6" width="11.25" style="232" customWidth="1"/>
    <col min="7" max="7" width="20.75" style="233" customWidth="1"/>
    <col min="8" max="8" width="7.375" style="234" hidden="1" customWidth="1"/>
    <col min="9" max="9" width="9.125" style="230" customWidth="1"/>
    <col min="10" max="10" width="7.375" style="234" customWidth="1"/>
    <col min="11" max="11" width="13.125" style="230" customWidth="1"/>
    <col min="12" max="16384" width="9" style="230"/>
  </cols>
  <sheetData>
    <row r="1" ht="36" customHeight="1" spans="1:10">
      <c r="A1" s="235"/>
      <c r="B1" s="236"/>
      <c r="D1" s="237" t="s">
        <v>0</v>
      </c>
      <c r="E1" s="235"/>
      <c r="H1" s="235"/>
    </row>
    <row r="2" s="208" customFormat="1" ht="36" customHeight="1" spans="1:10">
      <c r="A2" s="216" t="s">
        <v>1</v>
      </c>
      <c r="B2" s="238" t="s">
        <v>2</v>
      </c>
      <c r="C2" s="239" t="s">
        <v>3</v>
      </c>
      <c r="D2" s="240" t="s">
        <v>4</v>
      </c>
      <c r="E2" s="241" t="s">
        <v>5</v>
      </c>
      <c r="F2" s="242" t="s">
        <v>6</v>
      </c>
      <c r="G2" s="243" t="s">
        <v>7</v>
      </c>
      <c r="H2" s="216"/>
      <c r="I2" s="213" t="s">
        <v>8</v>
      </c>
      <c r="J2" s="216" t="s">
        <v>9</v>
      </c>
    </row>
    <row r="3" s="228" customFormat="1" spans="1:10">
      <c r="A3" s="244"/>
      <c r="B3" s="245" t="s">
        <v>10</v>
      </c>
      <c r="C3" s="196"/>
      <c r="D3" s="246" t="e">
        <f ca="1">VLOOKUP($C3,物料本月库存明細!$B:$J,2,0)</f>
        <v>#N/A</v>
      </c>
      <c r="E3" s="246" t="e">
        <f ca="1">VLOOKUP($C3,物料本月库存明細!$B:$J,5,0)</f>
        <v>#N/A</v>
      </c>
      <c r="F3" s="200"/>
      <c r="G3" s="247"/>
      <c r="H3" s="248"/>
      <c r="I3" s="248" t="e">
        <f ca="1">VLOOKUP($C3,物料本月库存明細!$B:$J,9,0)</f>
        <v>#N/A</v>
      </c>
      <c r="J3" s="249"/>
    </row>
    <row r="4" s="228" customFormat="1" spans="1:10">
      <c r="A4" s="244"/>
      <c r="B4" s="250"/>
      <c r="C4" s="196"/>
      <c r="D4" s="246" t="e">
        <f ca="1">VLOOKUP($C4,物料本月库存明細!$B:$J,2,0)</f>
        <v>#N/A</v>
      </c>
      <c r="E4" s="246" t="e">
        <f ca="1">VLOOKUP($C4,物料本月库存明細!$B:$J,5,0)</f>
        <v>#N/A</v>
      </c>
      <c r="F4" s="188"/>
      <c r="G4" s="251"/>
      <c r="H4" s="248"/>
      <c r="I4" s="248" t="e">
        <f ca="1">VLOOKUP($C4,物料本月库存明細!$B:$J,9,0)</f>
        <v>#N/A</v>
      </c>
      <c r="J4" s="249"/>
    </row>
    <row r="5" s="228" customFormat="1" spans="1:10">
      <c r="A5" s="244"/>
      <c r="B5" s="250"/>
      <c r="C5" s="196" t="s">
        <v>11</v>
      </c>
      <c r="D5" s="246" t="str">
        <f ca="1">VLOOKUP($C5,物料本月库存明細!$B:$J,2,0)</f>
        <v>（001）Kreka Harrier Heatsink Tool/PHSP</v>
      </c>
      <c r="E5" s="246" t="str">
        <f ca="1">VLOOKUP($C5,物料本月库存明細!$B:$J,5,0)</f>
        <v>PCS</v>
      </c>
      <c r="F5" s="249">
        <v>1380</v>
      </c>
      <c r="G5" s="251"/>
      <c r="H5" s="248"/>
      <c r="I5" s="248">
        <f ca="1">VLOOKUP($C5,物料本月库存明細!$B:$J,9,0)</f>
        <v>1380</v>
      </c>
      <c r="J5" s="249"/>
    </row>
    <row r="6" s="228" customFormat="1" spans="1:10">
      <c r="A6" s="244"/>
      <c r="B6" s="250"/>
      <c r="C6" s="196" t="s">
        <v>12</v>
      </c>
      <c r="D6" s="246" t="str">
        <f ca="1">VLOOKUP($C6,物料本月库存明細!$B:$J,2,0)</f>
        <v>（001）Kreka Harrier Heatsink Tool/PHSP</v>
      </c>
      <c r="E6" s="246" t="str">
        <f ca="1">VLOOKUP($C6,物料本月库存明細!$B:$J,5,0)</f>
        <v>PCS</v>
      </c>
      <c r="F6" s="249">
        <v>799</v>
      </c>
      <c r="G6" s="247"/>
      <c r="H6" s="248"/>
      <c r="I6" s="248">
        <f ca="1">VLOOKUP($C6,物料本月库存明細!$B:$J,9,0)</f>
        <v>799</v>
      </c>
      <c r="J6" s="249"/>
    </row>
    <row r="7" s="228" customFormat="1" spans="1:10">
      <c r="A7" s="244"/>
      <c r="B7" s="250"/>
      <c r="C7" s="196" t="s">
        <v>13</v>
      </c>
      <c r="D7" s="246" t="str">
        <f ca="1">VLOOKUP($C7,物料本月库存明細!$B:$J,2,0)</f>
        <v>CG-00077</v>
      </c>
      <c r="E7" s="246" t="str">
        <f ca="1">VLOOKUP($C7,物料本月库存明細!$B:$J,5,0)</f>
        <v>PCS</v>
      </c>
      <c r="F7" s="249">
        <v>200</v>
      </c>
      <c r="G7" s="247"/>
      <c r="H7" s="248"/>
      <c r="I7" s="248">
        <f ca="1">VLOOKUP($C7,物料本月库存明細!$B:$J,9,0)</f>
        <v>200</v>
      </c>
      <c r="J7" s="249"/>
    </row>
    <row r="8" s="228" customFormat="1" spans="1:10">
      <c r="A8" s="244"/>
      <c r="B8" s="250"/>
      <c r="C8" s="196" t="s">
        <v>14</v>
      </c>
      <c r="D8" s="246" t="str">
        <f ca="1">VLOOKUP($C8,物料本月库存明細!$B:$J,2,0)</f>
        <v>T93-13</v>
      </c>
      <c r="E8" s="246" t="str">
        <f ca="1">VLOOKUP($C8,物料本月库存明細!$B:$J,5,0)</f>
        <v>PCS</v>
      </c>
      <c r="F8" s="249">
        <v>2487</v>
      </c>
      <c r="G8" s="247"/>
      <c r="H8" s="248"/>
      <c r="I8" s="248">
        <f ca="1">VLOOKUP($C8,物料本月库存明細!$B:$J,9,0)</f>
        <v>2487</v>
      </c>
      <c r="J8" s="249"/>
    </row>
    <row r="9" s="228" customFormat="1" spans="1:10">
      <c r="A9" s="244"/>
      <c r="B9" s="250"/>
      <c r="C9" s="196" t="s">
        <v>15</v>
      </c>
      <c r="D9" s="246" t="str">
        <f ca="1">VLOOKUP($C9,物料本月库存明細!$B:$J,2,0)</f>
        <v>托架</v>
      </c>
      <c r="E9" s="246" t="str">
        <f ca="1">VLOOKUP($C9,物料本月库存明細!$B:$J,5,0)</f>
        <v>PCS</v>
      </c>
      <c r="F9" s="249">
        <v>278</v>
      </c>
      <c r="G9" s="247"/>
      <c r="H9" s="248"/>
      <c r="I9" s="248">
        <f ca="1">VLOOKUP($C9,物料本月库存明細!$B:$J,9,0)</f>
        <v>278</v>
      </c>
      <c r="J9" s="249"/>
    </row>
    <row r="10" s="228" customFormat="1" spans="1:10">
      <c r="A10" s="244"/>
      <c r="B10" s="250"/>
      <c r="C10" s="196" t="s">
        <v>16</v>
      </c>
      <c r="D10" s="246" t="str">
        <f ca="1">VLOOKUP($C10,物料本月库存明細!$B:$J,2,0)</f>
        <v>小金童铝连杆</v>
      </c>
      <c r="E10" s="246" t="str">
        <f ca="1">VLOOKUP($C10,物料本月库存明細!$B:$J,5,0)</f>
        <v>PCS</v>
      </c>
      <c r="F10" s="249">
        <v>13300</v>
      </c>
      <c r="G10" s="247"/>
      <c r="H10" s="248"/>
      <c r="I10" s="248">
        <f ca="1">VLOOKUP($C10,物料本月库存明細!$B:$J,9,0)</f>
        <v>0</v>
      </c>
      <c r="J10" s="249"/>
    </row>
    <row r="11" s="228" customFormat="1" spans="1:10">
      <c r="A11" s="244"/>
      <c r="B11" s="250"/>
      <c r="C11" s="204" t="s">
        <v>17</v>
      </c>
      <c r="D11" s="246" t="str">
        <f ca="1">VLOOKUP($C11,物料本月库存明細!$B:$J,2,0)</f>
        <v>铝底座/8526</v>
      </c>
      <c r="E11" s="246" t="str">
        <f ca="1">VLOOKUP($C11,物料本月库存明細!$B:$J,5,0)</f>
        <v>PCS</v>
      </c>
      <c r="F11" s="249">
        <v>8110</v>
      </c>
      <c r="G11" s="247"/>
      <c r="H11" s="248"/>
      <c r="I11" s="248">
        <f ca="1">VLOOKUP($C11,物料本月库存明細!$B:$J,9,0)</f>
        <v>0</v>
      </c>
      <c r="J11" s="249"/>
    </row>
    <row r="12" s="228" customFormat="1" spans="1:10">
      <c r="A12" s="244"/>
      <c r="B12" s="250"/>
      <c r="C12" s="204" t="s">
        <v>18</v>
      </c>
      <c r="D12" s="246" t="str">
        <f ca="1">VLOOKUP($C12,物料本月库存明細!$B:$J,2,0)</f>
        <v>HH8525/8513滑杆（同8527滑杆）</v>
      </c>
      <c r="E12" s="246" t="str">
        <f ca="1">VLOOKUP($C12,物料本月库存明細!$B:$J,5,0)</f>
        <v>PCS</v>
      </c>
      <c r="F12" s="249">
        <v>189</v>
      </c>
      <c r="G12" s="247"/>
      <c r="H12" s="248"/>
      <c r="I12" s="248">
        <f ca="1">VLOOKUP($C12,物料本月库存明細!$B:$J,9,0)</f>
        <v>189</v>
      </c>
      <c r="J12" s="249"/>
    </row>
    <row r="13" customFormat="1" spans="1:10">
      <c r="A13" s="244"/>
      <c r="B13" s="250"/>
      <c r="C13" s="204" t="s">
        <v>19</v>
      </c>
      <c r="D13" s="246" t="str">
        <f ca="1">VLOOKUP($C13,物料本月库存明細!$B:$J,2,0)</f>
        <v>8592连杆</v>
      </c>
      <c r="E13" s="246" t="str">
        <f ca="1">VLOOKUP($C13,物料本月库存明細!$B:$J,5,0)</f>
        <v>PCS</v>
      </c>
      <c r="F13" s="249">
        <v>3996</v>
      </c>
      <c r="G13" s="247"/>
      <c r="H13" s="248"/>
      <c r="I13" s="248">
        <f ca="1">VLOOKUP($C13,物料本月库存明細!$B:$J,9,0)</f>
        <v>3996</v>
      </c>
      <c r="J13" s="249"/>
    </row>
    <row r="14" spans="1:10">
      <c r="A14" s="252"/>
      <c r="B14" s="253"/>
      <c r="C14" s="197" t="s">
        <v>20</v>
      </c>
      <c r="D14" s="246" t="str">
        <f ca="1">VLOOKUP($C14,物料本月库存明細!$B:$J,2,0)</f>
        <v>(YC013600237900)设变后(YC013600237901)</v>
      </c>
      <c r="E14" s="246" t="str">
        <f ca="1">VLOOKUP($C14,物料本月库存明細!$B:$J,5,0)</f>
        <v>PCS</v>
      </c>
      <c r="F14" s="254">
        <v>3580</v>
      </c>
      <c r="G14" s="255"/>
      <c r="H14" s="254"/>
      <c r="I14" s="248">
        <f ca="1">VLOOKUP($C14,物料本月库存明細!$B:$J,9,0)</f>
        <v>3580</v>
      </c>
      <c r="J14" s="254"/>
    </row>
    <row r="15" spans="1:10">
      <c r="A15" s="252"/>
      <c r="B15" s="253"/>
      <c r="C15" s="197" t="s">
        <v>21</v>
      </c>
      <c r="D15" s="246" t="str">
        <f ca="1">VLOOKUP($C15,物料本月库存明細!$B:$J,2,0)</f>
        <v>（YC013600304000）MS11后壳</v>
      </c>
      <c r="E15" s="246" t="str">
        <f ca="1">VLOOKUP($C15,物料本月库存明細!$B:$J,5,0)</f>
        <v>PCS</v>
      </c>
      <c r="F15" s="254">
        <v>18195</v>
      </c>
      <c r="G15" s="255"/>
      <c r="H15" s="254"/>
      <c r="I15" s="248">
        <f ca="1">VLOOKUP($C15,物料本月库存明細!$B:$J,9,0)</f>
        <v>18195</v>
      </c>
      <c r="J15" s="254"/>
    </row>
    <row r="16" spans="1:10">
      <c r="A16" s="252"/>
      <c r="B16" s="253"/>
      <c r="C16" s="197" t="s">
        <v>22</v>
      </c>
      <c r="D16" s="246" t="str">
        <f ca="1">VLOOKUP($C16,物料本月库存明細!$B:$J,2,0)</f>
        <v>YC013600155200(CAM后壳）</v>
      </c>
      <c r="E16" s="246" t="str">
        <f ca="1">VLOOKUP($C16,物料本月库存明細!$B:$J,5,0)</f>
        <v>PCS</v>
      </c>
      <c r="F16" s="254">
        <v>469</v>
      </c>
      <c r="G16" s="255"/>
      <c r="H16" s="254"/>
      <c r="I16" s="248">
        <f ca="1">VLOOKUP($C16,物料本月库存明細!$B:$J,9,0)</f>
        <v>469</v>
      </c>
      <c r="J16" s="254"/>
    </row>
    <row r="17" spans="1:10">
      <c r="A17" s="252"/>
      <c r="B17" s="253"/>
      <c r="C17" s="197" t="s">
        <v>23</v>
      </c>
      <c r="D17" s="246" t="str">
        <f ca="1">VLOOKUP($C17,物料本月库存明細!$B:$J,2,0)</f>
        <v>YC013600149200(DMS前壳）</v>
      </c>
      <c r="E17" s="246" t="str">
        <f ca="1">VLOOKUP($C17,物料本月库存明細!$B:$J,5,0)</f>
        <v>PCS</v>
      </c>
      <c r="F17" s="254">
        <v>557</v>
      </c>
      <c r="G17" s="255"/>
      <c r="H17" s="254"/>
      <c r="I17" s="248">
        <f ca="1">VLOOKUP($C17,物料本月库存明細!$B:$J,9,0)</f>
        <v>557</v>
      </c>
      <c r="J17" s="254"/>
    </row>
    <row r="18" spans="1:10">
      <c r="A18" s="252"/>
      <c r="B18" s="253"/>
      <c r="C18" s="197" t="s">
        <v>24</v>
      </c>
      <c r="D18" s="246" t="str">
        <f ca="1">VLOOKUP($C18,物料本月库存明細!$B:$J,2,0)</f>
        <v>YC013600377500</v>
      </c>
      <c r="E18" s="246" t="str">
        <f ca="1">VLOOKUP($C18,物料本月库存明細!$B:$J,5,0)</f>
        <v>PCS</v>
      </c>
      <c r="F18" s="254">
        <v>870</v>
      </c>
      <c r="G18" s="255"/>
      <c r="H18" s="254"/>
      <c r="I18" s="248">
        <f ca="1">VLOOKUP($C18,物料本月库存明細!$B:$J,9,0)</f>
        <v>870</v>
      </c>
      <c r="J18" s="254"/>
    </row>
    <row r="19" spans="1:10">
      <c r="A19" s="252"/>
      <c r="B19" s="253"/>
      <c r="C19" s="197" t="s">
        <v>25</v>
      </c>
      <c r="D19" s="246" t="str">
        <f ca="1">VLOOKUP($C19,物料本月库存明細!$B:$J,2,0)</f>
        <v>806轴套(DTW380输出轴套）</v>
      </c>
      <c r="E19" s="246" t="str">
        <f ca="1">VLOOKUP($C19,物料本月库存明細!$B:$J,5,0)</f>
        <v>PCS</v>
      </c>
      <c r="F19" s="254">
        <v>5000</v>
      </c>
      <c r="G19" s="255"/>
      <c r="H19" s="254"/>
      <c r="I19" s="248">
        <f ca="1">VLOOKUP($C19,物料本月库存明細!$B:$J,9,0)</f>
        <v>5000</v>
      </c>
      <c r="J19" s="254"/>
    </row>
    <row r="20" spans="1:10">
      <c r="A20" s="252"/>
      <c r="B20" s="253"/>
      <c r="C20" s="197" t="s">
        <v>26</v>
      </c>
      <c r="D20" s="246" t="str">
        <f ca="1">VLOOKUP($C20,物料本月库存明細!$B:$J,2,0)</f>
        <v>扳手809轴套（500N轴套）</v>
      </c>
      <c r="E20" s="246" t="str">
        <f ca="1">VLOOKUP($C20,物料本月库存明細!$B:$J,5,0)</f>
        <v>PCS</v>
      </c>
      <c r="F20" s="188">
        <v>5250</v>
      </c>
      <c r="G20" s="255"/>
      <c r="H20" s="254"/>
      <c r="I20" s="248">
        <f ca="1">VLOOKUP($C20,物料本月库存明細!$B:$J,9,0)</f>
        <v>0</v>
      </c>
      <c r="J20" s="254"/>
    </row>
    <row r="21" spans="1:10">
      <c r="A21" s="252"/>
      <c r="B21" s="253"/>
      <c r="C21" s="192" t="s">
        <v>27</v>
      </c>
      <c r="D21" s="246" t="str">
        <f ca="1">VLOOKUP($C21,物料本月库存明細!$B:$J,2,0)</f>
        <v>扳手809端盖</v>
      </c>
      <c r="E21" s="246" t="str">
        <f ca="1">VLOOKUP($C21,物料本月库存明細!$B:$J,5,0)</f>
        <v>PCS</v>
      </c>
      <c r="F21" s="254">
        <v>10350</v>
      </c>
      <c r="G21" s="255"/>
      <c r="H21" s="254"/>
      <c r="I21" s="248">
        <f ca="1">VLOOKUP($C21,物料本月库存明細!$B:$J,9,0)</f>
        <v>0</v>
      </c>
      <c r="J21" s="254"/>
    </row>
    <row r="22" spans="1:10">
      <c r="A22" s="252"/>
      <c r="B22" s="253"/>
      <c r="C22" s="192" t="s">
        <v>28</v>
      </c>
      <c r="D22" s="246" t="str">
        <f ca="1">VLOOKUP($C22,物料本月库存明細!$B:$J,2,0)</f>
        <v>818轴套（1000N3-4)</v>
      </c>
      <c r="E22" s="246" t="str">
        <f ca="1">VLOOKUP($C22,物料本月库存明細!$B:$J,5,0)</f>
        <v>PCS</v>
      </c>
      <c r="F22" s="254">
        <v>4500</v>
      </c>
      <c r="G22" s="255"/>
      <c r="H22" s="254"/>
      <c r="I22" s="248">
        <f ca="1">VLOOKUP($C22,物料本月库存明細!$B:$J,9,0)</f>
        <v>4500</v>
      </c>
      <c r="J22" s="254"/>
    </row>
    <row r="23" spans="1:10">
      <c r="A23" s="252"/>
      <c r="B23" s="253"/>
      <c r="C23" s="192" t="s">
        <v>29</v>
      </c>
      <c r="D23" s="246" t="str">
        <f ca="1">VLOOKUP($C23,物料本月库存明細!$B:$J,2,0)</f>
        <v>扳手810头壳（无轴套）</v>
      </c>
      <c r="E23" s="246" t="str">
        <f ca="1">VLOOKUP($C23,物料本月库存明細!$B:$J,5,0)</f>
        <v>PCS</v>
      </c>
      <c r="F23" s="254">
        <v>4232</v>
      </c>
      <c r="G23" s="255"/>
      <c r="H23" s="254"/>
      <c r="I23" s="248">
        <f ca="1">VLOOKUP($C23,物料本月库存明細!$B:$J,9,0)</f>
        <v>2132</v>
      </c>
      <c r="J23" s="254"/>
    </row>
    <row r="24" spans="1:10">
      <c r="A24" s="252"/>
      <c r="B24" s="253"/>
      <c r="C24" s="192" t="s">
        <v>30</v>
      </c>
      <c r="D24" s="246" t="str">
        <f ca="1">VLOOKUP($C24,物料本月库存明細!$B:$J,2,0)</f>
        <v>扳手810端盖</v>
      </c>
      <c r="E24" s="246" t="str">
        <f ca="1">VLOOKUP($C24,物料本月库存明細!$B:$J,5,0)</f>
        <v>PCS</v>
      </c>
      <c r="F24" s="254">
        <v>3600</v>
      </c>
      <c r="G24" s="255"/>
      <c r="H24" s="254"/>
      <c r="I24" s="248">
        <f ca="1">VLOOKUP($C24,物料本月库存明細!$B:$J,9,0)</f>
        <v>3600</v>
      </c>
      <c r="J24" s="254"/>
    </row>
    <row r="25" spans="1:10">
      <c r="A25" s="252"/>
      <c r="B25" s="253"/>
      <c r="C25" s="192" t="s">
        <v>31</v>
      </c>
      <c r="D25" s="246" t="str">
        <f ca="1">VLOOKUP($C25,物料本月库存明細!$B:$J,2,0)</f>
        <v>819/826/826A(头壳通用端盖）</v>
      </c>
      <c r="E25" s="246" t="str">
        <f ca="1">VLOOKUP($C25,物料本月库存明細!$B:$J,5,0)</f>
        <v>PCS</v>
      </c>
      <c r="F25" s="254">
        <v>8109</v>
      </c>
      <c r="G25" s="255"/>
      <c r="H25" s="254"/>
      <c r="I25" s="248">
        <f ca="1">VLOOKUP($C25,物料本月库存明細!$B:$J,9,0)</f>
        <v>8109</v>
      </c>
      <c r="J25" s="254"/>
    </row>
    <row r="26" spans="1:10">
      <c r="A26" s="252"/>
      <c r="B26" s="253"/>
      <c r="C26" s="192" t="s">
        <v>32</v>
      </c>
      <c r="D26" s="246" t="str">
        <f ca="1">VLOOKUP($C26,物料本月库存明細!$B:$J,2,0)</f>
        <v>819/826轴套</v>
      </c>
      <c r="E26" s="246" t="str">
        <f ca="1">VLOOKUP($C26,物料本月库存明細!$B:$J,5,0)</f>
        <v>PCS</v>
      </c>
      <c r="F26" s="188">
        <v>3780</v>
      </c>
      <c r="G26" s="255"/>
      <c r="H26" s="254"/>
      <c r="I26" s="248">
        <f ca="1">VLOOKUP($C26,物料本月库存明細!$B:$J,9,0)</f>
        <v>0</v>
      </c>
      <c r="J26" s="254"/>
    </row>
    <row r="27" s="229" customFormat="1" spans="1:10">
      <c r="A27" s="252"/>
      <c r="B27" s="253"/>
      <c r="C27" s="192" t="s">
        <v>33</v>
      </c>
      <c r="D27" s="246" t="str">
        <f ca="1">VLOOKUP($C27,物料本月库存明細!$B:$J,2,0)</f>
        <v>819头壳（含轴套）</v>
      </c>
      <c r="E27" s="246" t="str">
        <f ca="1">VLOOKUP($C27,物料本月库存明細!$B:$J,5,0)</f>
        <v>PCS</v>
      </c>
      <c r="F27" s="254">
        <f>2877</f>
        <v>2877</v>
      </c>
      <c r="G27" s="255"/>
      <c r="H27" s="256"/>
      <c r="I27" s="248">
        <f ca="1">VLOOKUP($C27,物料本月库存明細!$B:$J,9,0)</f>
        <v>2877</v>
      </c>
      <c r="J27" s="254"/>
    </row>
    <row r="28" spans="1:10">
      <c r="A28" s="252"/>
      <c r="B28" s="253"/>
      <c r="C28" s="192" t="s">
        <v>34</v>
      </c>
      <c r="D28" s="246" t="str">
        <f ca="1">VLOOKUP($C28,物料本月库存明細!$B:$J,2,0)</f>
        <v>826头壳（含轴套）</v>
      </c>
      <c r="E28" s="246" t="str">
        <f ca="1">VLOOKUP($C28,物料本月库存明細!$B:$J,5,0)</f>
        <v>PCS</v>
      </c>
      <c r="F28" s="254">
        <v>1800</v>
      </c>
      <c r="G28" s="255"/>
      <c r="H28" s="254"/>
      <c r="I28" s="248">
        <f ca="1">VLOOKUP($C28,物料本月库存明細!$B:$J,9,0)</f>
        <v>0</v>
      </c>
      <c r="J28" s="254"/>
    </row>
    <row r="29" spans="1:10">
      <c r="A29" s="252"/>
      <c r="B29" s="253"/>
      <c r="C29" s="192" t="s">
        <v>35</v>
      </c>
      <c r="D29" s="246" t="str">
        <f ca="1">VLOOKUP($C29,物料本月库存明細!$B:$J,2,0)</f>
        <v>扳手828头壳</v>
      </c>
      <c r="E29" s="246" t="str">
        <f ca="1">VLOOKUP($C29,物料本月库存明細!$B:$J,5,0)</f>
        <v>PCS</v>
      </c>
      <c r="F29" s="254">
        <f>210</f>
        <v>210</v>
      </c>
      <c r="G29" s="255"/>
      <c r="H29" s="254"/>
      <c r="I29" s="248">
        <f ca="1">VLOOKUP($C29,物料本月库存明細!$B:$J,9,0)</f>
        <v>0</v>
      </c>
      <c r="J29" s="254"/>
    </row>
    <row r="30" spans="1:10">
      <c r="A30" s="252"/>
      <c r="B30" s="253"/>
      <c r="C30" s="192" t="s">
        <v>36</v>
      </c>
      <c r="D30" s="246" t="str">
        <f ca="1">VLOOKUP($C30,物料本月库存明細!$B:$J,2,0)</f>
        <v>扳手809S SATA头壳（世达）</v>
      </c>
      <c r="E30" s="246" t="str">
        <f ca="1">VLOOKUP($C30,物料本月库存明細!$B:$J,5,0)</f>
        <v>PCS</v>
      </c>
      <c r="F30" s="188">
        <v>2000</v>
      </c>
      <c r="G30" s="255"/>
      <c r="H30" s="254"/>
      <c r="I30" s="248">
        <f ca="1">VLOOKUP($C30,物料本月库存明細!$B:$J,9,0)</f>
        <v>2038</v>
      </c>
      <c r="J30" s="254"/>
    </row>
    <row r="31" spans="1:10">
      <c r="A31" s="252"/>
      <c r="B31" s="253"/>
      <c r="C31" s="192" t="s">
        <v>36</v>
      </c>
      <c r="D31" s="257" t="s">
        <v>37</v>
      </c>
      <c r="E31" s="257" t="e">
        <f>VLOOKUP($C31,[1]成品本月库存!$B:$J,5,0)</f>
        <v>#N/A</v>
      </c>
      <c r="F31" s="132">
        <v>38</v>
      </c>
      <c r="G31" s="204" t="s">
        <v>38</v>
      </c>
      <c r="H31" s="254"/>
      <c r="I31" s="248"/>
      <c r="J31" s="254"/>
    </row>
    <row r="32" spans="1:10">
      <c r="A32" s="252"/>
      <c r="B32" s="253"/>
      <c r="C32" s="192" t="s">
        <v>39</v>
      </c>
      <c r="D32" s="246" t="str">
        <f ca="1">VLOOKUP($C32,物料本月库存明細!$B:$J,2,0)</f>
        <v>扳手818S SATA端盖（世达）</v>
      </c>
      <c r="E32" s="246" t="str">
        <f ca="1">VLOOKUP($C32,物料本月库存明細!$B:$J,5,0)</f>
        <v>PCS</v>
      </c>
      <c r="F32" s="254">
        <v>1028</v>
      </c>
      <c r="G32" s="255"/>
      <c r="H32" s="254"/>
      <c r="I32" s="248">
        <f ca="1">VLOOKUP($C32,物料本月库存明細!$B:$J,9,0)</f>
        <v>1028</v>
      </c>
      <c r="J32" s="254"/>
    </row>
    <row r="33" spans="1:10">
      <c r="A33" s="252"/>
      <c r="B33" s="253"/>
      <c r="C33" s="192" t="s">
        <v>40</v>
      </c>
      <c r="D33" s="246" t="str">
        <f ca="1">VLOOKUP($C33,物料本月库存明細!$B:$J,2,0)</f>
        <v>黄油枪HY01A齿轮箱</v>
      </c>
      <c r="E33" s="246" t="str">
        <f ca="1">VLOOKUP($C33,物料本月库存明細!$B:$J,5,0)</f>
        <v>PCS</v>
      </c>
      <c r="F33" s="254">
        <f>5+142+37</f>
        <v>184</v>
      </c>
      <c r="G33" s="255"/>
      <c r="H33" s="254"/>
      <c r="I33" s="248">
        <f ca="1">VLOOKUP($C33,物料本月库存明細!$B:$J,9,0)</f>
        <v>37</v>
      </c>
      <c r="J33" s="254"/>
    </row>
    <row r="34" spans="1:10">
      <c r="A34" s="252"/>
      <c r="B34" s="253"/>
      <c r="C34" s="192" t="s">
        <v>41</v>
      </c>
      <c r="D34" s="246" t="str">
        <f ca="1">VLOOKUP($C34,物料本月库存明細!$B:$J,2,0)</f>
        <v>黄油枪HY01A齿轮箱</v>
      </c>
      <c r="E34" s="246" t="str">
        <f ca="1">VLOOKUP($C34,物料本月库存明細!$B:$J,5,0)</f>
        <v>PCS</v>
      </c>
      <c r="F34" s="254">
        <v>185</v>
      </c>
      <c r="G34" s="255"/>
      <c r="H34" s="254"/>
      <c r="I34" s="248">
        <f ca="1">VLOOKUP($C34,物料本月库存明細!$B:$J,9,0)</f>
        <v>185</v>
      </c>
      <c r="J34" s="254"/>
    </row>
    <row r="35" spans="1:10">
      <c r="A35" s="252"/>
      <c r="B35" s="253"/>
      <c r="C35" s="192" t="s">
        <v>42</v>
      </c>
      <c r="D35" s="246" t="str">
        <f ca="1">VLOOKUP($C35,物料本月库存明細!$B:$J,2,0)</f>
        <v>1A321W1M001-0A(EL-321W-GL04 铝壳）</v>
      </c>
      <c r="E35" s="246" t="str">
        <f ca="1">VLOOKUP($C35,物料本月库存明細!$B:$J,5,0)</f>
        <v>PCS</v>
      </c>
      <c r="F35" s="254">
        <v>2400</v>
      </c>
      <c r="G35" s="255"/>
      <c r="H35" s="254"/>
      <c r="I35" s="248">
        <f ca="1">VLOOKUP($C35,物料本月库存明細!$B:$J,9,0)</f>
        <v>0</v>
      </c>
      <c r="J35" s="254"/>
    </row>
    <row r="36" spans="1:10">
      <c r="A36" s="252"/>
      <c r="B36" s="253"/>
      <c r="C36" s="192" t="s">
        <v>43</v>
      </c>
      <c r="D36" s="246" t="str">
        <f ca="1">VLOOKUP($C36,物料本月库存明細!$B:$J,2,0)</f>
        <v>1A321W1M001-0A(EL-321W-GL04 铝壳）</v>
      </c>
      <c r="E36" s="246" t="str">
        <f ca="1">VLOOKUP($C36,物料本月库存明細!$B:$J,5,0)</f>
        <v>PCS</v>
      </c>
      <c r="F36" s="254">
        <v>800</v>
      </c>
      <c r="G36" s="255"/>
      <c r="H36" s="254"/>
      <c r="I36" s="248">
        <f ca="1">VLOOKUP($C36,物料本月库存明細!$B:$J,9,0)</f>
        <v>2400</v>
      </c>
      <c r="J36" s="254"/>
    </row>
    <row r="37" spans="1:10">
      <c r="A37" s="252"/>
      <c r="B37" s="253"/>
      <c r="C37" s="192" t="s">
        <v>44</v>
      </c>
      <c r="D37" s="246" t="str">
        <f ca="1">VLOOKUP($C37,物料本月库存明細!$B:$J,2,0)</f>
        <v>M82双目支架</v>
      </c>
      <c r="E37" s="246" t="str">
        <f ca="1">VLOOKUP($C37,物料本月库存明細!$B:$J,5,0)</f>
        <v>PCS</v>
      </c>
      <c r="F37" s="254">
        <v>86</v>
      </c>
      <c r="G37" s="255"/>
      <c r="H37" s="254"/>
      <c r="I37" s="248">
        <f ca="1">VLOOKUP($C37,物料本月库存明細!$B:$J,9,0)</f>
        <v>86</v>
      </c>
      <c r="J37" s="254"/>
    </row>
    <row r="38" spans="1:10">
      <c r="A38" s="252"/>
      <c r="B38" s="253"/>
      <c r="C38" s="192" t="s">
        <v>45</v>
      </c>
      <c r="D38" s="246" t="str">
        <f ca="1">VLOOKUP($C38,物料本月库存明細!$B:$J,2,0)</f>
        <v>电子锁铝外壳下壳</v>
      </c>
      <c r="E38" s="246" t="str">
        <f ca="1">VLOOKUP($C38,物料本月库存明細!$B:$J,5,0)</f>
        <v>PCS</v>
      </c>
      <c r="F38" s="254">
        <v>0</v>
      </c>
      <c r="G38" s="255"/>
      <c r="H38" s="254"/>
      <c r="I38" s="248">
        <f ca="1">VLOOKUP($C38,物料本月库存明細!$B:$J,9,0)</f>
        <v>0</v>
      </c>
      <c r="J38" s="254"/>
    </row>
    <row r="39" spans="1:10">
      <c r="A39" s="252"/>
      <c r="B39" s="253"/>
      <c r="C39" s="192" t="s">
        <v>46</v>
      </c>
      <c r="D39" s="246" t="str">
        <f ca="1">VLOOKUP($C39,物料本月库存明細!$B:$J,2,0)</f>
        <v>电子锁铝外壳下壳</v>
      </c>
      <c r="E39" s="246" t="str">
        <f ca="1">VLOOKUP($C39,物料本月库存明細!$B:$J,5,0)</f>
        <v>PCS</v>
      </c>
      <c r="F39" s="254">
        <v>469</v>
      </c>
      <c r="G39" s="255"/>
      <c r="H39" s="254"/>
      <c r="I39" s="248">
        <f ca="1">VLOOKUP($C39,物料本月库存明細!$B:$J,9,0)</f>
        <v>469</v>
      </c>
      <c r="J39" s="254"/>
    </row>
    <row r="40" spans="1:10">
      <c r="A40" s="252"/>
      <c r="B40" s="253"/>
      <c r="C40" s="192" t="s">
        <v>47</v>
      </c>
      <c r="D40" s="246" t="str">
        <f ca="1">VLOOKUP($C40,物料本月库存明細!$B:$J,2,0)</f>
        <v>E1S-02-B2</v>
      </c>
      <c r="E40" s="246" t="str">
        <f ca="1">VLOOKUP($C40,物料本月库存明細!$B:$J,5,0)</f>
        <v>PCS</v>
      </c>
      <c r="F40" s="254">
        <v>0</v>
      </c>
      <c r="G40" s="255"/>
      <c r="H40" s="254"/>
      <c r="I40" s="248">
        <f ca="1">VLOOKUP($C40,物料本月库存明細!$B:$J,9,0)</f>
        <v>0</v>
      </c>
      <c r="J40" s="254"/>
    </row>
    <row r="41" spans="1:10">
      <c r="A41" s="252"/>
      <c r="B41" s="253"/>
      <c r="C41" s="192" t="s">
        <v>48</v>
      </c>
      <c r="D41" s="246" t="str">
        <f ca="1">VLOOKUP($C41,物料本月库存明細!$B:$J,2,0)</f>
        <v>E1S-02-B2</v>
      </c>
      <c r="E41" s="246" t="str">
        <f ca="1">VLOOKUP($C41,物料本月库存明細!$B:$J,5,0)</f>
        <v>PCS</v>
      </c>
      <c r="F41" s="254">
        <v>0</v>
      </c>
      <c r="G41" s="255"/>
      <c r="H41" s="254"/>
      <c r="I41" s="248">
        <f ca="1">VLOOKUP($C41,物料本月库存明細!$B:$J,9,0)</f>
        <v>0</v>
      </c>
      <c r="J41" s="254"/>
    </row>
    <row r="42" spans="1:10">
      <c r="A42" s="252"/>
      <c r="B42" s="253"/>
      <c r="C42" s="192" t="s">
        <v>49</v>
      </c>
      <c r="D42" s="246" t="str">
        <f ca="1">VLOOKUP($C42,物料本月库存明細!$B:$J,2,0)</f>
        <v>E1S-02-B2</v>
      </c>
      <c r="E42" s="246" t="str">
        <f ca="1">VLOOKUP($C42,物料本月库存明細!$B:$J,5,0)</f>
        <v>PCS</v>
      </c>
      <c r="F42" s="254">
        <v>647</v>
      </c>
      <c r="G42" s="255"/>
      <c r="H42" s="254"/>
      <c r="I42" s="248">
        <f ca="1">VLOOKUP($C42,物料本月库存明細!$B:$J,9,0)</f>
        <v>647</v>
      </c>
      <c r="J42" s="254"/>
    </row>
    <row r="43" spans="1:10">
      <c r="A43" s="252"/>
      <c r="B43" s="253"/>
      <c r="C43" s="192" t="s">
        <v>50</v>
      </c>
      <c r="D43" s="246" t="str">
        <f ca="1">VLOOKUP($C43,物料本月库存明細!$B:$J,2,0)</f>
        <v>手持屏T3（硅胶按键）</v>
      </c>
      <c r="E43" s="246" t="str">
        <f ca="1">VLOOKUP($C43,物料本月库存明細!$B:$J,5,0)</f>
        <v>PCS</v>
      </c>
      <c r="F43" s="254">
        <v>0</v>
      </c>
      <c r="G43" s="255"/>
      <c r="H43" s="254"/>
      <c r="I43" s="248">
        <f ca="1">VLOOKUP($C43,物料本月库存明細!$B:$J,9,0)</f>
        <v>0</v>
      </c>
      <c r="J43" s="254"/>
    </row>
    <row r="44" spans="1:10">
      <c r="A44" s="252"/>
      <c r="B44" s="253"/>
      <c r="C44" s="192" t="s">
        <v>51</v>
      </c>
      <c r="D44" s="246" t="str">
        <f ca="1">VLOOKUP($C44,物料本月库存明細!$B:$J,2,0)</f>
        <v>锁-2</v>
      </c>
      <c r="E44" s="246" t="str">
        <f ca="1">VLOOKUP($C44,物料本月库存明細!$B:$J,5,0)</f>
        <v>PCS</v>
      </c>
      <c r="F44" s="254">
        <v>1840</v>
      </c>
      <c r="G44" s="255"/>
      <c r="H44" s="254"/>
      <c r="I44" s="248">
        <f ca="1">VLOOKUP($C44,物料本月库存明細!$B:$J,9,0)</f>
        <v>1840</v>
      </c>
      <c r="J44" s="254"/>
    </row>
    <row r="45" spans="1:10">
      <c r="A45" s="252"/>
      <c r="B45" s="253"/>
      <c r="C45" s="192" t="s">
        <v>52</v>
      </c>
      <c r="D45" s="246" t="str">
        <f ca="1">VLOOKUP($C45,物料本月库存明細!$B:$J,2,0)</f>
        <v>SD04-POE外壳（中框支架）</v>
      </c>
      <c r="E45" s="246" t="str">
        <f ca="1">VLOOKUP($C45,物料本月库存明細!$B:$J,5,0)</f>
        <v>PCS</v>
      </c>
      <c r="F45" s="254">
        <v>140</v>
      </c>
      <c r="G45" s="255"/>
      <c r="H45" s="254"/>
      <c r="I45" s="248">
        <f ca="1">VLOOKUP($C45,物料本月库存明細!$B:$J,9,0)</f>
        <v>140</v>
      </c>
      <c r="J45" s="254"/>
    </row>
    <row r="46" spans="1:10">
      <c r="A46" s="252"/>
      <c r="B46" s="253"/>
      <c r="C46" s="192" t="s">
        <v>53</v>
      </c>
      <c r="D46" s="246" t="str">
        <f ca="1">VLOOKUP($C46,物料本月库存明細!$B:$J,2,0)</f>
        <v>电机外壳</v>
      </c>
      <c r="E46" s="246" t="str">
        <f ca="1">VLOOKUP($C46,物料本月库存明細!$B:$J,5,0)</f>
        <v>PCS</v>
      </c>
      <c r="F46" s="254">
        <v>65</v>
      </c>
      <c r="G46" s="255"/>
      <c r="H46" s="254"/>
      <c r="I46" s="248">
        <f ca="1">VLOOKUP($C46,物料本月库存明細!$B:$J,9,0)</f>
        <v>65</v>
      </c>
      <c r="J46" s="254"/>
    </row>
    <row r="47" spans="1:10">
      <c r="A47" s="252"/>
      <c r="B47" s="253"/>
      <c r="C47" s="194" t="s">
        <v>54</v>
      </c>
      <c r="D47" s="246" t="str">
        <f ca="1">VLOOKUP($C47,物料本月库存明細!$B:$J,2,0)</f>
        <v>ADC12铝料</v>
      </c>
      <c r="E47" s="246" t="str">
        <f ca="1">VLOOKUP($C47,物料本月库存明細!$B:$J,5,0)</f>
        <v>KG</v>
      </c>
      <c r="F47" s="254">
        <v>13306</v>
      </c>
      <c r="G47" s="255"/>
      <c r="H47" s="254"/>
      <c r="I47" s="248">
        <f ca="1">VLOOKUP($C47,物料本月库存明細!$B:$J,9,0)</f>
        <v>5820.5</v>
      </c>
      <c r="J47" s="254"/>
    </row>
    <row r="48" spans="1:10">
      <c r="A48" s="252"/>
      <c r="B48" s="253"/>
      <c r="C48" s="194" t="s">
        <v>55</v>
      </c>
      <c r="D48" s="246" t="str">
        <f ca="1">VLOOKUP($C48,物料本月库存明細!$B:$J,2,0)</f>
        <v>ZN5锌料</v>
      </c>
      <c r="E48" s="246" t="str">
        <f ca="1">VLOOKUP($C48,物料本月库存明細!$B:$J,5,0)</f>
        <v>KG</v>
      </c>
      <c r="F48" s="254">
        <v>979</v>
      </c>
      <c r="G48" s="255"/>
      <c r="H48" s="254"/>
      <c r="I48" s="248">
        <f ca="1">VLOOKUP($C48,物料本月库存明細!$B:$J,9,0)</f>
        <v>979</v>
      </c>
      <c r="J48" s="254"/>
    </row>
    <row r="49" spans="1:10">
      <c r="A49" s="252"/>
      <c r="B49" s="253"/>
      <c r="C49" s="258" t="s">
        <v>56</v>
      </c>
      <c r="D49" s="246" t="str">
        <f ca="1">VLOOKUP($C49,物料本月库存明細!$B:$J,2,0)</f>
        <v>A380</v>
      </c>
      <c r="E49" s="246" t="str">
        <f ca="1">VLOOKUP($C49,物料本月库存明細!$B:$J,5,0)</f>
        <v>KG</v>
      </c>
      <c r="F49" s="254">
        <v>137</v>
      </c>
      <c r="G49" s="255"/>
      <c r="H49" s="254"/>
      <c r="I49" s="248">
        <f ca="1">VLOOKUP($C49,物料本月库存明細!$B:$J,9,0)</f>
        <v>137</v>
      </c>
      <c r="J49" s="254"/>
    </row>
    <row r="50" spans="1:10">
      <c r="A50" s="259"/>
      <c r="B50" s="253"/>
      <c r="C50" s="258" t="s">
        <v>57</v>
      </c>
      <c r="D50" s="246" t="str">
        <f ca="1">VLOOKUP($C50,物料本月库存明細!$B:$J,2,0)</f>
        <v>A356.2</v>
      </c>
      <c r="E50" s="246" t="str">
        <f ca="1">VLOOKUP($C50,物料本月库存明細!$B:$J,5,0)</f>
        <v>KG</v>
      </c>
      <c r="F50" s="254">
        <v>1624</v>
      </c>
      <c r="G50" s="255"/>
      <c r="H50" s="254"/>
      <c r="I50" s="248">
        <f ca="1">VLOOKUP($C50,物料本月库存明細!$B:$J,9,0)</f>
        <v>1624</v>
      </c>
      <c r="J50" s="254"/>
    </row>
    <row r="51" spans="1:10">
      <c r="A51" s="252"/>
      <c r="B51" s="253"/>
      <c r="C51" s="196" t="s">
        <v>58</v>
      </c>
      <c r="D51" s="246" t="str">
        <f ca="1">VLOOKUP($C51,物料本月库存明細!$B:$J,2,0)</f>
        <v>AISi12</v>
      </c>
      <c r="E51" s="246" t="str">
        <f ca="1">VLOOKUP($C51,物料本月库存明細!$B:$J,5,0)</f>
        <v>KG</v>
      </c>
      <c r="F51" s="254">
        <v>800</v>
      </c>
      <c r="G51" s="255"/>
      <c r="H51" s="254"/>
      <c r="I51" s="248">
        <f ca="1">VLOOKUP($C51,物料本月库存明細!$B:$J,9,0)</f>
        <v>800</v>
      </c>
      <c r="J51" s="254"/>
    </row>
    <row r="52" spans="1:10">
      <c r="A52" s="252"/>
      <c r="B52" s="253"/>
      <c r="C52" s="195" t="s">
        <v>59</v>
      </c>
      <c r="D52" s="246" t="str">
        <f ca="1">VLOOKUP($C52,物料本月库存明細!$B:$J,2,0)</f>
        <v>W2805-850N头壳</v>
      </c>
      <c r="E52" s="246" t="str">
        <f ca="1">VLOOKUP($C52,物料本月库存明細!$B:$J,5,0)</f>
        <v>KG</v>
      </c>
      <c r="F52" s="254">
        <v>1122</v>
      </c>
      <c r="G52" s="255"/>
      <c r="H52" s="254"/>
      <c r="I52" s="248">
        <f ca="1">VLOOKUP($C52,物料本月库存明細!$B:$J,9,0)</f>
        <v>1122</v>
      </c>
      <c r="J52" s="254"/>
    </row>
    <row r="53" spans="1:10">
      <c r="A53" s="260"/>
      <c r="B53" s="261"/>
      <c r="C53" s="195" t="s">
        <v>60</v>
      </c>
      <c r="D53" s="246" t="str">
        <f ca="1">VLOOKUP($C53,物料本月库存明細!$B:$J,2,0)</f>
        <v>W2805-850N头壳</v>
      </c>
      <c r="E53" s="246" t="str">
        <f ca="1">VLOOKUP($C53,物料本月库存明細!$B:$J,5,0)</f>
        <v>KG</v>
      </c>
      <c r="F53" s="262">
        <v>10</v>
      </c>
      <c r="G53" s="263"/>
      <c r="H53" s="262"/>
      <c r="I53" s="248">
        <f ca="1">VLOOKUP($C53,物料本月库存明細!$B:$J,9,0)</f>
        <v>10</v>
      </c>
      <c r="J53" s="262"/>
    </row>
    <row r="54" spans="1:10">
      <c r="A54" s="260"/>
      <c r="B54" s="261"/>
      <c r="C54" s="195" t="s">
        <v>61</v>
      </c>
      <c r="D54" s="246" t="str">
        <f ca="1">VLOOKUP($C54,物料本月库存明細!$B:$J,2,0)</f>
        <v>W2805-850N端盖</v>
      </c>
      <c r="E54" s="246" t="str">
        <f ca="1">VLOOKUP($C54,物料本月库存明細!$B:$J,5,0)</f>
        <v>KG</v>
      </c>
      <c r="F54" s="262">
        <v>3060</v>
      </c>
      <c r="G54" s="263"/>
      <c r="H54" s="262"/>
      <c r="I54" s="248">
        <f ca="1">VLOOKUP($C54,物料本月库存明細!$B:$J,9,0)</f>
        <v>3060</v>
      </c>
      <c r="J54" s="262"/>
    </row>
    <row r="55" spans="1:10">
      <c r="A55" s="260"/>
      <c r="B55" s="261"/>
      <c r="C55" s="195" t="s">
        <v>62</v>
      </c>
      <c r="D55" s="246" t="str">
        <f ca="1">VLOOKUP($C55,物料本月库存明細!$B:$J,2,0)</f>
        <v>W2805-850N端盖</v>
      </c>
      <c r="E55" s="246" t="str">
        <f ca="1">VLOOKUP($C55,物料本月库存明細!$B:$J,5,0)</f>
        <v>KG</v>
      </c>
      <c r="F55" s="262">
        <v>10</v>
      </c>
      <c r="G55" s="263"/>
      <c r="H55" s="262"/>
      <c r="I55" s="248">
        <f ca="1">VLOOKUP($C55,物料本月库存明細!$B:$J,9,0)</f>
        <v>10</v>
      </c>
      <c r="J55" s="262"/>
    </row>
    <row r="56" spans="1:10">
      <c r="A56" s="260"/>
      <c r="B56" s="261"/>
      <c r="C56" s="195" t="s">
        <v>63</v>
      </c>
      <c r="D56" s="246" t="str">
        <f ca="1">VLOOKUP($C56,物料本月库存明細!$B:$J,2,0)</f>
        <v>W2803-650N端盖</v>
      </c>
      <c r="E56" s="246" t="str">
        <f ca="1">VLOOKUP($C56,物料本月库存明細!$B:$J,5,0)</f>
        <v>KG</v>
      </c>
      <c r="F56" s="262">
        <v>1201</v>
      </c>
      <c r="G56" s="263"/>
      <c r="H56" s="262"/>
      <c r="I56" s="248">
        <f ca="1">VLOOKUP($C56,物料本月库存明細!$B:$J,9,0)</f>
        <v>1201</v>
      </c>
      <c r="J56" s="262"/>
    </row>
    <row r="57" spans="1:10">
      <c r="A57" s="260"/>
      <c r="B57" s="261"/>
      <c r="C57" s="195" t="s">
        <v>64</v>
      </c>
      <c r="D57" s="246" t="str">
        <f ca="1">VLOOKUP($C57,物料本月库存明細!$B:$J,2,0)</f>
        <v>W2808-1850N端盖</v>
      </c>
      <c r="E57" s="246" t="str">
        <f ca="1">VLOOKUP($C57,物料本月库存明細!$B:$J,5,0)</f>
        <v>KG</v>
      </c>
      <c r="F57" s="262">
        <v>3810</v>
      </c>
      <c r="G57" s="263"/>
      <c r="H57" s="262"/>
      <c r="I57" s="248">
        <f ca="1">VLOOKUP($C57,物料本月库存明細!$B:$J,9,0)</f>
        <v>2610</v>
      </c>
      <c r="J57" s="262"/>
    </row>
    <row r="58" spans="1:10">
      <c r="A58" s="260"/>
      <c r="B58" s="261"/>
      <c r="C58" s="195" t="s">
        <v>65</v>
      </c>
      <c r="D58" s="246" t="str">
        <f ca="1">VLOOKUP($C58,物料本月库存明細!$B:$J,2,0)</f>
        <v>W2808-1850N端盖</v>
      </c>
      <c r="E58" s="246" t="str">
        <f ca="1">VLOOKUP($C58,物料本月库存明細!$B:$J,5,0)</f>
        <v>KG</v>
      </c>
      <c r="F58" s="262">
        <v>10</v>
      </c>
      <c r="G58" s="263"/>
      <c r="H58" s="262"/>
      <c r="I58" s="248">
        <f ca="1">VLOOKUP($C58,物料本月库存明細!$B:$J,9,0)</f>
        <v>10</v>
      </c>
      <c r="J58" s="262"/>
    </row>
    <row r="59" spans="1:10">
      <c r="A59" s="260"/>
      <c r="B59" s="261"/>
      <c r="C59" s="195" t="s">
        <v>66</v>
      </c>
      <c r="D59" s="246" t="str">
        <f ca="1">VLOOKUP($C59,物料本月库存明細!$B:$J,2,0)</f>
        <v>W2808-1850N头壳</v>
      </c>
      <c r="E59" s="246" t="str">
        <f ca="1">VLOOKUP($C59,物料本月库存明細!$B:$J,5,0)</f>
        <v>KG</v>
      </c>
      <c r="F59" s="262">
        <v>408</v>
      </c>
      <c r="G59" s="263"/>
      <c r="H59" s="262"/>
      <c r="I59" s="248">
        <f ca="1">VLOOKUP($C59,物料本月库存明細!$B:$J,9,0)</f>
        <v>408</v>
      </c>
      <c r="J59" s="262"/>
    </row>
    <row r="60" spans="1:10">
      <c r="A60" s="260"/>
      <c r="B60" s="261"/>
      <c r="C60" s="195" t="s">
        <v>67</v>
      </c>
      <c r="D60" s="246" t="str">
        <f ca="1">VLOOKUP($C60,物料本月库存明細!$B:$J,2,0)</f>
        <v>2803-650N轴套</v>
      </c>
      <c r="E60" s="246" t="str">
        <f ca="1">VLOOKUP($C60,物料本月库存明細!$B:$J,5,0)</f>
        <v>KG</v>
      </c>
      <c r="F60" s="262">
        <v>1200</v>
      </c>
      <c r="G60" s="263"/>
      <c r="H60" s="262"/>
      <c r="I60" s="248">
        <f ca="1">VLOOKUP($C60,物料本月库存明細!$B:$J,9,0)</f>
        <v>1200</v>
      </c>
      <c r="J60" s="262"/>
    </row>
    <row r="61" spans="1:10">
      <c r="A61" s="260"/>
      <c r="B61" s="261"/>
      <c r="C61" s="192" t="s">
        <v>68</v>
      </c>
      <c r="D61" s="246" t="str">
        <f ca="1">VLOOKUP($C61,物料本月库存明細!$B:$J,2,0)</f>
        <v>扳手818头壳-不带花纹（无轴套）</v>
      </c>
      <c r="E61" s="246" t="str">
        <f ca="1">VLOOKUP($C61,物料本月库存明細!$B:$J,5,0)</f>
        <v>PCS</v>
      </c>
      <c r="F61" s="262">
        <v>68</v>
      </c>
      <c r="G61" s="263"/>
      <c r="H61" s="262"/>
      <c r="I61" s="248">
        <f ca="1">VLOOKUP($C61,物料本月库存明細!$B:$J,9,0)</f>
        <v>68</v>
      </c>
      <c r="J61" s="262"/>
    </row>
    <row r="62" spans="1:10">
      <c r="A62" s="260"/>
      <c r="B62" s="261"/>
      <c r="C62" s="192" t="s">
        <v>69</v>
      </c>
      <c r="D62" s="246" t="str">
        <f ca="1">VLOOKUP($C62,物料本月库存明細!$B:$J,2,0)</f>
        <v>819头壳（含轴套）</v>
      </c>
      <c r="E62" s="246" t="str">
        <f ca="1">VLOOKUP($C62,物料本月库存明細!$B:$J,5,0)</f>
        <v>PCS</v>
      </c>
      <c r="F62" s="262">
        <v>1962</v>
      </c>
      <c r="G62" s="263"/>
      <c r="H62" s="262"/>
      <c r="I62" s="248">
        <f ca="1">VLOOKUP($C62,物料本月库存明細!$B:$J,9,0)</f>
        <v>1962</v>
      </c>
      <c r="J62" s="262"/>
    </row>
    <row r="63" spans="1:10">
      <c r="A63" s="260"/>
      <c r="B63" s="261"/>
      <c r="C63" s="204" t="s">
        <v>70</v>
      </c>
      <c r="D63" s="246" t="str">
        <f ca="1">VLOOKUP($C63,物料本月库存明細!$B:$J,2,0)</f>
        <v>HH8527散热片</v>
      </c>
      <c r="E63" s="246" t="str">
        <f ca="1">VLOOKUP($C63,物料本月库存明細!$B:$J,5,0)</f>
        <v>PCS</v>
      </c>
      <c r="F63" s="262">
        <v>50</v>
      </c>
      <c r="G63" s="263"/>
      <c r="H63" s="262"/>
      <c r="I63" s="248">
        <f ca="1">VLOOKUP($C63,物料本月库存明細!$B:$J,9,0)</f>
        <v>50</v>
      </c>
      <c r="J63" s="262"/>
    </row>
    <row r="64" spans="1:10">
      <c r="A64" s="260"/>
      <c r="B64" s="261"/>
      <c r="C64" s="143" t="s">
        <v>71</v>
      </c>
      <c r="D64" s="246" t="str">
        <f ca="1">VLOOKUP($C64,物料本月库存明細!$B:$J,2,0)</f>
        <v>扳手810STK2头壳</v>
      </c>
      <c r="E64" s="246" t="str">
        <f ca="1">VLOOKUP($C64,物料本月库存明細!$B:$J,5,0)</f>
        <v>PCS</v>
      </c>
      <c r="F64" s="262">
        <v>712</v>
      </c>
      <c r="G64" s="263"/>
      <c r="H64" s="262"/>
      <c r="I64" s="248">
        <f ca="1">VLOOKUP($C64,物料本月库存明細!$B:$J,9,0)</f>
        <v>0</v>
      </c>
      <c r="J64" s="262"/>
    </row>
    <row r="65" spans="1:10">
      <c r="A65" s="260"/>
      <c r="B65" s="261"/>
      <c r="C65" s="23" t="s">
        <v>72</v>
      </c>
      <c r="D65" s="246" t="str">
        <f ca="1">VLOOKUP($C65,物料本月库存明細!$B:$J,2,0)</f>
        <v>WL52-bottom(WL92)</v>
      </c>
      <c r="E65" s="246" t="str">
        <f ca="1">VLOOKUP($C65,物料本月库存明細!$B:$J,5,0)</f>
        <v>PCS</v>
      </c>
      <c r="F65" s="262">
        <v>9605</v>
      </c>
      <c r="G65" s="263"/>
      <c r="H65" s="262"/>
      <c r="I65" s="248">
        <f ca="1">VLOOKUP($C65,物料本月库存明細!$B:$J,9,0)</f>
        <v>251</v>
      </c>
      <c r="J65" s="262"/>
    </row>
    <row r="66" spans="1:10">
      <c r="A66" s="260"/>
      <c r="B66" s="261"/>
      <c r="C66" s="254"/>
      <c r="D66" s="246" t="e">
        <f ca="1">VLOOKUP($C66,物料本月库存明細!$B:$J,2,0)</f>
        <v>#N/A</v>
      </c>
      <c r="E66" s="246" t="e">
        <f ca="1">VLOOKUP($C66,物料本月库存明細!$B:$J,5,0)</f>
        <v>#N/A</v>
      </c>
      <c r="F66" s="262"/>
      <c r="G66" s="263"/>
      <c r="H66" s="262"/>
      <c r="I66" s="248" t="e">
        <f ca="1">VLOOKUP($C66,物料本月库存明細!$B:$J,9,0)</f>
        <v>#N/A</v>
      </c>
      <c r="J66" s="262"/>
    </row>
  </sheetData>
  <pageMargins left="0.314583333333333" right="0.156944444444444" top="0.393055555555556" bottom="0.196527777777778" header="0.196527777777778" footer="0.118055555555556"/>
  <pageSetup paperSize="9" scale="69" orientation="portrait" horizontalDpi="600"/>
  <headerFooter/>
  <rowBreaks count="1" manualBreakCount="1">
    <brk id="7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1"/>
  <sheetViews>
    <sheetView showGridLines="0" workbookViewId="0">
      <pane ySplit="1" topLeftCell="A37" activePane="bottomLeft" state="frozen"/>
      <selection/>
      <selection pane="bottomLeft" activeCell="H56" sqref="H56"/>
    </sheetView>
  </sheetViews>
  <sheetFormatPr defaultColWidth="9" defaultRowHeight="18" customHeight="1"/>
  <cols>
    <col min="1" max="1" width="13" style="209" customWidth="1"/>
    <col min="2" max="2" width="13.75" style="209" customWidth="1"/>
    <col min="3" max="3" width="14.875" style="209" customWidth="1"/>
    <col min="4" max="4" width="18.75" style="210" customWidth="1"/>
    <col min="5" max="5" width="42.625" style="211" customWidth="1"/>
    <col min="6" max="6" width="5.875" style="209" customWidth="1"/>
    <col min="7" max="7" width="9.875" style="212" customWidth="1"/>
    <col min="8" max="8" width="23.125" style="212" customWidth="1"/>
    <col min="9" max="9" width="9.875" style="212" customWidth="1"/>
    <col min="10" max="10" width="9.125" style="209" customWidth="1"/>
    <col min="11" max="11" width="23.25" style="208" customWidth="1"/>
    <col min="12" max="16384" width="9" style="208"/>
  </cols>
  <sheetData>
    <row r="1" s="207" customFormat="1" ht="23" customHeight="1" spans="1:11">
      <c r="A1" s="213" t="s">
        <v>73</v>
      </c>
      <c r="B1" s="213" t="s">
        <v>74</v>
      </c>
      <c r="C1" s="213" t="s">
        <v>75</v>
      </c>
      <c r="D1" s="214" t="s">
        <v>3</v>
      </c>
      <c r="E1" s="215" t="s">
        <v>4</v>
      </c>
      <c r="F1" s="216" t="s">
        <v>5</v>
      </c>
      <c r="G1" s="216" t="s">
        <v>6</v>
      </c>
      <c r="H1" s="216" t="s">
        <v>9</v>
      </c>
      <c r="I1" s="216"/>
      <c r="J1" s="213" t="s">
        <v>8</v>
      </c>
    </row>
    <row r="2" customHeight="1" spans="1:11">
      <c r="A2" s="191" t="s">
        <v>76</v>
      </c>
      <c r="B2" s="189">
        <v>46209</v>
      </c>
      <c r="C2" s="264" t="s">
        <v>77</v>
      </c>
      <c r="D2" s="192" t="s">
        <v>78</v>
      </c>
      <c r="E2" s="188" t="str">
        <f ca="1">VLOOKUP($D2,物料本月库存明細!$B:$J,2,0)</f>
        <v>扳手828端盖</v>
      </c>
      <c r="F2" s="188" t="str">
        <f ca="1">VLOOKUP($D2,物料本月库存明細!$B:$J,5,0)</f>
        <v>PCS</v>
      </c>
      <c r="G2" s="188">
        <v>720</v>
      </c>
      <c r="H2" s="191"/>
      <c r="I2" s="188"/>
      <c r="J2" s="188">
        <f ca="1">VLOOKUP($D2,物料本月库存明細!$B:$J,9,0)</f>
        <v>0</v>
      </c>
      <c r="K2" s="217"/>
    </row>
    <row r="3" customHeight="1" spans="1:11">
      <c r="A3" s="191" t="s">
        <v>76</v>
      </c>
      <c r="B3" s="189">
        <v>46209</v>
      </c>
      <c r="C3" s="264" t="s">
        <v>77</v>
      </c>
      <c r="D3" s="200" t="s">
        <v>79</v>
      </c>
      <c r="E3" s="188" t="str">
        <f ca="1">VLOOKUP($D3,物料本月库存明細!$B:$J,2,0)</f>
        <v>轴承主体支架</v>
      </c>
      <c r="F3" s="188" t="str">
        <f ca="1">VLOOKUP($D3,物料本月库存明細!$B:$J,5,0)</f>
        <v>PCS</v>
      </c>
      <c r="G3" s="188">
        <v>1239</v>
      </c>
      <c r="H3" s="191"/>
      <c r="I3" s="188"/>
      <c r="J3" s="188">
        <f ca="1">VLOOKUP($D3,物料本月库存明細!$B:$J,9,0)</f>
        <v>1239</v>
      </c>
      <c r="K3" s="217"/>
    </row>
    <row r="4" customHeight="1" spans="1:11">
      <c r="A4" s="191" t="s">
        <v>76</v>
      </c>
      <c r="B4" s="189">
        <v>46209</v>
      </c>
      <c r="C4" s="264" t="s">
        <v>77</v>
      </c>
      <c r="D4" s="200" t="s">
        <v>80</v>
      </c>
      <c r="E4" s="188" t="str">
        <f ca="1">VLOOKUP($D4,物料本月库存明細!$B:$J,2,0)</f>
        <v>相机卡扣</v>
      </c>
      <c r="F4" s="188" t="str">
        <f ca="1">VLOOKUP($D4,物料本月库存明細!$B:$J,5,0)</f>
        <v>PCS</v>
      </c>
      <c r="G4" s="188">
        <v>4350</v>
      </c>
      <c r="H4" s="191"/>
      <c r="I4" s="188"/>
      <c r="J4" s="188">
        <f ca="1">VLOOKUP($D4,物料本月库存明細!$B:$J,9,0)</f>
        <v>4350</v>
      </c>
      <c r="K4" s="217"/>
    </row>
    <row r="5" customHeight="1" spans="1:11">
      <c r="A5" s="191" t="s">
        <v>76</v>
      </c>
      <c r="B5" s="189">
        <v>46209</v>
      </c>
      <c r="C5" s="264" t="s">
        <v>77</v>
      </c>
      <c r="D5" s="192" t="s">
        <v>35</v>
      </c>
      <c r="E5" s="188" t="str">
        <f ca="1">VLOOKUP($D5,物料本月库存明細!$B:$J,2,0)</f>
        <v>扳手828头壳</v>
      </c>
      <c r="F5" s="188" t="str">
        <f ca="1">VLOOKUP($D5,物料本月库存明細!$B:$J,5,0)</f>
        <v>PCS</v>
      </c>
      <c r="G5" s="188">
        <v>526</v>
      </c>
      <c r="H5" s="191"/>
      <c r="I5" s="188"/>
      <c r="J5" s="188">
        <f ca="1">VLOOKUP($D5,物料本月库存明細!$B:$J,9,0)</f>
        <v>0</v>
      </c>
      <c r="K5" s="217"/>
    </row>
    <row r="6" customHeight="1" spans="1:11">
      <c r="A6" s="191" t="s">
        <v>76</v>
      </c>
      <c r="B6" s="189">
        <v>46209</v>
      </c>
      <c r="C6" s="264" t="s">
        <v>77</v>
      </c>
      <c r="D6" s="196" t="s">
        <v>81</v>
      </c>
      <c r="E6" s="188" t="str">
        <f ca="1">VLOOKUP($D6,物料本月库存明細!$B:$J,2,0)</f>
        <v>T93-20</v>
      </c>
      <c r="F6" s="188" t="str">
        <f ca="1">VLOOKUP($D6,物料本月库存明細!$B:$J,5,0)</f>
        <v>PCS</v>
      </c>
      <c r="G6" s="188">
        <v>12480</v>
      </c>
      <c r="H6" s="191"/>
      <c r="I6" s="188"/>
      <c r="J6" s="188">
        <f ca="1">VLOOKUP($D6,物料本月库存明細!$B:$J,9,0)</f>
        <v>14400</v>
      </c>
      <c r="K6" s="217"/>
    </row>
    <row r="7" customHeight="1" spans="1:11">
      <c r="A7" s="191" t="s">
        <v>76</v>
      </c>
      <c r="B7" s="189">
        <v>46209</v>
      </c>
      <c r="C7" s="264" t="s">
        <v>77</v>
      </c>
      <c r="D7" s="192" t="s">
        <v>82</v>
      </c>
      <c r="E7" s="188" t="str">
        <f ca="1">VLOOKUP($D7,物料本月库存明細!$B:$J,2,0)</f>
        <v>起子机2108-W头壳（230N头壳无轴套）</v>
      </c>
      <c r="F7" s="188" t="str">
        <f ca="1">VLOOKUP($D7,物料本月库存明細!$B:$J,5,0)</f>
        <v>PCS</v>
      </c>
      <c r="G7" s="188">
        <v>3200</v>
      </c>
      <c r="H7" s="188"/>
      <c r="I7" s="188"/>
      <c r="J7" s="188">
        <f ca="1">VLOOKUP($D7,物料本月库存明細!$B:$J,9,0)</f>
        <v>0</v>
      </c>
      <c r="K7" s="217"/>
    </row>
    <row r="8" customHeight="1" spans="1:11">
      <c r="A8" s="191" t="s">
        <v>76</v>
      </c>
      <c r="B8" s="189">
        <v>46209</v>
      </c>
      <c r="C8" s="264" t="s">
        <v>77</v>
      </c>
      <c r="D8" s="192" t="s">
        <v>83</v>
      </c>
      <c r="E8" s="188" t="str">
        <f ca="1">VLOOKUP($D8,物料本月库存明細!$B:$J,2,0)</f>
        <v>超频主机上1个单芯盖（PL9-01100-00-0A)</v>
      </c>
      <c r="F8" s="188" t="str">
        <f ca="1">VLOOKUP($D8,物料本月库存明細!$B:$J,5,0)</f>
        <v>PCS</v>
      </c>
      <c r="G8" s="188">
        <v>1014</v>
      </c>
      <c r="H8" s="188"/>
      <c r="I8" s="188"/>
      <c r="J8" s="188">
        <f ca="1">VLOOKUP($D8,物料本月库存明細!$B:$J,9,0)</f>
        <v>1014</v>
      </c>
      <c r="K8" s="217"/>
    </row>
    <row r="9" customHeight="1" spans="1:11">
      <c r="A9" s="191" t="s">
        <v>84</v>
      </c>
      <c r="B9" s="189">
        <v>46209</v>
      </c>
      <c r="C9" s="264" t="s">
        <v>85</v>
      </c>
      <c r="D9" s="204" t="s">
        <v>86</v>
      </c>
      <c r="E9" s="188" t="str">
        <f ca="1">VLOOKUP($D9,物料本月库存明細!$B:$J,2,0)</f>
        <v>8527旋钮</v>
      </c>
      <c r="F9" s="188" t="str">
        <f ca="1">VLOOKUP($D9,物料本月库存明細!$B:$J,5,0)</f>
        <v>PCS</v>
      </c>
      <c r="G9" s="188">
        <v>1064</v>
      </c>
      <c r="H9" s="188"/>
      <c r="I9" s="188"/>
      <c r="J9" s="188">
        <f ca="1">VLOOKUP($D9,物料本月库存明細!$B:$J,9,0)</f>
        <v>0</v>
      </c>
      <c r="K9" s="217"/>
    </row>
    <row r="10" customHeight="1" spans="1:11">
      <c r="A10" s="191" t="s">
        <v>84</v>
      </c>
      <c r="B10" s="189">
        <v>46209</v>
      </c>
      <c r="C10" s="264" t="s">
        <v>85</v>
      </c>
      <c r="D10" s="196" t="s">
        <v>87</v>
      </c>
      <c r="E10" s="188" t="str">
        <f ca="1">VLOOKUP($D10,物料本月库存明細!$B:$J,2,0)</f>
        <v>HH8513传导片</v>
      </c>
      <c r="F10" s="188" t="str">
        <f ca="1">VLOOKUP($D10,物料本月库存明細!$B:$J,5,0)</f>
        <v>PCS</v>
      </c>
      <c r="G10" s="188">
        <v>6160</v>
      </c>
      <c r="H10" s="191"/>
      <c r="I10" s="188"/>
      <c r="J10" s="188">
        <f ca="1">VLOOKUP($D10,物料本月库存明細!$B:$J,9,0)</f>
        <v>0</v>
      </c>
      <c r="K10" s="217"/>
    </row>
    <row r="11" customHeight="1" spans="1:11">
      <c r="A11" s="191" t="s">
        <v>84</v>
      </c>
      <c r="B11" s="189">
        <v>46209</v>
      </c>
      <c r="C11" s="264" t="s">
        <v>85</v>
      </c>
      <c r="D11" s="192" t="s">
        <v>88</v>
      </c>
      <c r="E11" s="188" t="str">
        <f ca="1">VLOOKUP($D11,物料本月库存明細!$B:$J,2,0)</f>
        <v>扳手810STK2头壳</v>
      </c>
      <c r="F11" s="188" t="str">
        <f ca="1">VLOOKUP($D11,物料本月库存明細!$B:$J,5,0)</f>
        <v>PCS</v>
      </c>
      <c r="G11" s="188">
        <v>30</v>
      </c>
      <c r="H11" s="191" t="s">
        <v>89</v>
      </c>
      <c r="I11" s="188"/>
      <c r="J11" s="188">
        <f ca="1">VLOOKUP($D11,物料本月库存明細!$B:$J,9,0)</f>
        <v>2215</v>
      </c>
      <c r="K11" s="217"/>
    </row>
    <row r="12" customHeight="1" spans="1:11">
      <c r="A12" s="191" t="s">
        <v>84</v>
      </c>
      <c r="B12" s="189">
        <v>46209</v>
      </c>
      <c r="C12" s="264" t="s">
        <v>85</v>
      </c>
      <c r="D12" s="192" t="s">
        <v>90</v>
      </c>
      <c r="E12" s="188" t="str">
        <f ca="1">VLOOKUP($D12,物料本月库存明細!$B:$J,2,0)</f>
        <v>扳手806S头壳 SD</v>
      </c>
      <c r="F12" s="188" t="str">
        <f ca="1">VLOOKUP($D12,物料本月库存明細!$B:$J,5,0)</f>
        <v>PCS</v>
      </c>
      <c r="G12" s="188">
        <v>24</v>
      </c>
      <c r="H12" s="191" t="s">
        <v>91</v>
      </c>
      <c r="I12" s="188"/>
      <c r="J12" s="188">
        <f ca="1">VLOOKUP($D12,物料本月库存明細!$B:$J,9,0)</f>
        <v>24</v>
      </c>
      <c r="K12" s="217"/>
    </row>
    <row r="13" customHeight="1" spans="1:11">
      <c r="A13" s="191" t="s">
        <v>92</v>
      </c>
      <c r="B13" s="189">
        <v>46209</v>
      </c>
      <c r="C13" s="264" t="s">
        <v>93</v>
      </c>
      <c r="D13" s="196" t="s">
        <v>94</v>
      </c>
      <c r="E13" s="188" t="str">
        <f ca="1">VLOOKUP($D13,物料本月库存明細!$B:$J,2,0)</f>
        <v>T93-20</v>
      </c>
      <c r="F13" s="188" t="str">
        <f ca="1">VLOOKUP($D13,物料本月库存明細!$B:$J,5,0)</f>
        <v>PCS</v>
      </c>
      <c r="G13" s="188">
        <v>14198</v>
      </c>
      <c r="H13" s="191"/>
      <c r="I13" s="188"/>
      <c r="J13" s="188">
        <f ca="1">VLOOKUP($D13,物料本月库存明細!$B:$J,9,0)</f>
        <v>12480</v>
      </c>
      <c r="K13" s="217"/>
    </row>
    <row r="14" customHeight="1" spans="1:11">
      <c r="A14" s="191" t="s">
        <v>95</v>
      </c>
      <c r="B14" s="189">
        <v>46206</v>
      </c>
      <c r="C14" s="264" t="s">
        <v>96</v>
      </c>
      <c r="D14" s="192" t="s">
        <v>97</v>
      </c>
      <c r="E14" s="188" t="str">
        <f ca="1">VLOOKUP($D14,物料本月库存明細!$B:$J,2,0)</f>
        <v>2108起子机轴套（230N轴套）</v>
      </c>
      <c r="F14" s="188" t="str">
        <f ca="1">VLOOKUP($D14,物料本月库存明細!$B:$J,5,0)</f>
        <v>PCS</v>
      </c>
      <c r="G14" s="188">
        <v>5000</v>
      </c>
      <c r="H14" s="191"/>
      <c r="I14" s="188"/>
      <c r="J14" s="188">
        <f ca="1">VLOOKUP($D14,物料本月库存明細!$B:$J,9,0)</f>
        <v>5000</v>
      </c>
      <c r="K14" s="217"/>
    </row>
    <row r="15" customHeight="1" spans="1:11">
      <c r="A15" s="191" t="s">
        <v>76</v>
      </c>
      <c r="B15" s="189">
        <v>46210</v>
      </c>
      <c r="C15" s="264" t="s">
        <v>98</v>
      </c>
      <c r="D15" s="196" t="s">
        <v>81</v>
      </c>
      <c r="E15" s="188" t="str">
        <f ca="1">VLOOKUP($D15,物料本月库存明細!$B:$J,2,0)</f>
        <v>T93-20</v>
      </c>
      <c r="F15" s="188" t="str">
        <f ca="1">VLOOKUP($D15,物料本月库存明細!$B:$J,5,0)</f>
        <v>PCS</v>
      </c>
      <c r="G15" s="188">
        <v>9600</v>
      </c>
      <c r="H15" s="191"/>
      <c r="I15" s="188"/>
      <c r="J15" s="188">
        <f ca="1">VLOOKUP($D15,物料本月库存明細!$B:$J,9,0)</f>
        <v>14400</v>
      </c>
      <c r="K15" s="217"/>
    </row>
    <row r="16" customHeight="1" spans="1:11">
      <c r="A16" s="191" t="s">
        <v>99</v>
      </c>
      <c r="B16" s="189">
        <v>46209</v>
      </c>
      <c r="C16" s="264" t="s">
        <v>100</v>
      </c>
      <c r="D16" s="195" t="s">
        <v>101</v>
      </c>
      <c r="E16" s="188" t="str">
        <f ca="1">VLOOKUP($D16,物料本月库存明細!$B:$J,2,0)</f>
        <v>W2808-1850N挂钩</v>
      </c>
      <c r="F16" s="188" t="str">
        <f ca="1">VLOOKUP($D16,物料本月库存明細!$B:$J,5,0)</f>
        <v>KG</v>
      </c>
      <c r="G16" s="188">
        <v>2780</v>
      </c>
      <c r="H16" s="191"/>
      <c r="I16" s="188"/>
      <c r="J16" s="188">
        <f ca="1">VLOOKUP($D16,物料本月库存明細!$B:$J,9,0)</f>
        <v>2780</v>
      </c>
      <c r="K16" s="217"/>
    </row>
    <row r="17" customHeight="1" spans="1:11">
      <c r="A17" s="191" t="s">
        <v>99</v>
      </c>
      <c r="B17" s="189">
        <v>46209</v>
      </c>
      <c r="C17" s="264" t="s">
        <v>100</v>
      </c>
      <c r="D17" s="195" t="s">
        <v>102</v>
      </c>
      <c r="E17" s="188" t="str">
        <f ca="1">VLOOKUP($D17,物料本月库存明細!$B:$J,2,0)</f>
        <v>W2805-850N头壳</v>
      </c>
      <c r="F17" s="188" t="str">
        <f ca="1">VLOOKUP($D17,物料本月库存明細!$B:$J,5,0)</f>
        <v>KG</v>
      </c>
      <c r="G17" s="188">
        <v>50</v>
      </c>
      <c r="H17" s="191"/>
      <c r="I17" s="188"/>
      <c r="J17" s="188">
        <f ca="1">VLOOKUP($D17,物料本月库存明細!$B:$J,9,0)</f>
        <v>0</v>
      </c>
      <c r="K17" s="217"/>
    </row>
    <row r="18" customHeight="1" spans="1:11">
      <c r="A18" s="191" t="s">
        <v>99</v>
      </c>
      <c r="B18" s="189">
        <v>46209</v>
      </c>
      <c r="C18" s="264" t="s">
        <v>100</v>
      </c>
      <c r="D18" s="195" t="s">
        <v>103</v>
      </c>
      <c r="E18" s="188" t="str">
        <f ca="1">VLOOKUP($D18,物料本月库存明細!$B:$J,2,0)</f>
        <v>W2805-850N端盖</v>
      </c>
      <c r="F18" s="188" t="str">
        <f ca="1">VLOOKUP($D18,物料本月库存明細!$B:$J,5,0)</f>
        <v>KG</v>
      </c>
      <c r="G18" s="188">
        <v>50</v>
      </c>
      <c r="H18" s="191"/>
      <c r="I18" s="188"/>
      <c r="J18" s="188">
        <f ca="1">VLOOKUP($D18,物料本月库存明細!$B:$J,9,0)</f>
        <v>0</v>
      </c>
      <c r="K18" s="217"/>
    </row>
    <row r="19" customHeight="1" spans="1:11">
      <c r="A19" s="191" t="s">
        <v>84</v>
      </c>
      <c r="B19" s="189">
        <v>46210</v>
      </c>
      <c r="C19" s="264" t="s">
        <v>104</v>
      </c>
      <c r="D19" s="197" t="s">
        <v>105</v>
      </c>
      <c r="E19" s="188" t="str">
        <f ca="1">VLOOKUP($D19,物料本月库存明細!$B:$J,2,0)</f>
        <v>扳手809头壳(含轴套)</v>
      </c>
      <c r="F19" s="188" t="str">
        <f ca="1">VLOOKUP($D19,物料本月库存明細!$B:$J,5,0)</f>
        <v>PCS</v>
      </c>
      <c r="G19" s="188">
        <v>21</v>
      </c>
      <c r="H19" s="191" t="s">
        <v>106</v>
      </c>
      <c r="I19" s="188"/>
      <c r="J19" s="188">
        <f ca="1">VLOOKUP($D19,物料本月库存明細!$B:$J,9,0)</f>
        <v>21</v>
      </c>
      <c r="K19" s="217"/>
    </row>
    <row r="20" customHeight="1" spans="1:11">
      <c r="A20" s="191" t="s">
        <v>107</v>
      </c>
      <c r="B20" s="189">
        <v>46210</v>
      </c>
      <c r="C20" s="264" t="s">
        <v>108</v>
      </c>
      <c r="D20" s="196" t="s">
        <v>109</v>
      </c>
      <c r="E20" s="188" t="str">
        <f ca="1">VLOOKUP($D20,物料本月库存明細!$B:$J,2,0)</f>
        <v>HH8513传导片</v>
      </c>
      <c r="F20" s="188" t="str">
        <f ca="1">VLOOKUP($D20,物料本月库存明細!$B:$J,5,0)</f>
        <v>PCS</v>
      </c>
      <c r="G20" s="188">
        <v>200</v>
      </c>
      <c r="H20" s="191"/>
      <c r="I20" s="188"/>
      <c r="J20" s="188">
        <f ca="1">VLOOKUP($D20,物料本月库存明細!$B:$J,9,0)</f>
        <v>200</v>
      </c>
      <c r="K20" s="217"/>
    </row>
    <row r="21" customHeight="1" spans="1:11">
      <c r="A21" s="191" t="s">
        <v>92</v>
      </c>
      <c r="B21" s="189">
        <v>46210</v>
      </c>
      <c r="C21" s="264" t="s">
        <v>110</v>
      </c>
      <c r="D21" s="204" t="s">
        <v>111</v>
      </c>
      <c r="E21" s="188" t="str">
        <f ca="1">VLOOKUP($D21,物料本月库存明細!$B:$J,2,0)</f>
        <v>8527旋钮</v>
      </c>
      <c r="F21" s="188" t="str">
        <f ca="1">VLOOKUP($D21,物料本月库存明細!$B:$J,5,0)</f>
        <v>PCS</v>
      </c>
      <c r="G21" s="188">
        <v>1064</v>
      </c>
      <c r="H21" s="191"/>
      <c r="I21" s="188"/>
      <c r="J21" s="188">
        <f ca="1">VLOOKUP($D21,物料本月库存明細!$B:$J,9,0)</f>
        <v>1064</v>
      </c>
      <c r="K21" s="217"/>
    </row>
    <row r="22" customHeight="1" spans="1:11">
      <c r="A22" s="191" t="s">
        <v>92</v>
      </c>
      <c r="B22" s="189">
        <v>46210</v>
      </c>
      <c r="C22" s="264" t="s">
        <v>110</v>
      </c>
      <c r="D22" s="196" t="s">
        <v>94</v>
      </c>
      <c r="E22" s="188" t="str">
        <f ca="1">VLOOKUP($D22,物料本月库存明細!$B:$J,2,0)</f>
        <v>T93-20</v>
      </c>
      <c r="F22" s="188" t="str">
        <f ca="1">VLOOKUP($D22,物料本月库存明細!$B:$J,5,0)</f>
        <v>PCS</v>
      </c>
      <c r="G22" s="188">
        <v>12480</v>
      </c>
      <c r="H22" s="191"/>
      <c r="I22" s="188"/>
      <c r="J22" s="188">
        <f ca="1">VLOOKUP($D22,物料本月库存明細!$B:$J,9,0)</f>
        <v>12480</v>
      </c>
      <c r="K22" s="217"/>
    </row>
    <row r="23" customHeight="1" spans="1:11">
      <c r="A23" s="191" t="s">
        <v>92</v>
      </c>
      <c r="B23" s="189">
        <v>46210</v>
      </c>
      <c r="C23" s="264" t="s">
        <v>110</v>
      </c>
      <c r="D23" s="192" t="s">
        <v>112</v>
      </c>
      <c r="E23" s="188" t="str">
        <f ca="1">VLOOKUP($D23,物料本月库存明細!$B:$J,2,0)</f>
        <v>扳手828端盖</v>
      </c>
      <c r="F23" s="188" t="str">
        <f ca="1">VLOOKUP($D23,物料本月库存明細!$B:$J,5,0)</f>
        <v>PCS</v>
      </c>
      <c r="G23" s="188">
        <v>720</v>
      </c>
      <c r="H23" s="191"/>
      <c r="I23" s="188"/>
      <c r="J23" s="188">
        <f ca="1">VLOOKUP($D23,物料本月库存明細!$B:$J,9,0)</f>
        <v>720</v>
      </c>
      <c r="K23" s="217"/>
    </row>
    <row r="24" customHeight="1" spans="1:11">
      <c r="A24" s="191" t="s">
        <v>113</v>
      </c>
      <c r="B24" s="189">
        <v>46210</v>
      </c>
      <c r="C24" s="264" t="s">
        <v>114</v>
      </c>
      <c r="D24" s="192" t="s">
        <v>43</v>
      </c>
      <c r="E24" s="188" t="str">
        <f ca="1">VLOOKUP($D24,物料本月库存明細!$B:$J,2,0)</f>
        <v>1A321W1M001-0A(EL-321W-GL04 铝壳）</v>
      </c>
      <c r="F24" s="188" t="str">
        <f ca="1">VLOOKUP($D24,物料本月库存明細!$B:$J,5,0)</f>
        <v>PCS</v>
      </c>
      <c r="G24" s="188">
        <v>1600</v>
      </c>
      <c r="H24" s="191"/>
      <c r="I24" s="188"/>
      <c r="J24" s="188">
        <f ca="1">VLOOKUP($D24,物料本月库存明細!$B:$J,9,0)</f>
        <v>2400</v>
      </c>
      <c r="K24" s="217"/>
    </row>
    <row r="25" customHeight="1" spans="1:11">
      <c r="A25" s="191" t="s">
        <v>113</v>
      </c>
      <c r="B25" s="189">
        <v>46210</v>
      </c>
      <c r="C25" s="264" t="s">
        <v>114</v>
      </c>
      <c r="D25" s="192" t="s">
        <v>115</v>
      </c>
      <c r="E25" s="188" t="str">
        <f ca="1">VLOOKUP($D25,物料本月库存明細!$B:$J,2,0)</f>
        <v>819头壳（含轴套）</v>
      </c>
      <c r="F25" s="188" t="str">
        <f ca="1">VLOOKUP($D25,物料本月库存明細!$B:$J,5,0)</f>
        <v>PCS</v>
      </c>
      <c r="G25" s="188">
        <v>1960</v>
      </c>
      <c r="H25" s="191"/>
      <c r="I25" s="188"/>
      <c r="J25" s="188">
        <f ca="1">VLOOKUP($D25,物料本月库存明細!$B:$J,9,0)</f>
        <v>1960</v>
      </c>
      <c r="K25" s="217"/>
    </row>
    <row r="26" customHeight="1" spans="1:11">
      <c r="A26" s="191" t="s">
        <v>76</v>
      </c>
      <c r="B26" s="189">
        <v>46211</v>
      </c>
      <c r="C26" s="264" t="s">
        <v>116</v>
      </c>
      <c r="D26" s="23" t="s">
        <v>117</v>
      </c>
      <c r="E26" s="188" t="str">
        <f ca="1">VLOOKUP($D26,物料本月库存明細!$B:$J,2,0)</f>
        <v>JK111-03机壳(无牙）</v>
      </c>
      <c r="F26" s="188" t="str">
        <f ca="1">VLOOKUP($D26,物料本月库存明細!$B:$J,5,0)</f>
        <v>PCS</v>
      </c>
      <c r="G26" s="188">
        <v>1620</v>
      </c>
      <c r="H26" s="191"/>
      <c r="I26" s="188"/>
      <c r="J26" s="188">
        <f ca="1">VLOOKUP($D26,物料本月库存明細!$B:$J,9,0)</f>
        <v>3240</v>
      </c>
      <c r="K26" s="217"/>
    </row>
    <row r="27" customHeight="1" spans="1:11">
      <c r="A27" s="191" t="s">
        <v>76</v>
      </c>
      <c r="B27" s="189">
        <v>46211</v>
      </c>
      <c r="C27" s="264" t="s">
        <v>116</v>
      </c>
      <c r="D27" s="192" t="s">
        <v>82</v>
      </c>
      <c r="E27" s="188" t="str">
        <f ca="1">VLOOKUP($D27,物料本月库存明細!$B:$J,2,0)</f>
        <v>起子机2108-W头壳（230N头壳无轴套）</v>
      </c>
      <c r="F27" s="188" t="str">
        <f ca="1">VLOOKUP($D27,物料本月库存明細!$B:$J,5,0)</f>
        <v>PCS</v>
      </c>
      <c r="G27" s="188">
        <v>2395</v>
      </c>
      <c r="H27" s="191" t="s">
        <v>118</v>
      </c>
      <c r="I27" s="188"/>
      <c r="J27" s="188">
        <f ca="1">VLOOKUP($D27,物料本月库存明細!$B:$J,9,0)</f>
        <v>0</v>
      </c>
      <c r="K27" s="217"/>
    </row>
    <row r="28" customHeight="1" spans="1:11">
      <c r="A28" s="191" t="s">
        <v>76</v>
      </c>
      <c r="B28" s="189">
        <v>46211</v>
      </c>
      <c r="C28" s="264" t="s">
        <v>116</v>
      </c>
      <c r="D28" s="196" t="s">
        <v>117</v>
      </c>
      <c r="E28" s="188" t="str">
        <f ca="1">VLOOKUP($D28,物料本月库存明細!$B:$J,2,0)</f>
        <v>JK111-03机壳(无牙）</v>
      </c>
      <c r="F28" s="188" t="str">
        <f ca="1">VLOOKUP($D28,物料本月库存明細!$B:$J,5,0)</f>
        <v>PCS</v>
      </c>
      <c r="G28" s="188">
        <v>1620</v>
      </c>
      <c r="H28" s="191"/>
      <c r="I28" s="188"/>
      <c r="J28" s="188">
        <f ca="1">VLOOKUP($D28,物料本月库存明細!$B:$J,9,0)</f>
        <v>3240</v>
      </c>
      <c r="K28" s="217"/>
    </row>
    <row r="29" customHeight="1" spans="1:11">
      <c r="A29" s="191" t="s">
        <v>76</v>
      </c>
      <c r="B29" s="189">
        <v>46211</v>
      </c>
      <c r="C29" s="264" t="s">
        <v>116</v>
      </c>
      <c r="D29" s="196" t="s">
        <v>119</v>
      </c>
      <c r="E29" s="188" t="str">
        <f ca="1">VLOOKUP($D29,物料本月库存明細!$B:$J,2,0)</f>
        <v>压盖</v>
      </c>
      <c r="F29" s="188" t="str">
        <f ca="1">VLOOKUP($D29,物料本月库存明細!$B:$J,5,0)</f>
        <v>PCS</v>
      </c>
      <c r="G29" s="188">
        <v>12500</v>
      </c>
      <c r="H29" s="191"/>
      <c r="I29" s="188"/>
      <c r="J29" s="188">
        <f ca="1">VLOOKUP($D29,物料本月库存明細!$B:$J,9,0)</f>
        <v>12500</v>
      </c>
      <c r="K29" s="217"/>
    </row>
    <row r="30" customHeight="1" spans="1:11">
      <c r="A30" s="191" t="s">
        <v>76</v>
      </c>
      <c r="B30" s="189">
        <v>46211</v>
      </c>
      <c r="C30" s="264" t="s">
        <v>116</v>
      </c>
      <c r="D30" s="196" t="s">
        <v>81</v>
      </c>
      <c r="E30" s="188" t="str">
        <f ca="1">VLOOKUP($D30,物料本月库存明細!$B:$J,2,0)</f>
        <v>T93-20</v>
      </c>
      <c r="F30" s="188" t="str">
        <f ca="1">VLOOKUP($D30,物料本月库存明細!$B:$J,5,0)</f>
        <v>PCS</v>
      </c>
      <c r="G30" s="188">
        <v>14400</v>
      </c>
      <c r="H30" s="191"/>
      <c r="I30" s="188"/>
      <c r="J30" s="188">
        <f ca="1">VLOOKUP($D30,物料本月库存明細!$B:$J,9,0)</f>
        <v>14400</v>
      </c>
      <c r="K30" s="217"/>
    </row>
    <row r="31" customHeight="1" spans="1:11">
      <c r="A31" s="218" t="s">
        <v>120</v>
      </c>
      <c r="B31" s="219">
        <v>46206</v>
      </c>
      <c r="C31" s="209" t="s">
        <v>121</v>
      </c>
      <c r="D31" s="196" t="s">
        <v>122</v>
      </c>
      <c r="E31" s="188" t="str">
        <f ca="1">VLOOKUP($D31,物料本月库存明細!$B:$J,2,0)</f>
        <v>JK111-03机壳(无牙）</v>
      </c>
      <c r="F31" s="188" t="str">
        <f ca="1">VLOOKUP($D31,物料本月库存明細!$B:$J,5,0)</f>
        <v>PCS</v>
      </c>
      <c r="G31" s="188">
        <v>2</v>
      </c>
      <c r="H31" s="191" t="s">
        <v>123</v>
      </c>
      <c r="J31" s="188">
        <f ca="1">VLOOKUP($D31,物料本月库存明細!$B:$J,9,0)</f>
        <v>2</v>
      </c>
    </row>
    <row r="32" customHeight="1" spans="1:11">
      <c r="A32" s="218" t="s">
        <v>120</v>
      </c>
      <c r="B32" s="219">
        <v>46206</v>
      </c>
      <c r="C32" s="209" t="s">
        <v>121</v>
      </c>
      <c r="D32" s="196" t="s">
        <v>124</v>
      </c>
      <c r="E32" s="188" t="str">
        <f ca="1">VLOOKUP($D32,物料本月库存明細!$B:$J,2,0)</f>
        <v>JK111-03机壳(无牙）</v>
      </c>
      <c r="F32" s="188" t="str">
        <f ca="1">VLOOKUP($D32,物料本月库存明細!$B:$J,5,0)</f>
        <v>PCS</v>
      </c>
      <c r="G32" s="188">
        <v>3283</v>
      </c>
      <c r="H32" s="191"/>
      <c r="J32" s="188">
        <f ca="1">VLOOKUP($D32,物料本月库存明細!$B:$J,9,0)</f>
        <v>0</v>
      </c>
    </row>
    <row r="33" customHeight="1" spans="1:11">
      <c r="A33" s="218" t="s">
        <v>120</v>
      </c>
      <c r="B33" s="219">
        <v>46206</v>
      </c>
      <c r="C33" s="209" t="s">
        <v>121</v>
      </c>
      <c r="D33" s="196" t="s">
        <v>125</v>
      </c>
      <c r="E33" s="188" t="str">
        <f ca="1">VLOOKUP($D33,物料本月库存明細!$B:$J,2,0)</f>
        <v>T93-29</v>
      </c>
      <c r="F33" s="188" t="str">
        <f ca="1">VLOOKUP($D33,物料本月库存明細!$B:$J,5,0)</f>
        <v>PCS</v>
      </c>
      <c r="G33" s="188">
        <v>3096</v>
      </c>
      <c r="H33" s="191"/>
      <c r="J33" s="188">
        <f ca="1">VLOOKUP($D33,物料本月库存明細!$B:$J,9,0)</f>
        <v>0</v>
      </c>
    </row>
    <row r="34" customHeight="1" spans="1:11">
      <c r="A34" s="218" t="s">
        <v>120</v>
      </c>
      <c r="B34" s="189">
        <v>46207</v>
      </c>
      <c r="C34" s="209" t="s">
        <v>126</v>
      </c>
      <c r="D34" s="23" t="s">
        <v>127</v>
      </c>
      <c r="E34" s="188" t="str">
        <f ca="1">VLOOKUP($D34,物料本月库存明細!$B:$J,2,0)</f>
        <v>JK111-05机壳（无牙）</v>
      </c>
      <c r="F34" s="188" t="str">
        <f ca="1">VLOOKUP($D34,物料本月库存明細!$B:$J,5,0)</f>
        <v>PCS</v>
      </c>
      <c r="G34" s="188">
        <v>1456</v>
      </c>
      <c r="H34" s="191"/>
      <c r="I34" s="188"/>
      <c r="J34" s="188">
        <f ca="1">VLOOKUP($D34,物料本月库存明細!$B:$J,9,0)</f>
        <v>5</v>
      </c>
      <c r="K34" s="217"/>
    </row>
    <row r="35" customHeight="1" spans="1:11">
      <c r="A35" s="218" t="s">
        <v>120</v>
      </c>
      <c r="B35" s="189">
        <v>46207</v>
      </c>
      <c r="C35" s="209" t="s">
        <v>126</v>
      </c>
      <c r="D35" s="36" t="s">
        <v>128</v>
      </c>
      <c r="E35" s="188" t="str">
        <f ca="1">VLOOKUP($D35,物料本月库存明細!$B:$J,2,0)</f>
        <v>T93-33</v>
      </c>
      <c r="F35" s="188" t="str">
        <f ca="1">VLOOKUP($D35,物料本月库存明細!$B:$J,5,0)</f>
        <v>PCS</v>
      </c>
      <c r="G35" s="188">
        <v>3276</v>
      </c>
      <c r="H35" s="191"/>
      <c r="I35" s="188"/>
      <c r="J35" s="188">
        <f ca="1">VLOOKUP($D35,物料本月库存明細!$B:$J,9,0)</f>
        <v>0</v>
      </c>
      <c r="K35" s="217"/>
    </row>
    <row r="36" customHeight="1" spans="1:11">
      <c r="A36" s="218" t="s">
        <v>120</v>
      </c>
      <c r="B36" s="189">
        <v>46207</v>
      </c>
      <c r="C36" s="209" t="s">
        <v>126</v>
      </c>
      <c r="D36" s="196" t="s">
        <v>125</v>
      </c>
      <c r="E36" s="188" t="str">
        <f ca="1">VLOOKUP($D36,物料本月库存明細!$B:$J,2,0)</f>
        <v>T93-29</v>
      </c>
      <c r="F36" s="188" t="str">
        <f ca="1">VLOOKUP($D36,物料本月库存明細!$B:$J,5,0)</f>
        <v>PCS</v>
      </c>
      <c r="G36" s="188">
        <v>1728</v>
      </c>
      <c r="H36" s="191"/>
      <c r="I36" s="188"/>
      <c r="J36" s="188">
        <f ca="1">VLOOKUP($D36,物料本月库存明細!$B:$J,9,0)</f>
        <v>0</v>
      </c>
      <c r="K36" s="217"/>
    </row>
    <row r="37" customHeight="1" spans="1:11">
      <c r="A37" s="218" t="s">
        <v>120</v>
      </c>
      <c r="B37" s="189">
        <v>46207</v>
      </c>
      <c r="C37" s="209" t="s">
        <v>129</v>
      </c>
      <c r="D37" s="196" t="s">
        <v>127</v>
      </c>
      <c r="E37" s="188" t="str">
        <f ca="1">VLOOKUP($D37,物料本月库存明細!$B:$J,2,0)</f>
        <v>JK111-05机壳（无牙）</v>
      </c>
      <c r="F37" s="188" t="str">
        <f ca="1">VLOOKUP($D37,物料本月库存明細!$B:$J,5,0)</f>
        <v>PCS</v>
      </c>
      <c r="G37" s="188">
        <v>5</v>
      </c>
      <c r="H37" s="191" t="s">
        <v>130</v>
      </c>
      <c r="I37" s="188"/>
      <c r="J37" s="188">
        <f ca="1">VLOOKUP($D37,物料本月库存明細!$B:$J,9,0)</f>
        <v>5</v>
      </c>
      <c r="K37" s="217"/>
    </row>
    <row r="38" customHeight="1" spans="1:11">
      <c r="A38" s="218" t="s">
        <v>120</v>
      </c>
      <c r="B38" s="189">
        <v>46210</v>
      </c>
      <c r="C38" s="209" t="s">
        <v>131</v>
      </c>
      <c r="D38" s="196" t="s">
        <v>127</v>
      </c>
      <c r="E38" s="188" t="str">
        <f ca="1">VLOOKUP($D38,物料本月库存明細!$B:$J,2,0)</f>
        <v>JK111-05机壳（无牙）</v>
      </c>
      <c r="F38" s="188" t="str">
        <f ca="1">VLOOKUP($D38,物料本月库存明細!$B:$J,5,0)</f>
        <v>PCS</v>
      </c>
      <c r="G38" s="188">
        <v>1620</v>
      </c>
      <c r="H38" s="191"/>
      <c r="I38" s="188"/>
      <c r="J38" s="188">
        <f ca="1">VLOOKUP($D38,物料本月库存明細!$B:$J,9,0)</f>
        <v>5</v>
      </c>
      <c r="K38" s="217"/>
    </row>
    <row r="39" customHeight="1" spans="1:11">
      <c r="A39" s="218" t="s">
        <v>120</v>
      </c>
      <c r="B39" s="189">
        <v>46210</v>
      </c>
      <c r="C39" s="209" t="s">
        <v>131</v>
      </c>
      <c r="D39" s="196" t="s">
        <v>125</v>
      </c>
      <c r="E39" s="188" t="str">
        <f ca="1">VLOOKUP($D39,物料本月库存明細!$B:$J,2,0)</f>
        <v>T93-29</v>
      </c>
      <c r="F39" s="188" t="str">
        <f ca="1">VLOOKUP($D39,物料本月库存明細!$B:$J,5,0)</f>
        <v>PCS</v>
      </c>
      <c r="G39" s="188">
        <v>5293</v>
      </c>
      <c r="H39" s="191"/>
      <c r="I39" s="188"/>
      <c r="J39" s="188">
        <f ca="1">VLOOKUP($D39,物料本月库存明細!$B:$J,9,0)</f>
        <v>0</v>
      </c>
      <c r="K39" s="217"/>
    </row>
    <row r="40" customHeight="1" spans="1:11">
      <c r="A40" s="191" t="s">
        <v>113</v>
      </c>
      <c r="B40" s="189">
        <v>46211</v>
      </c>
      <c r="C40" s="264" t="s">
        <v>132</v>
      </c>
      <c r="D40" s="192" t="s">
        <v>43</v>
      </c>
      <c r="E40" s="188" t="str">
        <f ca="1">VLOOKUP($D40,物料本月库存明細!$B:$J,2,0)</f>
        <v>1A321W1M001-0A(EL-321W-GL04 铝壳）</v>
      </c>
      <c r="F40" s="188" t="str">
        <f ca="1">VLOOKUP($D40,物料本月库存明細!$B:$J,5,0)</f>
        <v>PCS</v>
      </c>
      <c r="G40" s="188">
        <v>800</v>
      </c>
      <c r="H40" s="191"/>
      <c r="I40" s="188"/>
      <c r="J40" s="188">
        <f ca="1">VLOOKUP($D40,物料本月库存明細!$B:$J,9,0)</f>
        <v>2400</v>
      </c>
      <c r="K40" s="217"/>
    </row>
    <row r="41" customHeight="1" spans="1:11">
      <c r="A41" s="191" t="s">
        <v>133</v>
      </c>
      <c r="B41" s="189">
        <v>46211</v>
      </c>
      <c r="C41" s="264" t="s">
        <v>134</v>
      </c>
      <c r="D41" s="192" t="s">
        <v>135</v>
      </c>
      <c r="E41" s="188" t="str">
        <f ca="1">VLOOKUP($D41,物料本月库存明細!$B:$J,2,0)</f>
        <v>三孔连杆</v>
      </c>
      <c r="F41" s="188" t="str">
        <f ca="1">VLOOKUP($D41,物料本月库存明細!$B:$J,5,0)</f>
        <v>PCS</v>
      </c>
      <c r="G41" s="188">
        <v>640</v>
      </c>
      <c r="H41" s="191"/>
      <c r="I41" s="188"/>
      <c r="J41" s="188">
        <f ca="1">VLOOKUP($D41,物料本月库存明細!$B:$J,9,0)</f>
        <v>0</v>
      </c>
      <c r="K41" s="217"/>
    </row>
    <row r="42" customHeight="1" spans="1:11">
      <c r="A42" s="191" t="s">
        <v>136</v>
      </c>
      <c r="B42" s="189">
        <v>46211</v>
      </c>
      <c r="C42" s="264" t="s">
        <v>137</v>
      </c>
      <c r="D42" s="196" t="s">
        <v>138</v>
      </c>
      <c r="E42" s="188" t="str">
        <f ca="1">VLOOKUP($D42,物料本月库存明細!$B:$J,2,0)</f>
        <v>T93-33</v>
      </c>
      <c r="F42" s="188" t="str">
        <f ca="1">VLOOKUP($D42,物料本月库存明細!$B:$J,5,0)</f>
        <v>PCS</v>
      </c>
      <c r="G42" s="188">
        <v>1080</v>
      </c>
      <c r="H42" s="191"/>
      <c r="I42" s="188"/>
      <c r="J42" s="188">
        <f ca="1">VLOOKUP($D42,物料本月库存明細!$B:$J,9,0)</f>
        <v>0</v>
      </c>
      <c r="K42" s="217"/>
    </row>
    <row r="43" customHeight="1" spans="1:11">
      <c r="A43" s="191" t="s">
        <v>139</v>
      </c>
      <c r="B43" s="189">
        <v>46211</v>
      </c>
      <c r="C43" s="193">
        <v>2505426</v>
      </c>
      <c r="D43" s="192" t="s">
        <v>30</v>
      </c>
      <c r="E43" s="188" t="str">
        <f ca="1">VLOOKUP($D43,物料本月库存明細!$B:$J,2,0)</f>
        <v>扳手810端盖</v>
      </c>
      <c r="F43" s="188" t="str">
        <f ca="1">VLOOKUP($D43,物料本月库存明細!$B:$J,5,0)</f>
        <v>PCS</v>
      </c>
      <c r="G43" s="188">
        <v>2988</v>
      </c>
      <c r="H43" s="191"/>
      <c r="I43" s="188"/>
      <c r="J43" s="188">
        <f ca="1">VLOOKUP($D43,物料本月库存明細!$B:$J,9,0)</f>
        <v>3600</v>
      </c>
      <c r="K43" s="217"/>
    </row>
    <row r="44" customHeight="1" spans="1:11">
      <c r="A44" s="191" t="s">
        <v>139</v>
      </c>
      <c r="B44" s="189">
        <v>46211</v>
      </c>
      <c r="C44" s="193">
        <v>2505426</v>
      </c>
      <c r="D44" s="192" t="s">
        <v>88</v>
      </c>
      <c r="E44" s="188" t="str">
        <f ca="1">VLOOKUP($D44,物料本月库存明細!$B:$J,2,0)</f>
        <v>扳手810STK2头壳</v>
      </c>
      <c r="F44" s="188" t="str">
        <f ca="1">VLOOKUP($D44,物料本月库存明細!$B:$J,5,0)</f>
        <v>PCS</v>
      </c>
      <c r="G44" s="188">
        <v>5213</v>
      </c>
      <c r="H44" s="191"/>
      <c r="I44" s="188"/>
      <c r="J44" s="188">
        <f ca="1">VLOOKUP($D44,物料本月库存明細!$B:$J,9,0)</f>
        <v>2215</v>
      </c>
      <c r="K44" s="217"/>
    </row>
    <row r="45" customHeight="1" spans="1:11">
      <c r="A45" s="191" t="s">
        <v>140</v>
      </c>
      <c r="B45" s="189">
        <v>46211</v>
      </c>
      <c r="C45" s="264" t="s">
        <v>141</v>
      </c>
      <c r="D45" s="143" t="s">
        <v>142</v>
      </c>
      <c r="E45" s="188" t="str">
        <f ca="1">VLOOKUP($D45,物料本月库存明細!$B:$J,2,0)</f>
        <v>1A321W1M001-0A(EL-321W-GL04 铝壳）</v>
      </c>
      <c r="F45" s="188" t="str">
        <f ca="1">VLOOKUP($D45,物料本月库存明細!$B:$J,5,0)</f>
        <v>PCS</v>
      </c>
      <c r="G45" s="188">
        <v>1760</v>
      </c>
      <c r="H45" s="191"/>
      <c r="I45" s="188"/>
      <c r="J45" s="188">
        <f ca="1">VLOOKUP($D45,物料本月库存明細!$B:$J,9,0)</f>
        <v>0</v>
      </c>
      <c r="K45" s="220"/>
    </row>
    <row r="46" customHeight="1" spans="1:11">
      <c r="A46" s="191" t="s">
        <v>113</v>
      </c>
      <c r="B46" s="189">
        <v>46211</v>
      </c>
      <c r="C46" s="264" t="s">
        <v>143</v>
      </c>
      <c r="D46" s="192" t="s">
        <v>43</v>
      </c>
      <c r="E46" s="188" t="str">
        <f ca="1">VLOOKUP($D46,物料本月库存明細!$B:$J,2,0)</f>
        <v>1A321W1M001-0A(EL-321W-GL04 铝壳）</v>
      </c>
      <c r="F46" s="188" t="str">
        <f ca="1">VLOOKUP($D46,物料本月库存明細!$B:$J,5,0)</f>
        <v>PCS</v>
      </c>
      <c r="G46" s="188">
        <v>800</v>
      </c>
      <c r="H46" s="191"/>
      <c r="I46" s="188"/>
      <c r="J46" s="188">
        <f ca="1">VLOOKUP($D46,物料本月库存明細!$B:$J,9,0)</f>
        <v>2400</v>
      </c>
      <c r="K46" s="220"/>
    </row>
    <row r="47" customHeight="1" spans="1:11">
      <c r="A47" s="191" t="s">
        <v>113</v>
      </c>
      <c r="B47" s="189">
        <v>46211</v>
      </c>
      <c r="C47" s="264" t="s">
        <v>143</v>
      </c>
      <c r="D47" s="192" t="s">
        <v>43</v>
      </c>
      <c r="E47" s="188" t="str">
        <f ca="1">VLOOKUP($D47,物料本月库存明細!$B:$J,2,0)</f>
        <v>1A321W1M001-0A(EL-321W-GL04 铝壳）</v>
      </c>
      <c r="F47" s="188" t="str">
        <f ca="1">VLOOKUP($D47,物料本月库存明細!$B:$J,5,0)</f>
        <v>PCS</v>
      </c>
      <c r="G47" s="188">
        <v>1600</v>
      </c>
      <c r="H47" s="191" t="s">
        <v>144</v>
      </c>
      <c r="I47" s="188"/>
      <c r="J47" s="188">
        <f ca="1">VLOOKUP($D47,物料本月库存明細!$B:$J,9,0)</f>
        <v>2400</v>
      </c>
      <c r="K47" s="220"/>
    </row>
    <row r="48" customHeight="1" spans="1:11">
      <c r="A48" s="191" t="s">
        <v>113</v>
      </c>
      <c r="B48" s="189">
        <v>46211</v>
      </c>
      <c r="C48" s="264" t="s">
        <v>143</v>
      </c>
      <c r="D48" s="143" t="s">
        <v>145</v>
      </c>
      <c r="E48" s="188" t="str">
        <f ca="1">VLOOKUP($D48,物料本月库存明細!$B:$J,2,0)</f>
        <v>826头壳（世达款）</v>
      </c>
      <c r="F48" s="188" t="str">
        <f ca="1">VLOOKUP($D48,物料本月库存明細!$B:$J,5,0)</f>
        <v>PCS</v>
      </c>
      <c r="G48" s="188">
        <v>900</v>
      </c>
      <c r="H48" s="191"/>
      <c r="I48" s="188"/>
      <c r="J48" s="188">
        <f ca="1">VLOOKUP($D48,物料本月库存明細!$B:$J,9,0)</f>
        <v>900</v>
      </c>
      <c r="K48" s="220"/>
    </row>
    <row r="49" customHeight="1" spans="1:11">
      <c r="A49" s="191" t="s">
        <v>146</v>
      </c>
      <c r="B49" s="189">
        <v>46211</v>
      </c>
      <c r="C49" s="264" t="s">
        <v>147</v>
      </c>
      <c r="D49" s="25" t="s">
        <v>148</v>
      </c>
      <c r="E49" s="188" t="str">
        <f ca="1">VLOOKUP($D49,物料本月库存明細!$B:$J,2,0)</f>
        <v>（YC013600303900）MS11前壳</v>
      </c>
      <c r="F49" s="188" t="str">
        <f ca="1">VLOOKUP($D49,物料本月库存明細!$B:$J,5,0)</f>
        <v>PCS</v>
      </c>
      <c r="G49" s="188">
        <v>13460</v>
      </c>
      <c r="H49" s="191"/>
      <c r="I49" s="188"/>
      <c r="J49" s="188">
        <f ca="1">VLOOKUP($D49,物料本月库存明細!$B:$J,9,0)</f>
        <v>0</v>
      </c>
      <c r="K49" s="220"/>
    </row>
    <row r="50" customHeight="1" spans="1:11">
      <c r="A50" s="191" t="s">
        <v>146</v>
      </c>
      <c r="B50" s="189">
        <v>46211</v>
      </c>
      <c r="C50" s="264" t="s">
        <v>147</v>
      </c>
      <c r="D50" s="23" t="s">
        <v>149</v>
      </c>
      <c r="E50" s="188" t="str">
        <f ca="1">VLOOKUP($D50,物料本月库存明細!$B:$J,2,0)</f>
        <v>小金童铝连杆</v>
      </c>
      <c r="F50" s="188" t="str">
        <f ca="1">VLOOKUP($D50,物料本月库存明細!$B:$J,5,0)</f>
        <v>PCS</v>
      </c>
      <c r="G50" s="188">
        <v>6600</v>
      </c>
      <c r="H50" s="191"/>
      <c r="I50" s="188"/>
      <c r="J50" s="188">
        <f ca="1">VLOOKUP($D50,物料本月库存明細!$B:$J,9,0)</f>
        <v>0</v>
      </c>
      <c r="K50" s="220"/>
    </row>
    <row r="51" customHeight="1" spans="1:11">
      <c r="A51" s="191" t="s">
        <v>150</v>
      </c>
      <c r="B51" s="189">
        <v>46211</v>
      </c>
      <c r="C51" s="264" t="s">
        <v>151</v>
      </c>
      <c r="D51" s="143" t="s">
        <v>42</v>
      </c>
      <c r="E51" s="188" t="str">
        <f ca="1">VLOOKUP($D51,物料本月库存明細!$B:$J,2,0)</f>
        <v>1A321W1M001-0A(EL-321W-GL04 铝壳）</v>
      </c>
      <c r="F51" s="188" t="str">
        <f ca="1">VLOOKUP($D51,物料本月库存明細!$B:$J,5,0)</f>
        <v>PCS</v>
      </c>
      <c r="G51" s="188">
        <v>1760</v>
      </c>
      <c r="H51" s="191"/>
      <c r="I51" s="188"/>
      <c r="J51" s="188">
        <f ca="1">VLOOKUP($D51,物料本月库存明細!$B:$J,9,0)</f>
        <v>0</v>
      </c>
      <c r="K51" s="220"/>
    </row>
    <row r="52" customHeight="1" spans="1:11">
      <c r="A52" s="191"/>
      <c r="B52" s="189"/>
      <c r="C52" s="193"/>
      <c r="D52" s="195"/>
      <c r="E52" s="188" t="e">
        <f ca="1">VLOOKUP($D52,物料本月库存明細!$B:$J,2,0)</f>
        <v>#N/A</v>
      </c>
      <c r="F52" s="188" t="e">
        <f ca="1">VLOOKUP($D52,物料本月库存明細!$B:$J,5,0)</f>
        <v>#N/A</v>
      </c>
      <c r="G52" s="188"/>
      <c r="H52" s="191"/>
      <c r="I52" s="188"/>
      <c r="J52" s="188" t="e">
        <f ca="1">VLOOKUP($D52,物料本月库存明細!$B:$J,9,0)</f>
        <v>#N/A</v>
      </c>
      <c r="K52" s="220"/>
    </row>
    <row r="53" customHeight="1" spans="1:11">
      <c r="A53" s="191"/>
      <c r="B53" s="189"/>
      <c r="C53" s="193"/>
      <c r="D53" s="192"/>
      <c r="E53" s="188" t="e">
        <f ca="1">VLOOKUP($D53,物料本月库存明細!$B:$J,2,0)</f>
        <v>#N/A</v>
      </c>
      <c r="F53" s="188" t="e">
        <f ca="1">VLOOKUP($D53,物料本月库存明細!$B:$J,5,0)</f>
        <v>#N/A</v>
      </c>
      <c r="G53" s="188"/>
      <c r="H53" s="191"/>
      <c r="I53" s="188"/>
      <c r="J53" s="188" t="e">
        <f ca="1">VLOOKUP($D53,物料本月库存明細!$B:$J,9,0)</f>
        <v>#N/A</v>
      </c>
      <c r="K53" s="220"/>
    </row>
    <row r="54" customHeight="1" spans="1:11">
      <c r="A54" s="191"/>
      <c r="B54" s="189"/>
      <c r="C54" s="193"/>
      <c r="D54" s="192"/>
      <c r="E54" s="188" t="e">
        <f ca="1">VLOOKUP($D54,物料本月库存明細!$B:$J,2,0)</f>
        <v>#N/A</v>
      </c>
      <c r="F54" s="188" t="e">
        <f ca="1">VLOOKUP($D54,物料本月库存明細!$B:$J,5,0)</f>
        <v>#N/A</v>
      </c>
      <c r="G54" s="188"/>
      <c r="H54" s="191"/>
      <c r="I54" s="188"/>
      <c r="J54" s="188" t="e">
        <f ca="1">VLOOKUP($D54,物料本月库存明細!$B:$J,9,0)</f>
        <v>#N/A</v>
      </c>
      <c r="K54" s="220"/>
    </row>
    <row r="55" customHeight="1" spans="1:11">
      <c r="A55" s="191"/>
      <c r="B55" s="189"/>
      <c r="C55" s="193"/>
      <c r="D55" s="194"/>
      <c r="E55" s="188" t="e">
        <f ca="1">VLOOKUP($D55,物料本月库存明細!$B:$J,2,0)</f>
        <v>#N/A</v>
      </c>
      <c r="F55" s="188" t="e">
        <f ca="1">VLOOKUP($D55,物料本月库存明細!$B:$J,5,0)</f>
        <v>#N/A</v>
      </c>
      <c r="G55" s="188"/>
      <c r="H55" s="191"/>
      <c r="I55" s="188"/>
      <c r="J55" s="188" t="e">
        <f ca="1">VLOOKUP($D55,物料本月库存明細!$B:$J,9,0)</f>
        <v>#N/A</v>
      </c>
      <c r="K55" s="220"/>
    </row>
    <row r="56" customHeight="1" spans="1:11">
      <c r="A56" s="191"/>
      <c r="B56" s="189"/>
      <c r="C56" s="193"/>
      <c r="D56" s="197"/>
      <c r="E56" s="188" t="e">
        <f ca="1">VLOOKUP($D56,物料本月库存明細!$B:$J,2,0)</f>
        <v>#N/A</v>
      </c>
      <c r="F56" s="188" t="e">
        <f ca="1">VLOOKUP($D56,物料本月库存明細!$B:$J,5,0)</f>
        <v>#N/A</v>
      </c>
      <c r="G56" s="188"/>
      <c r="H56" s="191"/>
      <c r="I56" s="188"/>
      <c r="J56" s="188" t="e">
        <f ca="1">VLOOKUP($D56,物料本月库存明細!$B:$J,9,0)</f>
        <v>#N/A</v>
      </c>
      <c r="K56" s="220"/>
    </row>
    <row r="57" customHeight="1" spans="1:11">
      <c r="A57" s="191"/>
      <c r="B57" s="189"/>
      <c r="C57" s="193"/>
      <c r="D57" s="204"/>
      <c r="E57" s="188" t="e">
        <f ca="1">VLOOKUP($D57,物料本月库存明細!$B:$J,2,0)</f>
        <v>#N/A</v>
      </c>
      <c r="F57" s="188" t="e">
        <f ca="1">VLOOKUP($D57,物料本月库存明細!$B:$J,5,0)</f>
        <v>#N/A</v>
      </c>
      <c r="G57" s="188"/>
      <c r="H57" s="191"/>
      <c r="I57" s="188"/>
      <c r="J57" s="188" t="e">
        <f ca="1">VLOOKUP($D57,物料本月库存明細!$B:$J,9,0)</f>
        <v>#N/A</v>
      </c>
      <c r="K57" s="220"/>
    </row>
    <row r="58" customHeight="1" spans="1:11">
      <c r="A58" s="191"/>
      <c r="B58" s="189"/>
      <c r="C58" s="193"/>
      <c r="D58" s="192"/>
      <c r="E58" s="188" t="e">
        <f ca="1">VLOOKUP($D58,物料本月库存明細!$B:$J,2,0)</f>
        <v>#N/A</v>
      </c>
      <c r="F58" s="188" t="e">
        <f ca="1">VLOOKUP($D58,物料本月库存明細!$B:$J,5,0)</f>
        <v>#N/A</v>
      </c>
      <c r="G58" s="188"/>
      <c r="H58" s="191"/>
      <c r="I58" s="188"/>
      <c r="J58" s="188" t="e">
        <f ca="1">VLOOKUP($D58,物料本月库存明細!$B:$J,9,0)</f>
        <v>#N/A</v>
      </c>
      <c r="K58" s="220"/>
    </row>
    <row r="59" customHeight="1" spans="1:11">
      <c r="A59" s="191"/>
      <c r="B59" s="189"/>
      <c r="C59" s="193"/>
      <c r="D59" s="192"/>
      <c r="E59" s="188" t="e">
        <f ca="1">VLOOKUP($D59,物料本月库存明細!$B:$J,2,0)</f>
        <v>#N/A</v>
      </c>
      <c r="F59" s="188" t="e">
        <f ca="1">VLOOKUP($D59,物料本月库存明細!$B:$J,5,0)</f>
        <v>#N/A</v>
      </c>
      <c r="G59" s="188"/>
      <c r="H59" s="191"/>
      <c r="I59" s="188"/>
      <c r="J59" s="188" t="e">
        <f ca="1">VLOOKUP($D59,物料本月库存明細!$B:$J,9,0)</f>
        <v>#N/A</v>
      </c>
      <c r="K59" s="220"/>
    </row>
    <row r="60" customHeight="1" spans="1:11">
      <c r="A60" s="191"/>
      <c r="B60" s="189"/>
      <c r="C60" s="193"/>
      <c r="D60" s="196"/>
      <c r="E60" s="188" t="e">
        <f ca="1">VLOOKUP($D60,物料本月库存明細!$B:$J,2,0)</f>
        <v>#N/A</v>
      </c>
      <c r="F60" s="188" t="e">
        <f ca="1">VLOOKUP($D60,物料本月库存明細!$B:$J,5,0)</f>
        <v>#N/A</v>
      </c>
      <c r="G60" s="188"/>
      <c r="H60" s="191"/>
      <c r="I60" s="188"/>
      <c r="J60" s="188" t="e">
        <f ca="1">VLOOKUP($D60,物料本月库存明細!$B:$J,9,0)</f>
        <v>#N/A</v>
      </c>
      <c r="K60" s="220"/>
    </row>
    <row r="61" customHeight="1" spans="1:11">
      <c r="A61" s="191"/>
      <c r="B61" s="189"/>
      <c r="C61" s="193"/>
      <c r="D61" s="196"/>
      <c r="E61" s="188" t="e">
        <f ca="1">VLOOKUP($D61,物料本月库存明細!$B:$J,2,0)</f>
        <v>#N/A</v>
      </c>
      <c r="F61" s="188" t="e">
        <f ca="1">VLOOKUP($D61,物料本月库存明細!$B:$J,5,0)</f>
        <v>#N/A</v>
      </c>
      <c r="G61" s="188"/>
      <c r="H61" s="191"/>
      <c r="I61" s="188"/>
      <c r="J61" s="188" t="e">
        <f ca="1">VLOOKUP($D61,物料本月库存明細!$B:$J,9,0)</f>
        <v>#N/A</v>
      </c>
      <c r="K61" s="220"/>
    </row>
    <row r="62" customHeight="1" spans="1:11">
      <c r="A62" s="191"/>
      <c r="B62" s="189"/>
      <c r="C62" s="193"/>
      <c r="D62" s="192"/>
      <c r="E62" s="188" t="e">
        <f ca="1">VLOOKUP($D62,物料本月库存明細!$B:$J,2,0)</f>
        <v>#N/A</v>
      </c>
      <c r="F62" s="188" t="e">
        <f ca="1">VLOOKUP($D62,物料本月库存明細!$B:$J,5,0)</f>
        <v>#N/A</v>
      </c>
      <c r="G62" s="188"/>
      <c r="H62" s="191"/>
      <c r="I62" s="188"/>
      <c r="J62" s="188" t="e">
        <f ca="1">VLOOKUP($D62,物料本月库存明細!$B:$J,9,0)</f>
        <v>#N/A</v>
      </c>
      <c r="K62" s="220"/>
    </row>
    <row r="63" customHeight="1" spans="1:11">
      <c r="A63" s="191"/>
      <c r="B63" s="189"/>
      <c r="C63" s="193"/>
      <c r="D63" s="195"/>
      <c r="E63" s="188" t="e">
        <f ca="1">VLOOKUP($D63,物料本月库存明細!$B:$J,2,0)</f>
        <v>#N/A</v>
      </c>
      <c r="F63" s="188" t="e">
        <f ca="1">VLOOKUP($D63,物料本月库存明細!$B:$J,5,0)</f>
        <v>#N/A</v>
      </c>
      <c r="G63" s="188"/>
      <c r="H63" s="191"/>
      <c r="I63" s="188"/>
      <c r="J63" s="188" t="e">
        <f ca="1">VLOOKUP($D63,物料本月库存明細!$B:$J,9,0)</f>
        <v>#N/A</v>
      </c>
      <c r="K63" s="220"/>
    </row>
    <row r="64" customHeight="1" spans="1:11">
      <c r="A64" s="191"/>
      <c r="B64" s="189"/>
      <c r="C64" s="193"/>
      <c r="D64" s="195"/>
      <c r="E64" s="188" t="e">
        <f ca="1">VLOOKUP($D64,物料本月库存明細!$B:$J,2,0)</f>
        <v>#N/A</v>
      </c>
      <c r="F64" s="188" t="e">
        <f ca="1">VLOOKUP($D64,物料本月库存明細!$B:$J,5,0)</f>
        <v>#N/A</v>
      </c>
      <c r="G64" s="188"/>
      <c r="H64" s="191"/>
      <c r="I64" s="188"/>
      <c r="J64" s="188" t="e">
        <f ca="1">VLOOKUP($D64,物料本月库存明細!$B:$J,9,0)</f>
        <v>#N/A</v>
      </c>
      <c r="K64" s="220"/>
    </row>
    <row r="65" customHeight="1" spans="1:11">
      <c r="A65" s="191"/>
      <c r="B65" s="189"/>
      <c r="C65" s="193"/>
      <c r="D65" s="195"/>
      <c r="E65" s="188" t="e">
        <f ca="1">VLOOKUP($D65,物料本月库存明細!$B:$J,2,0)</f>
        <v>#N/A</v>
      </c>
      <c r="F65" s="188" t="e">
        <f ca="1">VLOOKUP($D65,物料本月库存明細!$B:$J,5,0)</f>
        <v>#N/A</v>
      </c>
      <c r="G65" s="188"/>
      <c r="H65" s="191"/>
      <c r="I65" s="188"/>
      <c r="J65" s="188" t="e">
        <f ca="1">VLOOKUP($D65,物料本月库存明細!$B:$J,9,0)</f>
        <v>#N/A</v>
      </c>
      <c r="K65" s="220"/>
    </row>
    <row r="66" customHeight="1" spans="1:11">
      <c r="A66" s="191"/>
      <c r="B66" s="189"/>
      <c r="C66" s="193"/>
      <c r="D66" s="195"/>
      <c r="E66" s="188" t="e">
        <f ca="1">VLOOKUP($D66,物料本月库存明細!$B:$J,2,0)</f>
        <v>#N/A</v>
      </c>
      <c r="F66" s="188" t="e">
        <f ca="1">VLOOKUP($D66,物料本月库存明細!$B:$J,5,0)</f>
        <v>#N/A</v>
      </c>
      <c r="G66" s="188"/>
      <c r="H66" s="191"/>
      <c r="I66" s="188"/>
      <c r="J66" s="188" t="e">
        <f ca="1">VLOOKUP($D66,物料本月库存明細!$B:$J,9,0)</f>
        <v>#N/A</v>
      </c>
      <c r="K66" s="220"/>
    </row>
    <row r="67" customHeight="1" spans="1:11">
      <c r="A67" s="191"/>
      <c r="B67" s="189"/>
      <c r="C67" s="193"/>
      <c r="D67" s="195"/>
      <c r="E67" s="188" t="e">
        <f ca="1">VLOOKUP($D67,物料本月库存明細!$B:$J,2,0)</f>
        <v>#N/A</v>
      </c>
      <c r="F67" s="188" t="e">
        <f ca="1">VLOOKUP($D67,物料本月库存明細!$B:$J,5,0)</f>
        <v>#N/A</v>
      </c>
      <c r="G67" s="188"/>
      <c r="H67" s="191"/>
      <c r="I67" s="188"/>
      <c r="J67" s="188" t="e">
        <f ca="1">VLOOKUP($D67,物料本月库存明細!$B:$J,9,0)</f>
        <v>#N/A</v>
      </c>
      <c r="K67" s="220"/>
    </row>
    <row r="68" customHeight="1" spans="1:11">
      <c r="A68" s="191"/>
      <c r="B68" s="189"/>
      <c r="C68" s="193"/>
      <c r="D68" s="195"/>
      <c r="E68" s="188" t="e">
        <f ca="1">VLOOKUP($D68,物料本月库存明細!$B:$J,2,0)</f>
        <v>#N/A</v>
      </c>
      <c r="F68" s="188" t="e">
        <f ca="1">VLOOKUP($D68,物料本月库存明細!$B:$J,5,0)</f>
        <v>#N/A</v>
      </c>
      <c r="G68" s="188"/>
      <c r="H68" s="191"/>
      <c r="I68" s="188"/>
      <c r="J68" s="188" t="e">
        <f ca="1">VLOOKUP($D68,物料本月库存明細!$B:$J,9,0)</f>
        <v>#N/A</v>
      </c>
      <c r="K68" s="220"/>
    </row>
    <row r="69" customHeight="1" spans="1:11">
      <c r="A69" s="191"/>
      <c r="B69" s="189"/>
      <c r="C69" s="193"/>
      <c r="D69" s="195"/>
      <c r="E69" s="188" t="e">
        <f ca="1">VLOOKUP($D69,物料本月库存明細!$B:$J,2,0)</f>
        <v>#N/A</v>
      </c>
      <c r="F69" s="188" t="e">
        <f ca="1">VLOOKUP($D69,物料本月库存明細!$B:$J,5,0)</f>
        <v>#N/A</v>
      </c>
      <c r="G69" s="188"/>
      <c r="H69" s="191"/>
      <c r="I69" s="188"/>
      <c r="J69" s="188" t="e">
        <f ca="1">VLOOKUP($D69,物料本月库存明細!$B:$J,9,0)</f>
        <v>#N/A</v>
      </c>
      <c r="K69" s="220"/>
    </row>
    <row r="70" customHeight="1" spans="1:11">
      <c r="A70" s="191"/>
      <c r="B70" s="189"/>
      <c r="C70" s="193"/>
      <c r="D70" s="192"/>
      <c r="E70" s="188" t="e">
        <f ca="1">VLOOKUP($D70,物料本月库存明細!$B:$J,2,0)</f>
        <v>#N/A</v>
      </c>
      <c r="F70" s="188" t="e">
        <f ca="1">VLOOKUP($D70,物料本月库存明細!$B:$J,5,0)</f>
        <v>#N/A</v>
      </c>
      <c r="G70" s="188"/>
      <c r="H70" s="191"/>
      <c r="I70" s="188"/>
      <c r="J70" s="188" t="e">
        <f ca="1">VLOOKUP($D70,物料本月库存明細!$B:$J,9,0)</f>
        <v>#N/A</v>
      </c>
      <c r="K70" s="220"/>
    </row>
    <row r="71" customHeight="1" spans="1:11">
      <c r="A71" s="191"/>
      <c r="B71" s="189"/>
      <c r="C71" s="193"/>
      <c r="D71" s="196"/>
      <c r="E71" s="188" t="e">
        <f ca="1">VLOOKUP($D71,物料本月库存明細!$B:$J,2,0)</f>
        <v>#N/A</v>
      </c>
      <c r="F71" s="188" t="e">
        <f ca="1">VLOOKUP($D71,物料本月库存明細!$B:$J,5,0)</f>
        <v>#N/A</v>
      </c>
      <c r="G71" s="188"/>
      <c r="H71" s="191"/>
      <c r="I71" s="188"/>
      <c r="J71" s="188" t="e">
        <f ca="1">VLOOKUP($D71,物料本月库存明細!$B:$J,9,0)</f>
        <v>#N/A</v>
      </c>
      <c r="K71" s="220"/>
    </row>
    <row r="72" customHeight="1" spans="1:11">
      <c r="A72" s="191"/>
      <c r="B72" s="189"/>
      <c r="C72" s="193"/>
      <c r="D72" s="192"/>
      <c r="E72" s="188" t="e">
        <f ca="1">VLOOKUP($D72,物料本月库存明細!$B:$J,2,0)</f>
        <v>#N/A</v>
      </c>
      <c r="F72" s="188" t="e">
        <f ca="1">VLOOKUP($D72,物料本月库存明細!$B:$J,5,0)</f>
        <v>#N/A</v>
      </c>
      <c r="G72" s="188"/>
      <c r="H72" s="191"/>
      <c r="I72" s="188"/>
      <c r="J72" s="188" t="e">
        <f ca="1">VLOOKUP($D72,物料本月库存明細!$B:$J,9,0)</f>
        <v>#N/A</v>
      </c>
      <c r="K72" s="220"/>
    </row>
    <row r="73" customHeight="1" spans="1:11">
      <c r="A73" s="191"/>
      <c r="B73" s="189"/>
      <c r="C73" s="193"/>
      <c r="D73" s="201"/>
      <c r="E73" s="188" t="e">
        <f ca="1">VLOOKUP($D73,物料本月库存明細!$B:$J,2,0)</f>
        <v>#N/A</v>
      </c>
      <c r="F73" s="188" t="e">
        <f ca="1">VLOOKUP($D73,物料本月库存明細!$B:$J,5,0)</f>
        <v>#N/A</v>
      </c>
      <c r="G73" s="188"/>
      <c r="H73" s="191"/>
      <c r="I73" s="188"/>
      <c r="J73" s="188" t="e">
        <f ca="1">VLOOKUP($D73,物料本月库存明細!$B:$J,9,0)</f>
        <v>#N/A</v>
      </c>
      <c r="K73" s="220"/>
    </row>
    <row r="74" customHeight="1" spans="1:11">
      <c r="A74" s="191"/>
      <c r="B74" s="189"/>
      <c r="C74" s="193"/>
      <c r="D74" s="201"/>
      <c r="E74" s="188" t="e">
        <f ca="1">VLOOKUP($D74,物料本月库存明細!$B:$J,2,0)</f>
        <v>#N/A</v>
      </c>
      <c r="F74" s="188" t="e">
        <f ca="1">VLOOKUP($D74,物料本月库存明細!$B:$J,5,0)</f>
        <v>#N/A</v>
      </c>
      <c r="G74" s="188"/>
      <c r="H74" s="191"/>
      <c r="I74" s="188"/>
      <c r="J74" s="188" t="e">
        <f ca="1">VLOOKUP($D74,物料本月库存明細!$B:$J,9,0)</f>
        <v>#N/A</v>
      </c>
      <c r="K74" s="220"/>
    </row>
    <row r="75" customHeight="1" spans="1:11">
      <c r="A75" s="191"/>
      <c r="B75" s="189"/>
      <c r="C75" s="193"/>
      <c r="D75" s="201"/>
      <c r="E75" s="188" t="e">
        <f ca="1">VLOOKUP($D75,物料本月库存明細!$B:$J,2,0)</f>
        <v>#N/A</v>
      </c>
      <c r="F75" s="188" t="e">
        <f ca="1">VLOOKUP($D75,物料本月库存明細!$B:$J,5,0)</f>
        <v>#N/A</v>
      </c>
      <c r="G75" s="188"/>
      <c r="H75" s="191"/>
      <c r="I75" s="188"/>
      <c r="J75" s="188" t="e">
        <f ca="1">VLOOKUP($D75,物料本月库存明細!$B:$J,9,0)</f>
        <v>#N/A</v>
      </c>
      <c r="K75" s="220"/>
    </row>
    <row r="76" customHeight="1" spans="1:11">
      <c r="A76" s="191"/>
      <c r="B76" s="189"/>
      <c r="C76" s="193"/>
      <c r="D76" s="201"/>
      <c r="E76" s="188" t="e">
        <f ca="1">VLOOKUP($D76,物料本月库存明細!$B:$J,2,0)</f>
        <v>#N/A</v>
      </c>
      <c r="F76" s="188" t="e">
        <f ca="1">VLOOKUP($D76,物料本月库存明細!$B:$J,5,0)</f>
        <v>#N/A</v>
      </c>
      <c r="G76" s="188"/>
      <c r="H76" s="191"/>
      <c r="I76" s="188"/>
      <c r="J76" s="188" t="e">
        <f ca="1">VLOOKUP($D76,物料本月库存明細!$B:$J,9,0)</f>
        <v>#N/A</v>
      </c>
      <c r="K76" s="220"/>
    </row>
    <row r="77" customHeight="1" spans="1:11">
      <c r="A77" s="191"/>
      <c r="B77" s="189"/>
      <c r="C77" s="193"/>
      <c r="D77" s="196"/>
      <c r="E77" s="188" t="e">
        <f ca="1">VLOOKUP($D77,物料本月库存明細!$B:$J,2,0)</f>
        <v>#N/A</v>
      </c>
      <c r="F77" s="188" t="e">
        <f ca="1">VLOOKUP($D77,物料本月库存明細!$B:$J,5,0)</f>
        <v>#N/A</v>
      </c>
      <c r="G77" s="188"/>
      <c r="H77" s="191"/>
      <c r="I77" s="188"/>
      <c r="J77" s="188" t="e">
        <f ca="1">VLOOKUP($D77,物料本月库存明細!$B:$J,9,0)</f>
        <v>#N/A</v>
      </c>
      <c r="K77" s="220"/>
    </row>
    <row r="78" customHeight="1" spans="1:11">
      <c r="A78" s="191"/>
      <c r="B78" s="189"/>
      <c r="C78" s="193"/>
      <c r="D78" s="192"/>
      <c r="E78" s="188" t="e">
        <f ca="1">VLOOKUP($D78,物料本月库存明細!$B:$J,2,0)</f>
        <v>#N/A</v>
      </c>
      <c r="F78" s="188" t="e">
        <f ca="1">VLOOKUP($D78,物料本月库存明細!$B:$J,5,0)</f>
        <v>#N/A</v>
      </c>
      <c r="G78" s="188"/>
      <c r="H78" s="191"/>
      <c r="I78" s="188"/>
      <c r="J78" s="188" t="e">
        <f ca="1">VLOOKUP($D78,物料本月库存明細!$B:$J,9,0)</f>
        <v>#N/A</v>
      </c>
      <c r="K78" s="220"/>
    </row>
    <row r="79" customHeight="1" spans="1:11">
      <c r="A79" s="191"/>
      <c r="B79" s="189"/>
      <c r="C79" s="193"/>
      <c r="D79" s="192"/>
      <c r="E79" s="188" t="e">
        <f ca="1">VLOOKUP($D79,物料本月库存明細!$B:$J,2,0)</f>
        <v>#N/A</v>
      </c>
      <c r="F79" s="188" t="e">
        <f ca="1">VLOOKUP($D79,物料本月库存明細!$B:$J,5,0)</f>
        <v>#N/A</v>
      </c>
      <c r="G79" s="188"/>
      <c r="H79" s="191"/>
      <c r="I79" s="188"/>
      <c r="J79" s="188" t="e">
        <f ca="1">VLOOKUP($D79,物料本月库存明細!$B:$J,9,0)</f>
        <v>#N/A</v>
      </c>
      <c r="K79" s="220"/>
    </row>
    <row r="80" customHeight="1" spans="1:11">
      <c r="A80" s="191"/>
      <c r="B80" s="189"/>
      <c r="C80" s="193"/>
      <c r="D80" s="192"/>
      <c r="E80" s="188" t="e">
        <f ca="1">VLOOKUP($D80,物料本月库存明細!$B:$J,2,0)</f>
        <v>#N/A</v>
      </c>
      <c r="F80" s="188" t="e">
        <f ca="1">VLOOKUP($D80,物料本月库存明細!$B:$J,5,0)</f>
        <v>#N/A</v>
      </c>
      <c r="G80" s="188"/>
      <c r="H80" s="191"/>
      <c r="I80" s="188"/>
      <c r="J80" s="188" t="e">
        <f ca="1">VLOOKUP($D80,物料本月库存明細!$B:$J,9,0)</f>
        <v>#N/A</v>
      </c>
      <c r="K80" s="220"/>
    </row>
    <row r="81" customHeight="1" spans="1:11">
      <c r="A81" s="191"/>
      <c r="B81" s="189"/>
      <c r="C81" s="193"/>
      <c r="D81" s="196"/>
      <c r="E81" s="188" t="e">
        <f ca="1">VLOOKUP($D81,物料本月库存明細!$B:$J,2,0)</f>
        <v>#N/A</v>
      </c>
      <c r="F81" s="188" t="e">
        <f ca="1">VLOOKUP($D81,物料本月库存明細!$B:$J,5,0)</f>
        <v>#N/A</v>
      </c>
      <c r="G81" s="188"/>
      <c r="H81" s="191"/>
      <c r="I81" s="188"/>
      <c r="J81" s="188" t="e">
        <f ca="1">VLOOKUP($D81,物料本月库存明細!$B:$J,9,0)</f>
        <v>#N/A</v>
      </c>
      <c r="K81" s="220"/>
    </row>
    <row r="82" customHeight="1" spans="1:11">
      <c r="A82" s="191"/>
      <c r="B82" s="189"/>
      <c r="C82" s="193"/>
      <c r="D82" s="192"/>
      <c r="E82" s="188" t="e">
        <f ca="1">VLOOKUP($D82,物料本月库存明細!$B:$J,2,0)</f>
        <v>#N/A</v>
      </c>
      <c r="F82" s="188" t="e">
        <f ca="1">VLOOKUP($D82,物料本月库存明細!$B:$J,5,0)</f>
        <v>#N/A</v>
      </c>
      <c r="G82" s="188"/>
      <c r="H82" s="191"/>
      <c r="I82" s="188"/>
      <c r="J82" s="188" t="e">
        <f ca="1">VLOOKUP($D82,物料本月库存明細!$B:$J,9,0)</f>
        <v>#N/A</v>
      </c>
      <c r="K82" s="220"/>
    </row>
    <row r="83" customHeight="1" spans="1:11">
      <c r="A83" s="191"/>
      <c r="B83" s="189"/>
      <c r="C83" s="193"/>
      <c r="D83" s="192"/>
      <c r="E83" s="188" t="e">
        <f ca="1">VLOOKUP($D83,物料本月库存明細!$B:$J,2,0)</f>
        <v>#N/A</v>
      </c>
      <c r="F83" s="188" t="e">
        <f ca="1">VLOOKUP($D83,物料本月库存明細!$B:$J,5,0)</f>
        <v>#N/A</v>
      </c>
      <c r="G83" s="188"/>
      <c r="H83" s="191"/>
      <c r="I83" s="188"/>
      <c r="J83" s="188" t="e">
        <f ca="1">VLOOKUP($D83,物料本月库存明細!$B:$J,9,0)</f>
        <v>#N/A</v>
      </c>
      <c r="K83" s="220"/>
    </row>
    <row r="84" customHeight="1" spans="1:11">
      <c r="A84" s="191"/>
      <c r="B84" s="189"/>
      <c r="C84" s="193"/>
      <c r="D84" s="192"/>
      <c r="E84" s="188" t="e">
        <f ca="1">VLOOKUP($D84,物料本月库存明細!$B:$J,2,0)</f>
        <v>#N/A</v>
      </c>
      <c r="F84" s="188" t="e">
        <f ca="1">VLOOKUP($D84,物料本月库存明細!$B:$J,5,0)</f>
        <v>#N/A</v>
      </c>
      <c r="G84" s="188"/>
      <c r="H84" s="191"/>
      <c r="I84" s="188"/>
      <c r="J84" s="188" t="e">
        <f ca="1">VLOOKUP($D84,物料本月库存明細!$B:$J,9,0)</f>
        <v>#N/A</v>
      </c>
      <c r="K84" s="220"/>
    </row>
    <row r="85" customHeight="1" spans="1:11">
      <c r="A85" s="191"/>
      <c r="B85" s="189"/>
      <c r="C85" s="193"/>
      <c r="D85" s="192"/>
      <c r="E85" s="188" t="e">
        <f ca="1">VLOOKUP($D85,物料本月库存明細!$B:$J,2,0)</f>
        <v>#N/A</v>
      </c>
      <c r="F85" s="188" t="e">
        <f ca="1">VLOOKUP($D85,物料本月库存明細!$B:$J,5,0)</f>
        <v>#N/A</v>
      </c>
      <c r="G85" s="188"/>
      <c r="H85" s="191"/>
      <c r="I85" s="188"/>
      <c r="J85" s="188" t="e">
        <f ca="1">VLOOKUP($D85,物料本月库存明細!$B:$J,9,0)</f>
        <v>#N/A</v>
      </c>
      <c r="K85" s="220"/>
    </row>
    <row r="86" customHeight="1" spans="1:11">
      <c r="A86" s="191"/>
      <c r="B86" s="189"/>
      <c r="C86" s="193"/>
      <c r="D86" s="196"/>
      <c r="E86" s="188" t="e">
        <f ca="1">VLOOKUP($D86,物料本月库存明細!$B:$J,2,0)</f>
        <v>#N/A</v>
      </c>
      <c r="F86" s="188" t="e">
        <f ca="1">VLOOKUP($D86,物料本月库存明細!$B:$J,5,0)</f>
        <v>#N/A</v>
      </c>
      <c r="G86" s="188"/>
      <c r="H86" s="191"/>
      <c r="I86" s="188"/>
      <c r="J86" s="188" t="e">
        <f ca="1">VLOOKUP($D86,物料本月库存明細!$B:$J,9,0)</f>
        <v>#N/A</v>
      </c>
      <c r="K86" s="220"/>
    </row>
    <row r="87" customHeight="1" spans="1:11">
      <c r="A87" s="191"/>
      <c r="B87" s="189"/>
      <c r="C87" s="193"/>
      <c r="D87" s="192"/>
      <c r="E87" s="188" t="e">
        <f ca="1">VLOOKUP($D87,物料本月库存明細!$B:$J,2,0)</f>
        <v>#N/A</v>
      </c>
      <c r="F87" s="188" t="e">
        <f ca="1">VLOOKUP($D87,物料本月库存明細!$B:$J,5,0)</f>
        <v>#N/A</v>
      </c>
      <c r="G87" s="188"/>
      <c r="H87" s="191"/>
      <c r="I87" s="188"/>
      <c r="J87" s="188" t="e">
        <f ca="1">VLOOKUP($D87,物料本月库存明細!$B:$J,9,0)</f>
        <v>#N/A</v>
      </c>
      <c r="K87" s="220"/>
    </row>
    <row r="88" customHeight="1" spans="1:11">
      <c r="A88" s="191"/>
      <c r="B88" s="189"/>
      <c r="C88" s="193"/>
      <c r="D88" s="200"/>
      <c r="E88" s="188" t="e">
        <f ca="1">VLOOKUP($D88,物料本月库存明細!$B:$J,2,0)</f>
        <v>#N/A</v>
      </c>
      <c r="F88" s="188" t="e">
        <f ca="1">VLOOKUP($D88,物料本月库存明細!$B:$J,5,0)</f>
        <v>#N/A</v>
      </c>
      <c r="G88" s="188"/>
      <c r="H88" s="191"/>
      <c r="I88" s="188"/>
      <c r="J88" s="188" t="e">
        <f ca="1">VLOOKUP($D88,物料本月库存明細!$B:$J,9,0)</f>
        <v>#N/A</v>
      </c>
      <c r="K88" s="220"/>
    </row>
    <row r="89" customHeight="1" spans="1:11">
      <c r="A89" s="191"/>
      <c r="B89" s="189"/>
      <c r="C89" s="193"/>
      <c r="D89" s="196"/>
      <c r="E89" s="188" t="e">
        <f ca="1">VLOOKUP($D89,物料本月库存明細!$B:$J,2,0)</f>
        <v>#N/A</v>
      </c>
      <c r="F89" s="188" t="e">
        <f ca="1">VLOOKUP($D89,物料本月库存明細!$B:$J,5,0)</f>
        <v>#N/A</v>
      </c>
      <c r="G89" s="188"/>
      <c r="H89" s="191"/>
      <c r="I89" s="188"/>
      <c r="J89" s="188" t="e">
        <f ca="1">VLOOKUP($D89,物料本月库存明細!$B:$J,9,0)</f>
        <v>#N/A</v>
      </c>
      <c r="K89" s="220"/>
    </row>
    <row r="90" customHeight="1" spans="1:11">
      <c r="A90" s="191"/>
      <c r="B90" s="189"/>
      <c r="C90" s="193"/>
      <c r="D90" s="196"/>
      <c r="E90" s="188" t="e">
        <f ca="1">VLOOKUP($D90,物料本月库存明細!$B:$J,2,0)</f>
        <v>#N/A</v>
      </c>
      <c r="F90" s="188" t="e">
        <f ca="1">VLOOKUP($D90,物料本月库存明細!$B:$J,5,0)</f>
        <v>#N/A</v>
      </c>
      <c r="G90" s="188"/>
      <c r="H90" s="191"/>
      <c r="I90" s="188"/>
      <c r="J90" s="188" t="e">
        <f ca="1">VLOOKUP($D90,物料本月库存明細!$B:$J,9,0)</f>
        <v>#N/A</v>
      </c>
      <c r="K90" s="220"/>
    </row>
    <row r="91" customHeight="1" spans="1:11">
      <c r="A91" s="191"/>
      <c r="B91" s="189"/>
      <c r="C91" s="193"/>
      <c r="D91" s="192"/>
      <c r="E91" s="188" t="e">
        <f ca="1">VLOOKUP($D91,物料本月库存明細!$B:$J,2,0)</f>
        <v>#N/A</v>
      </c>
      <c r="F91" s="188" t="e">
        <f ca="1">VLOOKUP($D91,物料本月库存明細!$B:$J,5,0)</f>
        <v>#N/A</v>
      </c>
      <c r="G91" s="188"/>
      <c r="H91" s="191"/>
      <c r="I91" s="188"/>
      <c r="J91" s="188" t="e">
        <f ca="1">VLOOKUP($D91,物料本月库存明細!$B:$J,9,0)</f>
        <v>#N/A</v>
      </c>
      <c r="K91" s="220"/>
    </row>
    <row r="92" customHeight="1" spans="1:11">
      <c r="A92" s="191"/>
      <c r="B92" s="189"/>
      <c r="C92" s="193"/>
      <c r="D92" s="192"/>
      <c r="E92" s="188" t="e">
        <f ca="1">VLOOKUP($D92,物料本月库存明細!$B:$J,2,0)</f>
        <v>#N/A</v>
      </c>
      <c r="F92" s="188" t="e">
        <f ca="1">VLOOKUP($D92,物料本月库存明細!$B:$J,5,0)</f>
        <v>#N/A</v>
      </c>
      <c r="G92" s="188"/>
      <c r="H92" s="191"/>
      <c r="I92" s="188"/>
      <c r="J92" s="188" t="e">
        <f ca="1">VLOOKUP($D92,物料本月库存明細!$B:$J,9,0)</f>
        <v>#N/A</v>
      </c>
      <c r="K92" s="220"/>
    </row>
    <row r="93" customHeight="1" spans="1:11">
      <c r="A93" s="191"/>
      <c r="B93" s="189"/>
      <c r="C93" s="193"/>
      <c r="D93" s="192"/>
      <c r="E93" s="188" t="e">
        <f ca="1">VLOOKUP($D93,物料本月库存明細!$B:$J,2,0)</f>
        <v>#N/A</v>
      </c>
      <c r="F93" s="188" t="e">
        <f ca="1">VLOOKUP($D93,物料本月库存明細!$B:$J,5,0)</f>
        <v>#N/A</v>
      </c>
      <c r="G93" s="188"/>
      <c r="H93" s="191"/>
      <c r="I93" s="188"/>
      <c r="J93" s="188" t="e">
        <f ca="1">VLOOKUP($D93,物料本月库存明細!$B:$J,9,0)</f>
        <v>#N/A</v>
      </c>
      <c r="K93" s="220"/>
    </row>
    <row r="94" customHeight="1" spans="1:11">
      <c r="A94" s="191"/>
      <c r="B94" s="189"/>
      <c r="C94" s="193"/>
      <c r="D94" s="192"/>
      <c r="E94" s="188" t="e">
        <f ca="1">VLOOKUP($D94,物料本月库存明細!$B:$J,2,0)</f>
        <v>#N/A</v>
      </c>
      <c r="F94" s="188" t="e">
        <f ca="1">VLOOKUP($D94,物料本月库存明細!$B:$J,5,0)</f>
        <v>#N/A</v>
      </c>
      <c r="G94" s="188"/>
      <c r="H94" s="191"/>
      <c r="I94" s="188"/>
      <c r="J94" s="188" t="e">
        <f ca="1">VLOOKUP($D94,物料本月库存明細!$B:$J,9,0)</f>
        <v>#N/A</v>
      </c>
      <c r="K94" s="220"/>
    </row>
    <row r="95" customHeight="1" spans="1:11">
      <c r="A95" s="191"/>
      <c r="B95" s="189"/>
      <c r="C95" s="193"/>
      <c r="D95" s="196"/>
      <c r="E95" s="188" t="e">
        <f ca="1">VLOOKUP($D95,物料本月库存明細!$B:$J,2,0)</f>
        <v>#N/A</v>
      </c>
      <c r="F95" s="188" t="e">
        <f ca="1">VLOOKUP($D95,物料本月库存明細!$B:$J,5,0)</f>
        <v>#N/A</v>
      </c>
      <c r="G95" s="188"/>
      <c r="H95" s="191"/>
      <c r="I95" s="188"/>
      <c r="J95" s="188" t="e">
        <f ca="1">VLOOKUP($D95,物料本月库存明細!$B:$J,9,0)</f>
        <v>#N/A</v>
      </c>
      <c r="K95" s="220"/>
    </row>
    <row r="96" customHeight="1" spans="1:11">
      <c r="A96" s="191"/>
      <c r="B96" s="189"/>
      <c r="C96" s="193"/>
      <c r="D96" s="196"/>
      <c r="E96" s="188" t="e">
        <f ca="1">VLOOKUP($D96,物料本月库存明細!$B:$J,2,0)</f>
        <v>#N/A</v>
      </c>
      <c r="F96" s="188" t="e">
        <f ca="1">VLOOKUP($D96,物料本月库存明細!$B:$J,5,0)</f>
        <v>#N/A</v>
      </c>
      <c r="G96" s="188"/>
      <c r="H96" s="191"/>
      <c r="I96" s="188"/>
      <c r="J96" s="188" t="e">
        <f ca="1">VLOOKUP($D96,物料本月库存明細!$B:$J,9,0)</f>
        <v>#N/A</v>
      </c>
      <c r="K96" s="220"/>
    </row>
    <row r="97" customHeight="1" spans="1:11">
      <c r="A97" s="191"/>
      <c r="B97" s="189"/>
      <c r="C97" s="193"/>
      <c r="D97" s="192"/>
      <c r="E97" s="188" t="e">
        <f ca="1">VLOOKUP($D97,物料本月库存明細!$B:$J,2,0)</f>
        <v>#N/A</v>
      </c>
      <c r="F97" s="188" t="e">
        <f ca="1">VLOOKUP($D97,物料本月库存明細!$B:$J,5,0)</f>
        <v>#N/A</v>
      </c>
      <c r="G97" s="188"/>
      <c r="H97" s="191"/>
      <c r="I97" s="188"/>
      <c r="J97" s="188" t="e">
        <f ca="1">VLOOKUP($D97,物料本月库存明細!$B:$J,9,0)</f>
        <v>#N/A</v>
      </c>
      <c r="K97" s="220"/>
    </row>
    <row r="98" customHeight="1" spans="1:11">
      <c r="A98" s="191"/>
      <c r="B98" s="189"/>
      <c r="C98" s="193"/>
      <c r="D98" s="192"/>
      <c r="E98" s="188" t="e">
        <f ca="1">VLOOKUP($D98,物料本月库存明細!$B:$J,2,0)</f>
        <v>#N/A</v>
      </c>
      <c r="F98" s="188" t="e">
        <f ca="1">VLOOKUP($D98,物料本月库存明細!$B:$J,5,0)</f>
        <v>#N/A</v>
      </c>
      <c r="G98" s="188"/>
      <c r="H98" s="191"/>
      <c r="I98" s="188"/>
      <c r="J98" s="188" t="e">
        <f ca="1">VLOOKUP($D98,物料本月库存明細!$B:$J,9,0)</f>
        <v>#N/A</v>
      </c>
      <c r="K98" s="220"/>
    </row>
    <row r="99" customHeight="1" spans="1:11">
      <c r="A99" s="191"/>
      <c r="B99" s="189"/>
      <c r="C99" s="193"/>
      <c r="D99" s="192"/>
      <c r="E99" s="188" t="e">
        <f ca="1">VLOOKUP($D99,物料本月库存明細!$B:$J,2,0)</f>
        <v>#N/A</v>
      </c>
      <c r="F99" s="188" t="e">
        <f ca="1">VLOOKUP($D99,物料本月库存明細!$B:$J,5,0)</f>
        <v>#N/A</v>
      </c>
      <c r="G99" s="188"/>
      <c r="H99" s="191"/>
      <c r="I99" s="188"/>
      <c r="J99" s="188" t="e">
        <f ca="1">VLOOKUP($D99,物料本月库存明細!$B:$J,9,0)</f>
        <v>#N/A</v>
      </c>
      <c r="K99" s="220"/>
    </row>
    <row r="100" customHeight="1" spans="1:11">
      <c r="A100" s="191"/>
      <c r="B100" s="189"/>
      <c r="C100" s="193"/>
      <c r="D100" s="197"/>
      <c r="E100" s="188" t="e">
        <f ca="1">VLOOKUP($D100,物料本月库存明細!$B:$J,2,0)</f>
        <v>#N/A</v>
      </c>
      <c r="F100" s="188" t="e">
        <f ca="1">VLOOKUP($D100,物料本月库存明細!$B:$J,5,0)</f>
        <v>#N/A</v>
      </c>
      <c r="G100" s="188"/>
      <c r="H100" s="191"/>
      <c r="I100" s="188"/>
      <c r="J100" s="188" t="e">
        <f ca="1">VLOOKUP($D100,物料本月库存明細!$B:$J,9,0)</f>
        <v>#N/A</v>
      </c>
      <c r="K100" s="220"/>
    </row>
    <row r="101" customHeight="1" spans="1:11">
      <c r="A101" s="191"/>
      <c r="B101" s="189"/>
      <c r="C101" s="193"/>
      <c r="D101" s="201"/>
      <c r="E101" s="188" t="e">
        <f ca="1">VLOOKUP($D101,物料本月库存明細!$B:$J,2,0)</f>
        <v>#N/A</v>
      </c>
      <c r="F101" s="188" t="e">
        <f ca="1">VLOOKUP($D101,物料本月库存明細!$B:$J,5,0)</f>
        <v>#N/A</v>
      </c>
      <c r="G101" s="188"/>
      <c r="H101" s="191"/>
      <c r="I101" s="188"/>
      <c r="J101" s="188" t="e">
        <f ca="1">VLOOKUP($D101,物料本月库存明細!$B:$J,9,0)</f>
        <v>#N/A</v>
      </c>
      <c r="K101" s="220"/>
    </row>
    <row r="102" customHeight="1" spans="1:11">
      <c r="A102" s="191"/>
      <c r="B102" s="189"/>
      <c r="C102" s="193"/>
      <c r="D102" s="196"/>
      <c r="E102" s="188" t="e">
        <f ca="1">VLOOKUP($D102,物料本月库存明細!$B:$J,2,0)</f>
        <v>#N/A</v>
      </c>
      <c r="F102" s="188" t="e">
        <f ca="1">VLOOKUP($D102,物料本月库存明細!$B:$J,5,0)</f>
        <v>#N/A</v>
      </c>
      <c r="G102" s="188"/>
      <c r="H102" s="191"/>
      <c r="I102" s="188"/>
      <c r="J102" s="188" t="e">
        <f ca="1">VLOOKUP($D102,物料本月库存明細!$B:$J,9,0)</f>
        <v>#N/A</v>
      </c>
      <c r="K102" s="220"/>
    </row>
    <row r="103" customHeight="1" spans="1:11">
      <c r="A103" s="191"/>
      <c r="B103" s="189"/>
      <c r="C103" s="193"/>
      <c r="D103" s="192"/>
      <c r="E103" s="188" t="e">
        <f ca="1">VLOOKUP($D103,物料本月库存明細!$B:$J,2,0)</f>
        <v>#N/A</v>
      </c>
      <c r="F103" s="188" t="e">
        <f ca="1">VLOOKUP($D103,物料本月库存明細!$B:$J,5,0)</f>
        <v>#N/A</v>
      </c>
      <c r="G103" s="188"/>
      <c r="H103" s="191"/>
      <c r="I103" s="188"/>
      <c r="J103" s="188" t="e">
        <f ca="1">VLOOKUP($D103,物料本月库存明細!$B:$J,9,0)</f>
        <v>#N/A</v>
      </c>
      <c r="K103" s="220"/>
    </row>
    <row r="104" customHeight="1" spans="1:11">
      <c r="A104" s="191"/>
      <c r="B104" s="189"/>
      <c r="C104" s="193"/>
      <c r="D104" s="192"/>
      <c r="E104" s="188" t="e">
        <f ca="1">VLOOKUP($D104,物料本月库存明細!$B:$J,2,0)</f>
        <v>#N/A</v>
      </c>
      <c r="F104" s="188" t="e">
        <f ca="1">VLOOKUP($D104,物料本月库存明細!$B:$J,5,0)</f>
        <v>#N/A</v>
      </c>
      <c r="G104" s="188"/>
      <c r="H104" s="191"/>
      <c r="I104" s="188"/>
      <c r="J104" s="188" t="e">
        <f ca="1">VLOOKUP($D104,物料本月库存明細!$B:$J,9,0)</f>
        <v>#N/A</v>
      </c>
      <c r="K104" s="220"/>
    </row>
    <row r="105" customHeight="1" spans="1:11">
      <c r="A105" s="191"/>
      <c r="B105" s="189"/>
      <c r="C105" s="193"/>
      <c r="D105" s="192"/>
      <c r="E105" s="188" t="e">
        <f ca="1">VLOOKUP($D105,物料本月库存明細!$B:$J,2,0)</f>
        <v>#N/A</v>
      </c>
      <c r="F105" s="188" t="e">
        <f ca="1">VLOOKUP($D105,物料本月库存明細!$B:$J,5,0)</f>
        <v>#N/A</v>
      </c>
      <c r="G105" s="188"/>
      <c r="H105" s="191"/>
      <c r="I105" s="188"/>
      <c r="J105" s="188" t="e">
        <f ca="1">VLOOKUP($D105,物料本月库存明細!$B:$J,9,0)</f>
        <v>#N/A</v>
      </c>
      <c r="K105" s="220"/>
    </row>
    <row r="106" customHeight="1" spans="1:11">
      <c r="A106" s="191"/>
      <c r="B106" s="189"/>
      <c r="C106" s="193"/>
      <c r="D106" s="192"/>
      <c r="E106" s="188" t="e">
        <f ca="1">VLOOKUP($D106,物料本月库存明細!$B:$J,2,0)</f>
        <v>#N/A</v>
      </c>
      <c r="F106" s="188" t="e">
        <f ca="1">VLOOKUP($D106,物料本月库存明細!$B:$J,5,0)</f>
        <v>#N/A</v>
      </c>
      <c r="G106" s="188"/>
      <c r="H106" s="191"/>
      <c r="I106" s="188"/>
      <c r="J106" s="188" t="e">
        <f ca="1">VLOOKUP($D106,物料本月库存明細!$B:$J,9,0)</f>
        <v>#N/A</v>
      </c>
      <c r="K106" s="220"/>
    </row>
    <row r="107" customHeight="1" spans="1:11">
      <c r="A107" s="191"/>
      <c r="B107" s="189"/>
      <c r="C107" s="193"/>
      <c r="D107" s="196"/>
      <c r="E107" s="188" t="e">
        <f ca="1">VLOOKUP($D107,物料本月库存明細!$B:$J,2,0)</f>
        <v>#N/A</v>
      </c>
      <c r="F107" s="188" t="e">
        <f ca="1">VLOOKUP($D107,物料本月库存明細!$B:$J,5,0)</f>
        <v>#N/A</v>
      </c>
      <c r="G107" s="188"/>
      <c r="H107" s="191"/>
      <c r="I107" s="188"/>
      <c r="J107" s="188" t="e">
        <f ca="1">VLOOKUP($D107,物料本月库存明細!$B:$J,9,0)</f>
        <v>#N/A</v>
      </c>
      <c r="K107" s="220"/>
    </row>
    <row r="108" customHeight="1" spans="1:11">
      <c r="A108" s="191"/>
      <c r="B108" s="189"/>
      <c r="C108" s="193"/>
      <c r="D108" s="192"/>
      <c r="E108" s="188" t="e">
        <f ca="1">VLOOKUP($D108,物料本月库存明細!$B:$J,2,0)</f>
        <v>#N/A</v>
      </c>
      <c r="F108" s="188" t="e">
        <f ca="1">VLOOKUP($D108,物料本月库存明細!$B:$J,5,0)</f>
        <v>#N/A</v>
      </c>
      <c r="G108" s="188"/>
      <c r="H108" s="191"/>
      <c r="I108" s="188"/>
      <c r="J108" s="188" t="e">
        <f ca="1">VLOOKUP($D108,物料本月库存明細!$B:$J,9,0)</f>
        <v>#N/A</v>
      </c>
      <c r="K108" s="220"/>
    </row>
    <row r="109" customHeight="1" spans="1:11">
      <c r="A109" s="191"/>
      <c r="B109" s="189"/>
      <c r="C109" s="193"/>
      <c r="D109" s="196"/>
      <c r="E109" s="188" t="e">
        <f ca="1">VLOOKUP($D109,物料本月库存明細!$B:$J,2,0)</f>
        <v>#N/A</v>
      </c>
      <c r="F109" s="188" t="e">
        <f ca="1">VLOOKUP($D109,物料本月库存明細!$B:$J,5,0)</f>
        <v>#N/A</v>
      </c>
      <c r="G109" s="188"/>
      <c r="H109" s="191"/>
      <c r="I109" s="188"/>
      <c r="J109" s="188" t="e">
        <f ca="1">VLOOKUP($D109,物料本月库存明細!$B:$J,9,0)</f>
        <v>#N/A</v>
      </c>
      <c r="K109" s="220"/>
    </row>
    <row r="110" customHeight="1" spans="1:11">
      <c r="A110" s="191"/>
      <c r="B110" s="189"/>
      <c r="C110" s="193"/>
      <c r="D110" s="196"/>
      <c r="E110" s="188" t="e">
        <f ca="1">VLOOKUP($D110,物料本月库存明細!$B:$J,2,0)</f>
        <v>#N/A</v>
      </c>
      <c r="F110" s="188" t="e">
        <f ca="1">VLOOKUP($D110,物料本月库存明細!$B:$J,5,0)</f>
        <v>#N/A</v>
      </c>
      <c r="G110" s="188"/>
      <c r="H110" s="191"/>
      <c r="I110" s="188"/>
      <c r="J110" s="188" t="e">
        <f ca="1">VLOOKUP($D110,物料本月库存明細!$B:$J,9,0)</f>
        <v>#N/A</v>
      </c>
      <c r="K110" s="220"/>
    </row>
    <row r="111" customHeight="1" spans="1:11">
      <c r="A111" s="191"/>
      <c r="B111" s="189"/>
      <c r="C111" s="193"/>
      <c r="D111" s="192"/>
      <c r="E111" s="188" t="e">
        <f ca="1">VLOOKUP($D111,物料本月库存明細!$B:$J,2,0)</f>
        <v>#N/A</v>
      </c>
      <c r="F111" s="188" t="e">
        <f ca="1">VLOOKUP($D111,物料本月库存明細!$B:$J,5,0)</f>
        <v>#N/A</v>
      </c>
      <c r="G111" s="188"/>
      <c r="H111" s="191"/>
      <c r="I111" s="188"/>
      <c r="J111" s="188" t="e">
        <f ca="1">VLOOKUP($D111,物料本月库存明細!$B:$J,9,0)</f>
        <v>#N/A</v>
      </c>
      <c r="K111" s="220"/>
    </row>
    <row r="112" customHeight="1" spans="1:11">
      <c r="A112" s="191"/>
      <c r="B112" s="189"/>
      <c r="C112" s="193"/>
      <c r="D112" s="192"/>
      <c r="E112" s="188" t="e">
        <f ca="1">VLOOKUP($D112,物料本月库存明細!$B:$J,2,0)</f>
        <v>#N/A</v>
      </c>
      <c r="F112" s="188" t="e">
        <f ca="1">VLOOKUP($D112,物料本月库存明細!$B:$J,5,0)</f>
        <v>#N/A</v>
      </c>
      <c r="G112" s="188"/>
      <c r="H112" s="191"/>
      <c r="I112" s="188"/>
      <c r="J112" s="188" t="e">
        <f ca="1">VLOOKUP($D112,物料本月库存明細!$B:$J,9,0)</f>
        <v>#N/A</v>
      </c>
      <c r="K112" s="220"/>
    </row>
    <row r="113" customHeight="1" spans="1:11">
      <c r="A113" s="191"/>
      <c r="B113" s="189"/>
      <c r="C113" s="193"/>
      <c r="D113" s="192"/>
      <c r="E113" s="188" t="e">
        <f ca="1">VLOOKUP($D113,物料本月库存明細!$B:$J,2,0)</f>
        <v>#N/A</v>
      </c>
      <c r="F113" s="188" t="e">
        <f ca="1">VLOOKUP($D113,物料本月库存明細!$B:$J,5,0)</f>
        <v>#N/A</v>
      </c>
      <c r="G113" s="188"/>
      <c r="H113" s="191"/>
      <c r="I113" s="188"/>
      <c r="J113" s="188" t="e">
        <f ca="1">VLOOKUP($D113,物料本月库存明細!$B:$J,9,0)</f>
        <v>#N/A</v>
      </c>
      <c r="K113" s="220"/>
    </row>
    <row r="114" customHeight="1" spans="1:11">
      <c r="A114" s="191"/>
      <c r="B114" s="189"/>
      <c r="C114" s="193"/>
      <c r="D114" s="197"/>
      <c r="E114" s="188" t="e">
        <f ca="1">VLOOKUP($D114,物料本月库存明細!$B:$J,2,0)</f>
        <v>#N/A</v>
      </c>
      <c r="F114" s="188" t="e">
        <f ca="1">VLOOKUP($D114,物料本月库存明細!$B:$J,5,0)</f>
        <v>#N/A</v>
      </c>
      <c r="G114" s="188"/>
      <c r="H114" s="191"/>
      <c r="I114" s="188"/>
      <c r="J114" s="188" t="e">
        <f ca="1">VLOOKUP($D114,物料本月库存明細!$B:$J,9,0)</f>
        <v>#N/A</v>
      </c>
      <c r="K114" s="220"/>
    </row>
    <row r="115" customHeight="1" spans="1:11">
      <c r="A115" s="191"/>
      <c r="B115" s="189"/>
      <c r="C115" s="193"/>
      <c r="D115" s="196"/>
      <c r="E115" s="188" t="e">
        <f ca="1">VLOOKUP($D115,物料本月库存明細!$B:$J,2,0)</f>
        <v>#N/A</v>
      </c>
      <c r="F115" s="188" t="e">
        <f ca="1">VLOOKUP($D115,物料本月库存明細!$B:$J,5,0)</f>
        <v>#N/A</v>
      </c>
      <c r="G115" s="188"/>
      <c r="H115" s="191"/>
      <c r="I115" s="188"/>
      <c r="J115" s="188" t="e">
        <f ca="1">VLOOKUP($D115,物料本月库存明細!$B:$J,9,0)</f>
        <v>#N/A</v>
      </c>
      <c r="K115" s="220"/>
    </row>
    <row r="116" customHeight="1" spans="1:11">
      <c r="A116" s="191"/>
      <c r="B116" s="189"/>
      <c r="C116" s="193"/>
      <c r="D116" s="201"/>
      <c r="E116" s="188" t="e">
        <f ca="1">VLOOKUP($D116,物料本月库存明細!$B:$J,2,0)</f>
        <v>#N/A</v>
      </c>
      <c r="F116" s="188" t="e">
        <f ca="1">VLOOKUP($D116,物料本月库存明細!$B:$J,5,0)</f>
        <v>#N/A</v>
      </c>
      <c r="G116" s="188"/>
      <c r="H116" s="191"/>
      <c r="I116" s="188"/>
      <c r="J116" s="188" t="e">
        <f ca="1">VLOOKUP($D116,物料本月库存明細!$B:$J,9,0)</f>
        <v>#N/A</v>
      </c>
      <c r="K116" s="220"/>
    </row>
    <row r="117" customHeight="1" spans="1:11">
      <c r="A117" s="191"/>
      <c r="B117" s="189"/>
      <c r="C117" s="193"/>
      <c r="D117" s="201"/>
      <c r="E117" s="188" t="e">
        <f ca="1">VLOOKUP($D117,物料本月库存明細!$B:$J,2,0)</f>
        <v>#N/A</v>
      </c>
      <c r="F117" s="188" t="e">
        <f ca="1">VLOOKUP($D117,物料本月库存明細!$B:$J,5,0)</f>
        <v>#N/A</v>
      </c>
      <c r="G117" s="188"/>
      <c r="H117" s="191"/>
      <c r="I117" s="188"/>
      <c r="J117" s="188" t="e">
        <f ca="1">VLOOKUP($D117,物料本月库存明細!$B:$J,9,0)</f>
        <v>#N/A</v>
      </c>
      <c r="K117" s="220"/>
    </row>
    <row r="118" customHeight="1" spans="1:11">
      <c r="A118" s="191"/>
      <c r="B118" s="189"/>
      <c r="C118" s="193"/>
      <c r="D118" s="192"/>
      <c r="E118" s="188" t="e">
        <f ca="1">VLOOKUP($D118,物料本月库存明細!$B:$J,2,0)</f>
        <v>#N/A</v>
      </c>
      <c r="F118" s="188" t="e">
        <f ca="1">VLOOKUP($D118,物料本月库存明細!$B:$J,5,0)</f>
        <v>#N/A</v>
      </c>
      <c r="G118" s="188"/>
      <c r="H118" s="191"/>
      <c r="I118" s="188"/>
      <c r="J118" s="188" t="e">
        <f ca="1">VLOOKUP($D118,物料本月库存明細!$B:$J,9,0)</f>
        <v>#N/A</v>
      </c>
      <c r="K118" s="220"/>
    </row>
    <row r="119" customHeight="1" spans="1:11">
      <c r="A119" s="191"/>
      <c r="B119" s="189"/>
      <c r="C119" s="193"/>
      <c r="D119" s="196"/>
      <c r="E119" s="188" t="e">
        <f ca="1">VLOOKUP($D119,物料本月库存明細!$B:$J,2,0)</f>
        <v>#N/A</v>
      </c>
      <c r="F119" s="188" t="e">
        <f ca="1">VLOOKUP($D119,物料本月库存明細!$B:$J,5,0)</f>
        <v>#N/A</v>
      </c>
      <c r="G119" s="188"/>
      <c r="H119" s="191"/>
      <c r="I119" s="188"/>
      <c r="J119" s="188" t="e">
        <f ca="1">VLOOKUP($D119,物料本月库存明細!$B:$J,9,0)</f>
        <v>#N/A</v>
      </c>
      <c r="K119" s="220"/>
    </row>
    <row r="120" customHeight="1" spans="1:11">
      <c r="A120" s="191"/>
      <c r="B120" s="189"/>
      <c r="C120" s="193"/>
      <c r="D120" s="196"/>
      <c r="E120" s="188" t="e">
        <f ca="1">VLOOKUP($D120,物料本月库存明細!$B:$J,2,0)</f>
        <v>#N/A</v>
      </c>
      <c r="F120" s="188" t="e">
        <f ca="1">VLOOKUP($D120,物料本月库存明細!$B:$J,5,0)</f>
        <v>#N/A</v>
      </c>
      <c r="G120" s="188"/>
      <c r="H120" s="191"/>
      <c r="I120" s="188"/>
      <c r="J120" s="188" t="e">
        <f ca="1">VLOOKUP($D120,物料本月库存明細!$B:$J,9,0)</f>
        <v>#N/A</v>
      </c>
      <c r="K120" s="220"/>
    </row>
    <row r="121" customHeight="1" spans="1:11">
      <c r="A121" s="191"/>
      <c r="B121" s="189"/>
      <c r="C121" s="193"/>
      <c r="D121" s="201"/>
      <c r="E121" s="188" t="e">
        <f ca="1">VLOOKUP($D121,物料本月库存明細!$B:$J,2,0)</f>
        <v>#N/A</v>
      </c>
      <c r="F121" s="188" t="e">
        <f ca="1">VLOOKUP($D121,物料本月库存明細!$B:$J,5,0)</f>
        <v>#N/A</v>
      </c>
      <c r="G121" s="188"/>
      <c r="H121" s="191"/>
      <c r="I121" s="188"/>
      <c r="J121" s="188" t="e">
        <f ca="1">VLOOKUP($D121,物料本月库存明細!$B:$J,9,0)</f>
        <v>#N/A</v>
      </c>
      <c r="K121" s="220"/>
    </row>
    <row r="122" customHeight="1" spans="1:11">
      <c r="A122" s="191"/>
      <c r="B122" s="189"/>
      <c r="C122" s="193"/>
      <c r="D122" s="201"/>
      <c r="E122" s="188" t="e">
        <f ca="1">VLOOKUP($D122,物料本月库存明細!$B:$J,2,0)</f>
        <v>#N/A</v>
      </c>
      <c r="F122" s="188" t="e">
        <f ca="1">VLOOKUP($D122,物料本月库存明細!$B:$J,5,0)</f>
        <v>#N/A</v>
      </c>
      <c r="G122" s="188"/>
      <c r="H122" s="191"/>
      <c r="I122" s="188"/>
      <c r="J122" s="188" t="e">
        <f ca="1">VLOOKUP($D122,物料本月库存明細!$B:$J,9,0)</f>
        <v>#N/A</v>
      </c>
      <c r="K122" s="220"/>
    </row>
    <row r="123" customHeight="1" spans="1:11">
      <c r="A123" s="191"/>
      <c r="B123" s="189"/>
      <c r="C123" s="193"/>
      <c r="D123" s="201"/>
      <c r="E123" s="188" t="e">
        <f ca="1">VLOOKUP($D123,物料本月库存明細!$B:$J,2,0)</f>
        <v>#N/A</v>
      </c>
      <c r="F123" s="188" t="e">
        <f ca="1">VLOOKUP($D123,物料本月库存明細!$B:$J,5,0)</f>
        <v>#N/A</v>
      </c>
      <c r="G123" s="188"/>
      <c r="H123" s="191"/>
      <c r="I123" s="188"/>
      <c r="J123" s="188" t="e">
        <f ca="1">VLOOKUP($D123,物料本月库存明細!$B:$J,9,0)</f>
        <v>#N/A</v>
      </c>
      <c r="K123" s="220"/>
    </row>
    <row r="124" customHeight="1" spans="1:11">
      <c r="A124" s="191"/>
      <c r="B124" s="189"/>
      <c r="C124" s="193"/>
      <c r="D124" s="202"/>
      <c r="E124" s="188" t="e">
        <f ca="1">VLOOKUP($D124,物料本月库存明細!$B:$J,2,0)</f>
        <v>#N/A</v>
      </c>
      <c r="F124" s="188" t="e">
        <f ca="1">VLOOKUP($D124,物料本月库存明細!$B:$J,5,0)</f>
        <v>#N/A</v>
      </c>
      <c r="G124" s="188"/>
      <c r="H124" s="191"/>
      <c r="I124" s="188"/>
      <c r="J124" s="188" t="e">
        <f ca="1">VLOOKUP($D124,物料本月库存明細!$B:$J,9,0)</f>
        <v>#N/A</v>
      </c>
      <c r="K124" s="220"/>
    </row>
    <row r="125" customHeight="1" spans="1:11">
      <c r="A125" s="191"/>
      <c r="B125" s="189"/>
      <c r="C125" s="193"/>
      <c r="D125" s="196"/>
      <c r="E125" s="188" t="e">
        <f ca="1">VLOOKUP($D125,物料本月库存明細!$B:$J,2,0)</f>
        <v>#N/A</v>
      </c>
      <c r="F125" s="188" t="e">
        <f ca="1">VLOOKUP($D125,物料本月库存明細!$B:$J,5,0)</f>
        <v>#N/A</v>
      </c>
      <c r="G125" s="188"/>
      <c r="H125" s="191"/>
      <c r="I125" s="188"/>
      <c r="J125" s="188" t="e">
        <f ca="1">VLOOKUP($D125,物料本月库存明細!$B:$J,9,0)</f>
        <v>#N/A</v>
      </c>
      <c r="K125" s="220"/>
    </row>
    <row r="126" customHeight="1" spans="1:11">
      <c r="A126" s="191"/>
      <c r="B126" s="189"/>
      <c r="C126" s="193"/>
      <c r="D126" s="196"/>
      <c r="E126" s="188" t="e">
        <f ca="1">VLOOKUP($D126,物料本月库存明細!$B:$J,2,0)</f>
        <v>#N/A</v>
      </c>
      <c r="F126" s="188" t="e">
        <f ca="1">VLOOKUP($D126,物料本月库存明細!$B:$J,5,0)</f>
        <v>#N/A</v>
      </c>
      <c r="G126" s="188"/>
      <c r="H126" s="191"/>
      <c r="I126" s="188"/>
      <c r="J126" s="188" t="e">
        <f ca="1">VLOOKUP($D126,物料本月库存明細!$B:$J,9,0)</f>
        <v>#N/A</v>
      </c>
      <c r="K126" s="220"/>
    </row>
    <row r="127" customHeight="1" spans="1:11">
      <c r="A127" s="191"/>
      <c r="B127" s="189"/>
      <c r="C127" s="193"/>
      <c r="D127" s="202"/>
      <c r="E127" s="188" t="e">
        <f ca="1">VLOOKUP($D127,物料本月库存明細!$B:$J,2,0)</f>
        <v>#N/A</v>
      </c>
      <c r="F127" s="188" t="e">
        <f ca="1">VLOOKUP($D127,物料本月库存明細!$B:$J,5,0)</f>
        <v>#N/A</v>
      </c>
      <c r="G127" s="188"/>
      <c r="H127" s="191"/>
      <c r="I127" s="188"/>
      <c r="J127" s="188" t="e">
        <f ca="1">VLOOKUP($D127,物料本月库存明細!$B:$J,9,0)</f>
        <v>#N/A</v>
      </c>
      <c r="K127" s="220"/>
    </row>
    <row r="128" customHeight="1" spans="1:11">
      <c r="A128" s="191"/>
      <c r="B128" s="189"/>
      <c r="C128" s="193"/>
      <c r="D128" s="192"/>
      <c r="E128" s="188" t="e">
        <f ca="1">VLOOKUP($D128,物料本月库存明細!$B:$J,2,0)</f>
        <v>#N/A</v>
      </c>
      <c r="F128" s="188" t="e">
        <f ca="1">VLOOKUP($D128,物料本月库存明細!$B:$J,5,0)</f>
        <v>#N/A</v>
      </c>
      <c r="G128" s="188"/>
      <c r="H128" s="191"/>
      <c r="I128" s="188"/>
      <c r="J128" s="188" t="e">
        <f ca="1">VLOOKUP($D128,物料本月库存明細!$B:$J,9,0)</f>
        <v>#N/A</v>
      </c>
      <c r="K128" s="220"/>
    </row>
    <row r="129" customHeight="1" spans="1:11">
      <c r="A129" s="191"/>
      <c r="B129" s="189"/>
      <c r="C129" s="193"/>
      <c r="D129" s="196"/>
      <c r="E129" s="188" t="e">
        <f ca="1">VLOOKUP($D129,物料本月库存明細!$B:$J,2,0)</f>
        <v>#N/A</v>
      </c>
      <c r="F129" s="188" t="e">
        <f ca="1">VLOOKUP($D129,物料本月库存明細!$B:$J,5,0)</f>
        <v>#N/A</v>
      </c>
      <c r="G129" s="188"/>
      <c r="H129" s="191"/>
      <c r="I129" s="188"/>
      <c r="J129" s="188" t="e">
        <f ca="1">VLOOKUP($D129,物料本月库存明細!$B:$J,9,0)</f>
        <v>#N/A</v>
      </c>
      <c r="K129" s="220"/>
    </row>
    <row r="130" customHeight="1" spans="1:11">
      <c r="A130" s="191"/>
      <c r="B130" s="189"/>
      <c r="C130" s="193"/>
      <c r="D130" s="192"/>
      <c r="E130" s="188" t="e">
        <f ca="1">VLOOKUP($D130,物料本月库存明細!$B:$J,2,0)</f>
        <v>#N/A</v>
      </c>
      <c r="F130" s="188" t="e">
        <f ca="1">VLOOKUP($D130,物料本月库存明細!$B:$J,5,0)</f>
        <v>#N/A</v>
      </c>
      <c r="G130" s="188"/>
      <c r="H130" s="191"/>
      <c r="I130" s="188"/>
      <c r="J130" s="188" t="e">
        <f ca="1">VLOOKUP($D130,物料本月库存明細!$B:$J,9,0)</f>
        <v>#N/A</v>
      </c>
      <c r="K130" s="220"/>
    </row>
    <row r="131" customHeight="1" spans="1:11">
      <c r="A131" s="191"/>
      <c r="B131" s="189"/>
      <c r="C131" s="193"/>
      <c r="D131" s="200"/>
      <c r="E131" s="188" t="e">
        <f ca="1">VLOOKUP($D131,物料本月库存明細!$B:$J,2,0)</f>
        <v>#N/A</v>
      </c>
      <c r="F131" s="188" t="e">
        <f ca="1">VLOOKUP($D131,物料本月库存明細!$B:$J,5,0)</f>
        <v>#N/A</v>
      </c>
      <c r="G131" s="188"/>
      <c r="H131" s="191"/>
      <c r="I131" s="188"/>
      <c r="J131" s="188" t="e">
        <f ca="1">VLOOKUP($D131,物料本月库存明細!$B:$J,9,0)</f>
        <v>#N/A</v>
      </c>
      <c r="K131" s="220"/>
    </row>
    <row r="132" customHeight="1" spans="1:11">
      <c r="A132" s="191"/>
      <c r="B132" s="189"/>
      <c r="C132" s="193"/>
      <c r="D132" s="192"/>
      <c r="E132" s="188" t="e">
        <f ca="1">VLOOKUP($D132,物料本月库存明細!$B:$J,2,0)</f>
        <v>#N/A</v>
      </c>
      <c r="F132" s="188" t="e">
        <f ca="1">VLOOKUP($D132,物料本月库存明細!$B:$J,5,0)</f>
        <v>#N/A</v>
      </c>
      <c r="G132" s="188"/>
      <c r="H132" s="191"/>
      <c r="I132" s="188"/>
      <c r="J132" s="188" t="e">
        <f ca="1">VLOOKUP($D132,物料本月库存明細!$B:$J,9,0)</f>
        <v>#N/A</v>
      </c>
      <c r="K132" s="220"/>
    </row>
    <row r="133" customHeight="1" spans="1:11">
      <c r="A133" s="191"/>
      <c r="B133" s="189"/>
      <c r="C133" s="193"/>
      <c r="D133" s="192"/>
      <c r="E133" s="188" t="e">
        <f ca="1">VLOOKUP($D133,物料本月库存明細!$B:$J,2,0)</f>
        <v>#N/A</v>
      </c>
      <c r="F133" s="188" t="e">
        <f ca="1">VLOOKUP($D133,物料本月库存明細!$B:$J,5,0)</f>
        <v>#N/A</v>
      </c>
      <c r="G133" s="188"/>
      <c r="H133" s="191"/>
      <c r="I133" s="188"/>
      <c r="J133" s="188" t="e">
        <f ca="1">VLOOKUP($D133,物料本月库存明細!$B:$J,9,0)</f>
        <v>#N/A</v>
      </c>
      <c r="K133" s="220"/>
    </row>
    <row r="134" customHeight="1" spans="1:11">
      <c r="A134" s="191"/>
      <c r="B134" s="189"/>
      <c r="C134" s="193"/>
      <c r="D134" s="192"/>
      <c r="E134" s="188" t="e">
        <f ca="1">VLOOKUP($D134,物料本月库存明細!$B:$J,2,0)</f>
        <v>#N/A</v>
      </c>
      <c r="F134" s="188" t="e">
        <f ca="1">VLOOKUP($D134,物料本月库存明細!$B:$J,5,0)</f>
        <v>#N/A</v>
      </c>
      <c r="G134" s="188"/>
      <c r="H134" s="191"/>
      <c r="I134" s="188"/>
      <c r="J134" s="188" t="e">
        <f ca="1">VLOOKUP($D134,物料本月库存明細!$B:$J,9,0)</f>
        <v>#N/A</v>
      </c>
      <c r="K134" s="220"/>
    </row>
    <row r="135" s="208" customFormat="1" customHeight="1" spans="1:11">
      <c r="A135" s="191"/>
      <c r="B135" s="189"/>
      <c r="C135" s="193"/>
      <c r="D135" s="192"/>
      <c r="E135" s="221" t="e">
        <f ca="1">VLOOKUP($D135,物料本月库存明細!$B:$J,2,0)</f>
        <v>#N/A</v>
      </c>
      <c r="F135" s="221" t="e">
        <f ca="1">VLOOKUP($D135,物料本月库存明細!$B:$J,5,0)</f>
        <v>#N/A</v>
      </c>
      <c r="G135" s="221"/>
      <c r="H135" s="222"/>
      <c r="I135" s="221"/>
      <c r="J135" s="221" t="e">
        <f ca="1">VLOOKUP($D135,物料本月库存明細!$B:$J,9,0)</f>
        <v>#N/A</v>
      </c>
      <c r="K135" s="223"/>
    </row>
    <row r="136" customHeight="1" spans="1:11">
      <c r="A136" s="191"/>
      <c r="B136" s="189"/>
      <c r="C136" s="193"/>
      <c r="D136" s="192"/>
      <c r="E136" s="188" t="e">
        <f ca="1">VLOOKUP($D136,物料本月库存明細!$B:$J,2,0)</f>
        <v>#N/A</v>
      </c>
      <c r="F136" s="188" t="e">
        <f ca="1">VLOOKUP($D136,物料本月库存明細!$B:$J,5,0)</f>
        <v>#N/A</v>
      </c>
      <c r="G136" s="188"/>
      <c r="H136" s="191"/>
      <c r="I136" s="188"/>
      <c r="J136" s="188" t="e">
        <f ca="1">VLOOKUP($D136,物料本月库存明細!$B:$J,9,0)</f>
        <v>#N/A</v>
      </c>
      <c r="K136" s="220"/>
    </row>
    <row r="137" customHeight="1" spans="1:11">
      <c r="A137" s="191"/>
      <c r="B137" s="189"/>
      <c r="C137" s="193"/>
      <c r="D137" s="192"/>
      <c r="E137" s="188" t="e">
        <f ca="1">VLOOKUP($D137,物料本月库存明細!$B:$J,2,0)</f>
        <v>#N/A</v>
      </c>
      <c r="F137" s="188" t="e">
        <f ca="1">VLOOKUP($D137,物料本月库存明細!$B:$J,5,0)</f>
        <v>#N/A</v>
      </c>
      <c r="G137" s="188"/>
      <c r="H137" s="191"/>
      <c r="I137" s="188"/>
      <c r="J137" s="188" t="e">
        <f ca="1">VLOOKUP($D137,物料本月库存明細!$B:$J,9,0)</f>
        <v>#N/A</v>
      </c>
      <c r="K137" s="220"/>
    </row>
    <row r="138" customHeight="1" spans="1:11">
      <c r="A138" s="191"/>
      <c r="B138" s="189"/>
      <c r="C138" s="193"/>
      <c r="D138" s="192"/>
      <c r="E138" s="188" t="e">
        <f ca="1">VLOOKUP($D138,物料本月库存明細!$B:$J,2,0)</f>
        <v>#N/A</v>
      </c>
      <c r="F138" s="188" t="e">
        <f ca="1">VLOOKUP($D138,物料本月库存明細!$B:$J,5,0)</f>
        <v>#N/A</v>
      </c>
      <c r="G138" s="188"/>
      <c r="H138" s="191"/>
      <c r="I138" s="188"/>
      <c r="J138" s="188" t="e">
        <f ca="1">VLOOKUP($D138,物料本月库存明細!$B:$J,9,0)</f>
        <v>#N/A</v>
      </c>
      <c r="K138" s="220"/>
    </row>
    <row r="139" customHeight="1" spans="1:11">
      <c r="A139" s="191"/>
      <c r="B139" s="189"/>
      <c r="C139" s="193"/>
      <c r="D139" s="192"/>
      <c r="E139" s="188" t="e">
        <f ca="1">VLOOKUP($D139,物料本月库存明細!$B:$J,2,0)</f>
        <v>#N/A</v>
      </c>
      <c r="F139" s="188" t="e">
        <f ca="1">VLOOKUP($D139,物料本月库存明細!$B:$J,5,0)</f>
        <v>#N/A</v>
      </c>
      <c r="G139" s="188"/>
      <c r="H139" s="191"/>
      <c r="I139" s="188"/>
      <c r="J139" s="188" t="e">
        <f ca="1">VLOOKUP($D139,物料本月库存明細!$B:$J,9,0)</f>
        <v>#N/A</v>
      </c>
      <c r="K139" s="220"/>
    </row>
    <row r="140" customHeight="1" spans="1:11">
      <c r="A140" s="191"/>
      <c r="B140" s="189"/>
      <c r="C140" s="193"/>
      <c r="D140" s="192"/>
      <c r="E140" s="188" t="e">
        <f ca="1">VLOOKUP($D140,物料本月库存明細!$B:$J,2,0)</f>
        <v>#N/A</v>
      </c>
      <c r="F140" s="188" t="e">
        <f ca="1">VLOOKUP($D140,物料本月库存明細!$B:$J,5,0)</f>
        <v>#N/A</v>
      </c>
      <c r="G140" s="188"/>
      <c r="H140" s="191"/>
      <c r="I140" s="188"/>
      <c r="J140" s="188" t="e">
        <f ca="1">VLOOKUP($D140,物料本月库存明細!$B:$J,9,0)</f>
        <v>#N/A</v>
      </c>
      <c r="K140" s="220"/>
    </row>
    <row r="141" customHeight="1" spans="1:11">
      <c r="A141" s="191"/>
      <c r="B141" s="189"/>
      <c r="C141" s="193"/>
      <c r="D141" s="192"/>
      <c r="E141" s="188" t="e">
        <f ca="1">VLOOKUP($D141,物料本月库存明細!$B:$J,2,0)</f>
        <v>#N/A</v>
      </c>
      <c r="F141" s="188" t="e">
        <f ca="1">VLOOKUP($D141,物料本月库存明細!$B:$J,5,0)</f>
        <v>#N/A</v>
      </c>
      <c r="G141" s="188"/>
      <c r="H141" s="191"/>
      <c r="I141" s="188"/>
      <c r="J141" s="188" t="e">
        <f ca="1">VLOOKUP($D141,物料本月库存明細!$B:$J,9,0)</f>
        <v>#N/A</v>
      </c>
      <c r="K141" s="220"/>
    </row>
    <row r="142" customHeight="1" spans="1:11">
      <c r="A142" s="191"/>
      <c r="B142" s="189"/>
      <c r="C142" s="193"/>
      <c r="D142" s="196"/>
      <c r="E142" s="188" t="e">
        <f ca="1">VLOOKUP($D142,物料本月库存明細!$B:$J,2,0)</f>
        <v>#N/A</v>
      </c>
      <c r="F142" s="188" t="e">
        <f ca="1">VLOOKUP($D142,物料本月库存明細!$B:$J,5,0)</f>
        <v>#N/A</v>
      </c>
      <c r="G142" s="188"/>
      <c r="H142" s="191"/>
      <c r="I142" s="188"/>
      <c r="J142" s="188" t="e">
        <f ca="1">VLOOKUP($D142,物料本月库存明細!$B:$J,9,0)</f>
        <v>#N/A</v>
      </c>
      <c r="K142" s="220"/>
    </row>
    <row r="143" customHeight="1" spans="1:11">
      <c r="A143" s="191"/>
      <c r="B143" s="189"/>
      <c r="C143" s="193"/>
      <c r="D143" s="201"/>
      <c r="E143" s="188" t="e">
        <f ca="1">VLOOKUP($D143,物料本月库存明細!$B:$J,2,0)</f>
        <v>#N/A</v>
      </c>
      <c r="F143" s="188" t="e">
        <f ca="1">VLOOKUP($D143,物料本月库存明細!$B:$J,5,0)</f>
        <v>#N/A</v>
      </c>
      <c r="G143" s="188"/>
      <c r="H143" s="191"/>
      <c r="I143" s="188"/>
      <c r="J143" s="188" t="e">
        <f ca="1">VLOOKUP($D143,物料本月库存明細!$B:$J,9,0)</f>
        <v>#N/A</v>
      </c>
      <c r="K143" s="220"/>
    </row>
    <row r="144" customHeight="1" spans="1:11">
      <c r="A144" s="191"/>
      <c r="B144" s="189"/>
      <c r="C144" s="193"/>
      <c r="D144" s="192"/>
      <c r="E144" s="188" t="e">
        <f ca="1">VLOOKUP($D144,物料本月库存明細!$B:$J,2,0)</f>
        <v>#N/A</v>
      </c>
      <c r="F144" s="188" t="e">
        <f ca="1">VLOOKUP($D144,物料本月库存明細!$B:$J,5,0)</f>
        <v>#N/A</v>
      </c>
      <c r="G144" s="188"/>
      <c r="H144" s="191"/>
      <c r="I144" s="188"/>
      <c r="J144" s="188" t="e">
        <f ca="1">VLOOKUP($D144,物料本月库存明細!$B:$J,9,0)</f>
        <v>#N/A</v>
      </c>
      <c r="K144" s="220"/>
    </row>
    <row r="145" customHeight="1" spans="1:11">
      <c r="A145" s="191"/>
      <c r="B145" s="189"/>
      <c r="C145" s="193"/>
      <c r="D145" s="196"/>
      <c r="E145" s="188" t="e">
        <f ca="1">VLOOKUP($D145,物料本月库存明細!$B:$J,2,0)</f>
        <v>#N/A</v>
      </c>
      <c r="F145" s="188" t="e">
        <f ca="1">VLOOKUP($D145,物料本月库存明細!$B:$J,5,0)</f>
        <v>#N/A</v>
      </c>
      <c r="G145" s="188"/>
      <c r="H145" s="191"/>
      <c r="I145" s="188"/>
      <c r="J145" s="188" t="e">
        <f ca="1">VLOOKUP($D145,物料本月库存明細!$B:$J,9,0)</f>
        <v>#N/A</v>
      </c>
      <c r="K145" s="220"/>
    </row>
    <row r="146" customHeight="1" spans="1:11">
      <c r="A146" s="191"/>
      <c r="B146" s="189"/>
      <c r="C146" s="193"/>
      <c r="D146" s="202"/>
      <c r="E146" s="188" t="e">
        <f ca="1">VLOOKUP($D146,物料本月库存明細!$B:$J,2,0)</f>
        <v>#N/A</v>
      </c>
      <c r="F146" s="188" t="e">
        <f ca="1">VLOOKUP($D146,物料本月库存明細!$B:$J,5,0)</f>
        <v>#N/A</v>
      </c>
      <c r="G146" s="188"/>
      <c r="H146" s="191"/>
      <c r="I146" s="188"/>
      <c r="J146" s="188" t="e">
        <f ca="1">VLOOKUP($D146,物料本月库存明細!$B:$J,9,0)</f>
        <v>#N/A</v>
      </c>
      <c r="K146" s="220"/>
    </row>
    <row r="147" customHeight="1" spans="1:11">
      <c r="A147" s="191"/>
      <c r="B147" s="189"/>
      <c r="C147" s="193"/>
      <c r="D147" s="196"/>
      <c r="E147" s="188" t="e">
        <f ca="1">VLOOKUP($D147,物料本月库存明細!$B:$J,2,0)</f>
        <v>#N/A</v>
      </c>
      <c r="F147" s="188" t="e">
        <f ca="1">VLOOKUP($D147,物料本月库存明細!$B:$J,5,0)</f>
        <v>#N/A</v>
      </c>
      <c r="G147" s="188"/>
      <c r="H147" s="191"/>
      <c r="I147" s="188"/>
      <c r="J147" s="188" t="e">
        <f ca="1">VLOOKUP($D147,物料本月库存明細!$B:$J,9,0)</f>
        <v>#N/A</v>
      </c>
      <c r="K147" s="220"/>
    </row>
    <row r="148" customHeight="1" spans="1:11">
      <c r="A148" s="191"/>
      <c r="B148" s="189"/>
      <c r="C148" s="193"/>
      <c r="D148" s="196"/>
      <c r="E148" s="188" t="e">
        <f ca="1">VLOOKUP($D148,物料本月库存明細!$B:$J,2,0)</f>
        <v>#N/A</v>
      </c>
      <c r="F148" s="188" t="e">
        <f ca="1">VLOOKUP($D148,物料本月库存明細!$B:$J,5,0)</f>
        <v>#N/A</v>
      </c>
      <c r="G148" s="188"/>
      <c r="H148" s="191"/>
      <c r="I148" s="188"/>
      <c r="J148" s="188" t="e">
        <f ca="1">VLOOKUP($D148,物料本月库存明細!$B:$J,9,0)</f>
        <v>#N/A</v>
      </c>
      <c r="K148" s="220"/>
    </row>
    <row r="149" customHeight="1" spans="1:11">
      <c r="A149" s="191"/>
      <c r="B149" s="189"/>
      <c r="C149" s="193"/>
      <c r="D149" s="196"/>
      <c r="E149" s="188" t="e">
        <f ca="1">VLOOKUP($D149,物料本月库存明細!$B:$J,2,0)</f>
        <v>#N/A</v>
      </c>
      <c r="F149" s="188" t="e">
        <f ca="1">VLOOKUP($D149,物料本月库存明細!$B:$J,5,0)</f>
        <v>#N/A</v>
      </c>
      <c r="G149" s="188"/>
      <c r="H149" s="191"/>
      <c r="I149" s="188"/>
      <c r="J149" s="188" t="e">
        <f ca="1">VLOOKUP($D149,物料本月库存明細!$B:$J,9,0)</f>
        <v>#N/A</v>
      </c>
      <c r="K149" s="220"/>
    </row>
    <row r="150" customHeight="1" spans="1:11">
      <c r="A150" s="191"/>
      <c r="B150" s="189"/>
      <c r="C150" s="193"/>
      <c r="D150" s="196"/>
      <c r="E150" s="188" t="e">
        <f ca="1">VLOOKUP($D150,物料本月库存明細!$B:$J,2,0)</f>
        <v>#N/A</v>
      </c>
      <c r="F150" s="188" t="e">
        <f ca="1">VLOOKUP($D150,物料本月库存明細!$B:$J,5,0)</f>
        <v>#N/A</v>
      </c>
      <c r="G150" s="188"/>
      <c r="H150" s="191"/>
      <c r="I150" s="188"/>
      <c r="J150" s="188" t="e">
        <f ca="1">VLOOKUP($D150,物料本月库存明細!$B:$J,9,0)</f>
        <v>#N/A</v>
      </c>
      <c r="K150" s="220"/>
    </row>
    <row r="151" customHeight="1" spans="1:11">
      <c r="A151" s="191"/>
      <c r="B151" s="189"/>
      <c r="C151" s="193"/>
      <c r="D151" s="196"/>
      <c r="E151" s="188" t="e">
        <f ca="1">VLOOKUP($D151,物料本月库存明細!$B:$J,2,0)</f>
        <v>#N/A</v>
      </c>
      <c r="F151" s="188" t="e">
        <f ca="1">VLOOKUP($D151,物料本月库存明細!$B:$J,5,0)</f>
        <v>#N/A</v>
      </c>
      <c r="G151" s="188"/>
      <c r="H151" s="191"/>
      <c r="I151" s="188"/>
      <c r="J151" s="188" t="e">
        <f ca="1">VLOOKUP($D151,物料本月库存明細!$B:$J,9,0)</f>
        <v>#N/A</v>
      </c>
      <c r="K151" s="220"/>
    </row>
    <row r="152" customHeight="1" spans="1:11">
      <c r="A152" s="191"/>
      <c r="B152" s="189"/>
      <c r="C152" s="224"/>
      <c r="D152" s="192"/>
      <c r="E152" s="188" t="e">
        <f ca="1">VLOOKUP($D152,物料本月库存明細!$B:$J,2,0)</f>
        <v>#N/A</v>
      </c>
      <c r="F152" s="188" t="e">
        <f ca="1">VLOOKUP($D152,物料本月库存明細!$B:$J,5,0)</f>
        <v>#N/A</v>
      </c>
      <c r="G152" s="188"/>
      <c r="H152" s="191"/>
      <c r="I152" s="188"/>
      <c r="J152" s="188" t="e">
        <f ca="1">VLOOKUP($D152,物料本月库存明細!$B:$J,9,0)</f>
        <v>#N/A</v>
      </c>
      <c r="K152" s="220"/>
    </row>
    <row r="153" customHeight="1" spans="1:11">
      <c r="A153" s="191"/>
      <c r="B153" s="189"/>
      <c r="C153" s="224"/>
      <c r="D153" s="196"/>
      <c r="E153" s="188" t="e">
        <f ca="1">VLOOKUP($D153,物料本月库存明細!$B:$J,2,0)</f>
        <v>#N/A</v>
      </c>
      <c r="F153" s="188" t="e">
        <f ca="1">VLOOKUP($D153,物料本月库存明細!$B:$J,5,0)</f>
        <v>#N/A</v>
      </c>
      <c r="G153" s="188"/>
      <c r="H153" s="191"/>
      <c r="I153" s="188"/>
      <c r="J153" s="188" t="e">
        <f ca="1">VLOOKUP($D153,物料本月库存明細!$B:$J,9,0)</f>
        <v>#N/A</v>
      </c>
      <c r="K153" s="220"/>
    </row>
    <row r="154" customHeight="1" spans="1:11">
      <c r="A154" s="191"/>
      <c r="B154" s="189"/>
      <c r="C154" s="193"/>
      <c r="D154" s="192"/>
      <c r="E154" s="188" t="e">
        <f ca="1">VLOOKUP($D154,物料本月库存明細!$B:$J,2,0)</f>
        <v>#N/A</v>
      </c>
      <c r="F154" s="188" t="e">
        <f ca="1">VLOOKUP($D154,物料本月库存明細!$B:$J,5,0)</f>
        <v>#N/A</v>
      </c>
      <c r="G154" s="188"/>
      <c r="H154" s="191"/>
      <c r="I154" s="188"/>
      <c r="J154" s="188" t="e">
        <f ca="1">VLOOKUP($D154,物料本月库存明細!$B:$J,9,0)</f>
        <v>#N/A</v>
      </c>
      <c r="K154" s="220"/>
    </row>
    <row r="155" customHeight="1" spans="1:11">
      <c r="A155" s="191"/>
      <c r="B155" s="189"/>
      <c r="C155" s="193"/>
      <c r="D155" s="192"/>
      <c r="E155" s="188" t="e">
        <f ca="1">VLOOKUP($D155,物料本月库存明細!$B:$J,2,0)</f>
        <v>#N/A</v>
      </c>
      <c r="F155" s="188" t="e">
        <f ca="1">VLOOKUP($D155,物料本月库存明細!$B:$J,5,0)</f>
        <v>#N/A</v>
      </c>
      <c r="G155" s="188"/>
      <c r="H155" s="191"/>
      <c r="I155" s="188"/>
      <c r="J155" s="188" t="e">
        <f ca="1">VLOOKUP($D155,物料本月库存明細!$B:$J,9,0)</f>
        <v>#N/A</v>
      </c>
      <c r="K155" s="220"/>
    </row>
    <row r="156" customHeight="1" spans="1:11">
      <c r="A156" s="191"/>
      <c r="B156" s="189"/>
      <c r="C156" s="224"/>
      <c r="D156" s="192"/>
      <c r="E156" s="188" t="e">
        <f ca="1">VLOOKUP($D156,物料本月库存明細!$B:$J,2,0)</f>
        <v>#N/A</v>
      </c>
      <c r="F156" s="188" t="e">
        <f ca="1">VLOOKUP($D156,物料本月库存明細!$B:$J,5,0)</f>
        <v>#N/A</v>
      </c>
      <c r="G156" s="188"/>
      <c r="H156" s="191"/>
      <c r="I156" s="188"/>
      <c r="J156" s="188" t="e">
        <f ca="1">VLOOKUP($D156,物料本月库存明細!$B:$J,9,0)</f>
        <v>#N/A</v>
      </c>
      <c r="K156" s="220"/>
    </row>
    <row r="157" customHeight="1" spans="1:11">
      <c r="A157" s="191"/>
      <c r="B157" s="189"/>
      <c r="C157" s="193"/>
      <c r="D157" s="204"/>
      <c r="E157" s="188" t="e">
        <f ca="1">VLOOKUP($D157,物料本月库存明細!$B:$J,2,0)</f>
        <v>#N/A</v>
      </c>
      <c r="F157" s="188" t="e">
        <f ca="1">VLOOKUP($D157,物料本月库存明細!$B:$J,5,0)</f>
        <v>#N/A</v>
      </c>
      <c r="G157" s="188"/>
      <c r="H157" s="191"/>
      <c r="I157" s="188"/>
      <c r="J157" s="188" t="e">
        <f ca="1">VLOOKUP($D157,物料本月库存明細!$B:$J,9,0)</f>
        <v>#N/A</v>
      </c>
      <c r="K157" s="220"/>
    </row>
    <row r="158" customHeight="1" spans="1:11">
      <c r="A158" s="191"/>
      <c r="B158" s="189"/>
      <c r="C158" s="193"/>
      <c r="D158" s="197"/>
      <c r="E158" s="188" t="e">
        <f ca="1">VLOOKUP($D158,物料本月库存明細!$B:$J,2,0)</f>
        <v>#N/A</v>
      </c>
      <c r="F158" s="188" t="e">
        <f ca="1">VLOOKUP($D158,物料本月库存明細!$B:$J,5,0)</f>
        <v>#N/A</v>
      </c>
      <c r="G158" s="188"/>
      <c r="H158" s="191"/>
      <c r="I158" s="188"/>
      <c r="J158" s="188" t="e">
        <f ca="1">VLOOKUP($D158,物料本月库存明細!$B:$J,9,0)</f>
        <v>#N/A</v>
      </c>
      <c r="K158" s="220"/>
    </row>
    <row r="159" customHeight="1" spans="1:11">
      <c r="A159" s="191"/>
      <c r="B159" s="189"/>
      <c r="C159" s="193"/>
      <c r="D159" s="201"/>
      <c r="E159" s="188" t="e">
        <f ca="1">VLOOKUP($D159,物料本月库存明細!$B:$J,2,0)</f>
        <v>#N/A</v>
      </c>
      <c r="F159" s="188" t="e">
        <f ca="1">VLOOKUP($D159,物料本月库存明細!$B:$J,5,0)</f>
        <v>#N/A</v>
      </c>
      <c r="G159" s="188"/>
      <c r="H159" s="191"/>
      <c r="I159" s="188"/>
      <c r="J159" s="188" t="e">
        <f ca="1">VLOOKUP($D159,物料本月库存明細!$B:$J,9,0)</f>
        <v>#N/A</v>
      </c>
      <c r="K159" s="220"/>
    </row>
    <row r="160" customHeight="1" spans="1:11">
      <c r="A160" s="191"/>
      <c r="B160" s="189"/>
      <c r="C160" s="193"/>
      <c r="D160" s="201"/>
      <c r="E160" s="188" t="e">
        <f ca="1">VLOOKUP($D160,物料本月库存明細!$B:$J,2,0)</f>
        <v>#N/A</v>
      </c>
      <c r="F160" s="188" t="e">
        <f ca="1">VLOOKUP($D160,物料本月库存明細!$B:$J,5,0)</f>
        <v>#N/A</v>
      </c>
      <c r="G160" s="188"/>
      <c r="H160" s="191"/>
      <c r="I160" s="188"/>
      <c r="J160" s="188" t="e">
        <f ca="1">VLOOKUP($D160,物料本月库存明細!$B:$J,9,0)</f>
        <v>#N/A</v>
      </c>
      <c r="K160" s="220"/>
    </row>
    <row r="161" customHeight="1" spans="1:11">
      <c r="A161" s="191"/>
      <c r="B161" s="189"/>
      <c r="C161" s="193"/>
      <c r="D161" s="196"/>
      <c r="E161" s="188" t="e">
        <f ca="1">VLOOKUP($D161,物料本月库存明細!$B:$J,2,0)</f>
        <v>#N/A</v>
      </c>
      <c r="F161" s="188" t="e">
        <f ca="1">VLOOKUP($D161,物料本月库存明細!$B:$J,5,0)</f>
        <v>#N/A</v>
      </c>
      <c r="G161" s="188"/>
      <c r="H161" s="191"/>
      <c r="I161" s="188"/>
      <c r="J161" s="188" t="e">
        <f ca="1">VLOOKUP($D161,物料本月库存明細!$B:$J,9,0)</f>
        <v>#N/A</v>
      </c>
      <c r="K161" s="220"/>
    </row>
    <row r="162" customHeight="1" spans="1:11">
      <c r="A162" s="191"/>
      <c r="B162" s="189"/>
      <c r="C162" s="193"/>
      <c r="D162" s="194"/>
      <c r="E162" s="188" t="e">
        <f ca="1">VLOOKUP($D162,物料本月库存明細!$B:$J,2,0)</f>
        <v>#N/A</v>
      </c>
      <c r="F162" s="188" t="e">
        <f ca="1">VLOOKUP($D162,物料本月库存明細!$B:$J,5,0)</f>
        <v>#N/A</v>
      </c>
      <c r="G162" s="188"/>
      <c r="H162" s="191"/>
      <c r="I162" s="188"/>
      <c r="J162" s="188" t="e">
        <f ca="1">VLOOKUP($D162,物料本月库存明細!$B:$J,9,0)</f>
        <v>#N/A</v>
      </c>
      <c r="K162" s="220"/>
    </row>
    <row r="163" customHeight="1" spans="1:11">
      <c r="A163" s="191"/>
      <c r="B163" s="189"/>
      <c r="C163" s="193"/>
      <c r="D163" s="192"/>
      <c r="E163" s="188" t="e">
        <f ca="1">VLOOKUP($D163,物料本月库存明細!$B:$J,2,0)</f>
        <v>#N/A</v>
      </c>
      <c r="F163" s="188" t="e">
        <f ca="1">VLOOKUP($D163,物料本月库存明細!$B:$J,5,0)</f>
        <v>#N/A</v>
      </c>
      <c r="G163" s="188"/>
      <c r="H163" s="191"/>
      <c r="I163" s="188"/>
      <c r="J163" s="188" t="e">
        <f ca="1">VLOOKUP($D163,物料本月库存明細!$B:$J,9,0)</f>
        <v>#N/A</v>
      </c>
      <c r="K163" s="220"/>
    </row>
    <row r="164" customHeight="1" spans="1:11">
      <c r="A164" s="191"/>
      <c r="B164" s="189"/>
      <c r="C164" s="193"/>
      <c r="D164" s="196"/>
      <c r="E164" s="188" t="e">
        <f ca="1">VLOOKUP($D164,物料本月库存明細!$B:$J,2,0)</f>
        <v>#N/A</v>
      </c>
      <c r="F164" s="188" t="e">
        <f ca="1">VLOOKUP($D164,物料本月库存明細!$B:$J,5,0)</f>
        <v>#N/A</v>
      </c>
      <c r="G164" s="188"/>
      <c r="H164" s="191"/>
      <c r="I164" s="188"/>
      <c r="J164" s="188" t="e">
        <f ca="1">VLOOKUP($D164,物料本月库存明細!$B:$J,9,0)</f>
        <v>#N/A</v>
      </c>
      <c r="K164" s="220"/>
    </row>
    <row r="165" customHeight="1" spans="1:11">
      <c r="A165" s="191"/>
      <c r="B165" s="189"/>
      <c r="C165" s="193"/>
      <c r="D165" s="196"/>
      <c r="E165" s="188" t="e">
        <f ca="1">VLOOKUP($D165,物料本月库存明細!$B:$J,2,0)</f>
        <v>#N/A</v>
      </c>
      <c r="F165" s="188" t="e">
        <f ca="1">VLOOKUP($D165,物料本月库存明細!$B:$J,5,0)</f>
        <v>#N/A</v>
      </c>
      <c r="G165" s="188"/>
      <c r="H165" s="191"/>
      <c r="I165" s="188"/>
      <c r="J165" s="188" t="e">
        <f ca="1">VLOOKUP($D165,物料本月库存明細!$B:$J,9,0)</f>
        <v>#N/A</v>
      </c>
      <c r="K165" s="220"/>
    </row>
    <row r="166" customHeight="1" spans="1:11">
      <c r="A166" s="191"/>
      <c r="B166" s="189"/>
      <c r="C166" s="193"/>
      <c r="D166" s="201"/>
      <c r="E166" s="188" t="e">
        <f ca="1">VLOOKUP($D166,物料本月库存明細!$B:$J,2,0)</f>
        <v>#N/A</v>
      </c>
      <c r="F166" s="188" t="e">
        <f ca="1">VLOOKUP($D166,物料本月库存明細!$B:$J,5,0)</f>
        <v>#N/A</v>
      </c>
      <c r="G166" s="188"/>
      <c r="H166" s="191"/>
      <c r="I166" s="188"/>
      <c r="J166" s="188" t="e">
        <f ca="1">VLOOKUP($D166,物料本月库存明細!$B:$J,9,0)</f>
        <v>#N/A</v>
      </c>
      <c r="K166" s="220"/>
    </row>
    <row r="167" customHeight="1" spans="1:11">
      <c r="A167" s="191"/>
      <c r="B167" s="189"/>
      <c r="C167" s="193"/>
      <c r="D167" s="192"/>
      <c r="E167" s="188" t="e">
        <f ca="1">VLOOKUP($D167,物料本月库存明細!$B:$J,2,0)</f>
        <v>#N/A</v>
      </c>
      <c r="F167" s="188" t="e">
        <f ca="1">VLOOKUP($D167,物料本月库存明細!$B:$J,5,0)</f>
        <v>#N/A</v>
      </c>
      <c r="G167" s="188"/>
      <c r="H167" s="191"/>
      <c r="I167" s="188"/>
      <c r="J167" s="188" t="e">
        <f ca="1">VLOOKUP($D167,物料本月库存明細!$B:$J,9,0)</f>
        <v>#N/A</v>
      </c>
      <c r="K167" s="220"/>
    </row>
    <row r="168" customHeight="1" spans="1:11">
      <c r="A168" s="191"/>
      <c r="B168" s="189"/>
      <c r="C168" s="193"/>
      <c r="D168" s="201"/>
      <c r="E168" s="188" t="e">
        <f ca="1">VLOOKUP($D168,物料本月库存明細!$B:$J,2,0)</f>
        <v>#N/A</v>
      </c>
      <c r="F168" s="188" t="e">
        <f ca="1">VLOOKUP($D168,物料本月库存明細!$B:$J,5,0)</f>
        <v>#N/A</v>
      </c>
      <c r="G168" s="188"/>
      <c r="H168" s="191"/>
      <c r="I168" s="188"/>
      <c r="J168" s="188" t="e">
        <f ca="1">VLOOKUP($D168,物料本月库存明細!$B:$J,9,0)</f>
        <v>#N/A</v>
      </c>
      <c r="K168" s="220"/>
    </row>
    <row r="169" customHeight="1" spans="1:11">
      <c r="A169" s="191"/>
      <c r="B169" s="189"/>
      <c r="C169" s="193"/>
      <c r="D169" s="192"/>
      <c r="E169" s="188" t="e">
        <f ca="1">VLOOKUP($D169,物料本月库存明細!$B:$J,2,0)</f>
        <v>#N/A</v>
      </c>
      <c r="F169" s="188" t="e">
        <f ca="1">VLOOKUP($D169,物料本月库存明細!$B:$J,5,0)</f>
        <v>#N/A</v>
      </c>
      <c r="G169" s="188"/>
      <c r="H169" s="191"/>
      <c r="I169" s="188"/>
      <c r="J169" s="188" t="e">
        <f ca="1">VLOOKUP($D169,物料本月库存明細!$B:$J,9,0)</f>
        <v>#N/A</v>
      </c>
      <c r="K169" s="220"/>
    </row>
    <row r="170" customHeight="1" spans="1:11">
      <c r="A170" s="191"/>
      <c r="B170" s="189"/>
      <c r="C170" s="193"/>
      <c r="D170" s="192"/>
      <c r="E170" s="188" t="e">
        <f ca="1">VLOOKUP($D170,物料本月库存明細!$B:$J,2,0)</f>
        <v>#N/A</v>
      </c>
      <c r="F170" s="188" t="e">
        <f ca="1">VLOOKUP($D170,物料本月库存明細!$B:$J,5,0)</f>
        <v>#N/A</v>
      </c>
      <c r="G170" s="188"/>
      <c r="H170" s="191"/>
      <c r="I170" s="188"/>
      <c r="J170" s="188" t="e">
        <f ca="1">VLOOKUP($D170,物料本月库存明細!$B:$J,9,0)</f>
        <v>#N/A</v>
      </c>
      <c r="K170" s="220"/>
    </row>
    <row r="171" customHeight="1" spans="1:11">
      <c r="A171" s="191"/>
      <c r="B171" s="189"/>
      <c r="C171" s="193"/>
      <c r="D171" s="195"/>
      <c r="E171" s="188" t="e">
        <f ca="1">VLOOKUP($D171,物料本月库存明細!$B:$J,2,0)</f>
        <v>#N/A</v>
      </c>
      <c r="F171" s="188" t="e">
        <f ca="1">VLOOKUP($D171,物料本月库存明細!$B:$J,5,0)</f>
        <v>#N/A</v>
      </c>
      <c r="G171" s="188"/>
      <c r="H171" s="191"/>
      <c r="I171" s="188"/>
      <c r="J171" s="188" t="e">
        <f ca="1">VLOOKUP($D171,物料本月库存明細!$B:$J,9,0)</f>
        <v>#N/A</v>
      </c>
      <c r="K171" s="220"/>
    </row>
    <row r="172" customHeight="1" spans="1:11">
      <c r="A172" s="191"/>
      <c r="B172" s="189"/>
      <c r="C172" s="193"/>
      <c r="D172" s="195"/>
      <c r="E172" s="188" t="e">
        <f ca="1">VLOOKUP($D172,物料本月库存明細!$B:$J,2,0)</f>
        <v>#N/A</v>
      </c>
      <c r="F172" s="188" t="e">
        <f ca="1">VLOOKUP($D172,物料本月库存明細!$B:$J,5,0)</f>
        <v>#N/A</v>
      </c>
      <c r="G172" s="188"/>
      <c r="H172" s="191"/>
      <c r="I172" s="188"/>
      <c r="J172" s="188" t="e">
        <f ca="1">VLOOKUP($D172,物料本月库存明細!$B:$J,9,0)</f>
        <v>#N/A</v>
      </c>
      <c r="K172" s="220"/>
    </row>
    <row r="173" customHeight="1" spans="1:11">
      <c r="A173" s="191"/>
      <c r="B173" s="189"/>
      <c r="C173" s="193"/>
      <c r="D173" s="192"/>
      <c r="E173" s="188" t="e">
        <f ca="1">VLOOKUP($D173,物料本月库存明細!$B:$J,2,0)</f>
        <v>#N/A</v>
      </c>
      <c r="F173" s="188" t="e">
        <f ca="1">VLOOKUP($D173,物料本月库存明細!$B:$J,5,0)</f>
        <v>#N/A</v>
      </c>
      <c r="G173" s="188"/>
      <c r="H173" s="191"/>
      <c r="I173" s="188"/>
      <c r="J173" s="188" t="e">
        <f ca="1">VLOOKUP($D173,物料本月库存明細!$B:$J,9,0)</f>
        <v>#N/A</v>
      </c>
      <c r="K173" s="220"/>
    </row>
    <row r="174" customHeight="1" spans="1:11">
      <c r="A174" s="191"/>
      <c r="B174" s="189"/>
      <c r="C174" s="193"/>
      <c r="D174" s="195"/>
      <c r="E174" s="188" t="e">
        <f ca="1">VLOOKUP($D174,物料本月库存明細!$B:$J,2,0)</f>
        <v>#N/A</v>
      </c>
      <c r="F174" s="188" t="e">
        <f ca="1">VLOOKUP($D174,物料本月库存明細!$B:$J,5,0)</f>
        <v>#N/A</v>
      </c>
      <c r="G174" s="188"/>
      <c r="H174" s="191"/>
      <c r="I174" s="188"/>
      <c r="J174" s="188" t="e">
        <f ca="1">VLOOKUP($D174,物料本月库存明細!$B:$J,9,0)</f>
        <v>#N/A</v>
      </c>
      <c r="K174" s="220"/>
    </row>
    <row r="175" customHeight="1" spans="1:11">
      <c r="A175" s="191"/>
      <c r="B175" s="189"/>
      <c r="C175" s="193"/>
      <c r="D175" s="192"/>
      <c r="E175" s="188" t="e">
        <f ca="1">VLOOKUP($D175,物料本月库存明細!$B:$J,2,0)</f>
        <v>#N/A</v>
      </c>
      <c r="F175" s="188" t="e">
        <f ca="1">VLOOKUP($D175,物料本月库存明細!$B:$J,5,0)</f>
        <v>#N/A</v>
      </c>
      <c r="G175" s="188"/>
      <c r="H175" s="191"/>
      <c r="I175" s="188"/>
      <c r="J175" s="188" t="e">
        <f ca="1">VLOOKUP($D175,物料本月库存明細!$B:$J,9,0)</f>
        <v>#N/A</v>
      </c>
      <c r="K175" s="220"/>
    </row>
    <row r="176" customHeight="1" spans="1:11">
      <c r="A176" s="191"/>
      <c r="B176" s="189"/>
      <c r="C176" s="193"/>
      <c r="D176" s="196"/>
      <c r="E176" s="188" t="e">
        <f ca="1">VLOOKUP($D176,物料本月库存明細!$B:$J,2,0)</f>
        <v>#N/A</v>
      </c>
      <c r="F176" s="188" t="e">
        <f ca="1">VLOOKUP($D176,物料本月库存明細!$B:$J,5,0)</f>
        <v>#N/A</v>
      </c>
      <c r="G176" s="188"/>
      <c r="H176" s="191"/>
      <c r="I176" s="188"/>
      <c r="J176" s="188" t="e">
        <f ca="1">VLOOKUP($D176,物料本月库存明細!$B:$J,9,0)</f>
        <v>#N/A</v>
      </c>
      <c r="K176" s="220"/>
    </row>
    <row r="177" customHeight="1" spans="1:11">
      <c r="A177" s="191"/>
      <c r="B177" s="189"/>
      <c r="C177" s="193"/>
      <c r="D177" s="196"/>
      <c r="E177" s="188" t="e">
        <f ca="1">VLOOKUP($D177,物料本月库存明細!$B:$J,2,0)</f>
        <v>#N/A</v>
      </c>
      <c r="F177" s="188" t="e">
        <f ca="1">VLOOKUP($D177,物料本月库存明細!$B:$J,5,0)</f>
        <v>#N/A</v>
      </c>
      <c r="G177" s="188"/>
      <c r="H177" s="191"/>
      <c r="I177" s="188"/>
      <c r="J177" s="188" t="e">
        <f ca="1">VLOOKUP($D177,物料本月库存明細!$B:$J,9,0)</f>
        <v>#N/A</v>
      </c>
      <c r="K177" s="220"/>
    </row>
    <row r="178" customHeight="1" spans="1:11">
      <c r="A178" s="191"/>
      <c r="B178" s="189"/>
      <c r="C178" s="193"/>
      <c r="D178" s="192"/>
      <c r="E178" s="188" t="e">
        <f ca="1">VLOOKUP($D178,物料本月库存明細!$B:$J,2,0)</f>
        <v>#N/A</v>
      </c>
      <c r="F178" s="188" t="e">
        <f ca="1">VLOOKUP($D178,物料本月库存明細!$B:$J,5,0)</f>
        <v>#N/A</v>
      </c>
      <c r="G178" s="188"/>
      <c r="H178" s="191"/>
      <c r="I178" s="188"/>
      <c r="J178" s="188" t="e">
        <f ca="1">VLOOKUP($D178,物料本月库存明細!$B:$J,9,0)</f>
        <v>#N/A</v>
      </c>
      <c r="K178" s="220"/>
    </row>
    <row r="179" customHeight="1" spans="1:11">
      <c r="A179" s="191"/>
      <c r="B179" s="189"/>
      <c r="C179" s="193"/>
      <c r="D179" s="195"/>
      <c r="E179" s="188" t="e">
        <f ca="1">VLOOKUP($D179,物料本月库存明細!$B:$J,2,0)</f>
        <v>#N/A</v>
      </c>
      <c r="F179" s="188" t="e">
        <f ca="1">VLOOKUP($D179,物料本月库存明細!$B:$J,5,0)</f>
        <v>#N/A</v>
      </c>
      <c r="G179" s="188"/>
      <c r="H179" s="191"/>
      <c r="I179" s="188"/>
      <c r="J179" s="188" t="e">
        <f ca="1">VLOOKUP($D179,物料本月库存明細!$B:$J,9,0)</f>
        <v>#N/A</v>
      </c>
      <c r="K179" s="220"/>
    </row>
    <row r="180" customHeight="1" spans="1:11">
      <c r="A180" s="191"/>
      <c r="B180" s="189"/>
      <c r="C180" s="193"/>
      <c r="D180" s="192"/>
      <c r="E180" s="188" t="e">
        <f ca="1">VLOOKUP($D180,物料本月库存明細!$B:$J,2,0)</f>
        <v>#N/A</v>
      </c>
      <c r="F180" s="188" t="e">
        <f ca="1">VLOOKUP($D180,物料本月库存明細!$B:$J,5,0)</f>
        <v>#N/A</v>
      </c>
      <c r="G180" s="188"/>
      <c r="H180" s="191"/>
      <c r="I180" s="188"/>
      <c r="J180" s="188" t="e">
        <f ca="1">VLOOKUP($D180,物料本月库存明細!$B:$J,9,0)</f>
        <v>#N/A</v>
      </c>
      <c r="K180" s="220"/>
    </row>
    <row r="181" customHeight="1" spans="1:11">
      <c r="A181" s="191"/>
      <c r="B181" s="189"/>
      <c r="C181" s="193"/>
      <c r="D181" s="192"/>
      <c r="E181" s="188" t="e">
        <f ca="1">VLOOKUP($D181,物料本月库存明細!$B:$J,2,0)</f>
        <v>#N/A</v>
      </c>
      <c r="F181" s="188" t="e">
        <f ca="1">VLOOKUP($D181,物料本月库存明細!$B:$J,5,0)</f>
        <v>#N/A</v>
      </c>
      <c r="G181" s="188"/>
      <c r="H181" s="191"/>
      <c r="I181" s="188"/>
      <c r="J181" s="188" t="e">
        <f ca="1">VLOOKUP($D181,物料本月库存明細!$B:$J,9,0)</f>
        <v>#N/A</v>
      </c>
      <c r="K181" s="220"/>
    </row>
    <row r="182" customHeight="1" spans="1:11">
      <c r="A182" s="191"/>
      <c r="B182" s="189"/>
      <c r="C182" s="193"/>
      <c r="D182" s="200"/>
      <c r="E182" s="188" t="e">
        <f ca="1">VLOOKUP($D182,物料本月库存明細!$B:$J,2,0)</f>
        <v>#N/A</v>
      </c>
      <c r="F182" s="188" t="e">
        <f ca="1">VLOOKUP($D182,物料本月库存明細!$B:$J,5,0)</f>
        <v>#N/A</v>
      </c>
      <c r="G182" s="188"/>
      <c r="H182" s="191"/>
      <c r="I182" s="188"/>
      <c r="J182" s="188" t="e">
        <f ca="1">VLOOKUP($D182,物料本月库存明細!$B:$J,9,0)</f>
        <v>#N/A</v>
      </c>
      <c r="K182" s="220"/>
    </row>
    <row r="183" customHeight="1" spans="1:11">
      <c r="A183" s="191"/>
      <c r="B183" s="189"/>
      <c r="C183" s="193"/>
      <c r="D183" s="196"/>
      <c r="E183" s="188" t="e">
        <f ca="1">VLOOKUP($D183,物料本月库存明細!$B:$J,2,0)</f>
        <v>#N/A</v>
      </c>
      <c r="F183" s="188" t="e">
        <f ca="1">VLOOKUP($D183,物料本月库存明細!$B:$J,5,0)</f>
        <v>#N/A</v>
      </c>
      <c r="G183" s="188"/>
      <c r="H183" s="191"/>
      <c r="I183" s="188"/>
      <c r="J183" s="188" t="e">
        <f ca="1">VLOOKUP($D183,物料本月库存明細!$B:$J,9,0)</f>
        <v>#N/A</v>
      </c>
      <c r="K183" s="220"/>
    </row>
    <row r="184" customHeight="1" spans="1:11">
      <c r="A184" s="191"/>
      <c r="B184" s="189"/>
      <c r="C184" s="193"/>
      <c r="D184" s="192"/>
      <c r="E184" s="188" t="e">
        <f ca="1">VLOOKUP($D184,物料本月库存明細!$B:$J,2,0)</f>
        <v>#N/A</v>
      </c>
      <c r="F184" s="188" t="e">
        <f ca="1">VLOOKUP($D184,物料本月库存明細!$B:$J,5,0)</f>
        <v>#N/A</v>
      </c>
      <c r="G184" s="188"/>
      <c r="H184" s="191"/>
      <c r="I184" s="188"/>
      <c r="J184" s="188" t="e">
        <f ca="1">VLOOKUP($D184,物料本月库存明細!$B:$J,9,0)</f>
        <v>#N/A</v>
      </c>
      <c r="K184" s="220"/>
    </row>
    <row r="185" customHeight="1" spans="1:11">
      <c r="A185" s="191"/>
      <c r="B185" s="189"/>
      <c r="C185" s="193"/>
      <c r="D185" s="196"/>
      <c r="E185" s="188" t="e">
        <f ca="1">VLOOKUP($D185,物料本月库存明細!$B:$J,2,0)</f>
        <v>#N/A</v>
      </c>
      <c r="F185" s="188" t="e">
        <f ca="1">VLOOKUP($D185,物料本月库存明細!$B:$J,5,0)</f>
        <v>#N/A</v>
      </c>
      <c r="G185" s="188"/>
      <c r="H185" s="191"/>
      <c r="I185" s="188"/>
      <c r="J185" s="188" t="e">
        <f ca="1">VLOOKUP($D185,物料本月库存明細!$B:$J,9,0)</f>
        <v>#N/A</v>
      </c>
      <c r="K185" s="220"/>
    </row>
    <row r="186" customHeight="1" spans="1:11">
      <c r="A186" s="191"/>
      <c r="B186" s="189"/>
      <c r="C186" s="193"/>
      <c r="D186" s="204"/>
      <c r="E186" s="188" t="e">
        <f ca="1">VLOOKUP($D186,物料本月库存明細!$B:$J,2,0)</f>
        <v>#N/A</v>
      </c>
      <c r="F186" s="188" t="e">
        <f ca="1">VLOOKUP($D186,物料本月库存明細!$B:$J,5,0)</f>
        <v>#N/A</v>
      </c>
      <c r="G186" s="188"/>
      <c r="H186" s="191"/>
      <c r="I186" s="188"/>
      <c r="J186" s="188" t="e">
        <f ca="1">VLOOKUP($D186,物料本月库存明細!$B:$J,9,0)</f>
        <v>#N/A</v>
      </c>
      <c r="K186" s="220"/>
    </row>
    <row r="187" customHeight="1" spans="1:11">
      <c r="A187" s="191"/>
      <c r="B187" s="189"/>
      <c r="C187" s="193"/>
      <c r="D187" s="196"/>
      <c r="E187" s="188" t="e">
        <f ca="1">VLOOKUP($D187,物料本月库存明細!$B:$J,2,0)</f>
        <v>#N/A</v>
      </c>
      <c r="F187" s="188" t="e">
        <f ca="1">VLOOKUP($D187,物料本月库存明細!$B:$J,5,0)</f>
        <v>#N/A</v>
      </c>
      <c r="G187" s="188"/>
      <c r="H187" s="191"/>
      <c r="I187" s="188"/>
      <c r="J187" s="188" t="e">
        <f ca="1">VLOOKUP($D187,物料本月库存明細!$B:$J,9,0)</f>
        <v>#N/A</v>
      </c>
      <c r="K187" s="220"/>
    </row>
    <row r="188" customHeight="1" spans="1:11">
      <c r="A188" s="191"/>
      <c r="B188" s="189"/>
      <c r="C188" s="193"/>
      <c r="D188" s="192"/>
      <c r="E188" s="188" t="e">
        <f ca="1">VLOOKUP($D188,物料本月库存明細!$B:$J,2,0)</f>
        <v>#N/A</v>
      </c>
      <c r="F188" s="188" t="e">
        <f ca="1">VLOOKUP($D188,物料本月库存明細!$B:$J,5,0)</f>
        <v>#N/A</v>
      </c>
      <c r="G188" s="188"/>
      <c r="H188" s="191"/>
      <c r="I188" s="188"/>
      <c r="J188" s="188" t="e">
        <f ca="1">VLOOKUP($D188,物料本月库存明細!$B:$J,9,0)</f>
        <v>#N/A</v>
      </c>
      <c r="K188" s="220"/>
    </row>
    <row r="189" customHeight="1" spans="1:11">
      <c r="A189" s="191"/>
      <c r="B189" s="189"/>
      <c r="C189" s="193"/>
      <c r="D189" s="204"/>
      <c r="E189" s="188" t="e">
        <f ca="1">VLOOKUP($D189,物料本月库存明細!$B:$J,2,0)</f>
        <v>#N/A</v>
      </c>
      <c r="F189" s="188" t="e">
        <f ca="1">VLOOKUP($D189,物料本月库存明細!$B:$J,5,0)</f>
        <v>#N/A</v>
      </c>
      <c r="G189" s="188"/>
      <c r="H189" s="191"/>
      <c r="I189" s="188"/>
      <c r="J189" s="188" t="e">
        <f ca="1">VLOOKUP($D189,物料本月库存明細!$B:$J,9,0)</f>
        <v>#N/A</v>
      </c>
      <c r="K189" s="220"/>
    </row>
    <row r="190" customHeight="1" spans="1:11">
      <c r="A190" s="191"/>
      <c r="B190" s="189"/>
      <c r="C190" s="193"/>
      <c r="D190" s="195"/>
      <c r="E190" s="188" t="e">
        <f ca="1">VLOOKUP($D190,物料本月库存明細!$B:$J,2,0)</f>
        <v>#N/A</v>
      </c>
      <c r="F190" s="188" t="e">
        <f ca="1">VLOOKUP($D190,物料本月库存明細!$B:$J,5,0)</f>
        <v>#N/A</v>
      </c>
      <c r="G190" s="188"/>
      <c r="H190" s="191"/>
      <c r="I190" s="188"/>
      <c r="J190" s="188" t="e">
        <f ca="1">VLOOKUP($D190,物料本月库存明細!$B:$J,9,0)</f>
        <v>#N/A</v>
      </c>
      <c r="K190" s="220"/>
    </row>
    <row r="191" customHeight="1" spans="1:11">
      <c r="A191" s="191"/>
      <c r="B191" s="189"/>
      <c r="C191" s="193"/>
      <c r="D191" s="196"/>
      <c r="E191" s="188" t="e">
        <f ca="1">VLOOKUP($D191,物料本月库存明細!$B:$J,2,0)</f>
        <v>#N/A</v>
      </c>
      <c r="F191" s="188" t="e">
        <f ca="1">VLOOKUP($D191,物料本月库存明細!$B:$J,5,0)</f>
        <v>#N/A</v>
      </c>
      <c r="G191" s="188"/>
      <c r="H191" s="191"/>
      <c r="I191" s="188"/>
      <c r="J191" s="188" t="e">
        <f ca="1">VLOOKUP($D191,物料本月库存明細!$B:$J,9,0)</f>
        <v>#N/A</v>
      </c>
      <c r="K191" s="220"/>
    </row>
    <row r="192" customHeight="1" spans="1:11">
      <c r="A192" s="191"/>
      <c r="B192" s="189"/>
      <c r="C192" s="193"/>
      <c r="D192" s="202"/>
      <c r="E192" s="188" t="e">
        <f ca="1">VLOOKUP($D192,物料本月库存明細!$B:$J,2,0)</f>
        <v>#N/A</v>
      </c>
      <c r="F192" s="188" t="e">
        <f ca="1">VLOOKUP($D192,物料本月库存明細!$B:$J,5,0)</f>
        <v>#N/A</v>
      </c>
      <c r="G192" s="188"/>
      <c r="H192" s="191"/>
      <c r="I192" s="188"/>
      <c r="J192" s="188" t="e">
        <f ca="1">VLOOKUP($D192,物料本月库存明細!$B:$J,9,0)</f>
        <v>#N/A</v>
      </c>
      <c r="K192" s="220"/>
    </row>
    <row r="193" customHeight="1" spans="1:11">
      <c r="A193" s="191"/>
      <c r="B193" s="189"/>
      <c r="C193" s="193"/>
      <c r="D193" s="195"/>
      <c r="E193" s="188" t="e">
        <f ca="1">VLOOKUP($D193,物料本月库存明細!$B:$J,2,0)</f>
        <v>#N/A</v>
      </c>
      <c r="F193" s="188" t="e">
        <f ca="1">VLOOKUP($D193,物料本月库存明細!$B:$J,5,0)</f>
        <v>#N/A</v>
      </c>
      <c r="G193" s="188"/>
      <c r="H193" s="191"/>
      <c r="I193" s="188"/>
      <c r="J193" s="188" t="e">
        <f ca="1">VLOOKUP($D193,物料本月库存明細!$B:$J,9,0)</f>
        <v>#N/A</v>
      </c>
      <c r="K193" s="220"/>
    </row>
    <row r="194" customHeight="1" spans="1:11">
      <c r="A194" s="191"/>
      <c r="B194" s="189"/>
      <c r="C194" s="193"/>
      <c r="D194" s="192"/>
      <c r="E194" s="188" t="e">
        <f ca="1">VLOOKUP($D194,物料本月库存明細!$B:$J,2,0)</f>
        <v>#N/A</v>
      </c>
      <c r="F194" s="188" t="e">
        <f ca="1">VLOOKUP($D194,物料本月库存明細!$B:$J,5,0)</f>
        <v>#N/A</v>
      </c>
      <c r="G194" s="188"/>
      <c r="H194" s="191"/>
      <c r="I194" s="188"/>
      <c r="J194" s="188" t="e">
        <f ca="1">VLOOKUP($D194,物料本月库存明細!$B:$J,9,0)</f>
        <v>#N/A</v>
      </c>
      <c r="K194" s="220"/>
    </row>
    <row r="195" customHeight="1" spans="1:11">
      <c r="A195" s="191"/>
      <c r="B195" s="189"/>
      <c r="C195" s="193"/>
      <c r="D195" s="195"/>
      <c r="E195" s="188" t="e">
        <f ca="1">VLOOKUP($D195,物料本月库存明細!$B:$J,2,0)</f>
        <v>#N/A</v>
      </c>
      <c r="F195" s="188" t="e">
        <f ca="1">VLOOKUP($D195,物料本月库存明細!$B:$J,5,0)</f>
        <v>#N/A</v>
      </c>
      <c r="G195" s="188"/>
      <c r="H195" s="191"/>
      <c r="I195" s="188"/>
      <c r="J195" s="188" t="e">
        <f ca="1">VLOOKUP($D195,物料本月库存明細!$B:$J,9,0)</f>
        <v>#N/A</v>
      </c>
      <c r="K195" s="220"/>
    </row>
    <row r="196" s="208" customFormat="1" customHeight="1" spans="1:11">
      <c r="A196" s="191"/>
      <c r="B196" s="189"/>
      <c r="C196" s="193"/>
      <c r="D196" s="192"/>
      <c r="E196" s="221" t="e">
        <f ca="1">VLOOKUP($D196,物料本月库存明細!$B:$J,2,0)</f>
        <v>#N/A</v>
      </c>
      <c r="F196" s="221" t="e">
        <f ca="1">VLOOKUP($D196,物料本月库存明細!$B:$J,5,0)</f>
        <v>#N/A</v>
      </c>
      <c r="G196" s="221"/>
      <c r="H196" s="222"/>
      <c r="I196" s="221"/>
      <c r="J196" s="221" t="e">
        <f ca="1">VLOOKUP($D196,物料本月库存明細!$B:$J,9,0)</f>
        <v>#N/A</v>
      </c>
      <c r="K196" s="223"/>
    </row>
    <row r="197" customHeight="1" spans="1:11">
      <c r="A197" s="191"/>
      <c r="B197" s="189"/>
      <c r="C197" s="193"/>
      <c r="D197" s="192"/>
      <c r="E197" s="188" t="e">
        <f ca="1">VLOOKUP($D197,物料本月库存明細!$B:$J,2,0)</f>
        <v>#N/A</v>
      </c>
      <c r="F197" s="188" t="e">
        <f ca="1">VLOOKUP($D197,物料本月库存明細!$B:$J,5,0)</f>
        <v>#N/A</v>
      </c>
      <c r="G197" s="188"/>
      <c r="H197" s="191"/>
      <c r="I197" s="188"/>
      <c r="J197" s="188" t="e">
        <f ca="1">VLOOKUP($D197,物料本月库存明細!$B:$J,9,0)</f>
        <v>#N/A</v>
      </c>
      <c r="K197" s="220"/>
    </row>
    <row r="198" s="208" customFormat="1" customHeight="1" spans="1:11">
      <c r="A198" s="222"/>
      <c r="B198" s="189"/>
      <c r="C198" s="225"/>
      <c r="D198" s="192"/>
      <c r="E198" s="221" t="e">
        <f ca="1">VLOOKUP($D198,物料本月库存明細!$B:$J,2,0)</f>
        <v>#N/A</v>
      </c>
      <c r="F198" s="221" t="e">
        <f ca="1">VLOOKUP($D198,物料本月库存明細!$B:$J,5,0)</f>
        <v>#N/A</v>
      </c>
      <c r="G198" s="221"/>
      <c r="H198" s="222"/>
      <c r="I198" s="221"/>
      <c r="J198" s="221" t="e">
        <f ca="1">VLOOKUP($D198,物料本月库存明細!$B:$J,9,0)</f>
        <v>#N/A</v>
      </c>
      <c r="K198" s="223"/>
    </row>
    <row r="199" customHeight="1" spans="1:11">
      <c r="A199" s="222"/>
      <c r="B199" s="189"/>
      <c r="C199" s="225"/>
      <c r="D199" s="196"/>
      <c r="E199" s="188" t="e">
        <f ca="1">VLOOKUP($D199,物料本月库存明細!$B:$J,2,0)</f>
        <v>#N/A</v>
      </c>
      <c r="F199" s="188" t="e">
        <f ca="1">VLOOKUP($D199,物料本月库存明細!$B:$J,5,0)</f>
        <v>#N/A</v>
      </c>
      <c r="G199" s="188"/>
      <c r="H199" s="191"/>
      <c r="I199" s="188"/>
      <c r="J199" s="188" t="e">
        <f ca="1">VLOOKUP($D199,物料本月库存明細!$B:$J,9,0)</f>
        <v>#N/A</v>
      </c>
      <c r="K199" s="220"/>
    </row>
    <row r="200" customHeight="1" spans="1:11">
      <c r="A200" s="222"/>
      <c r="B200" s="189"/>
      <c r="C200" s="225"/>
      <c r="D200" s="196"/>
      <c r="E200" s="188" t="e">
        <f ca="1">VLOOKUP($D200,物料本月库存明細!$B:$J,2,0)</f>
        <v>#N/A</v>
      </c>
      <c r="F200" s="188" t="e">
        <f ca="1">VLOOKUP($D200,物料本月库存明細!$B:$J,5,0)</f>
        <v>#N/A</v>
      </c>
      <c r="G200" s="188"/>
      <c r="H200" s="191"/>
      <c r="I200" s="188"/>
      <c r="J200" s="188" t="e">
        <f ca="1">VLOOKUP($D200,物料本月库存明細!$B:$J,9,0)</f>
        <v>#N/A</v>
      </c>
      <c r="K200" s="220"/>
    </row>
    <row r="201" customHeight="1" spans="1:11">
      <c r="A201" s="222"/>
      <c r="B201" s="189"/>
      <c r="C201" s="225"/>
      <c r="D201" s="192"/>
      <c r="E201" s="188" t="e">
        <f ca="1">VLOOKUP($D201,物料本月库存明細!$B:$J,2,0)</f>
        <v>#N/A</v>
      </c>
      <c r="F201" s="188" t="e">
        <f ca="1">VLOOKUP($D201,物料本月库存明細!$B:$J,5,0)</f>
        <v>#N/A</v>
      </c>
      <c r="G201" s="188"/>
      <c r="H201" s="191"/>
      <c r="I201" s="188"/>
      <c r="J201" s="188" t="e">
        <f ca="1">VLOOKUP($D201,物料本月库存明細!$B:$J,9,0)</f>
        <v>#N/A</v>
      </c>
      <c r="K201" s="220"/>
    </row>
    <row r="202" customHeight="1" spans="1:11">
      <c r="A202" s="222"/>
      <c r="B202" s="189"/>
      <c r="C202" s="225"/>
      <c r="D202" s="197"/>
      <c r="E202" s="188" t="e">
        <f ca="1">VLOOKUP($D202,物料本月库存明細!$B:$J,2,0)</f>
        <v>#N/A</v>
      </c>
      <c r="F202" s="188" t="e">
        <f ca="1">VLOOKUP($D202,物料本月库存明細!$B:$J,5,0)</f>
        <v>#N/A</v>
      </c>
      <c r="G202" s="188"/>
      <c r="H202" s="191"/>
      <c r="I202" s="188"/>
      <c r="J202" s="188" t="e">
        <f ca="1">VLOOKUP($D202,物料本月库存明細!$B:$J,9,0)</f>
        <v>#N/A</v>
      </c>
      <c r="K202" s="220"/>
    </row>
    <row r="203" customHeight="1" spans="1:11">
      <c r="A203" s="222"/>
      <c r="B203" s="189"/>
      <c r="C203" s="225"/>
      <c r="D203" s="192"/>
      <c r="E203" s="188" t="e">
        <f ca="1">VLOOKUP($D203,物料本月库存明細!$B:$J,2,0)</f>
        <v>#N/A</v>
      </c>
      <c r="F203" s="188" t="e">
        <f ca="1">VLOOKUP($D203,物料本月库存明細!$B:$J,5,0)</f>
        <v>#N/A</v>
      </c>
      <c r="G203" s="188"/>
      <c r="H203" s="191"/>
      <c r="I203" s="188"/>
      <c r="J203" s="188" t="e">
        <f ca="1">VLOOKUP($D203,物料本月库存明細!$B:$J,9,0)</f>
        <v>#N/A</v>
      </c>
      <c r="K203" s="220"/>
    </row>
    <row r="204" customHeight="1" spans="1:11">
      <c r="A204" s="222"/>
      <c r="B204" s="189"/>
      <c r="C204" s="225"/>
      <c r="D204" s="196"/>
      <c r="E204" s="188" t="e">
        <f ca="1">VLOOKUP($D204,物料本月库存明細!$B:$J,2,0)</f>
        <v>#N/A</v>
      </c>
      <c r="F204" s="188" t="e">
        <f ca="1">VLOOKUP($D204,物料本月库存明細!$B:$J,5,0)</f>
        <v>#N/A</v>
      </c>
      <c r="G204" s="188"/>
      <c r="H204" s="191"/>
      <c r="I204" s="188"/>
      <c r="J204" s="188" t="e">
        <f ca="1">VLOOKUP($D204,物料本月库存明細!$B:$J,9,0)</f>
        <v>#N/A</v>
      </c>
      <c r="K204" s="220"/>
    </row>
    <row r="205" customHeight="1" spans="1:11">
      <c r="A205" s="222"/>
      <c r="B205" s="189"/>
      <c r="C205" s="225"/>
      <c r="D205" s="196"/>
      <c r="E205" s="188" t="e">
        <f ca="1">VLOOKUP($D205,物料本月库存明細!$B:$J,2,0)</f>
        <v>#N/A</v>
      </c>
      <c r="F205" s="188" t="e">
        <f ca="1">VLOOKUP($D205,物料本月库存明細!$B:$J,5,0)</f>
        <v>#N/A</v>
      </c>
      <c r="G205" s="188"/>
      <c r="H205" s="191"/>
      <c r="I205" s="188"/>
      <c r="J205" s="188" t="e">
        <f ca="1">VLOOKUP($D205,物料本月库存明細!$B:$J,9,0)</f>
        <v>#N/A</v>
      </c>
      <c r="K205" s="220"/>
    </row>
    <row r="206" customHeight="1" spans="1:11">
      <c r="A206" s="222"/>
      <c r="B206" s="189"/>
      <c r="C206" s="225"/>
      <c r="D206" s="196"/>
      <c r="E206" s="188" t="e">
        <f ca="1">VLOOKUP($D206,物料本月库存明細!$B:$J,2,0)</f>
        <v>#N/A</v>
      </c>
      <c r="F206" s="188" t="e">
        <f ca="1">VLOOKUP($D206,物料本月库存明細!$B:$J,5,0)</f>
        <v>#N/A</v>
      </c>
      <c r="G206" s="188"/>
      <c r="H206" s="191"/>
      <c r="I206" s="188"/>
      <c r="J206" s="188" t="e">
        <f ca="1">VLOOKUP($D206,物料本月库存明細!$B:$J,9,0)</f>
        <v>#N/A</v>
      </c>
      <c r="K206" s="220"/>
    </row>
    <row r="207" customHeight="1" spans="1:11">
      <c r="A207" s="222"/>
      <c r="B207" s="189"/>
      <c r="C207" s="225"/>
      <c r="D207" s="192"/>
      <c r="E207" s="188" t="e">
        <f ca="1">VLOOKUP($D207,物料本月库存明細!$B:$J,2,0)</f>
        <v>#N/A</v>
      </c>
      <c r="F207" s="188" t="e">
        <f ca="1">VLOOKUP($D207,物料本月库存明細!$B:$J,5,0)</f>
        <v>#N/A</v>
      </c>
      <c r="G207" s="188"/>
      <c r="H207" s="191"/>
      <c r="I207" s="188"/>
      <c r="J207" s="188" t="e">
        <f ca="1">VLOOKUP($D207,物料本月库存明細!$B:$J,9,0)</f>
        <v>#N/A</v>
      </c>
      <c r="K207" s="220"/>
    </row>
    <row r="208" customHeight="1" spans="1:11">
      <c r="A208" s="222"/>
      <c r="B208" s="189"/>
      <c r="C208" s="225"/>
      <c r="D208" s="192"/>
      <c r="E208" s="188" t="e">
        <f ca="1">VLOOKUP($D208,物料本月库存明細!$B:$J,2,0)</f>
        <v>#N/A</v>
      </c>
      <c r="F208" s="188" t="e">
        <f ca="1">VLOOKUP($D208,物料本月库存明細!$B:$J,5,0)</f>
        <v>#N/A</v>
      </c>
      <c r="G208" s="188"/>
      <c r="H208" s="191"/>
      <c r="I208" s="188"/>
      <c r="J208" s="188" t="e">
        <f ca="1">VLOOKUP($D208,物料本月库存明細!$B:$J,9,0)</f>
        <v>#N/A</v>
      </c>
      <c r="K208" s="220"/>
    </row>
    <row r="209" customHeight="1" spans="1:11">
      <c r="A209" s="222"/>
      <c r="B209" s="189"/>
      <c r="C209" s="225"/>
      <c r="D209" s="196"/>
      <c r="E209" s="188" t="e">
        <f ca="1">VLOOKUP($D209,物料本月库存明細!$B:$J,2,0)</f>
        <v>#N/A</v>
      </c>
      <c r="F209" s="188" t="e">
        <f ca="1">VLOOKUP($D209,物料本月库存明細!$B:$J,5,0)</f>
        <v>#N/A</v>
      </c>
      <c r="G209" s="188"/>
      <c r="H209" s="191"/>
      <c r="I209" s="188"/>
      <c r="J209" s="188" t="e">
        <f ca="1">VLOOKUP($D209,物料本月库存明細!$B:$J,9,0)</f>
        <v>#N/A</v>
      </c>
      <c r="K209" s="220"/>
    </row>
    <row r="210" customHeight="1" spans="1:11">
      <c r="A210" s="222"/>
      <c r="B210" s="189"/>
      <c r="C210" s="225"/>
      <c r="D210" s="192"/>
      <c r="E210" s="188" t="e">
        <f ca="1">VLOOKUP($D210,物料本月库存明細!$B:$J,2,0)</f>
        <v>#N/A</v>
      </c>
      <c r="F210" s="188" t="e">
        <f ca="1">VLOOKUP($D210,物料本月库存明細!$B:$J,5,0)</f>
        <v>#N/A</v>
      </c>
      <c r="G210" s="188"/>
      <c r="H210" s="191"/>
      <c r="I210" s="188"/>
      <c r="J210" s="188" t="e">
        <f ca="1">VLOOKUP($D210,物料本月库存明細!$B:$J,9,0)</f>
        <v>#N/A</v>
      </c>
      <c r="K210" s="220"/>
    </row>
    <row r="211" customHeight="1" spans="1:11">
      <c r="A211" s="222"/>
      <c r="B211" s="189"/>
      <c r="C211" s="225"/>
      <c r="D211" s="195"/>
      <c r="E211" s="188" t="e">
        <f ca="1">VLOOKUP($D211,物料本月库存明細!$B:$J,2,0)</f>
        <v>#N/A</v>
      </c>
      <c r="F211" s="188" t="e">
        <f ca="1">VLOOKUP($D211,物料本月库存明細!$B:$J,5,0)</f>
        <v>#N/A</v>
      </c>
      <c r="G211" s="188"/>
      <c r="H211" s="191"/>
      <c r="I211" s="188"/>
      <c r="J211" s="188" t="e">
        <f ca="1">VLOOKUP($D211,物料本月库存明細!$B:$J,9,0)</f>
        <v>#N/A</v>
      </c>
      <c r="K211" s="220"/>
    </row>
    <row r="212" customHeight="1" spans="1:11">
      <c r="A212" s="191"/>
      <c r="B212" s="189"/>
      <c r="C212" s="193"/>
      <c r="D212" s="195"/>
      <c r="E212" s="188" t="e">
        <f ca="1">VLOOKUP($D212,物料本月库存明細!$B:$J,2,0)</f>
        <v>#N/A</v>
      </c>
      <c r="F212" s="188" t="e">
        <f ca="1">VLOOKUP($D212,物料本月库存明細!$B:$J,5,0)</f>
        <v>#N/A</v>
      </c>
      <c r="G212" s="188"/>
      <c r="H212" s="191"/>
      <c r="I212" s="188"/>
      <c r="J212" s="188" t="e">
        <f ca="1">VLOOKUP($D212,物料本月库存明細!$B:$J,9,0)</f>
        <v>#N/A</v>
      </c>
      <c r="K212" s="220"/>
    </row>
    <row r="213" customHeight="1" spans="1:11">
      <c r="A213" s="191"/>
      <c r="B213" s="189"/>
      <c r="C213" s="193"/>
      <c r="D213" s="196"/>
      <c r="E213" s="188" t="e">
        <f ca="1">VLOOKUP($D213,物料本月库存明細!$B:$J,2,0)</f>
        <v>#N/A</v>
      </c>
      <c r="F213" s="188" t="e">
        <f ca="1">VLOOKUP($D213,物料本月库存明細!$B:$J,5,0)</f>
        <v>#N/A</v>
      </c>
      <c r="G213" s="188"/>
      <c r="H213" s="191"/>
      <c r="I213" s="188"/>
      <c r="J213" s="188" t="e">
        <f ca="1">VLOOKUP($D213,物料本月库存明細!$B:$J,9,0)</f>
        <v>#N/A</v>
      </c>
      <c r="K213" s="220"/>
    </row>
    <row r="214" customHeight="1" spans="1:11">
      <c r="A214" s="191"/>
      <c r="B214" s="189"/>
      <c r="C214" s="193"/>
      <c r="D214" s="192"/>
      <c r="E214" s="188" t="e">
        <f ca="1">VLOOKUP($D214,物料本月库存明細!$B:$J,2,0)</f>
        <v>#N/A</v>
      </c>
      <c r="F214" s="188" t="e">
        <f ca="1">VLOOKUP($D214,物料本月库存明細!$B:$J,5,0)</f>
        <v>#N/A</v>
      </c>
      <c r="G214" s="188"/>
      <c r="H214" s="191"/>
      <c r="I214" s="188"/>
      <c r="J214" s="188" t="e">
        <f ca="1">VLOOKUP($D214,物料本月库存明細!$B:$J,9,0)</f>
        <v>#N/A</v>
      </c>
      <c r="K214" s="220"/>
    </row>
    <row r="215" customHeight="1" spans="1:11">
      <c r="A215" s="191"/>
      <c r="B215" s="189"/>
      <c r="C215" s="193"/>
      <c r="D215" s="192"/>
      <c r="E215" s="188" t="e">
        <f ca="1">VLOOKUP($D215,物料本月库存明細!$B:$J,2,0)</f>
        <v>#N/A</v>
      </c>
      <c r="F215" s="188" t="e">
        <f ca="1">VLOOKUP($D215,物料本月库存明細!$B:$J,5,0)</f>
        <v>#N/A</v>
      </c>
      <c r="G215" s="188"/>
      <c r="H215" s="191"/>
      <c r="I215" s="188"/>
      <c r="J215" s="188" t="e">
        <f ca="1">VLOOKUP($D215,物料本月库存明細!$B:$J,9,0)</f>
        <v>#N/A</v>
      </c>
      <c r="K215" s="220"/>
    </row>
    <row r="216" customHeight="1" spans="1:11">
      <c r="A216" s="191"/>
      <c r="B216" s="189"/>
      <c r="C216" s="193"/>
      <c r="D216" s="192"/>
      <c r="E216" s="188" t="e">
        <f ca="1">VLOOKUP($D216,物料本月库存明細!$B:$J,2,0)</f>
        <v>#N/A</v>
      </c>
      <c r="F216" s="188" t="e">
        <f ca="1">VLOOKUP($D216,物料本月库存明細!$B:$J,5,0)</f>
        <v>#N/A</v>
      </c>
      <c r="G216" s="188"/>
      <c r="H216" s="191"/>
      <c r="I216" s="188"/>
      <c r="J216" s="188" t="e">
        <f ca="1">VLOOKUP($D216,物料本月库存明細!$B:$J,9,0)</f>
        <v>#N/A</v>
      </c>
      <c r="K216" s="220"/>
    </row>
    <row r="217" customHeight="1" spans="1:11">
      <c r="A217" s="191"/>
      <c r="B217" s="189"/>
      <c r="C217" s="193"/>
      <c r="D217" s="192"/>
      <c r="E217" s="188" t="e">
        <f ca="1">VLOOKUP($D217,物料本月库存明細!$B:$J,2,0)</f>
        <v>#N/A</v>
      </c>
      <c r="F217" s="188" t="e">
        <f ca="1">VLOOKUP($D217,物料本月库存明細!$B:$J,5,0)</f>
        <v>#N/A</v>
      </c>
      <c r="G217" s="188"/>
      <c r="H217" s="191"/>
      <c r="I217" s="188"/>
      <c r="J217" s="188" t="e">
        <f ca="1">VLOOKUP($D217,物料本月库存明細!$B:$J,9,0)</f>
        <v>#N/A</v>
      </c>
      <c r="K217" s="220"/>
    </row>
    <row r="218" customHeight="1" spans="1:11">
      <c r="A218" s="191"/>
      <c r="B218" s="189"/>
      <c r="C218" s="193"/>
      <c r="D218" s="195"/>
      <c r="E218" s="188" t="e">
        <f ca="1">VLOOKUP($D218,物料本月库存明細!$B:$J,2,0)</f>
        <v>#N/A</v>
      </c>
      <c r="F218" s="188" t="e">
        <f ca="1">VLOOKUP($D218,物料本月库存明細!$B:$J,5,0)</f>
        <v>#N/A</v>
      </c>
      <c r="G218" s="188"/>
      <c r="H218" s="191"/>
      <c r="I218" s="188"/>
      <c r="J218" s="188" t="e">
        <f ca="1">VLOOKUP($D218,物料本月库存明細!$B:$J,9,0)</f>
        <v>#N/A</v>
      </c>
      <c r="K218" s="220"/>
    </row>
    <row r="219" customHeight="1" spans="1:11">
      <c r="A219" s="191"/>
      <c r="B219" s="189"/>
      <c r="C219" s="193"/>
      <c r="D219" s="195"/>
      <c r="E219" s="188" t="e">
        <f ca="1">VLOOKUP($D219,物料本月库存明細!$B:$J,2,0)</f>
        <v>#N/A</v>
      </c>
      <c r="F219" s="188" t="e">
        <f ca="1">VLOOKUP($D219,物料本月库存明細!$B:$J,5,0)</f>
        <v>#N/A</v>
      </c>
      <c r="G219" s="188"/>
      <c r="H219" s="191"/>
      <c r="I219" s="188"/>
      <c r="J219" s="188" t="e">
        <f ca="1">VLOOKUP($D219,物料本月库存明細!$B:$J,9,0)</f>
        <v>#N/A</v>
      </c>
      <c r="K219" s="220"/>
    </row>
    <row r="220" customHeight="1" spans="1:11">
      <c r="A220" s="191"/>
      <c r="B220" s="189"/>
      <c r="C220" s="193"/>
      <c r="D220" s="195"/>
      <c r="E220" s="188" t="e">
        <f ca="1">VLOOKUP($D220,物料本月库存明細!$B:$J,2,0)</f>
        <v>#N/A</v>
      </c>
      <c r="F220" s="188" t="e">
        <f ca="1">VLOOKUP($D220,物料本月库存明細!$B:$J,5,0)</f>
        <v>#N/A</v>
      </c>
      <c r="G220" s="188"/>
      <c r="H220" s="191"/>
      <c r="I220" s="188"/>
      <c r="J220" s="188" t="e">
        <f ca="1">VLOOKUP($D220,物料本月库存明細!$B:$J,9,0)</f>
        <v>#N/A</v>
      </c>
      <c r="K220" s="220"/>
    </row>
    <row r="221" customHeight="1" spans="1:11">
      <c r="A221" s="191"/>
      <c r="B221" s="189"/>
      <c r="C221" s="193"/>
      <c r="D221" s="192"/>
      <c r="E221" s="188" t="e">
        <f ca="1">VLOOKUP($D221,物料本月库存明細!$B:$J,2,0)</f>
        <v>#N/A</v>
      </c>
      <c r="F221" s="188" t="e">
        <f ca="1">VLOOKUP($D221,物料本月库存明細!$B:$J,5,0)</f>
        <v>#N/A</v>
      </c>
      <c r="G221" s="188"/>
      <c r="H221" s="191"/>
      <c r="I221" s="188"/>
      <c r="J221" s="188" t="e">
        <f ca="1">VLOOKUP($D221,物料本月库存明細!$B:$J,9,0)</f>
        <v>#N/A</v>
      </c>
      <c r="K221" s="220"/>
    </row>
    <row r="222" customHeight="1" spans="1:11">
      <c r="A222" s="191"/>
      <c r="B222" s="189"/>
      <c r="C222" s="193"/>
      <c r="D222" s="197"/>
      <c r="E222" s="188" t="e">
        <f ca="1">VLOOKUP($D222,物料本月库存明細!$B:$J,2,0)</f>
        <v>#N/A</v>
      </c>
      <c r="F222" s="188" t="e">
        <f ca="1">VLOOKUP($D222,物料本月库存明細!$B:$J,5,0)</f>
        <v>#N/A</v>
      </c>
      <c r="G222" s="188"/>
      <c r="H222" s="191"/>
      <c r="I222" s="188"/>
      <c r="J222" s="188" t="e">
        <f ca="1">VLOOKUP($D222,物料本月库存明細!$B:$J,9,0)</f>
        <v>#N/A</v>
      </c>
      <c r="K222" s="220"/>
    </row>
    <row r="223" customHeight="1" spans="1:11">
      <c r="A223" s="191"/>
      <c r="B223" s="189"/>
      <c r="C223" s="193"/>
      <c r="D223" s="192"/>
      <c r="E223" s="188" t="e">
        <f ca="1">VLOOKUP($D223,物料本月库存明細!$B:$J,2,0)</f>
        <v>#N/A</v>
      </c>
      <c r="F223" s="188" t="e">
        <f ca="1">VLOOKUP($D223,物料本月库存明細!$B:$J,5,0)</f>
        <v>#N/A</v>
      </c>
      <c r="G223" s="188"/>
      <c r="H223" s="191"/>
      <c r="I223" s="188"/>
      <c r="J223" s="188" t="e">
        <f ca="1">VLOOKUP($D223,物料本月库存明細!$B:$J,9,0)</f>
        <v>#N/A</v>
      </c>
      <c r="K223" s="220"/>
    </row>
    <row r="224" customHeight="1" spans="1:11">
      <c r="A224" s="191"/>
      <c r="B224" s="189"/>
      <c r="C224" s="193"/>
      <c r="D224" s="196"/>
      <c r="E224" s="188" t="e">
        <f ca="1">VLOOKUP($D224,物料本月库存明細!$B:$J,2,0)</f>
        <v>#N/A</v>
      </c>
      <c r="F224" s="188" t="e">
        <f ca="1">VLOOKUP($D224,物料本月库存明細!$B:$J,5,0)</f>
        <v>#N/A</v>
      </c>
      <c r="G224" s="188"/>
      <c r="H224" s="191"/>
      <c r="I224" s="188"/>
      <c r="J224" s="188" t="e">
        <f ca="1">VLOOKUP($D224,物料本月库存明細!$B:$J,9,0)</f>
        <v>#N/A</v>
      </c>
      <c r="K224" s="220"/>
    </row>
    <row r="225" customHeight="1" spans="1:11">
      <c r="A225" s="191"/>
      <c r="B225" s="189"/>
      <c r="C225" s="193"/>
      <c r="D225" s="192"/>
      <c r="E225" s="188" t="e">
        <f ca="1">VLOOKUP($D225,物料本月库存明細!$B:$J,2,0)</f>
        <v>#N/A</v>
      </c>
      <c r="F225" s="188" t="e">
        <f ca="1">VLOOKUP($D225,物料本月库存明細!$B:$J,5,0)</f>
        <v>#N/A</v>
      </c>
      <c r="G225" s="188"/>
      <c r="H225" s="191"/>
      <c r="I225" s="188"/>
      <c r="J225" s="188" t="e">
        <f ca="1">VLOOKUP($D225,物料本月库存明細!$B:$J,9,0)</f>
        <v>#N/A</v>
      </c>
      <c r="K225" s="220"/>
    </row>
    <row r="226" s="208" customFormat="1" customHeight="1" spans="1:11">
      <c r="A226" s="191"/>
      <c r="B226" s="189"/>
      <c r="C226" s="193"/>
      <c r="D226" s="192"/>
      <c r="E226" s="221" t="e">
        <f ca="1">VLOOKUP($D226,物料本月库存明細!$B:$J,2,0)</f>
        <v>#N/A</v>
      </c>
      <c r="F226" s="221" t="e">
        <f ca="1">VLOOKUP($D226,物料本月库存明細!$B:$J,5,0)</f>
        <v>#N/A</v>
      </c>
      <c r="G226" s="221"/>
      <c r="H226" s="222"/>
      <c r="I226" s="221"/>
      <c r="J226" s="221" t="e">
        <f ca="1">VLOOKUP($D226,物料本月库存明細!$B:$J,9,0)</f>
        <v>#N/A</v>
      </c>
      <c r="K226" s="223"/>
    </row>
    <row r="227" customHeight="1" spans="1:11">
      <c r="A227" s="191"/>
      <c r="B227" s="189"/>
      <c r="C227" s="193"/>
      <c r="D227" s="192"/>
      <c r="E227" s="188" t="e">
        <f ca="1">VLOOKUP($D227,物料本月库存明細!$B:$J,2,0)</f>
        <v>#N/A</v>
      </c>
      <c r="F227" s="188" t="e">
        <f ca="1">VLOOKUP($D227,物料本月库存明細!$B:$J,5,0)</f>
        <v>#N/A</v>
      </c>
      <c r="G227" s="188"/>
      <c r="H227" s="191"/>
      <c r="I227" s="188"/>
      <c r="J227" s="188" t="e">
        <f ca="1">VLOOKUP($D227,物料本月库存明細!$B:$J,9,0)</f>
        <v>#N/A</v>
      </c>
      <c r="K227" s="220"/>
    </row>
    <row r="228" customHeight="1" spans="1:11">
      <c r="A228" s="222"/>
      <c r="B228" s="189"/>
      <c r="C228" s="225"/>
      <c r="D228" s="196"/>
      <c r="E228" s="188" t="e">
        <f ca="1">VLOOKUP($D228,物料本月库存明細!$B:$J,2,0)</f>
        <v>#N/A</v>
      </c>
      <c r="F228" s="188" t="e">
        <f ca="1">VLOOKUP($D228,物料本月库存明細!$B:$J,5,0)</f>
        <v>#N/A</v>
      </c>
      <c r="G228" s="188"/>
      <c r="H228" s="191"/>
      <c r="I228" s="188"/>
      <c r="J228" s="188" t="e">
        <f ca="1">VLOOKUP($D228,物料本月库存明細!$B:$J,9,0)</f>
        <v>#N/A</v>
      </c>
      <c r="K228" s="220"/>
    </row>
    <row r="229" customHeight="1" spans="1:11">
      <c r="A229" s="222"/>
      <c r="B229" s="189"/>
      <c r="C229" s="225"/>
      <c r="D229" s="204"/>
      <c r="E229" s="188" t="e">
        <f ca="1">VLOOKUP($D229,物料本月库存明細!$B:$J,2,0)</f>
        <v>#N/A</v>
      </c>
      <c r="F229" s="188" t="e">
        <f ca="1">VLOOKUP($D229,物料本月库存明細!$B:$J,5,0)</f>
        <v>#N/A</v>
      </c>
      <c r="G229" s="188"/>
      <c r="H229" s="191"/>
      <c r="I229" s="188"/>
      <c r="J229" s="188" t="e">
        <f ca="1">VLOOKUP($D229,物料本月库存明細!$B:$J,9,0)</f>
        <v>#N/A</v>
      </c>
      <c r="K229" s="220"/>
    </row>
    <row r="230" customHeight="1" spans="1:11">
      <c r="A230" s="222"/>
      <c r="B230" s="189"/>
      <c r="C230" s="225"/>
      <c r="D230" s="202"/>
      <c r="E230" s="188" t="e">
        <f ca="1">VLOOKUP($D230,物料本月库存明細!$B:$J,2,0)</f>
        <v>#N/A</v>
      </c>
      <c r="F230" s="188" t="e">
        <f ca="1">VLOOKUP($D230,物料本月库存明細!$B:$J,5,0)</f>
        <v>#N/A</v>
      </c>
      <c r="G230" s="188"/>
      <c r="H230" s="191"/>
      <c r="I230" s="188"/>
      <c r="J230" s="188" t="e">
        <f ca="1">VLOOKUP($D230,物料本月库存明細!$B:$J,9,0)</f>
        <v>#N/A</v>
      </c>
      <c r="K230" s="220"/>
    </row>
    <row r="231" customHeight="1" spans="1:11">
      <c r="A231" s="222"/>
      <c r="B231" s="189"/>
      <c r="C231" s="193"/>
      <c r="D231" s="192"/>
      <c r="E231" s="188" t="e">
        <f ca="1">VLOOKUP($D231,物料本月库存明細!$B:$J,2,0)</f>
        <v>#N/A</v>
      </c>
      <c r="F231" s="188" t="e">
        <f ca="1">VLOOKUP($D231,物料本月库存明細!$B:$J,5,0)</f>
        <v>#N/A</v>
      </c>
      <c r="G231" s="188"/>
      <c r="H231" s="191"/>
      <c r="I231" s="188"/>
      <c r="J231" s="188" t="e">
        <f ca="1">VLOOKUP($D231,物料本月库存明細!$B:$J,9,0)</f>
        <v>#N/A</v>
      </c>
      <c r="K231" s="220"/>
    </row>
    <row r="232" customHeight="1" spans="1:11">
      <c r="A232" s="222"/>
      <c r="B232" s="189"/>
      <c r="C232" s="193"/>
      <c r="D232" s="192"/>
      <c r="E232" s="188" t="e">
        <f ca="1">VLOOKUP($D232,物料本月库存明細!$B:$J,2,0)</f>
        <v>#N/A</v>
      </c>
      <c r="F232" s="188" t="e">
        <f ca="1">VLOOKUP($D232,物料本月库存明細!$B:$J,5,0)</f>
        <v>#N/A</v>
      </c>
      <c r="G232" s="188"/>
      <c r="H232" s="191"/>
      <c r="I232" s="188"/>
      <c r="J232" s="188" t="e">
        <f ca="1">VLOOKUP($D232,物料本月库存明細!$B:$J,9,0)</f>
        <v>#N/A</v>
      </c>
      <c r="K232" s="220"/>
    </row>
    <row r="233" customHeight="1" spans="1:11">
      <c r="A233" s="222"/>
      <c r="B233" s="189"/>
      <c r="C233" s="193"/>
      <c r="D233" s="192"/>
      <c r="E233" s="188" t="e">
        <f ca="1">VLOOKUP($D233,物料本月库存明細!$B:$J,2,0)</f>
        <v>#N/A</v>
      </c>
      <c r="F233" s="188" t="e">
        <f ca="1">VLOOKUP($D233,物料本月库存明細!$B:$J,5,0)</f>
        <v>#N/A</v>
      </c>
      <c r="G233" s="188"/>
      <c r="H233" s="191"/>
      <c r="I233" s="188"/>
      <c r="J233" s="188" t="e">
        <f ca="1">VLOOKUP($D233,物料本月库存明細!$B:$J,9,0)</f>
        <v>#N/A</v>
      </c>
      <c r="K233" s="220"/>
    </row>
    <row r="234" customHeight="1" spans="1:11">
      <c r="A234" s="222"/>
      <c r="B234" s="189"/>
      <c r="C234" s="193"/>
      <c r="D234" s="192"/>
      <c r="E234" s="188" t="e">
        <f ca="1">VLOOKUP($D234,物料本月库存明細!$B:$J,2,0)</f>
        <v>#N/A</v>
      </c>
      <c r="F234" s="188" t="e">
        <f ca="1">VLOOKUP($D234,物料本月库存明細!$B:$J,5,0)</f>
        <v>#N/A</v>
      </c>
      <c r="G234" s="188"/>
      <c r="H234" s="191"/>
      <c r="I234" s="188"/>
      <c r="J234" s="188" t="e">
        <f ca="1">VLOOKUP($D234,物料本月库存明細!$B:$J,9,0)</f>
        <v>#N/A</v>
      </c>
      <c r="K234" s="220"/>
    </row>
    <row r="235" customHeight="1" spans="1:11">
      <c r="A235" s="191"/>
      <c r="B235" s="189"/>
      <c r="C235" s="193"/>
      <c r="D235" s="192"/>
      <c r="E235" s="188" t="e">
        <f ca="1">VLOOKUP($D235,物料本月库存明細!$B:$J,2,0)</f>
        <v>#N/A</v>
      </c>
      <c r="F235" s="188" t="e">
        <f ca="1">VLOOKUP($D235,物料本月库存明細!$B:$J,5,0)</f>
        <v>#N/A</v>
      </c>
      <c r="G235" s="188"/>
      <c r="H235" s="191"/>
      <c r="I235" s="188"/>
      <c r="J235" s="188" t="e">
        <f ca="1">VLOOKUP($D235,物料本月库存明細!$B:$J,9,0)</f>
        <v>#N/A</v>
      </c>
      <c r="K235" s="220"/>
    </row>
    <row r="236" customHeight="1" spans="1:11">
      <c r="A236" s="191"/>
      <c r="B236" s="189"/>
      <c r="C236" s="193"/>
      <c r="D236" s="192"/>
      <c r="E236" s="188" t="e">
        <f ca="1">VLOOKUP($D236,物料本月库存明細!$B:$J,2,0)</f>
        <v>#N/A</v>
      </c>
      <c r="F236" s="188" t="e">
        <f ca="1">VLOOKUP($D236,物料本月库存明細!$B:$J,5,0)</f>
        <v>#N/A</v>
      </c>
      <c r="G236" s="188"/>
      <c r="H236" s="191"/>
      <c r="I236" s="188"/>
      <c r="J236" s="188" t="e">
        <f ca="1">VLOOKUP($D236,物料本月库存明細!$B:$J,9,0)</f>
        <v>#N/A</v>
      </c>
      <c r="K236" s="220"/>
    </row>
    <row r="237" customHeight="1" spans="1:11">
      <c r="A237" s="191"/>
      <c r="B237" s="189"/>
      <c r="C237" s="193"/>
      <c r="D237" s="196"/>
      <c r="E237" s="188" t="e">
        <f ca="1">VLOOKUP($D237,物料本月库存明細!$B:$J,2,0)</f>
        <v>#N/A</v>
      </c>
      <c r="F237" s="188" t="e">
        <f ca="1">VLOOKUP($D237,物料本月库存明細!$B:$J,5,0)</f>
        <v>#N/A</v>
      </c>
      <c r="G237" s="188"/>
      <c r="H237" s="191"/>
      <c r="I237" s="188"/>
      <c r="J237" s="188" t="e">
        <f ca="1">VLOOKUP($D237,物料本月库存明細!$B:$J,9,0)</f>
        <v>#N/A</v>
      </c>
      <c r="K237" s="220"/>
    </row>
    <row r="238" customHeight="1" spans="1:11">
      <c r="A238" s="191"/>
      <c r="B238" s="189"/>
      <c r="C238" s="193"/>
      <c r="D238" s="196"/>
      <c r="E238" s="188" t="e">
        <f ca="1">VLOOKUP($D238,物料本月库存明細!$B:$J,2,0)</f>
        <v>#N/A</v>
      </c>
      <c r="F238" s="188" t="e">
        <f ca="1">VLOOKUP($D238,物料本月库存明細!$B:$J,5,0)</f>
        <v>#N/A</v>
      </c>
      <c r="G238" s="188"/>
      <c r="H238" s="191"/>
      <c r="I238" s="188"/>
      <c r="J238" s="188" t="e">
        <f ca="1">VLOOKUP($D238,物料本月库存明細!$B:$J,9,0)</f>
        <v>#N/A</v>
      </c>
      <c r="K238" s="220"/>
    </row>
    <row r="239" customHeight="1" spans="1:11">
      <c r="A239" s="191"/>
      <c r="B239" s="189"/>
      <c r="C239" s="193"/>
      <c r="D239" s="196"/>
      <c r="E239" s="188" t="e">
        <f ca="1">VLOOKUP($D239,物料本月库存明細!$B:$J,2,0)</f>
        <v>#N/A</v>
      </c>
      <c r="F239" s="188" t="e">
        <f ca="1">VLOOKUP($D239,物料本月库存明細!$B:$J,5,0)</f>
        <v>#N/A</v>
      </c>
      <c r="G239" s="188"/>
      <c r="H239" s="191"/>
      <c r="I239" s="188"/>
      <c r="J239" s="188" t="e">
        <f ca="1">VLOOKUP($D239,物料本月库存明細!$B:$J,9,0)</f>
        <v>#N/A</v>
      </c>
      <c r="K239" s="220"/>
    </row>
    <row r="240" customHeight="1" spans="1:11">
      <c r="A240" s="191"/>
      <c r="B240" s="189"/>
      <c r="C240" s="193"/>
      <c r="D240" s="196"/>
      <c r="E240" s="188" t="e">
        <f ca="1">VLOOKUP($D240,物料本月库存明細!$B:$J,2,0)</f>
        <v>#N/A</v>
      </c>
      <c r="F240" s="188" t="e">
        <f ca="1">VLOOKUP($D240,物料本月库存明細!$B:$J,5,0)</f>
        <v>#N/A</v>
      </c>
      <c r="G240" s="188"/>
      <c r="H240" s="191"/>
      <c r="I240" s="188"/>
      <c r="J240" s="188" t="e">
        <f ca="1">VLOOKUP($D240,物料本月库存明細!$B:$J,9,0)</f>
        <v>#N/A</v>
      </c>
      <c r="K240" s="220"/>
    </row>
    <row r="241" customHeight="1" spans="1:11">
      <c r="A241" s="191"/>
      <c r="B241" s="189"/>
      <c r="C241" s="193"/>
      <c r="D241" s="196"/>
      <c r="E241" s="188" t="e">
        <f ca="1">VLOOKUP($D241,物料本月库存明細!$B:$J,2,0)</f>
        <v>#N/A</v>
      </c>
      <c r="F241" s="188" t="e">
        <f ca="1">VLOOKUP($D241,物料本月库存明細!$B:$J,5,0)</f>
        <v>#N/A</v>
      </c>
      <c r="G241" s="188"/>
      <c r="H241" s="191"/>
      <c r="I241" s="188"/>
      <c r="J241" s="188" t="e">
        <f ca="1">VLOOKUP($D241,物料本月库存明細!$B:$J,9,0)</f>
        <v>#N/A</v>
      </c>
      <c r="K241" s="220"/>
    </row>
    <row r="242" customHeight="1" spans="1:11">
      <c r="A242" s="191"/>
      <c r="B242" s="189"/>
      <c r="C242" s="193"/>
      <c r="D242" s="192"/>
      <c r="E242" s="188" t="e">
        <f ca="1">VLOOKUP($D242,物料本月库存明細!$B:$J,2,0)</f>
        <v>#N/A</v>
      </c>
      <c r="F242" s="188" t="e">
        <f ca="1">VLOOKUP($D242,物料本月库存明細!$B:$J,5,0)</f>
        <v>#N/A</v>
      </c>
      <c r="G242" s="188"/>
      <c r="H242" s="191"/>
      <c r="I242" s="188"/>
      <c r="J242" s="188" t="e">
        <f ca="1">VLOOKUP($D242,物料本月库存明細!$B:$J,9,0)</f>
        <v>#N/A</v>
      </c>
      <c r="K242" s="220"/>
    </row>
    <row r="243" customHeight="1" spans="1:11">
      <c r="A243" s="191"/>
      <c r="B243" s="189"/>
      <c r="C243" s="193"/>
      <c r="D243" s="196"/>
      <c r="E243" s="188" t="e">
        <f ca="1">VLOOKUP($D243,物料本月库存明細!$B:$J,2,0)</f>
        <v>#N/A</v>
      </c>
      <c r="F243" s="188" t="e">
        <f ca="1">VLOOKUP($D243,物料本月库存明細!$B:$J,5,0)</f>
        <v>#N/A</v>
      </c>
      <c r="G243" s="188"/>
      <c r="H243" s="191"/>
      <c r="I243" s="188"/>
      <c r="J243" s="188" t="e">
        <f ca="1">VLOOKUP($D243,物料本月库存明細!$B:$J,9,0)</f>
        <v>#N/A</v>
      </c>
      <c r="K243" s="220"/>
    </row>
    <row r="244" customHeight="1" spans="1:11">
      <c r="A244" s="191"/>
      <c r="B244" s="189"/>
      <c r="C244" s="193"/>
      <c r="D244" s="196"/>
      <c r="E244" s="188" t="e">
        <f ca="1">VLOOKUP($D244,物料本月库存明細!$B:$J,2,0)</f>
        <v>#N/A</v>
      </c>
      <c r="F244" s="188" t="e">
        <f ca="1">VLOOKUP($D244,物料本月库存明細!$B:$J,5,0)</f>
        <v>#N/A</v>
      </c>
      <c r="G244" s="188"/>
      <c r="H244" s="191"/>
      <c r="I244" s="188"/>
      <c r="J244" s="188" t="e">
        <f ca="1">VLOOKUP($D244,物料本月库存明細!$B:$J,9,0)</f>
        <v>#N/A</v>
      </c>
      <c r="K244" s="220"/>
    </row>
    <row r="245" customHeight="1" spans="1:11">
      <c r="A245" s="191"/>
      <c r="B245" s="189"/>
      <c r="C245" s="193"/>
      <c r="D245" s="192"/>
      <c r="E245" s="188" t="e">
        <f ca="1">VLOOKUP($D245,物料本月库存明細!$B:$J,2,0)</f>
        <v>#N/A</v>
      </c>
      <c r="F245" s="188" t="e">
        <f ca="1">VLOOKUP($D245,物料本月库存明細!$B:$J,5,0)</f>
        <v>#N/A</v>
      </c>
      <c r="G245" s="188"/>
      <c r="H245" s="191"/>
      <c r="I245" s="188"/>
      <c r="J245" s="188" t="e">
        <f ca="1">VLOOKUP($D245,物料本月库存明細!$B:$J,9,0)</f>
        <v>#N/A</v>
      </c>
      <c r="K245" s="220"/>
    </row>
    <row r="246" customHeight="1" spans="1:11">
      <c r="A246" s="191"/>
      <c r="B246" s="189"/>
      <c r="C246" s="193"/>
      <c r="D246" s="192"/>
      <c r="E246" s="188" t="e">
        <f ca="1">VLOOKUP($D246,物料本月库存明細!$B:$J,2,0)</f>
        <v>#N/A</v>
      </c>
      <c r="F246" s="188" t="e">
        <f ca="1">VLOOKUP($D246,物料本月库存明細!$B:$J,5,0)</f>
        <v>#N/A</v>
      </c>
      <c r="G246" s="188"/>
      <c r="H246" s="191"/>
      <c r="I246" s="188"/>
      <c r="J246" s="188" t="e">
        <f ca="1">VLOOKUP($D246,物料本月库存明細!$B:$J,9,0)</f>
        <v>#N/A</v>
      </c>
      <c r="K246" s="220"/>
    </row>
    <row r="247" s="208" customFormat="1" customHeight="1" spans="1:11">
      <c r="A247" s="191"/>
      <c r="B247" s="189"/>
      <c r="C247" s="193"/>
      <c r="D247" s="192"/>
      <c r="E247" s="221" t="e">
        <f ca="1">VLOOKUP($D247,物料本月库存明細!$B:$J,2,0)</f>
        <v>#N/A</v>
      </c>
      <c r="F247" s="221" t="e">
        <f ca="1">VLOOKUP($D247,物料本月库存明細!$B:$J,5,0)</f>
        <v>#N/A</v>
      </c>
      <c r="G247" s="221"/>
      <c r="H247" s="222"/>
      <c r="I247" s="221"/>
      <c r="J247" s="221" t="e">
        <f ca="1">VLOOKUP($D247,物料本月库存明細!$B:$J,9,0)</f>
        <v>#N/A</v>
      </c>
      <c r="K247" s="223"/>
    </row>
    <row r="248" customHeight="1" spans="1:11">
      <c r="A248" s="191"/>
      <c r="B248" s="189"/>
      <c r="C248" s="193"/>
      <c r="D248" s="192"/>
      <c r="E248" s="188" t="e">
        <f ca="1">VLOOKUP($D248,物料本月库存明細!$B:$J,2,0)</f>
        <v>#N/A</v>
      </c>
      <c r="F248" s="188" t="e">
        <f ca="1">VLOOKUP($D248,物料本月库存明細!$B:$J,5,0)</f>
        <v>#N/A</v>
      </c>
      <c r="G248" s="188"/>
      <c r="H248" s="191"/>
      <c r="I248" s="188"/>
      <c r="J248" s="188" t="e">
        <f ca="1">VLOOKUP($D248,物料本月库存明細!$B:$J,9,0)</f>
        <v>#N/A</v>
      </c>
      <c r="K248" s="220"/>
    </row>
    <row r="249" customHeight="1" spans="1:11">
      <c r="A249" s="191"/>
      <c r="B249" s="189"/>
      <c r="C249" s="193"/>
      <c r="D249" s="192"/>
      <c r="E249" s="188" t="e">
        <f ca="1">VLOOKUP($D249,物料本月库存明細!$B:$J,2,0)</f>
        <v>#N/A</v>
      </c>
      <c r="F249" s="188" t="e">
        <f ca="1">VLOOKUP($D249,物料本月库存明細!$B:$J,5,0)</f>
        <v>#N/A</v>
      </c>
      <c r="G249" s="188"/>
      <c r="H249" s="191"/>
      <c r="I249" s="188"/>
      <c r="J249" s="188" t="e">
        <f ca="1">VLOOKUP($D249,物料本月库存明細!$B:$J,9,0)</f>
        <v>#N/A</v>
      </c>
      <c r="K249" s="220"/>
    </row>
    <row r="250" customHeight="1" spans="1:11">
      <c r="A250" s="191"/>
      <c r="B250" s="189"/>
      <c r="C250" s="193"/>
      <c r="D250" s="194"/>
      <c r="E250" s="188" t="e">
        <f ca="1">VLOOKUP($D250,物料本月库存明細!$B:$J,2,0)</f>
        <v>#N/A</v>
      </c>
      <c r="F250" s="188" t="e">
        <f ca="1">VLOOKUP($D250,物料本月库存明細!$B:$J,5,0)</f>
        <v>#N/A</v>
      </c>
      <c r="G250" s="188"/>
      <c r="H250" s="191"/>
      <c r="I250" s="188"/>
      <c r="J250" s="188" t="e">
        <f ca="1">VLOOKUP($D250,物料本月库存明細!$B:$J,9,0)</f>
        <v>#N/A</v>
      </c>
      <c r="K250" s="220"/>
    </row>
    <row r="251" customHeight="1" spans="1:11">
      <c r="A251" s="191"/>
      <c r="B251" s="189"/>
      <c r="C251" s="193"/>
      <c r="D251" s="192"/>
      <c r="E251" s="188" t="e">
        <f ca="1">VLOOKUP($D251,物料本月库存明細!$B:$J,2,0)</f>
        <v>#N/A</v>
      </c>
      <c r="F251" s="188" t="e">
        <f ca="1">VLOOKUP($D251,物料本月库存明細!$B:$J,5,0)</f>
        <v>#N/A</v>
      </c>
      <c r="G251" s="188"/>
      <c r="H251" s="191"/>
      <c r="I251" s="188"/>
      <c r="J251" s="188" t="e">
        <f ca="1">VLOOKUP($D251,物料本月库存明細!$B:$J,9,0)</f>
        <v>#N/A</v>
      </c>
      <c r="K251" s="220"/>
    </row>
    <row r="252" customHeight="1" spans="1:11">
      <c r="A252" s="191"/>
      <c r="B252" s="189"/>
      <c r="C252" s="193"/>
      <c r="D252" s="192"/>
      <c r="E252" s="188" t="e">
        <f ca="1">VLOOKUP($D252,物料本月库存明細!$B:$J,2,0)</f>
        <v>#N/A</v>
      </c>
      <c r="F252" s="188" t="e">
        <f ca="1">VLOOKUP($D252,物料本月库存明細!$B:$J,5,0)</f>
        <v>#N/A</v>
      </c>
      <c r="G252" s="188"/>
      <c r="H252" s="191"/>
      <c r="I252" s="188"/>
      <c r="J252" s="188" t="e">
        <f ca="1">VLOOKUP($D252,物料本月库存明細!$B:$J,9,0)</f>
        <v>#N/A</v>
      </c>
      <c r="K252" s="220"/>
    </row>
    <row r="253" customHeight="1" spans="1:11">
      <c r="A253" s="191"/>
      <c r="B253" s="189"/>
      <c r="C253" s="193"/>
      <c r="D253" s="192"/>
      <c r="E253" s="188" t="e">
        <f ca="1">VLOOKUP($D253,物料本月库存明細!$B:$J,2,0)</f>
        <v>#N/A</v>
      </c>
      <c r="F253" s="188" t="e">
        <f ca="1">VLOOKUP($D253,物料本月库存明細!$B:$J,5,0)</f>
        <v>#N/A</v>
      </c>
      <c r="G253" s="188"/>
      <c r="H253" s="191"/>
      <c r="I253" s="188"/>
      <c r="J253" s="188" t="e">
        <f ca="1">VLOOKUP($D253,物料本月库存明細!$B:$J,9,0)</f>
        <v>#N/A</v>
      </c>
      <c r="K253" s="220"/>
    </row>
    <row r="254" customHeight="1" spans="1:11">
      <c r="A254" s="191"/>
      <c r="B254" s="189"/>
      <c r="C254" s="193"/>
      <c r="D254" s="192"/>
      <c r="E254" s="188" t="e">
        <f ca="1">VLOOKUP($D254,物料本月库存明細!$B:$J,2,0)</f>
        <v>#N/A</v>
      </c>
      <c r="F254" s="188" t="e">
        <f ca="1">VLOOKUP($D254,物料本月库存明細!$B:$J,5,0)</f>
        <v>#N/A</v>
      </c>
      <c r="G254" s="188"/>
      <c r="H254" s="191"/>
      <c r="I254" s="188"/>
      <c r="J254" s="188" t="e">
        <f ca="1">VLOOKUP($D254,物料本月库存明細!$B:$J,9,0)</f>
        <v>#N/A</v>
      </c>
      <c r="K254" s="220"/>
    </row>
    <row r="255" customHeight="1" spans="1:11">
      <c r="A255" s="191"/>
      <c r="B255" s="189"/>
      <c r="C255" s="193"/>
      <c r="D255" s="195"/>
      <c r="E255" s="188" t="e">
        <f ca="1">VLOOKUP($D255,物料本月库存明細!$B:$J,2,0)</f>
        <v>#N/A</v>
      </c>
      <c r="F255" s="188" t="e">
        <f ca="1">VLOOKUP($D255,物料本月库存明細!$B:$J,5,0)</f>
        <v>#N/A</v>
      </c>
      <c r="G255" s="188"/>
      <c r="H255" s="191"/>
      <c r="I255" s="188"/>
      <c r="J255" s="188" t="e">
        <f ca="1">VLOOKUP($D255,物料本月库存明細!$B:$J,9,0)</f>
        <v>#N/A</v>
      </c>
      <c r="K255" s="220"/>
    </row>
    <row r="256" customHeight="1" spans="1:11">
      <c r="A256" s="191"/>
      <c r="B256" s="189"/>
      <c r="C256" s="193"/>
      <c r="D256" s="196"/>
      <c r="E256" s="188" t="e">
        <f ca="1">VLOOKUP($D256,物料本月库存明細!$B:$J,2,0)</f>
        <v>#N/A</v>
      </c>
      <c r="F256" s="188" t="e">
        <f ca="1">VLOOKUP($D256,物料本月库存明細!$B:$J,5,0)</f>
        <v>#N/A</v>
      </c>
      <c r="G256" s="188"/>
      <c r="H256" s="191"/>
      <c r="I256" s="188"/>
      <c r="J256" s="188" t="e">
        <f ca="1">VLOOKUP($D256,物料本月库存明細!$B:$J,9,0)</f>
        <v>#N/A</v>
      </c>
      <c r="K256" s="220"/>
    </row>
    <row r="257" customHeight="1" spans="1:11">
      <c r="A257" s="191"/>
      <c r="B257" s="189"/>
      <c r="C257" s="193"/>
      <c r="D257" s="196"/>
      <c r="E257" s="188" t="e">
        <f ca="1">VLOOKUP($D257,物料本月库存明細!$B:$J,2,0)</f>
        <v>#N/A</v>
      </c>
      <c r="F257" s="188" t="e">
        <f ca="1">VLOOKUP($D257,物料本月库存明細!$B:$J,5,0)</f>
        <v>#N/A</v>
      </c>
      <c r="G257" s="188"/>
      <c r="H257" s="191"/>
      <c r="I257" s="188"/>
      <c r="J257" s="188" t="e">
        <f ca="1">VLOOKUP($D257,物料本月库存明細!$B:$J,9,0)</f>
        <v>#N/A</v>
      </c>
      <c r="K257" s="220"/>
    </row>
    <row r="258" customHeight="1" spans="1:11">
      <c r="A258" s="191"/>
      <c r="B258" s="189"/>
      <c r="C258" s="193"/>
      <c r="D258" s="197"/>
      <c r="E258" s="188" t="e">
        <f ca="1">VLOOKUP($D258,物料本月库存明細!$B:$J,2,0)</f>
        <v>#N/A</v>
      </c>
      <c r="F258" s="188" t="e">
        <f ca="1">VLOOKUP($D258,物料本月库存明細!$B:$J,5,0)</f>
        <v>#N/A</v>
      </c>
      <c r="G258" s="188"/>
      <c r="H258" s="191"/>
      <c r="I258" s="188"/>
      <c r="J258" s="188" t="e">
        <f ca="1">VLOOKUP($D258,物料本月库存明細!$B:$J,9,0)</f>
        <v>#N/A</v>
      </c>
      <c r="K258" s="220"/>
    </row>
    <row r="259" customHeight="1" spans="1:11">
      <c r="A259" s="191"/>
      <c r="B259" s="189"/>
      <c r="C259" s="193"/>
      <c r="D259" s="192"/>
      <c r="E259" s="188" t="e">
        <f ca="1">VLOOKUP($D259,物料本月库存明細!$B:$J,2,0)</f>
        <v>#N/A</v>
      </c>
      <c r="F259" s="188" t="e">
        <f ca="1">VLOOKUP($D259,物料本月库存明細!$B:$J,5,0)</f>
        <v>#N/A</v>
      </c>
      <c r="G259" s="188"/>
      <c r="H259" s="191"/>
      <c r="I259" s="188"/>
      <c r="J259" s="188" t="e">
        <f ca="1">VLOOKUP($D259,物料本月库存明細!$B:$J,9,0)</f>
        <v>#N/A</v>
      </c>
      <c r="K259" s="220"/>
    </row>
    <row r="260" customHeight="1" spans="1:11">
      <c r="A260" s="191"/>
      <c r="B260" s="189"/>
      <c r="C260" s="193"/>
      <c r="D260" s="192"/>
      <c r="E260" s="188" t="e">
        <f ca="1">VLOOKUP($D260,物料本月库存明細!$B:$J,2,0)</f>
        <v>#N/A</v>
      </c>
      <c r="F260" s="188" t="e">
        <f ca="1">VLOOKUP($D260,物料本月库存明細!$B:$J,5,0)</f>
        <v>#N/A</v>
      </c>
      <c r="G260" s="188"/>
      <c r="H260" s="191"/>
      <c r="I260" s="188"/>
      <c r="J260" s="188" t="e">
        <f ca="1">VLOOKUP($D260,物料本月库存明細!$B:$J,9,0)</f>
        <v>#N/A</v>
      </c>
      <c r="K260" s="220"/>
    </row>
    <row r="261" customHeight="1" spans="1:11">
      <c r="A261" s="191"/>
      <c r="B261" s="189"/>
      <c r="C261" s="193"/>
      <c r="D261" s="192"/>
      <c r="E261" s="188" t="e">
        <f ca="1">VLOOKUP($D261,物料本月库存明細!$B:$J,2,0)</f>
        <v>#N/A</v>
      </c>
      <c r="F261" s="188" t="e">
        <f ca="1">VLOOKUP($D261,物料本月库存明細!$B:$J,5,0)</f>
        <v>#N/A</v>
      </c>
      <c r="G261" s="188"/>
      <c r="H261" s="191"/>
      <c r="I261" s="188"/>
      <c r="J261" s="188" t="e">
        <f ca="1">VLOOKUP($D261,物料本月库存明細!$B:$J,9,0)</f>
        <v>#N/A</v>
      </c>
      <c r="K261" s="220"/>
    </row>
    <row r="262" customHeight="1" spans="1:11">
      <c r="A262" s="191"/>
      <c r="B262" s="189"/>
      <c r="C262" s="193"/>
      <c r="D262" s="196"/>
      <c r="E262" s="188" t="e">
        <f ca="1">VLOOKUP($D262,物料本月库存明細!$B:$J,2,0)</f>
        <v>#N/A</v>
      </c>
      <c r="F262" s="188" t="e">
        <f ca="1">VLOOKUP($D262,物料本月库存明細!$B:$J,5,0)</f>
        <v>#N/A</v>
      </c>
      <c r="G262" s="188"/>
      <c r="H262" s="191"/>
      <c r="I262" s="188"/>
      <c r="J262" s="188" t="e">
        <f ca="1">VLOOKUP($D262,物料本月库存明細!$B:$J,9,0)</f>
        <v>#N/A</v>
      </c>
      <c r="K262" s="220"/>
    </row>
    <row r="263" customHeight="1" spans="1:11">
      <c r="A263" s="191"/>
      <c r="B263" s="189"/>
      <c r="C263" s="193"/>
      <c r="D263" s="204"/>
      <c r="E263" s="188" t="e">
        <f ca="1">VLOOKUP($D263,物料本月库存明細!$B:$J,2,0)</f>
        <v>#N/A</v>
      </c>
      <c r="F263" s="188" t="e">
        <f ca="1">VLOOKUP($D263,物料本月库存明細!$B:$J,5,0)</f>
        <v>#N/A</v>
      </c>
      <c r="G263" s="188"/>
      <c r="H263" s="191"/>
      <c r="I263" s="188"/>
      <c r="J263" s="188" t="e">
        <f ca="1">VLOOKUP($D263,物料本月库存明細!$B:$J,9,0)</f>
        <v>#N/A</v>
      </c>
      <c r="K263" s="220"/>
    </row>
    <row r="264" customHeight="1" spans="1:11">
      <c r="A264" s="191"/>
      <c r="B264" s="189"/>
      <c r="C264" s="193"/>
      <c r="D264" s="196"/>
      <c r="E264" s="188" t="e">
        <f ca="1">VLOOKUP($D264,物料本月库存明細!$B:$J,2,0)</f>
        <v>#N/A</v>
      </c>
      <c r="F264" s="188" t="e">
        <f ca="1">VLOOKUP($D264,物料本月库存明細!$B:$J,5,0)</f>
        <v>#N/A</v>
      </c>
      <c r="G264" s="188"/>
      <c r="H264" s="191"/>
      <c r="I264" s="188"/>
      <c r="J264" s="188" t="e">
        <f ca="1">VLOOKUP($D264,物料本月库存明細!$B:$J,9,0)</f>
        <v>#N/A</v>
      </c>
      <c r="K264" s="220"/>
    </row>
    <row r="265" customHeight="1" spans="1:11">
      <c r="A265" s="191"/>
      <c r="B265" s="189"/>
      <c r="C265" s="193"/>
      <c r="D265" s="196"/>
      <c r="E265" s="188" t="e">
        <f ca="1">VLOOKUP($D265,物料本月库存明細!$B:$J,2,0)</f>
        <v>#N/A</v>
      </c>
      <c r="F265" s="188" t="e">
        <f ca="1">VLOOKUP($D265,物料本月库存明細!$B:$J,5,0)</f>
        <v>#N/A</v>
      </c>
      <c r="G265" s="188"/>
      <c r="H265" s="191"/>
      <c r="I265" s="188"/>
      <c r="J265" s="188" t="e">
        <f ca="1">VLOOKUP($D265,物料本月库存明細!$B:$J,9,0)</f>
        <v>#N/A</v>
      </c>
      <c r="K265" s="220"/>
    </row>
    <row r="266" customHeight="1" spans="1:11">
      <c r="A266" s="191"/>
      <c r="B266" s="189"/>
      <c r="C266" s="193"/>
      <c r="D266" s="196"/>
      <c r="E266" s="188" t="e">
        <f ca="1">VLOOKUP($D266,物料本月库存明細!$B:$J,2,0)</f>
        <v>#N/A</v>
      </c>
      <c r="F266" s="188" t="e">
        <f ca="1">VLOOKUP($D266,物料本月库存明細!$B:$J,5,0)</f>
        <v>#N/A</v>
      </c>
      <c r="G266" s="188"/>
      <c r="H266" s="191"/>
      <c r="I266" s="188"/>
      <c r="J266" s="188" t="e">
        <f ca="1">VLOOKUP($D266,物料本月库存明細!$B:$J,9,0)</f>
        <v>#N/A</v>
      </c>
      <c r="K266" s="220"/>
    </row>
    <row r="267" customHeight="1" spans="1:11">
      <c r="A267" s="191"/>
      <c r="B267" s="189"/>
      <c r="C267" s="193"/>
      <c r="D267" s="192"/>
      <c r="E267" s="188" t="e">
        <f ca="1">VLOOKUP($D267,物料本月库存明細!$B:$J,2,0)</f>
        <v>#N/A</v>
      </c>
      <c r="F267" s="188" t="e">
        <f ca="1">VLOOKUP($D267,物料本月库存明細!$B:$J,5,0)</f>
        <v>#N/A</v>
      </c>
      <c r="G267" s="188"/>
      <c r="H267" s="191"/>
      <c r="I267" s="188"/>
      <c r="J267" s="188" t="e">
        <f ca="1">VLOOKUP($D267,物料本月库存明細!$B:$J,9,0)</f>
        <v>#N/A</v>
      </c>
      <c r="K267" s="220"/>
    </row>
    <row r="268" customHeight="1" spans="1:11">
      <c r="A268" s="191"/>
      <c r="B268" s="189"/>
      <c r="C268" s="193"/>
      <c r="D268" s="192"/>
      <c r="E268" s="188" t="e">
        <f ca="1">VLOOKUP($D268,物料本月库存明細!$B:$J,2,0)</f>
        <v>#N/A</v>
      </c>
      <c r="F268" s="188" t="e">
        <f ca="1">VLOOKUP($D268,物料本月库存明細!$B:$J,5,0)</f>
        <v>#N/A</v>
      </c>
      <c r="G268" s="188"/>
      <c r="H268" s="191"/>
      <c r="I268" s="188"/>
      <c r="J268" s="188" t="e">
        <f ca="1">VLOOKUP($D268,物料本月库存明細!$B:$J,9,0)</f>
        <v>#N/A</v>
      </c>
      <c r="K268" s="220"/>
    </row>
    <row r="269" customHeight="1" spans="1:11">
      <c r="A269" s="191"/>
      <c r="B269" s="189"/>
      <c r="C269" s="193"/>
      <c r="D269" s="196"/>
      <c r="E269" s="188" t="e">
        <f ca="1">VLOOKUP($D269,物料本月库存明細!$B:$J,2,0)</f>
        <v>#N/A</v>
      </c>
      <c r="F269" s="188" t="e">
        <f ca="1">VLOOKUP($D269,物料本月库存明細!$B:$J,5,0)</f>
        <v>#N/A</v>
      </c>
      <c r="G269" s="188"/>
      <c r="H269" s="191"/>
      <c r="I269" s="188"/>
      <c r="J269" s="188" t="e">
        <f ca="1">VLOOKUP($D269,物料本月库存明細!$B:$J,9,0)</f>
        <v>#N/A</v>
      </c>
      <c r="K269" s="220"/>
    </row>
    <row r="270" customHeight="1" spans="1:11">
      <c r="A270" s="191"/>
      <c r="B270" s="189"/>
      <c r="C270" s="193"/>
      <c r="D270" s="196"/>
      <c r="E270" s="188" t="e">
        <f ca="1">VLOOKUP($D270,物料本月库存明細!$B:$J,2,0)</f>
        <v>#N/A</v>
      </c>
      <c r="F270" s="188" t="e">
        <f ca="1">VLOOKUP($D270,物料本月库存明細!$B:$J,5,0)</f>
        <v>#N/A</v>
      </c>
      <c r="G270" s="188"/>
      <c r="H270" s="191"/>
      <c r="I270" s="188"/>
      <c r="J270" s="188" t="e">
        <f ca="1">VLOOKUP($D270,物料本月库存明細!$B:$J,9,0)</f>
        <v>#N/A</v>
      </c>
      <c r="K270" s="220"/>
    </row>
    <row r="271" customHeight="1" spans="1:11">
      <c r="A271" s="191"/>
      <c r="B271" s="189"/>
      <c r="C271" s="193"/>
      <c r="D271" s="196"/>
      <c r="E271" s="188" t="e">
        <f ca="1">VLOOKUP($D271,物料本月库存明細!$B:$J,2,0)</f>
        <v>#N/A</v>
      </c>
      <c r="F271" s="188" t="e">
        <f ca="1">VLOOKUP($D271,物料本月库存明細!$B:$J,5,0)</f>
        <v>#N/A</v>
      </c>
      <c r="G271" s="188"/>
      <c r="H271" s="191"/>
      <c r="I271" s="188"/>
      <c r="J271" s="188" t="e">
        <f ca="1">VLOOKUP($D271,物料本月库存明細!$B:$J,9,0)</f>
        <v>#N/A</v>
      </c>
      <c r="K271" s="220"/>
    </row>
    <row r="272" customHeight="1" spans="1:11">
      <c r="A272" s="191"/>
      <c r="B272" s="189"/>
      <c r="C272" s="193"/>
      <c r="D272" s="192"/>
      <c r="E272" s="188" t="e">
        <f ca="1">VLOOKUP($D272,物料本月库存明細!$B:$J,2,0)</f>
        <v>#N/A</v>
      </c>
      <c r="F272" s="188" t="e">
        <f ca="1">VLOOKUP($D272,物料本月库存明細!$B:$J,5,0)</f>
        <v>#N/A</v>
      </c>
      <c r="G272" s="188"/>
      <c r="H272" s="191"/>
      <c r="I272" s="188"/>
      <c r="J272" s="188" t="e">
        <f ca="1">VLOOKUP($D272,物料本月库存明細!$B:$J,9,0)</f>
        <v>#N/A</v>
      </c>
      <c r="K272" s="220"/>
    </row>
    <row r="273" customHeight="1" spans="1:11">
      <c r="A273" s="191"/>
      <c r="B273" s="189"/>
      <c r="C273" s="193"/>
      <c r="D273" s="192"/>
      <c r="E273" s="188" t="e">
        <f ca="1">VLOOKUP($D273,物料本月库存明細!$B:$J,2,0)</f>
        <v>#N/A</v>
      </c>
      <c r="F273" s="188" t="e">
        <f ca="1">VLOOKUP($D273,物料本月库存明細!$B:$J,5,0)</f>
        <v>#N/A</v>
      </c>
      <c r="G273" s="188"/>
      <c r="H273" s="191"/>
      <c r="I273" s="188"/>
      <c r="J273" s="188" t="e">
        <f ca="1">VLOOKUP($D273,物料本月库存明細!$B:$J,9,0)</f>
        <v>#N/A</v>
      </c>
      <c r="K273" s="220"/>
    </row>
    <row r="274" customHeight="1" spans="1:11">
      <c r="A274" s="191"/>
      <c r="B274" s="189"/>
      <c r="C274" s="193"/>
      <c r="D274" s="192"/>
      <c r="E274" s="188" t="e">
        <f ca="1">VLOOKUP($D274,物料本月库存明細!$B:$J,2,0)</f>
        <v>#N/A</v>
      </c>
      <c r="F274" s="188" t="e">
        <f ca="1">VLOOKUP($D274,物料本月库存明細!$B:$J,5,0)</f>
        <v>#N/A</v>
      </c>
      <c r="G274" s="188"/>
      <c r="H274" s="191"/>
      <c r="I274" s="188"/>
      <c r="J274" s="188" t="e">
        <f ca="1">VLOOKUP($D274,物料本月库存明細!$B:$J,9,0)</f>
        <v>#N/A</v>
      </c>
      <c r="K274" s="220"/>
    </row>
    <row r="275" customHeight="1" spans="1:11">
      <c r="A275" s="191"/>
      <c r="B275" s="189"/>
      <c r="C275" s="193"/>
      <c r="D275" s="196"/>
      <c r="E275" s="188" t="e">
        <f ca="1">VLOOKUP($D275,物料本月库存明細!$B:$J,2,0)</f>
        <v>#N/A</v>
      </c>
      <c r="F275" s="188" t="e">
        <f ca="1">VLOOKUP($D275,物料本月库存明細!$B:$J,5,0)</f>
        <v>#N/A</v>
      </c>
      <c r="G275" s="188"/>
      <c r="H275" s="191"/>
      <c r="I275" s="188"/>
      <c r="J275" s="188" t="e">
        <f ca="1">VLOOKUP($D275,物料本月库存明細!$B:$J,9,0)</f>
        <v>#N/A</v>
      </c>
      <c r="K275" s="220"/>
    </row>
    <row r="276" customHeight="1" spans="1:11">
      <c r="A276" s="191"/>
      <c r="B276" s="189"/>
      <c r="C276" s="193"/>
      <c r="D276" s="196"/>
      <c r="E276" s="188" t="e">
        <f ca="1">VLOOKUP($D276,物料本月库存明細!$B:$J,2,0)</f>
        <v>#N/A</v>
      </c>
      <c r="F276" s="188" t="e">
        <f ca="1">VLOOKUP($D276,物料本月库存明細!$B:$J,5,0)</f>
        <v>#N/A</v>
      </c>
      <c r="G276" s="188"/>
      <c r="H276" s="191"/>
      <c r="I276" s="188"/>
      <c r="J276" s="188" t="e">
        <f ca="1">VLOOKUP($D276,物料本月库存明細!$B:$J,9,0)</f>
        <v>#N/A</v>
      </c>
      <c r="K276" s="220"/>
    </row>
    <row r="277" customHeight="1" spans="1:11">
      <c r="A277" s="191"/>
      <c r="B277" s="189"/>
      <c r="C277" s="193"/>
      <c r="D277" s="192"/>
      <c r="E277" s="188" t="e">
        <f ca="1">VLOOKUP($D277,物料本月库存明細!$B:$J,2,0)</f>
        <v>#N/A</v>
      </c>
      <c r="F277" s="188" t="e">
        <f ca="1">VLOOKUP($D277,物料本月库存明細!$B:$J,5,0)</f>
        <v>#N/A</v>
      </c>
      <c r="G277" s="188"/>
      <c r="H277" s="191"/>
      <c r="I277" s="188"/>
      <c r="J277" s="188" t="e">
        <f ca="1">VLOOKUP($D277,物料本月库存明細!$B:$J,9,0)</f>
        <v>#N/A</v>
      </c>
      <c r="K277" s="220"/>
    </row>
    <row r="278" customHeight="1" spans="1:11">
      <c r="A278" s="191"/>
      <c r="B278" s="189"/>
      <c r="C278" s="193"/>
      <c r="D278" s="192"/>
      <c r="E278" s="188" t="e">
        <f ca="1">VLOOKUP($D278,物料本月库存明細!$B:$J,2,0)</f>
        <v>#N/A</v>
      </c>
      <c r="F278" s="188" t="e">
        <f ca="1">VLOOKUP($D278,物料本月库存明細!$B:$J,5,0)</f>
        <v>#N/A</v>
      </c>
      <c r="G278" s="188"/>
      <c r="H278" s="191"/>
      <c r="I278" s="188"/>
      <c r="J278" s="188" t="e">
        <f ca="1">VLOOKUP($D278,物料本月库存明細!$B:$J,9,0)</f>
        <v>#N/A</v>
      </c>
      <c r="K278" s="220"/>
    </row>
    <row r="279" customHeight="1" spans="1:11">
      <c r="A279" s="191"/>
      <c r="B279" s="189"/>
      <c r="C279" s="193"/>
      <c r="D279" s="192"/>
      <c r="E279" s="188" t="e">
        <f ca="1">VLOOKUP($D279,物料本月库存明細!$B:$J,2,0)</f>
        <v>#N/A</v>
      </c>
      <c r="F279" s="188" t="e">
        <f ca="1">VLOOKUP($D279,物料本月库存明細!$B:$J,5,0)</f>
        <v>#N/A</v>
      </c>
      <c r="G279" s="188"/>
      <c r="H279" s="191"/>
      <c r="I279" s="188"/>
      <c r="J279" s="188" t="e">
        <f ca="1">VLOOKUP($D279,物料本月库存明細!$B:$J,9,0)</f>
        <v>#N/A</v>
      </c>
      <c r="K279" s="220"/>
    </row>
    <row r="280" customHeight="1" spans="1:11">
      <c r="A280" s="191"/>
      <c r="B280" s="189"/>
      <c r="C280" s="193"/>
      <c r="D280" s="196"/>
      <c r="E280" s="188" t="e">
        <f ca="1">VLOOKUP($D280,物料本月库存明細!$B:$J,2,0)</f>
        <v>#N/A</v>
      </c>
      <c r="F280" s="188" t="e">
        <f ca="1">VLOOKUP($D280,物料本月库存明細!$B:$J,5,0)</f>
        <v>#N/A</v>
      </c>
      <c r="G280" s="188"/>
      <c r="H280" s="191"/>
      <c r="I280" s="188"/>
      <c r="J280" s="188" t="e">
        <f ca="1">VLOOKUP($D280,物料本月库存明細!$B:$J,9,0)</f>
        <v>#N/A</v>
      </c>
      <c r="K280" s="220"/>
    </row>
    <row r="281" customHeight="1" spans="1:11">
      <c r="A281" s="191"/>
      <c r="B281" s="189"/>
      <c r="C281" s="193"/>
      <c r="D281" s="196"/>
      <c r="E281" s="188" t="e">
        <f ca="1">VLOOKUP($D281,物料本月库存明細!$B:$J,2,0)</f>
        <v>#N/A</v>
      </c>
      <c r="F281" s="188" t="e">
        <f ca="1">VLOOKUP($D281,物料本月库存明細!$B:$J,5,0)</f>
        <v>#N/A</v>
      </c>
      <c r="G281" s="188"/>
      <c r="H281" s="191"/>
      <c r="I281" s="188"/>
      <c r="J281" s="188" t="e">
        <f ca="1">VLOOKUP($D281,物料本月库存明細!$B:$J,9,0)</f>
        <v>#N/A</v>
      </c>
      <c r="K281" s="220"/>
    </row>
    <row r="282" customHeight="1" spans="1:11">
      <c r="A282" s="191"/>
      <c r="B282" s="189"/>
      <c r="C282" s="193"/>
      <c r="D282" s="192"/>
      <c r="E282" s="188" t="e">
        <f ca="1">VLOOKUP($D282,物料本月库存明細!$B:$J,2,0)</f>
        <v>#N/A</v>
      </c>
      <c r="F282" s="188" t="e">
        <f ca="1">VLOOKUP($D282,物料本月库存明細!$B:$J,5,0)</f>
        <v>#N/A</v>
      </c>
      <c r="G282" s="188"/>
      <c r="H282" s="191"/>
      <c r="I282" s="188"/>
      <c r="J282" s="188" t="e">
        <f ca="1">VLOOKUP($D282,物料本月库存明細!$B:$J,9,0)</f>
        <v>#N/A</v>
      </c>
      <c r="K282" s="220"/>
    </row>
    <row r="283" customHeight="1" spans="1:11">
      <c r="A283" s="191"/>
      <c r="B283" s="189"/>
      <c r="C283" s="193"/>
      <c r="D283" s="197"/>
      <c r="E283" s="188" t="e">
        <f ca="1">VLOOKUP($D283,物料本月库存明細!$B:$J,2,0)</f>
        <v>#N/A</v>
      </c>
      <c r="F283" s="188" t="e">
        <f ca="1">VLOOKUP($D283,物料本月库存明細!$B:$J,5,0)</f>
        <v>#N/A</v>
      </c>
      <c r="G283" s="188"/>
      <c r="H283" s="191"/>
      <c r="I283" s="188"/>
      <c r="J283" s="188" t="e">
        <f ca="1">VLOOKUP($D283,物料本月库存明細!$B:$J,9,0)</f>
        <v>#N/A</v>
      </c>
      <c r="K283" s="220"/>
    </row>
    <row r="284" customHeight="1" spans="1:11">
      <c r="A284" s="191"/>
      <c r="B284" s="189"/>
      <c r="C284" s="193"/>
      <c r="D284" s="192"/>
      <c r="E284" s="188" t="e">
        <f ca="1">VLOOKUP($D284,物料本月库存明細!$B:$J,2,0)</f>
        <v>#N/A</v>
      </c>
      <c r="F284" s="188" t="e">
        <f ca="1">VLOOKUP($D284,物料本月库存明細!$B:$J,5,0)</f>
        <v>#N/A</v>
      </c>
      <c r="G284" s="188"/>
      <c r="H284" s="191"/>
      <c r="I284" s="188"/>
      <c r="J284" s="188" t="e">
        <f ca="1">VLOOKUP($D284,物料本月库存明細!$B:$J,9,0)</f>
        <v>#N/A</v>
      </c>
      <c r="K284" s="220"/>
    </row>
    <row r="285" customHeight="1" spans="1:11">
      <c r="A285" s="191"/>
      <c r="B285" s="189"/>
      <c r="C285" s="193"/>
      <c r="D285" s="196"/>
      <c r="E285" s="188" t="e">
        <f ca="1">VLOOKUP($D285,物料本月库存明細!$B:$J,2,0)</f>
        <v>#N/A</v>
      </c>
      <c r="F285" s="188" t="e">
        <f ca="1">VLOOKUP($D285,物料本月库存明細!$B:$J,5,0)</f>
        <v>#N/A</v>
      </c>
      <c r="G285" s="188"/>
      <c r="H285" s="191"/>
      <c r="I285" s="188"/>
      <c r="J285" s="188" t="e">
        <f ca="1">VLOOKUP($D285,物料本月库存明細!$B:$J,9,0)</f>
        <v>#N/A</v>
      </c>
      <c r="K285" s="220"/>
    </row>
    <row r="286" customHeight="1" spans="1:11">
      <c r="A286" s="191"/>
      <c r="B286" s="189"/>
      <c r="C286" s="193"/>
      <c r="D286" s="192"/>
      <c r="E286" s="188" t="e">
        <f ca="1">VLOOKUP($D286,物料本月库存明細!$B:$J,2,0)</f>
        <v>#N/A</v>
      </c>
      <c r="F286" s="188" t="e">
        <f ca="1">VLOOKUP($D286,物料本月库存明細!$B:$J,5,0)</f>
        <v>#N/A</v>
      </c>
      <c r="G286" s="188"/>
      <c r="H286" s="191"/>
      <c r="I286" s="188"/>
      <c r="J286" s="188" t="e">
        <f ca="1">VLOOKUP($D286,物料本月库存明細!$B:$J,9,0)</f>
        <v>#N/A</v>
      </c>
      <c r="K286" s="220"/>
    </row>
    <row r="287" customHeight="1" spans="1:11">
      <c r="A287" s="191"/>
      <c r="B287" s="189"/>
      <c r="C287" s="193"/>
      <c r="D287" s="196"/>
      <c r="E287" s="188" t="e">
        <f ca="1">VLOOKUP($D287,物料本月库存明細!$B:$J,2,0)</f>
        <v>#N/A</v>
      </c>
      <c r="F287" s="188" t="e">
        <f ca="1">VLOOKUP($D287,物料本月库存明細!$B:$J,5,0)</f>
        <v>#N/A</v>
      </c>
      <c r="G287" s="188"/>
      <c r="H287" s="191"/>
      <c r="I287" s="188"/>
      <c r="J287" s="188" t="e">
        <f ca="1">VLOOKUP($D287,物料本月库存明細!$B:$J,9,0)</f>
        <v>#N/A</v>
      </c>
      <c r="K287" s="220"/>
    </row>
    <row r="288" customHeight="1" spans="1:11">
      <c r="A288" s="191"/>
      <c r="B288" s="189"/>
      <c r="C288" s="193"/>
      <c r="D288" s="197"/>
      <c r="E288" s="188" t="e">
        <f ca="1">VLOOKUP($D288,物料本月库存明細!$B:$J,2,0)</f>
        <v>#N/A</v>
      </c>
      <c r="F288" s="188" t="e">
        <f ca="1">VLOOKUP($D288,物料本月库存明細!$B:$J,5,0)</f>
        <v>#N/A</v>
      </c>
      <c r="G288" s="188"/>
      <c r="H288" s="191"/>
      <c r="I288" s="188"/>
      <c r="J288" s="188" t="e">
        <f ca="1">VLOOKUP($D288,物料本月库存明細!$B:$J,9,0)</f>
        <v>#N/A</v>
      </c>
      <c r="K288" s="220"/>
    </row>
    <row r="289" customHeight="1" spans="1:11">
      <c r="A289" s="191"/>
      <c r="B289" s="189"/>
      <c r="C289" s="193"/>
      <c r="D289" s="192"/>
      <c r="E289" s="188" t="e">
        <f ca="1">VLOOKUP($D289,物料本月库存明細!$B:$J,2,0)</f>
        <v>#N/A</v>
      </c>
      <c r="F289" s="188" t="e">
        <f ca="1">VLOOKUP($D289,物料本月库存明細!$B:$J,5,0)</f>
        <v>#N/A</v>
      </c>
      <c r="G289" s="188"/>
      <c r="H289" s="191"/>
      <c r="I289" s="188"/>
      <c r="J289" s="188" t="e">
        <f ca="1">VLOOKUP($D289,物料本月库存明細!$B:$J,9,0)</f>
        <v>#N/A</v>
      </c>
      <c r="K289" s="220"/>
    </row>
    <row r="290" customHeight="1" spans="1:11">
      <c r="A290" s="191"/>
      <c r="B290" s="189"/>
      <c r="C290" s="193"/>
      <c r="D290" s="196"/>
      <c r="E290" s="188" t="e">
        <f ca="1">VLOOKUP($D290,物料本月库存明細!$B:$J,2,0)</f>
        <v>#N/A</v>
      </c>
      <c r="F290" s="188" t="e">
        <f ca="1">VLOOKUP($D290,物料本月库存明細!$B:$J,5,0)</f>
        <v>#N/A</v>
      </c>
      <c r="G290" s="188"/>
      <c r="H290" s="191"/>
      <c r="I290" s="188"/>
      <c r="J290" s="188" t="e">
        <f ca="1">VLOOKUP($D290,物料本月库存明細!$B:$J,9,0)</f>
        <v>#N/A</v>
      </c>
      <c r="K290" s="220"/>
    </row>
    <row r="291" customHeight="1" spans="1:11">
      <c r="A291" s="191"/>
      <c r="B291" s="189"/>
      <c r="C291" s="193"/>
      <c r="D291" s="192"/>
      <c r="E291" s="188" t="e">
        <f ca="1">VLOOKUP($D291,物料本月库存明細!$B:$J,2,0)</f>
        <v>#N/A</v>
      </c>
      <c r="F291" s="188" t="e">
        <f ca="1">VLOOKUP($D291,物料本月库存明細!$B:$J,5,0)</f>
        <v>#N/A</v>
      </c>
      <c r="G291" s="188"/>
      <c r="H291" s="191"/>
      <c r="I291" s="188"/>
      <c r="J291" s="188" t="e">
        <f ca="1">VLOOKUP($D291,物料本月库存明細!$B:$J,9,0)</f>
        <v>#N/A</v>
      </c>
      <c r="K291" s="220"/>
    </row>
    <row r="292" customHeight="1" spans="1:11">
      <c r="A292" s="191"/>
      <c r="B292" s="189"/>
      <c r="C292" s="193"/>
      <c r="D292" s="196"/>
      <c r="E292" s="188" t="e">
        <f ca="1">VLOOKUP($D292,物料本月库存明細!$B:$J,2,0)</f>
        <v>#N/A</v>
      </c>
      <c r="F292" s="188" t="e">
        <f ca="1">VLOOKUP($D292,物料本月库存明細!$B:$J,5,0)</f>
        <v>#N/A</v>
      </c>
      <c r="G292" s="188"/>
      <c r="H292" s="191"/>
      <c r="I292" s="188"/>
      <c r="J292" s="188" t="e">
        <f ca="1">VLOOKUP($D292,物料本月库存明細!$B:$J,9,0)</f>
        <v>#N/A</v>
      </c>
      <c r="K292" s="220"/>
    </row>
    <row r="293" customHeight="1" spans="1:11">
      <c r="A293" s="191"/>
      <c r="B293" s="189"/>
      <c r="C293" s="193"/>
      <c r="D293" s="195"/>
      <c r="E293" s="188" t="e">
        <f ca="1">VLOOKUP($D293,物料本月库存明細!$B:$J,2,0)</f>
        <v>#N/A</v>
      </c>
      <c r="F293" s="188" t="e">
        <f ca="1">VLOOKUP($D293,物料本月库存明細!$B:$J,5,0)</f>
        <v>#N/A</v>
      </c>
      <c r="G293" s="188"/>
      <c r="H293" s="191"/>
      <c r="I293" s="188"/>
      <c r="J293" s="188" t="e">
        <f ca="1">VLOOKUP($D293,物料本月库存明細!$B:$J,9,0)</f>
        <v>#N/A</v>
      </c>
      <c r="K293" s="220"/>
    </row>
    <row r="294" customHeight="1" spans="1:11">
      <c r="A294" s="191"/>
      <c r="B294" s="189"/>
      <c r="C294" s="193"/>
      <c r="D294" s="195"/>
      <c r="E294" s="188" t="e">
        <f ca="1">VLOOKUP($D294,物料本月库存明細!$B:$J,2,0)</f>
        <v>#N/A</v>
      </c>
      <c r="F294" s="188" t="e">
        <f ca="1">VLOOKUP($D294,物料本月库存明細!$B:$J,5,0)</f>
        <v>#N/A</v>
      </c>
      <c r="G294" s="188"/>
      <c r="H294" s="191"/>
      <c r="I294" s="188"/>
      <c r="J294" s="188" t="e">
        <f ca="1">VLOOKUP($D294,物料本月库存明細!$B:$J,9,0)</f>
        <v>#N/A</v>
      </c>
      <c r="K294" s="220"/>
    </row>
    <row r="295" customHeight="1" spans="1:11">
      <c r="A295" s="191"/>
      <c r="B295" s="189"/>
      <c r="C295" s="193"/>
      <c r="D295" s="195"/>
      <c r="E295" s="188" t="e">
        <f ca="1">VLOOKUP($D295,物料本月库存明細!$B:$J,2,0)</f>
        <v>#N/A</v>
      </c>
      <c r="F295" s="188" t="e">
        <f ca="1">VLOOKUP($D295,物料本月库存明細!$B:$J,5,0)</f>
        <v>#N/A</v>
      </c>
      <c r="G295" s="188"/>
      <c r="H295" s="191"/>
      <c r="I295" s="188"/>
      <c r="J295" s="188" t="e">
        <f ca="1">VLOOKUP($D295,物料本月库存明細!$B:$J,9,0)</f>
        <v>#N/A</v>
      </c>
      <c r="K295" s="220"/>
    </row>
    <row r="296" customHeight="1" spans="1:11">
      <c r="A296" s="191"/>
      <c r="B296" s="189"/>
      <c r="C296" s="193"/>
      <c r="D296" s="192"/>
      <c r="E296" s="188" t="e">
        <f ca="1">VLOOKUP($D296,物料本月库存明細!$B:$J,2,0)</f>
        <v>#N/A</v>
      </c>
      <c r="F296" s="188" t="e">
        <f ca="1">VLOOKUP($D296,物料本月库存明細!$B:$J,5,0)</f>
        <v>#N/A</v>
      </c>
      <c r="G296" s="188"/>
      <c r="H296" s="191"/>
      <c r="I296" s="188"/>
      <c r="J296" s="188" t="e">
        <f ca="1">VLOOKUP($D296,物料本月库存明細!$B:$J,9,0)</f>
        <v>#N/A</v>
      </c>
      <c r="K296" s="220"/>
    </row>
    <row r="297" customHeight="1" spans="1:11">
      <c r="A297" s="191"/>
      <c r="B297" s="189"/>
      <c r="C297" s="193"/>
      <c r="D297" s="197"/>
      <c r="E297" s="188" t="e">
        <f ca="1">VLOOKUP($D297,物料本月库存明細!$B:$J,2,0)</f>
        <v>#N/A</v>
      </c>
      <c r="F297" s="188" t="e">
        <f ca="1">VLOOKUP($D297,物料本月库存明細!$B:$J,5,0)</f>
        <v>#N/A</v>
      </c>
      <c r="G297" s="188"/>
      <c r="H297" s="191"/>
      <c r="I297" s="188"/>
      <c r="J297" s="188" t="e">
        <f ca="1">VLOOKUP($D297,物料本月库存明細!$B:$J,9,0)</f>
        <v>#N/A</v>
      </c>
      <c r="K297" s="220"/>
    </row>
    <row r="298" customHeight="1" spans="1:11">
      <c r="A298" s="191"/>
      <c r="B298" s="189"/>
      <c r="C298" s="193"/>
      <c r="D298" s="192"/>
      <c r="E298" s="188" t="e">
        <f ca="1">VLOOKUP($D298,物料本月库存明細!$B:$J,2,0)</f>
        <v>#N/A</v>
      </c>
      <c r="F298" s="188" t="e">
        <f ca="1">VLOOKUP($D298,物料本月库存明細!$B:$J,5,0)</f>
        <v>#N/A</v>
      </c>
      <c r="G298" s="188"/>
      <c r="H298" s="191"/>
      <c r="I298" s="188"/>
      <c r="J298" s="188" t="e">
        <f ca="1">VLOOKUP($D298,物料本月库存明細!$B:$J,9,0)</f>
        <v>#N/A</v>
      </c>
      <c r="K298" s="220"/>
    </row>
    <row r="299" customHeight="1" spans="1:11">
      <c r="A299" s="191"/>
      <c r="B299" s="189"/>
      <c r="C299" s="193"/>
      <c r="D299" s="192"/>
      <c r="E299" s="188" t="e">
        <f ca="1">VLOOKUP($D299,物料本月库存明細!$B:$J,2,0)</f>
        <v>#N/A</v>
      </c>
      <c r="F299" s="188" t="e">
        <f ca="1">VLOOKUP($D299,物料本月库存明細!$B:$J,5,0)</f>
        <v>#N/A</v>
      </c>
      <c r="G299" s="188"/>
      <c r="H299" s="191"/>
      <c r="I299" s="188"/>
      <c r="J299" s="188" t="e">
        <f ca="1">VLOOKUP($D299,物料本月库存明細!$B:$J,9,0)</f>
        <v>#N/A</v>
      </c>
      <c r="K299" s="220"/>
    </row>
    <row r="300" customHeight="1" spans="1:11">
      <c r="A300" s="191"/>
      <c r="B300" s="189"/>
      <c r="C300" s="193"/>
      <c r="D300" s="192"/>
      <c r="E300" s="188" t="e">
        <f ca="1">VLOOKUP($D300,物料本月库存明細!$B:$J,2,0)</f>
        <v>#N/A</v>
      </c>
      <c r="F300" s="188" t="e">
        <f ca="1">VLOOKUP($D300,物料本月库存明細!$B:$J,5,0)</f>
        <v>#N/A</v>
      </c>
      <c r="G300" s="188"/>
      <c r="H300" s="191"/>
      <c r="I300" s="188"/>
      <c r="J300" s="188" t="e">
        <f ca="1">VLOOKUP($D300,物料本月库存明細!$B:$J,9,0)</f>
        <v>#N/A</v>
      </c>
      <c r="K300" s="220"/>
    </row>
    <row r="301" customHeight="1" spans="1:11">
      <c r="A301" s="191"/>
      <c r="B301" s="189"/>
      <c r="C301" s="193"/>
      <c r="D301" s="192"/>
      <c r="E301" s="188" t="e">
        <f ca="1">VLOOKUP($D301,物料本月库存明細!$B:$J,2,0)</f>
        <v>#N/A</v>
      </c>
      <c r="F301" s="188" t="e">
        <f ca="1">VLOOKUP($D301,物料本月库存明細!$B:$J,5,0)</f>
        <v>#N/A</v>
      </c>
      <c r="G301" s="188"/>
      <c r="H301" s="191"/>
      <c r="I301" s="188"/>
      <c r="J301" s="188" t="e">
        <f ca="1">VLOOKUP($D301,物料本月库存明細!$B:$J,9,0)</f>
        <v>#N/A</v>
      </c>
      <c r="K301" s="220"/>
    </row>
    <row r="302" customHeight="1" spans="1:11">
      <c r="A302" s="191"/>
      <c r="B302" s="189"/>
      <c r="C302" s="193"/>
      <c r="D302" s="196"/>
      <c r="E302" s="188" t="e">
        <f ca="1">VLOOKUP($D302,物料本月库存明細!$B:$J,2,0)</f>
        <v>#N/A</v>
      </c>
      <c r="F302" s="188" t="e">
        <f ca="1">VLOOKUP($D302,物料本月库存明細!$B:$J,5,0)</f>
        <v>#N/A</v>
      </c>
      <c r="G302" s="188"/>
      <c r="H302" s="191"/>
      <c r="I302" s="188"/>
      <c r="J302" s="188" t="e">
        <f ca="1">VLOOKUP($D302,物料本月库存明細!$B:$J,9,0)</f>
        <v>#N/A</v>
      </c>
      <c r="K302" s="220"/>
    </row>
    <row r="303" customHeight="1" spans="1:11">
      <c r="A303" s="191"/>
      <c r="B303" s="189"/>
      <c r="C303" s="193"/>
      <c r="D303" s="196"/>
      <c r="E303" s="188" t="e">
        <f ca="1">VLOOKUP($D303,物料本月库存明細!$B:$J,2,0)</f>
        <v>#N/A</v>
      </c>
      <c r="F303" s="188" t="e">
        <f ca="1">VLOOKUP($D303,物料本月库存明細!$B:$J,5,0)</f>
        <v>#N/A</v>
      </c>
      <c r="G303" s="188"/>
      <c r="H303" s="191"/>
      <c r="I303" s="188"/>
      <c r="J303" s="188" t="e">
        <f ca="1">VLOOKUP($D303,物料本月库存明細!$B:$J,9,0)</f>
        <v>#N/A</v>
      </c>
      <c r="K303" s="220"/>
    </row>
    <row r="304" customHeight="1" spans="1:11">
      <c r="A304" s="191"/>
      <c r="B304" s="189"/>
      <c r="C304" s="193"/>
      <c r="D304" s="192"/>
      <c r="E304" s="221" t="e">
        <f ca="1">VLOOKUP($D304,物料本月库存明細!$B:$J,2,0)</f>
        <v>#N/A</v>
      </c>
      <c r="F304" s="221" t="e">
        <f ca="1">VLOOKUP($D304,物料本月库存明細!$B:$J,5,0)</f>
        <v>#N/A</v>
      </c>
      <c r="G304" s="221"/>
      <c r="H304" s="222"/>
      <c r="I304" s="221"/>
      <c r="J304" s="221" t="e">
        <f ca="1">VLOOKUP($D304,物料本月库存明細!$B:$J,9,0)</f>
        <v>#N/A</v>
      </c>
      <c r="K304" s="223"/>
    </row>
    <row r="305" customHeight="1" spans="1:11">
      <c r="A305" s="191"/>
      <c r="B305" s="189"/>
      <c r="C305" s="193"/>
      <c r="D305" s="192"/>
      <c r="E305" s="188" t="e">
        <f ca="1">VLOOKUP($D305,物料本月库存明細!$B:$J,2,0)</f>
        <v>#N/A</v>
      </c>
      <c r="F305" s="188" t="e">
        <f ca="1">VLOOKUP($D305,物料本月库存明細!$B:$J,5,0)</f>
        <v>#N/A</v>
      </c>
      <c r="G305" s="188"/>
      <c r="H305" s="191"/>
      <c r="I305" s="188"/>
      <c r="J305" s="188" t="e">
        <f ca="1">VLOOKUP($D305,物料本月库存明細!$B:$J,9,0)</f>
        <v>#N/A</v>
      </c>
      <c r="K305" s="220"/>
    </row>
    <row r="306" customHeight="1" spans="1:11">
      <c r="A306" s="191"/>
      <c r="B306" s="189"/>
      <c r="C306" s="193"/>
      <c r="D306" s="192"/>
      <c r="E306" s="188" t="e">
        <f ca="1">VLOOKUP($D306,物料本月库存明細!$B:$J,2,0)</f>
        <v>#N/A</v>
      </c>
      <c r="F306" s="188" t="e">
        <f ca="1">VLOOKUP($D306,物料本月库存明細!$B:$J,5,0)</f>
        <v>#N/A</v>
      </c>
      <c r="G306" s="188"/>
      <c r="H306" s="191"/>
      <c r="I306" s="188"/>
      <c r="J306" s="188" t="e">
        <f ca="1">VLOOKUP($D306,物料本月库存明細!$B:$J,9,0)</f>
        <v>#N/A</v>
      </c>
      <c r="K306" s="220"/>
    </row>
    <row r="307" customHeight="1" spans="1:11">
      <c r="A307" s="222"/>
      <c r="B307" s="189"/>
      <c r="C307" s="193"/>
      <c r="D307" s="196"/>
      <c r="E307" s="188" t="e">
        <f ca="1">VLOOKUP($D307,物料本月库存明細!$B:$J,2,0)</f>
        <v>#N/A</v>
      </c>
      <c r="F307" s="188" t="e">
        <f ca="1">VLOOKUP($D307,物料本月库存明細!$B:$J,5,0)</f>
        <v>#N/A</v>
      </c>
      <c r="G307" s="188"/>
      <c r="H307" s="191"/>
      <c r="I307" s="188"/>
      <c r="J307" s="188" t="e">
        <f ca="1">VLOOKUP($D307,物料本月库存明細!$B:$J,9,0)</f>
        <v>#N/A</v>
      </c>
      <c r="K307" s="220"/>
    </row>
    <row r="308" customHeight="1" spans="1:11">
      <c r="A308" s="222"/>
      <c r="B308" s="189"/>
      <c r="C308" s="193"/>
      <c r="D308" s="196"/>
      <c r="E308" s="188" t="e">
        <f ca="1">VLOOKUP($D308,物料本月库存明細!$B:$J,2,0)</f>
        <v>#N/A</v>
      </c>
      <c r="F308" s="188" t="e">
        <f ca="1">VLOOKUP($D308,物料本月库存明細!$B:$J,5,0)</f>
        <v>#N/A</v>
      </c>
      <c r="G308" s="188"/>
      <c r="H308" s="191"/>
      <c r="I308" s="188"/>
      <c r="J308" s="188" t="e">
        <f ca="1">VLOOKUP($D308,物料本月库存明細!$B:$J,9,0)</f>
        <v>#N/A</v>
      </c>
      <c r="K308" s="220"/>
    </row>
    <row r="309" customHeight="1" spans="1:11">
      <c r="A309" s="222"/>
      <c r="B309" s="189"/>
      <c r="C309" s="193"/>
      <c r="D309" s="196"/>
      <c r="E309" s="188" t="e">
        <f ca="1">VLOOKUP($D309,物料本月库存明細!$B:$J,2,0)</f>
        <v>#N/A</v>
      </c>
      <c r="F309" s="188" t="e">
        <f ca="1">VLOOKUP($D309,物料本月库存明細!$B:$J,5,0)</f>
        <v>#N/A</v>
      </c>
      <c r="G309" s="188"/>
      <c r="H309" s="191"/>
      <c r="I309" s="188"/>
      <c r="J309" s="188" t="e">
        <f ca="1">VLOOKUP($D309,物料本月库存明細!$B:$J,9,0)</f>
        <v>#N/A</v>
      </c>
      <c r="K309" s="220"/>
    </row>
    <row r="310" customHeight="1" spans="1:11">
      <c r="A310" s="222"/>
      <c r="B310" s="189"/>
      <c r="C310" s="193"/>
      <c r="D310" s="196"/>
      <c r="E310" s="188" t="e">
        <f ca="1">VLOOKUP($D310,物料本月库存明細!$B:$J,2,0)</f>
        <v>#N/A</v>
      </c>
      <c r="F310" s="188" t="e">
        <f ca="1">VLOOKUP($D310,物料本月库存明細!$B:$J,5,0)</f>
        <v>#N/A</v>
      </c>
      <c r="G310" s="188"/>
      <c r="H310" s="191"/>
      <c r="I310" s="188"/>
      <c r="J310" s="188" t="e">
        <f ca="1">VLOOKUP($D310,物料本月库存明細!$B:$J,9,0)</f>
        <v>#N/A</v>
      </c>
      <c r="K310" s="220"/>
    </row>
    <row r="311" customHeight="1" spans="1:11">
      <c r="A311" s="191"/>
      <c r="B311" s="189"/>
      <c r="C311" s="193"/>
      <c r="D311" s="192"/>
      <c r="E311" s="188" t="e">
        <f ca="1">VLOOKUP($D311,物料本月库存明細!$B:$J,2,0)</f>
        <v>#N/A</v>
      </c>
      <c r="F311" s="188" t="e">
        <f ca="1">VLOOKUP($D311,物料本月库存明細!$B:$J,5,0)</f>
        <v>#N/A</v>
      </c>
      <c r="G311" s="188"/>
      <c r="H311" s="191"/>
      <c r="I311" s="188"/>
      <c r="J311" s="188" t="e">
        <f ca="1">VLOOKUP($D311,物料本月库存明細!$B:$J,9,0)</f>
        <v>#N/A</v>
      </c>
      <c r="K311" s="220"/>
    </row>
    <row r="312" customHeight="1" spans="1:11">
      <c r="A312" s="191"/>
      <c r="B312" s="189"/>
      <c r="C312" s="193"/>
      <c r="D312" s="197"/>
      <c r="E312" s="188" t="e">
        <f ca="1">VLOOKUP($D312,物料本月库存明細!$B:$J,2,0)</f>
        <v>#N/A</v>
      </c>
      <c r="F312" s="188" t="e">
        <f ca="1">VLOOKUP($D312,物料本月库存明細!$B:$J,5,0)</f>
        <v>#N/A</v>
      </c>
      <c r="G312" s="188"/>
      <c r="H312" s="191"/>
      <c r="I312" s="188"/>
      <c r="J312" s="188" t="e">
        <f ca="1">VLOOKUP($D312,物料本月库存明細!$B:$J,9,0)</f>
        <v>#N/A</v>
      </c>
      <c r="K312" s="220"/>
    </row>
    <row r="313" customHeight="1" spans="1:11">
      <c r="A313" s="191"/>
      <c r="B313" s="189"/>
      <c r="C313" s="193"/>
      <c r="D313" s="192"/>
      <c r="E313" s="188" t="e">
        <f ca="1">VLOOKUP($D313,物料本月库存明細!$B:$J,2,0)</f>
        <v>#N/A</v>
      </c>
      <c r="F313" s="188" t="e">
        <f ca="1">VLOOKUP($D313,物料本月库存明細!$B:$J,5,0)</f>
        <v>#N/A</v>
      </c>
      <c r="G313" s="188"/>
      <c r="H313" s="191"/>
      <c r="I313" s="188"/>
      <c r="J313" s="188" t="e">
        <f ca="1">VLOOKUP($D313,物料本月库存明細!$B:$J,9,0)</f>
        <v>#N/A</v>
      </c>
      <c r="K313" s="220"/>
    </row>
    <row r="314" customHeight="1" spans="1:11">
      <c r="A314" s="191"/>
      <c r="B314" s="189"/>
      <c r="C314" s="193"/>
      <c r="D314" s="196"/>
      <c r="E314" s="188" t="e">
        <f ca="1">VLOOKUP($D314,物料本月库存明細!$B:$J,2,0)</f>
        <v>#N/A</v>
      </c>
      <c r="F314" s="188" t="e">
        <f ca="1">VLOOKUP($D314,物料本月库存明細!$B:$J,5,0)</f>
        <v>#N/A</v>
      </c>
      <c r="G314" s="188"/>
      <c r="H314" s="191"/>
      <c r="I314" s="188"/>
      <c r="J314" s="188" t="e">
        <f ca="1">VLOOKUP($D314,物料本月库存明細!$B:$J,9,0)</f>
        <v>#N/A</v>
      </c>
      <c r="K314" s="220"/>
    </row>
    <row r="315" customHeight="1" spans="1:11">
      <c r="A315" s="191"/>
      <c r="B315" s="189"/>
      <c r="C315" s="193"/>
      <c r="D315" s="192"/>
      <c r="E315" s="188" t="e">
        <f ca="1">VLOOKUP($D315,物料本月库存明細!$B:$J,2,0)</f>
        <v>#N/A</v>
      </c>
      <c r="F315" s="188" t="e">
        <f ca="1">VLOOKUP($D315,物料本月库存明細!$B:$J,5,0)</f>
        <v>#N/A</v>
      </c>
      <c r="G315" s="188"/>
      <c r="H315" s="191"/>
      <c r="I315" s="188"/>
      <c r="J315" s="188" t="e">
        <f ca="1">VLOOKUP($D315,物料本月库存明細!$B:$J,9,0)</f>
        <v>#N/A</v>
      </c>
      <c r="K315" s="220"/>
    </row>
    <row r="316" customHeight="1" spans="1:11">
      <c r="A316" s="191"/>
      <c r="B316" s="189"/>
      <c r="C316" s="193"/>
      <c r="D316" s="192"/>
      <c r="E316" s="188" t="e">
        <f ca="1">VLOOKUP($D316,物料本月库存明細!$B:$J,2,0)</f>
        <v>#N/A</v>
      </c>
      <c r="F316" s="188" t="e">
        <f ca="1">VLOOKUP($D316,物料本月库存明細!$B:$J,5,0)</f>
        <v>#N/A</v>
      </c>
      <c r="G316" s="188"/>
      <c r="H316" s="191"/>
      <c r="I316" s="188"/>
      <c r="J316" s="188" t="e">
        <f ca="1">VLOOKUP($D316,物料本月库存明細!$B:$J,9,0)</f>
        <v>#N/A</v>
      </c>
      <c r="K316" s="220"/>
    </row>
    <row r="317" customHeight="1" spans="1:11">
      <c r="A317" s="191"/>
      <c r="B317" s="189"/>
      <c r="C317" s="193"/>
      <c r="D317" s="196"/>
      <c r="E317" s="188" t="e">
        <f ca="1">VLOOKUP($D317,物料本月库存明細!$B:$J,2,0)</f>
        <v>#N/A</v>
      </c>
      <c r="F317" s="188" t="e">
        <f ca="1">VLOOKUP($D317,物料本月库存明細!$B:$J,5,0)</f>
        <v>#N/A</v>
      </c>
      <c r="G317" s="188"/>
      <c r="H317" s="191"/>
      <c r="I317" s="188"/>
      <c r="J317" s="188" t="e">
        <f ca="1">VLOOKUP($D317,物料本月库存明細!$B:$J,9,0)</f>
        <v>#N/A</v>
      </c>
      <c r="K317" s="220"/>
    </row>
    <row r="318" customHeight="1" spans="1:11">
      <c r="A318" s="191"/>
      <c r="B318" s="189"/>
      <c r="C318" s="193"/>
      <c r="D318" s="196"/>
      <c r="E318" s="188" t="e">
        <f ca="1">VLOOKUP($D318,物料本月库存明細!$B:$J,2,0)</f>
        <v>#N/A</v>
      </c>
      <c r="F318" s="188" t="e">
        <f ca="1">VLOOKUP($D318,物料本月库存明細!$B:$J,5,0)</f>
        <v>#N/A</v>
      </c>
      <c r="G318" s="188"/>
      <c r="H318" s="191"/>
      <c r="I318" s="188"/>
      <c r="J318" s="188" t="e">
        <f ca="1">VLOOKUP($D318,物料本月库存明細!$B:$J,9,0)</f>
        <v>#N/A</v>
      </c>
      <c r="K318" s="220"/>
    </row>
    <row r="319" customHeight="1" spans="1:11">
      <c r="A319" s="191"/>
      <c r="B319" s="189"/>
      <c r="C319" s="193"/>
      <c r="D319" s="195"/>
      <c r="E319" s="188" t="e">
        <f ca="1">VLOOKUP($D319,物料本月库存明細!$B:$J,2,0)</f>
        <v>#N/A</v>
      </c>
      <c r="F319" s="188" t="e">
        <f ca="1">VLOOKUP($D319,物料本月库存明細!$B:$J,5,0)</f>
        <v>#N/A</v>
      </c>
      <c r="G319" s="188"/>
      <c r="H319" s="191"/>
      <c r="I319" s="188"/>
      <c r="J319" s="188" t="e">
        <f ca="1">VLOOKUP($D319,物料本月库存明細!$B:$J,9,0)</f>
        <v>#N/A</v>
      </c>
      <c r="K319" s="220"/>
    </row>
    <row r="320" customHeight="1" spans="1:11">
      <c r="A320" s="191"/>
      <c r="B320" s="189"/>
      <c r="C320" s="193"/>
      <c r="D320" s="196"/>
      <c r="E320" s="188" t="e">
        <f ca="1">VLOOKUP($D320,物料本月库存明細!$B:$J,2,0)</f>
        <v>#N/A</v>
      </c>
      <c r="F320" s="188" t="e">
        <f ca="1">VLOOKUP($D320,物料本月库存明細!$B:$J,5,0)</f>
        <v>#N/A</v>
      </c>
      <c r="G320" s="188"/>
      <c r="H320" s="191"/>
      <c r="I320" s="188"/>
      <c r="J320" s="188" t="e">
        <f ca="1">VLOOKUP($D320,物料本月库存明細!$B:$J,9,0)</f>
        <v>#N/A</v>
      </c>
      <c r="K320" s="220"/>
    </row>
    <row r="321" customHeight="1" spans="1:11">
      <c r="A321" s="191"/>
      <c r="B321" s="189"/>
      <c r="C321" s="193"/>
      <c r="D321" s="197"/>
      <c r="E321" s="188" t="e">
        <f ca="1">VLOOKUP($D321,物料本月库存明細!$B:$J,2,0)</f>
        <v>#N/A</v>
      </c>
      <c r="F321" s="188" t="e">
        <f ca="1">VLOOKUP($D321,物料本月库存明細!$B:$J,5,0)</f>
        <v>#N/A</v>
      </c>
      <c r="G321" s="188"/>
      <c r="H321" s="191"/>
      <c r="I321" s="188"/>
      <c r="J321" s="188" t="e">
        <f ca="1">VLOOKUP($D321,物料本月库存明細!$B:$J,9,0)</f>
        <v>#N/A</v>
      </c>
      <c r="K321" s="220"/>
    </row>
    <row r="322" customHeight="1" spans="1:11">
      <c r="A322" s="191"/>
      <c r="B322" s="189"/>
      <c r="C322" s="193"/>
      <c r="D322" s="192"/>
      <c r="E322" s="188" t="e">
        <f ca="1">VLOOKUP($D322,物料本月库存明細!$B:$J,2,0)</f>
        <v>#N/A</v>
      </c>
      <c r="F322" s="188" t="e">
        <f ca="1">VLOOKUP($D322,物料本月库存明細!$B:$J,5,0)</f>
        <v>#N/A</v>
      </c>
      <c r="G322" s="188"/>
      <c r="H322" s="191"/>
      <c r="I322" s="188"/>
      <c r="J322" s="188" t="e">
        <f ca="1">VLOOKUP($D322,物料本月库存明細!$B:$J,9,0)</f>
        <v>#N/A</v>
      </c>
      <c r="K322" s="220"/>
    </row>
    <row r="323" customHeight="1" spans="1:11">
      <c r="A323" s="191"/>
      <c r="B323" s="189"/>
      <c r="C323" s="193"/>
      <c r="D323" s="196"/>
      <c r="E323" s="188" t="e">
        <f ca="1">VLOOKUP($D323,物料本月库存明細!$B:$J,2,0)</f>
        <v>#N/A</v>
      </c>
      <c r="F323" s="188" t="e">
        <f ca="1">VLOOKUP($D323,物料本月库存明細!$B:$J,5,0)</f>
        <v>#N/A</v>
      </c>
      <c r="G323" s="188"/>
      <c r="H323" s="191"/>
      <c r="I323" s="188"/>
      <c r="J323" s="188" t="e">
        <f ca="1">VLOOKUP($D323,物料本月库存明細!$B:$J,9,0)</f>
        <v>#N/A</v>
      </c>
      <c r="K323" s="220"/>
    </row>
    <row r="324" customHeight="1" spans="1:11">
      <c r="A324" s="191"/>
      <c r="B324" s="189"/>
      <c r="C324" s="193"/>
      <c r="D324" s="196"/>
      <c r="E324" s="188" t="e">
        <f ca="1">VLOOKUP($D324,物料本月库存明細!$B:$J,2,0)</f>
        <v>#N/A</v>
      </c>
      <c r="F324" s="188" t="e">
        <f ca="1">VLOOKUP($D324,物料本月库存明細!$B:$J,5,0)</f>
        <v>#N/A</v>
      </c>
      <c r="G324" s="188"/>
      <c r="H324" s="191"/>
      <c r="I324" s="188"/>
      <c r="J324" s="188" t="e">
        <f ca="1">VLOOKUP($D324,物料本月库存明細!$B:$J,9,0)</f>
        <v>#N/A</v>
      </c>
      <c r="K324" s="220"/>
    </row>
    <row r="325" customHeight="1" spans="1:11">
      <c r="A325" s="191"/>
      <c r="B325" s="189"/>
      <c r="C325" s="193"/>
      <c r="D325" s="196"/>
      <c r="E325" s="188" t="e">
        <f ca="1">VLOOKUP($D325,物料本月库存明細!$B:$J,2,0)</f>
        <v>#N/A</v>
      </c>
      <c r="F325" s="188" t="e">
        <f ca="1">VLOOKUP($D325,物料本月库存明細!$B:$J,5,0)</f>
        <v>#N/A</v>
      </c>
      <c r="G325" s="188"/>
      <c r="H325" s="191"/>
      <c r="I325" s="188"/>
      <c r="J325" s="188" t="e">
        <f ca="1">VLOOKUP($D325,物料本月库存明細!$B:$J,9,0)</f>
        <v>#N/A</v>
      </c>
      <c r="K325" s="220"/>
    </row>
    <row r="326" customHeight="1" spans="1:11">
      <c r="A326" s="191"/>
      <c r="B326" s="189"/>
      <c r="C326" s="193"/>
      <c r="D326" s="196"/>
      <c r="E326" s="188" t="e">
        <f ca="1">VLOOKUP($D326,物料本月库存明細!$B:$J,2,0)</f>
        <v>#N/A</v>
      </c>
      <c r="F326" s="188" t="e">
        <f ca="1">VLOOKUP($D326,物料本月库存明細!$B:$J,5,0)</f>
        <v>#N/A</v>
      </c>
      <c r="G326" s="188"/>
      <c r="H326" s="191"/>
      <c r="I326" s="188"/>
      <c r="J326" s="188" t="e">
        <f ca="1">VLOOKUP($D326,物料本月库存明細!$B:$J,9,0)</f>
        <v>#N/A</v>
      </c>
      <c r="K326" s="220"/>
    </row>
    <row r="327" customHeight="1" spans="1:11">
      <c r="A327" s="191"/>
      <c r="B327" s="189"/>
      <c r="C327" s="193"/>
      <c r="D327" s="196"/>
      <c r="E327" s="188" t="e">
        <f ca="1">VLOOKUP($D327,物料本月库存明細!$B:$J,2,0)</f>
        <v>#N/A</v>
      </c>
      <c r="F327" s="188" t="e">
        <f ca="1">VLOOKUP($D327,物料本月库存明細!$B:$J,5,0)</f>
        <v>#N/A</v>
      </c>
      <c r="G327" s="188"/>
      <c r="H327" s="191"/>
      <c r="I327" s="188"/>
      <c r="J327" s="188" t="e">
        <f ca="1">VLOOKUP($D327,物料本月库存明細!$B:$J,9,0)</f>
        <v>#N/A</v>
      </c>
      <c r="K327" s="220"/>
    </row>
    <row r="328" customHeight="1" spans="1:11">
      <c r="A328" s="191"/>
      <c r="B328" s="189"/>
      <c r="C328" s="193"/>
      <c r="D328" s="196"/>
      <c r="E328" s="188" t="e">
        <f ca="1">VLOOKUP($D328,物料本月库存明細!$B:$J,2,0)</f>
        <v>#N/A</v>
      </c>
      <c r="F328" s="188" t="e">
        <f ca="1">VLOOKUP($D328,物料本月库存明細!$B:$J,5,0)</f>
        <v>#N/A</v>
      </c>
      <c r="G328" s="188"/>
      <c r="H328" s="191"/>
      <c r="I328" s="188"/>
      <c r="J328" s="188" t="e">
        <f ca="1">VLOOKUP($D328,物料本月库存明細!$B:$J,9,0)</f>
        <v>#N/A</v>
      </c>
      <c r="K328" s="220"/>
    </row>
    <row r="329" customHeight="1" spans="1:11">
      <c r="A329" s="191"/>
      <c r="B329" s="189"/>
      <c r="C329" s="193"/>
      <c r="D329" s="196"/>
      <c r="E329" s="188" t="e">
        <f ca="1">VLOOKUP($D329,物料本月库存明細!$B:$J,2,0)</f>
        <v>#N/A</v>
      </c>
      <c r="F329" s="188" t="e">
        <f ca="1">VLOOKUP($D329,物料本月库存明細!$B:$J,5,0)</f>
        <v>#N/A</v>
      </c>
      <c r="G329" s="188"/>
      <c r="H329" s="191"/>
      <c r="I329" s="188"/>
      <c r="J329" s="188" t="e">
        <f ca="1">VLOOKUP($D329,物料本月库存明細!$B:$J,9,0)</f>
        <v>#N/A</v>
      </c>
      <c r="K329" s="220"/>
    </row>
    <row r="330" customHeight="1" spans="1:11">
      <c r="A330" s="191"/>
      <c r="B330" s="189"/>
      <c r="C330" s="193"/>
      <c r="D330" s="192"/>
      <c r="E330" s="188" t="e">
        <f ca="1">VLOOKUP($D330,物料本月库存明細!$B:$J,2,0)</f>
        <v>#N/A</v>
      </c>
      <c r="F330" s="188" t="e">
        <f ca="1">VLOOKUP($D330,物料本月库存明細!$B:$J,5,0)</f>
        <v>#N/A</v>
      </c>
      <c r="G330" s="188"/>
      <c r="H330" s="191"/>
      <c r="I330" s="188"/>
      <c r="J330" s="188" t="e">
        <f ca="1">VLOOKUP($D330,物料本月库存明細!$B:$J,9,0)</f>
        <v>#N/A</v>
      </c>
      <c r="K330" s="220"/>
    </row>
    <row r="331" customHeight="1" spans="1:11">
      <c r="A331" s="191"/>
      <c r="B331" s="189"/>
      <c r="C331" s="193"/>
      <c r="D331" s="196"/>
      <c r="E331" s="188" t="e">
        <f ca="1">VLOOKUP($D331,物料本月库存明細!$B:$J,2,0)</f>
        <v>#N/A</v>
      </c>
      <c r="F331" s="188" t="e">
        <f ca="1">VLOOKUP($D331,物料本月库存明細!$B:$J,5,0)</f>
        <v>#N/A</v>
      </c>
      <c r="G331" s="188"/>
      <c r="H331" s="191"/>
      <c r="I331" s="188"/>
      <c r="J331" s="188" t="e">
        <f ca="1">VLOOKUP($D331,物料本月库存明細!$B:$J,9,0)</f>
        <v>#N/A</v>
      </c>
      <c r="K331" s="220"/>
    </row>
    <row r="332" customHeight="1" spans="1:11">
      <c r="A332" s="191"/>
      <c r="B332" s="189"/>
      <c r="C332" s="193"/>
      <c r="D332" s="192"/>
      <c r="E332" s="188" t="e">
        <f ca="1">VLOOKUP($D332,物料本月库存明細!$B:$J,2,0)</f>
        <v>#N/A</v>
      </c>
      <c r="F332" s="188" t="e">
        <f ca="1">VLOOKUP($D332,物料本月库存明細!$B:$J,5,0)</f>
        <v>#N/A</v>
      </c>
      <c r="G332" s="188"/>
      <c r="H332" s="191"/>
      <c r="I332" s="188"/>
      <c r="J332" s="188" t="e">
        <f ca="1">VLOOKUP($D332,物料本月库存明細!$B:$J,9,0)</f>
        <v>#N/A</v>
      </c>
      <c r="K332" s="220"/>
    </row>
    <row r="333" customHeight="1" spans="1:11">
      <c r="A333" s="191"/>
      <c r="B333" s="189"/>
      <c r="C333" s="193"/>
      <c r="D333" s="192"/>
      <c r="E333" s="188" t="e">
        <f ca="1">VLOOKUP($D333,物料本月库存明細!$B:$J,2,0)</f>
        <v>#N/A</v>
      </c>
      <c r="F333" s="188" t="e">
        <f ca="1">VLOOKUP($D333,物料本月库存明細!$B:$J,5,0)</f>
        <v>#N/A</v>
      </c>
      <c r="G333" s="188"/>
      <c r="H333" s="191"/>
      <c r="I333" s="188"/>
      <c r="J333" s="188" t="e">
        <f ca="1">VLOOKUP($D333,物料本月库存明細!$B:$J,9,0)</f>
        <v>#N/A</v>
      </c>
      <c r="K333" s="220"/>
    </row>
    <row r="334" customHeight="1" spans="1:11">
      <c r="A334" s="191"/>
      <c r="B334" s="189"/>
      <c r="C334" s="193"/>
      <c r="D334" s="192"/>
      <c r="E334" s="188" t="e">
        <f ca="1">VLOOKUP($D334,物料本月库存明細!$B:$J,2,0)</f>
        <v>#N/A</v>
      </c>
      <c r="F334" s="188" t="e">
        <f ca="1">VLOOKUP($D334,物料本月库存明細!$B:$J,5,0)</f>
        <v>#N/A</v>
      </c>
      <c r="G334" s="188"/>
      <c r="H334" s="191"/>
      <c r="I334" s="188"/>
      <c r="J334" s="188" t="e">
        <f ca="1">VLOOKUP($D334,物料本月库存明細!$B:$J,9,0)</f>
        <v>#N/A</v>
      </c>
      <c r="K334" s="220"/>
    </row>
    <row r="335" customHeight="1" spans="1:11">
      <c r="A335" s="191"/>
      <c r="B335" s="189"/>
      <c r="C335" s="193"/>
      <c r="D335" s="197"/>
      <c r="E335" s="188" t="e">
        <f ca="1">VLOOKUP($D335,物料本月库存明細!$B:$J,2,0)</f>
        <v>#N/A</v>
      </c>
      <c r="F335" s="188" t="e">
        <f ca="1">VLOOKUP($D335,物料本月库存明細!$B:$J,5,0)</f>
        <v>#N/A</v>
      </c>
      <c r="G335" s="188"/>
      <c r="H335" s="191"/>
      <c r="I335" s="188"/>
      <c r="J335" s="188" t="e">
        <f ca="1">VLOOKUP($D335,物料本月库存明細!$B:$J,9,0)</f>
        <v>#N/A</v>
      </c>
      <c r="K335" s="220"/>
    </row>
    <row r="336" customHeight="1" spans="1:11">
      <c r="A336" s="191"/>
      <c r="B336" s="189"/>
      <c r="C336" s="193"/>
      <c r="D336" s="192"/>
      <c r="E336" s="188" t="e">
        <f ca="1">VLOOKUP($D336,物料本月库存明細!$B:$J,2,0)</f>
        <v>#N/A</v>
      </c>
      <c r="F336" s="188" t="e">
        <f ca="1">VLOOKUP($D336,物料本月库存明細!$B:$J,5,0)</f>
        <v>#N/A</v>
      </c>
      <c r="G336" s="188"/>
      <c r="H336" s="191"/>
      <c r="I336" s="188"/>
      <c r="J336" s="188" t="e">
        <f ca="1">VLOOKUP($D336,物料本月库存明細!$B:$J,9,0)</f>
        <v>#N/A</v>
      </c>
      <c r="K336" s="220"/>
    </row>
    <row r="337" customHeight="1" spans="1:11">
      <c r="A337" s="191"/>
      <c r="B337" s="189"/>
      <c r="C337" s="193"/>
      <c r="D337" s="195"/>
      <c r="E337" s="188" t="e">
        <f ca="1">VLOOKUP($D337,物料本月库存明細!$B:$J,2,0)</f>
        <v>#N/A</v>
      </c>
      <c r="F337" s="188" t="e">
        <f ca="1">VLOOKUP($D337,物料本月库存明細!$B:$J,5,0)</f>
        <v>#N/A</v>
      </c>
      <c r="G337" s="188"/>
      <c r="H337" s="191"/>
      <c r="I337" s="188"/>
      <c r="J337" s="188" t="e">
        <f ca="1">VLOOKUP($D337,物料本月库存明細!$B:$J,9,0)</f>
        <v>#N/A</v>
      </c>
      <c r="K337" s="220"/>
    </row>
    <row r="338" customHeight="1" spans="1:11">
      <c r="A338" s="191"/>
      <c r="B338" s="189"/>
      <c r="C338" s="193"/>
      <c r="D338" s="195"/>
      <c r="E338" s="188" t="e">
        <f ca="1">VLOOKUP($D338,物料本月库存明細!$B:$J,2,0)</f>
        <v>#N/A</v>
      </c>
      <c r="F338" s="188" t="e">
        <f ca="1">VLOOKUP($D338,物料本月库存明細!$B:$J,5,0)</f>
        <v>#N/A</v>
      </c>
      <c r="G338" s="188"/>
      <c r="H338" s="191"/>
      <c r="I338" s="188"/>
      <c r="J338" s="188" t="e">
        <f ca="1">VLOOKUP($D338,物料本月库存明細!$B:$J,9,0)</f>
        <v>#N/A</v>
      </c>
      <c r="K338" s="220"/>
    </row>
    <row r="339" customHeight="1" spans="1:11">
      <c r="A339" s="191"/>
      <c r="B339" s="189"/>
      <c r="C339" s="193"/>
      <c r="D339" s="196"/>
      <c r="E339" s="188" t="e">
        <f ca="1">VLOOKUP($D339,物料本月库存明細!$B:$J,2,0)</f>
        <v>#N/A</v>
      </c>
      <c r="F339" s="188" t="e">
        <f ca="1">VLOOKUP($D339,物料本月库存明細!$B:$J,5,0)</f>
        <v>#N/A</v>
      </c>
      <c r="G339" s="188"/>
      <c r="H339" s="191"/>
      <c r="I339" s="188"/>
      <c r="J339" s="188" t="e">
        <f ca="1">VLOOKUP($D339,物料本月库存明細!$B:$J,9,0)</f>
        <v>#N/A</v>
      </c>
      <c r="K339" s="220"/>
    </row>
    <row r="340" customHeight="1" spans="1:11">
      <c r="A340" s="191"/>
      <c r="B340" s="189"/>
      <c r="C340" s="193"/>
      <c r="D340" s="192"/>
      <c r="E340" s="188" t="e">
        <f ca="1">VLOOKUP($D340,物料本月库存明細!$B:$J,2,0)</f>
        <v>#N/A</v>
      </c>
      <c r="F340" s="188" t="e">
        <f ca="1">VLOOKUP($D340,物料本月库存明細!$B:$J,5,0)</f>
        <v>#N/A</v>
      </c>
      <c r="G340" s="188"/>
      <c r="H340" s="191"/>
      <c r="I340" s="188"/>
      <c r="J340" s="188" t="e">
        <f ca="1">VLOOKUP($D340,物料本月库存明細!$B:$J,9,0)</f>
        <v>#N/A</v>
      </c>
      <c r="K340" s="220"/>
    </row>
    <row r="341" customHeight="1" spans="1:11">
      <c r="A341" s="191"/>
      <c r="B341" s="189"/>
      <c r="C341" s="193"/>
      <c r="D341" s="196"/>
      <c r="E341" s="188" t="e">
        <f ca="1">VLOOKUP($D341,物料本月库存明細!$B:$J,2,0)</f>
        <v>#N/A</v>
      </c>
      <c r="F341" s="188" t="e">
        <f ca="1">VLOOKUP($D341,物料本月库存明細!$B:$J,5,0)</f>
        <v>#N/A</v>
      </c>
      <c r="G341" s="188"/>
      <c r="H341" s="191"/>
      <c r="I341" s="188"/>
      <c r="J341" s="188" t="e">
        <f ca="1">VLOOKUP($D341,物料本月库存明細!$B:$J,9,0)</f>
        <v>#N/A</v>
      </c>
      <c r="K341" s="220"/>
    </row>
    <row r="342" customHeight="1" spans="1:11">
      <c r="A342" s="191"/>
      <c r="B342" s="189"/>
      <c r="C342" s="193"/>
      <c r="D342" s="194"/>
      <c r="E342" s="188" t="e">
        <f ca="1">VLOOKUP($D342,物料本月库存明細!$B:$J,2,0)</f>
        <v>#N/A</v>
      </c>
      <c r="F342" s="188" t="e">
        <f ca="1">VLOOKUP($D342,物料本月库存明細!$B:$J,5,0)</f>
        <v>#N/A</v>
      </c>
      <c r="G342" s="188"/>
      <c r="H342" s="191"/>
      <c r="I342" s="188"/>
      <c r="J342" s="188" t="e">
        <f ca="1">VLOOKUP($D342,物料本月库存明細!$B:$J,9,0)</f>
        <v>#N/A</v>
      </c>
      <c r="K342" s="220"/>
    </row>
    <row r="343" customHeight="1" spans="1:11">
      <c r="A343" s="191"/>
      <c r="B343" s="189"/>
      <c r="C343" s="193"/>
      <c r="D343" s="196"/>
      <c r="E343" s="188" t="e">
        <f ca="1">VLOOKUP($D343,物料本月库存明細!$B:$J,2,0)</f>
        <v>#N/A</v>
      </c>
      <c r="F343" s="188" t="e">
        <f ca="1">VLOOKUP($D343,物料本月库存明細!$B:$J,5,0)</f>
        <v>#N/A</v>
      </c>
      <c r="G343" s="188"/>
      <c r="H343" s="191"/>
      <c r="I343" s="188"/>
      <c r="J343" s="188" t="e">
        <f ca="1">VLOOKUP($D343,物料本月库存明細!$B:$J,9,0)</f>
        <v>#N/A</v>
      </c>
      <c r="K343" s="220"/>
    </row>
    <row r="344" customHeight="1" spans="1:11">
      <c r="A344" s="191"/>
      <c r="B344" s="189"/>
      <c r="C344" s="193"/>
      <c r="D344" s="196"/>
      <c r="E344" s="188" t="e">
        <f ca="1">VLOOKUP($D344,物料本月库存明細!$B:$J,2,0)</f>
        <v>#N/A</v>
      </c>
      <c r="F344" s="188" t="e">
        <f ca="1">VLOOKUP($D344,物料本月库存明細!$B:$J,5,0)</f>
        <v>#N/A</v>
      </c>
      <c r="G344" s="188"/>
      <c r="H344" s="191"/>
      <c r="I344" s="188"/>
      <c r="J344" s="188" t="e">
        <f ca="1">VLOOKUP($D344,物料本月库存明細!$B:$J,9,0)</f>
        <v>#N/A</v>
      </c>
      <c r="K344" s="217"/>
    </row>
    <row r="345" customHeight="1" spans="1:11">
      <c r="A345" s="191"/>
      <c r="B345" s="189"/>
      <c r="C345" s="193"/>
      <c r="D345" s="196"/>
      <c r="E345" s="188" t="e">
        <f ca="1">VLOOKUP($D345,物料本月库存明細!$B:$J,2,0)</f>
        <v>#N/A</v>
      </c>
      <c r="F345" s="188" t="e">
        <f ca="1">VLOOKUP($D345,物料本月库存明細!$B:$J,5,0)</f>
        <v>#N/A</v>
      </c>
      <c r="G345" s="188"/>
      <c r="H345" s="191"/>
      <c r="I345" s="188"/>
      <c r="J345" s="188" t="e">
        <f ca="1">VLOOKUP($D345,物料本月库存明細!$B:$J,9,0)</f>
        <v>#N/A</v>
      </c>
      <c r="K345" s="217"/>
    </row>
    <row r="346" customHeight="1" spans="1:11">
      <c r="A346" s="191"/>
      <c r="B346" s="189"/>
      <c r="C346" s="193"/>
      <c r="D346" s="196"/>
      <c r="E346" s="188" t="e">
        <f ca="1">VLOOKUP($D346,物料本月库存明細!$B:$J,2,0)</f>
        <v>#N/A</v>
      </c>
      <c r="F346" s="188" t="e">
        <f ca="1">VLOOKUP($D346,物料本月库存明細!$B:$J,5,0)</f>
        <v>#N/A</v>
      </c>
      <c r="G346" s="188"/>
      <c r="H346" s="191"/>
      <c r="I346" s="188"/>
      <c r="J346" s="188" t="e">
        <f ca="1">VLOOKUP($D346,物料本月库存明細!$B:$J,9,0)</f>
        <v>#N/A</v>
      </c>
      <c r="K346" s="220"/>
    </row>
    <row r="347" customHeight="1" spans="1:11">
      <c r="A347" s="191"/>
      <c r="B347" s="189"/>
      <c r="C347" s="193"/>
      <c r="D347" s="196"/>
      <c r="E347" s="188" t="e">
        <f ca="1">VLOOKUP($D347,物料本月库存明細!$B:$J,2,0)</f>
        <v>#N/A</v>
      </c>
      <c r="F347" s="188" t="e">
        <f ca="1">VLOOKUP($D347,物料本月库存明細!$B:$J,5,0)</f>
        <v>#N/A</v>
      </c>
      <c r="G347" s="188"/>
      <c r="H347" s="191"/>
      <c r="I347" s="188"/>
      <c r="J347" s="188" t="e">
        <f ca="1">VLOOKUP($D347,物料本月库存明細!$B:$J,9,0)</f>
        <v>#N/A</v>
      </c>
      <c r="K347" s="217"/>
    </row>
    <row r="348" customHeight="1" spans="1:11">
      <c r="A348" s="191"/>
      <c r="B348" s="189"/>
      <c r="C348" s="193"/>
      <c r="D348" s="192"/>
      <c r="E348" s="188" t="e">
        <f ca="1">VLOOKUP($D348,物料本月库存明細!$B:$J,2,0)</f>
        <v>#N/A</v>
      </c>
      <c r="F348" s="188" t="e">
        <f ca="1">VLOOKUP($D348,物料本月库存明細!$B:$J,5,0)</f>
        <v>#N/A</v>
      </c>
      <c r="G348" s="188"/>
      <c r="H348" s="191"/>
      <c r="I348" s="188"/>
      <c r="J348" s="188" t="e">
        <f ca="1">VLOOKUP($D348,物料本月库存明細!$B:$J,9,0)</f>
        <v>#N/A</v>
      </c>
      <c r="K348" s="217"/>
    </row>
    <row r="349" customHeight="1" spans="1:11">
      <c r="A349" s="191"/>
      <c r="B349" s="189"/>
      <c r="C349" s="193"/>
      <c r="D349" s="204"/>
      <c r="E349" s="226" t="e">
        <f ca="1">VLOOKUP($D349,物料本月库存明細!$B:$J,2,0)</f>
        <v>#N/A</v>
      </c>
      <c r="F349" s="188" t="e">
        <f ca="1">VLOOKUP($D349,物料本月库存明細!$B:$J,5,0)</f>
        <v>#N/A</v>
      </c>
      <c r="G349" s="188"/>
      <c r="H349" s="191"/>
      <c r="I349" s="188"/>
      <c r="J349" s="188" t="e">
        <f ca="1">VLOOKUP($D349,物料本月库存明細!$B:$J,9,0)</f>
        <v>#N/A</v>
      </c>
      <c r="K349" s="217"/>
    </row>
    <row r="350" customHeight="1" spans="1:11">
      <c r="A350" s="191"/>
      <c r="B350" s="189"/>
      <c r="C350" s="193"/>
      <c r="D350" s="197"/>
      <c r="E350" s="188" t="e">
        <f ca="1">VLOOKUP($D350,物料本月库存明細!$B:$J,2,0)</f>
        <v>#N/A</v>
      </c>
      <c r="F350" s="188" t="e">
        <f ca="1">VLOOKUP($D350,物料本月库存明細!$B:$J,5,0)</f>
        <v>#N/A</v>
      </c>
      <c r="G350" s="188"/>
      <c r="H350" s="191"/>
      <c r="I350" s="188"/>
      <c r="J350" s="188" t="e">
        <f ca="1">VLOOKUP($D350,物料本月库存明細!$B:$J,9,0)</f>
        <v>#N/A</v>
      </c>
      <c r="K350" s="217"/>
    </row>
    <row r="351" customHeight="1" spans="1:11">
      <c r="A351" s="191"/>
      <c r="B351" s="189"/>
      <c r="C351" s="193"/>
      <c r="D351" s="196"/>
      <c r="E351" s="188" t="e">
        <f ca="1">VLOOKUP($D351,物料本月库存明細!$B:$J,2,0)</f>
        <v>#N/A</v>
      </c>
      <c r="F351" s="188" t="e">
        <f ca="1">VLOOKUP($D351,物料本月库存明細!$B:$J,5,0)</f>
        <v>#N/A</v>
      </c>
      <c r="G351" s="188"/>
      <c r="H351" s="191"/>
      <c r="I351" s="188"/>
      <c r="J351" s="188" t="e">
        <f ca="1">VLOOKUP($D351,物料本月库存明細!$B:$J,9,0)</f>
        <v>#N/A</v>
      </c>
      <c r="K351" s="217"/>
    </row>
    <row r="352" customHeight="1" spans="1:11">
      <c r="A352" s="191"/>
      <c r="B352" s="189"/>
      <c r="C352" s="193"/>
      <c r="D352" s="196"/>
      <c r="E352" s="188" t="e">
        <f ca="1">VLOOKUP($D352,物料本月库存明細!$B:$J,2,0)</f>
        <v>#N/A</v>
      </c>
      <c r="F352" s="188" t="e">
        <f ca="1">VLOOKUP($D352,物料本月库存明細!$B:$J,5,0)</f>
        <v>#N/A</v>
      </c>
      <c r="G352" s="188"/>
      <c r="H352" s="191"/>
      <c r="I352" s="188"/>
      <c r="J352" s="188" t="e">
        <f ca="1">VLOOKUP($D352,物料本月库存明細!$B:$J,9,0)</f>
        <v>#N/A</v>
      </c>
      <c r="K352" s="217"/>
    </row>
    <row r="353" customHeight="1" spans="1:11">
      <c r="A353" s="191"/>
      <c r="B353" s="189"/>
      <c r="C353" s="193"/>
      <c r="D353" s="197"/>
      <c r="E353" s="188" t="e">
        <f ca="1">VLOOKUP($D353,物料本月库存明細!$B:$J,2,0)</f>
        <v>#N/A</v>
      </c>
      <c r="F353" s="188" t="e">
        <f ca="1">VLOOKUP($D353,物料本月库存明細!$B:$J,5,0)</f>
        <v>#N/A</v>
      </c>
      <c r="G353" s="188"/>
      <c r="H353" s="191"/>
      <c r="I353" s="188"/>
      <c r="J353" s="188" t="e">
        <f ca="1">VLOOKUP($D353,物料本月库存明細!$B:$J,9,0)</f>
        <v>#N/A</v>
      </c>
      <c r="K353" s="217"/>
    </row>
    <row r="354" customHeight="1" spans="1:11">
      <c r="A354" s="191"/>
      <c r="B354" s="189"/>
      <c r="C354" s="193"/>
      <c r="D354" s="192"/>
      <c r="E354" s="188" t="e">
        <f ca="1">VLOOKUP($D354,物料本月库存明細!$B:$J,2,0)</f>
        <v>#N/A</v>
      </c>
      <c r="F354" s="188" t="e">
        <f ca="1">VLOOKUP($D354,物料本月库存明細!$B:$J,5,0)</f>
        <v>#N/A</v>
      </c>
      <c r="G354" s="188"/>
      <c r="H354" s="191"/>
      <c r="I354" s="188"/>
      <c r="J354" s="188" t="e">
        <f ca="1">VLOOKUP($D354,物料本月库存明細!$B:$J,9,0)</f>
        <v>#N/A</v>
      </c>
      <c r="K354" s="217"/>
    </row>
    <row r="355" customHeight="1" spans="1:11">
      <c r="A355" s="191"/>
      <c r="B355" s="189"/>
      <c r="C355" s="193"/>
      <c r="D355" s="192"/>
      <c r="E355" s="188" t="e">
        <f ca="1">VLOOKUP($D355,物料本月库存明細!$B:$J,2,0)</f>
        <v>#N/A</v>
      </c>
      <c r="F355" s="188" t="e">
        <f ca="1">VLOOKUP($D355,物料本月库存明細!$B:$J,5,0)</f>
        <v>#N/A</v>
      </c>
      <c r="G355" s="188"/>
      <c r="H355" s="191"/>
      <c r="I355" s="188"/>
      <c r="J355" s="188" t="e">
        <f ca="1">VLOOKUP($D355,物料本月库存明細!$B:$J,9,0)</f>
        <v>#N/A</v>
      </c>
      <c r="K355" s="220"/>
    </row>
    <row r="356" customHeight="1" spans="1:11">
      <c r="A356" s="191"/>
      <c r="B356" s="189"/>
      <c r="C356" s="193"/>
      <c r="D356" s="197"/>
      <c r="E356" s="188" t="e">
        <f ca="1">VLOOKUP($D356,物料本月库存明細!$B:$J,2,0)</f>
        <v>#N/A</v>
      </c>
      <c r="F356" s="188" t="e">
        <f ca="1">VLOOKUP($D356,物料本月库存明細!$B:$J,5,0)</f>
        <v>#N/A</v>
      </c>
      <c r="G356" s="188"/>
      <c r="H356" s="191"/>
      <c r="I356" s="188"/>
      <c r="J356" s="188" t="e">
        <f ca="1">VLOOKUP($D356,物料本月库存明細!$B:$J,9,0)</f>
        <v>#N/A</v>
      </c>
      <c r="K356" s="217"/>
    </row>
    <row r="357" customHeight="1" spans="1:11">
      <c r="A357" s="191"/>
      <c r="B357" s="189"/>
      <c r="C357" s="193"/>
      <c r="D357" s="204"/>
      <c r="E357" s="188" t="e">
        <f ca="1">VLOOKUP($D357,物料本月库存明細!$B:$J,2,0)</f>
        <v>#N/A</v>
      </c>
      <c r="F357" s="188" t="e">
        <f ca="1">VLOOKUP($D357,物料本月库存明細!$B:$J,5,0)</f>
        <v>#N/A</v>
      </c>
      <c r="G357" s="188"/>
      <c r="H357" s="191"/>
      <c r="I357" s="188"/>
      <c r="J357" s="188" t="e">
        <f ca="1">VLOOKUP($D357,物料本月库存明細!$B:$J,9,0)</f>
        <v>#N/A</v>
      </c>
      <c r="K357" s="217"/>
    </row>
    <row r="358" customHeight="1" spans="1:11">
      <c r="A358" s="191"/>
      <c r="B358" s="189"/>
      <c r="C358" s="193"/>
      <c r="D358" s="196"/>
      <c r="E358" s="188" t="e">
        <f ca="1">VLOOKUP($D358,物料本月库存明細!$B:$J,2,0)</f>
        <v>#N/A</v>
      </c>
      <c r="F358" s="188" t="e">
        <f ca="1">VLOOKUP($D358,物料本月库存明細!$B:$J,5,0)</f>
        <v>#N/A</v>
      </c>
      <c r="G358" s="188"/>
      <c r="H358" s="191"/>
      <c r="I358" s="188"/>
      <c r="J358" s="188" t="e">
        <f ca="1">VLOOKUP($D358,物料本月库存明細!$B:$J,9,0)</f>
        <v>#N/A</v>
      </c>
      <c r="K358" s="217"/>
    </row>
    <row r="359" customHeight="1" spans="1:11">
      <c r="A359" s="191"/>
      <c r="B359" s="189"/>
      <c r="C359" s="193"/>
      <c r="D359" s="196"/>
      <c r="E359" s="188" t="e">
        <f ca="1">VLOOKUP($D359,物料本月库存明細!$B:$J,2,0)</f>
        <v>#N/A</v>
      </c>
      <c r="F359" s="188" t="e">
        <f ca="1">VLOOKUP($D359,物料本月库存明細!$B:$J,5,0)</f>
        <v>#N/A</v>
      </c>
      <c r="G359" s="188"/>
      <c r="H359" s="191"/>
      <c r="I359" s="188"/>
      <c r="J359" s="188" t="e">
        <f ca="1">VLOOKUP($D359,物料本月库存明細!$B:$J,9,0)</f>
        <v>#N/A</v>
      </c>
      <c r="K359" s="217"/>
    </row>
    <row r="360" customHeight="1" spans="1:11">
      <c r="A360" s="191"/>
      <c r="B360" s="189"/>
      <c r="C360" s="193"/>
      <c r="D360" s="197"/>
      <c r="E360" s="188" t="e">
        <f ca="1">VLOOKUP($D360,物料本月库存明細!$B:$J,2,0)</f>
        <v>#N/A</v>
      </c>
      <c r="F360" s="188" t="e">
        <f ca="1">VLOOKUP($D360,物料本月库存明細!$B:$J,5,0)</f>
        <v>#N/A</v>
      </c>
      <c r="G360" s="188"/>
      <c r="H360" s="191"/>
      <c r="I360" s="188"/>
      <c r="J360" s="188" t="e">
        <f ca="1">VLOOKUP($D360,物料本月库存明細!$B:$J,9,0)</f>
        <v>#N/A</v>
      </c>
      <c r="K360" s="217"/>
    </row>
    <row r="361" customHeight="1" spans="1:11">
      <c r="A361" s="191"/>
      <c r="B361" s="189"/>
      <c r="C361" s="193"/>
      <c r="D361" s="192"/>
      <c r="E361" s="188" t="e">
        <f ca="1">VLOOKUP($D361,物料本月库存明細!$B:$J,2,0)</f>
        <v>#N/A</v>
      </c>
      <c r="F361" s="188" t="e">
        <f ca="1">VLOOKUP($D361,物料本月库存明細!$B:$J,5,0)</f>
        <v>#N/A</v>
      </c>
      <c r="G361" s="188"/>
      <c r="H361" s="191"/>
      <c r="I361" s="188"/>
      <c r="J361" s="188" t="e">
        <f ca="1">VLOOKUP($D361,物料本月库存明細!$B:$J,9,0)</f>
        <v>#N/A</v>
      </c>
      <c r="K361" s="217"/>
    </row>
    <row r="362" customHeight="1" spans="1:11">
      <c r="A362" s="191"/>
      <c r="B362" s="189"/>
      <c r="C362" s="193"/>
      <c r="D362" s="196"/>
      <c r="E362" s="188" t="e">
        <f ca="1">VLOOKUP($D362,物料本月库存明細!$B:$J,2,0)</f>
        <v>#N/A</v>
      </c>
      <c r="F362" s="188" t="e">
        <f ca="1">VLOOKUP($D362,物料本月库存明細!$B:$J,5,0)</f>
        <v>#N/A</v>
      </c>
      <c r="G362" s="188"/>
      <c r="H362" s="191"/>
      <c r="I362" s="188"/>
      <c r="J362" s="188" t="e">
        <f ca="1">VLOOKUP($D362,物料本月库存明細!$B:$J,9,0)</f>
        <v>#N/A</v>
      </c>
      <c r="K362" s="217"/>
    </row>
    <row r="363" customHeight="1" spans="1:11">
      <c r="A363" s="191"/>
      <c r="B363" s="189"/>
      <c r="C363" s="193"/>
      <c r="D363" s="196"/>
      <c r="E363" s="188" t="e">
        <f ca="1">VLOOKUP($D363,物料本月库存明細!$B:$J,2,0)</f>
        <v>#N/A</v>
      </c>
      <c r="F363" s="188" t="e">
        <f ca="1">VLOOKUP($D363,物料本月库存明細!$B:$J,5,0)</f>
        <v>#N/A</v>
      </c>
      <c r="G363" s="188"/>
      <c r="H363" s="191"/>
      <c r="I363" s="188"/>
      <c r="J363" s="188" t="e">
        <f ca="1">VLOOKUP($D363,物料本月库存明細!$B:$J,9,0)</f>
        <v>#N/A</v>
      </c>
      <c r="K363" s="217"/>
    </row>
    <row r="364" customHeight="1" spans="1:11">
      <c r="A364" s="191"/>
      <c r="B364" s="189"/>
      <c r="C364" s="193"/>
      <c r="D364" s="196"/>
      <c r="E364" s="188" t="e">
        <f ca="1">VLOOKUP($D364,物料本月库存明細!$B:$J,2,0)</f>
        <v>#N/A</v>
      </c>
      <c r="F364" s="188" t="e">
        <f ca="1">VLOOKUP($D364,物料本月库存明細!$B:$J,5,0)</f>
        <v>#N/A</v>
      </c>
      <c r="G364" s="188"/>
      <c r="H364" s="191"/>
      <c r="I364" s="188"/>
      <c r="J364" s="188" t="e">
        <f ca="1">VLOOKUP($D364,物料本月库存明細!$B:$J,9,0)</f>
        <v>#N/A</v>
      </c>
      <c r="K364" s="217"/>
    </row>
    <row r="365" customHeight="1" spans="1:11">
      <c r="A365" s="191"/>
      <c r="B365" s="189"/>
      <c r="C365" s="193"/>
      <c r="D365" s="194"/>
      <c r="E365" s="188" t="e">
        <f ca="1">VLOOKUP($D365,物料本月库存明細!$B:$J,2,0)</f>
        <v>#N/A</v>
      </c>
      <c r="F365" s="188" t="e">
        <f ca="1">VLOOKUP($D365,物料本月库存明細!$B:$J,5,0)</f>
        <v>#N/A</v>
      </c>
      <c r="G365" s="188"/>
      <c r="H365" s="191"/>
      <c r="I365" s="188"/>
      <c r="J365" s="188" t="e">
        <f ca="1">VLOOKUP($D365,物料本月库存明細!$B:$J,9,0)</f>
        <v>#N/A</v>
      </c>
      <c r="K365" s="217"/>
    </row>
    <row r="366" customHeight="1" spans="1:11">
      <c r="A366" s="191"/>
      <c r="B366" s="189"/>
      <c r="C366" s="193"/>
      <c r="D366" s="196"/>
      <c r="E366" s="188" t="e">
        <f ca="1">VLOOKUP($D366,物料本月库存明細!$B:$J,2,0)</f>
        <v>#N/A</v>
      </c>
      <c r="F366" s="188" t="e">
        <f ca="1">VLOOKUP($D366,物料本月库存明細!$B:$J,5,0)</f>
        <v>#N/A</v>
      </c>
      <c r="G366" s="188"/>
      <c r="H366" s="191"/>
      <c r="I366" s="188"/>
      <c r="J366" s="188" t="e">
        <f ca="1">VLOOKUP($D366,物料本月库存明細!$B:$J,9,0)</f>
        <v>#N/A</v>
      </c>
      <c r="K366" s="217"/>
    </row>
    <row r="367" customHeight="1" spans="1:11">
      <c r="A367" s="191"/>
      <c r="B367" s="189"/>
      <c r="C367" s="193"/>
      <c r="D367" s="192"/>
      <c r="E367" s="188" t="e">
        <f ca="1">VLOOKUP($D367,物料本月库存明細!$B:$J,2,0)</f>
        <v>#N/A</v>
      </c>
      <c r="F367" s="188" t="e">
        <f ca="1">VLOOKUP($D367,物料本月库存明細!$B:$J,5,0)</f>
        <v>#N/A</v>
      </c>
      <c r="G367" s="188"/>
      <c r="H367" s="191"/>
      <c r="I367" s="188"/>
      <c r="J367" s="188" t="e">
        <f ca="1">VLOOKUP($D367,物料本月库存明細!$B:$J,9,0)</f>
        <v>#N/A</v>
      </c>
      <c r="K367" s="220"/>
    </row>
    <row r="368" customHeight="1" spans="1:11">
      <c r="A368" s="191"/>
      <c r="B368" s="189"/>
      <c r="C368" s="193"/>
      <c r="D368" s="192"/>
      <c r="E368" s="188" t="e">
        <f ca="1">VLOOKUP($D368,物料本月库存明細!$B:$J,2,0)</f>
        <v>#N/A</v>
      </c>
      <c r="F368" s="188" t="e">
        <f ca="1">VLOOKUP($D368,物料本月库存明細!$B:$J,5,0)</f>
        <v>#N/A</v>
      </c>
      <c r="G368" s="188"/>
      <c r="H368" s="191"/>
      <c r="I368" s="188"/>
      <c r="J368" s="188" t="e">
        <f ca="1">VLOOKUP($D368,物料本月库存明細!$B:$J,9,0)</f>
        <v>#N/A</v>
      </c>
      <c r="K368" s="217"/>
    </row>
    <row r="369" customHeight="1" spans="1:11">
      <c r="A369" s="191"/>
      <c r="B369" s="189"/>
      <c r="C369" s="193"/>
      <c r="D369" s="192"/>
      <c r="E369" s="188" t="e">
        <f ca="1">VLOOKUP($D369,物料本月库存明細!$B:$J,2,0)</f>
        <v>#N/A</v>
      </c>
      <c r="F369" s="188" t="e">
        <f ca="1">VLOOKUP($D369,物料本月库存明細!$B:$J,5,0)</f>
        <v>#N/A</v>
      </c>
      <c r="G369" s="188"/>
      <c r="H369" s="191"/>
      <c r="I369" s="188"/>
      <c r="J369" s="188" t="e">
        <f ca="1">VLOOKUP($D369,物料本月库存明細!$B:$J,9,0)</f>
        <v>#N/A</v>
      </c>
      <c r="K369" s="217"/>
    </row>
    <row r="370" customHeight="1" spans="1:11">
      <c r="A370" s="191"/>
      <c r="B370" s="189"/>
      <c r="C370" s="193"/>
      <c r="D370" s="192"/>
      <c r="E370" s="188" t="e">
        <f ca="1">VLOOKUP($D370,物料本月库存明細!$B:$J,2,0)</f>
        <v>#N/A</v>
      </c>
      <c r="F370" s="188" t="e">
        <f ca="1">VLOOKUP($D370,物料本月库存明細!$B:$J,5,0)</f>
        <v>#N/A</v>
      </c>
      <c r="G370" s="188"/>
      <c r="H370" s="191"/>
      <c r="I370" s="188"/>
      <c r="J370" s="188" t="e">
        <f ca="1">VLOOKUP($D370,物料本月库存明細!$B:$J,9,0)</f>
        <v>#N/A</v>
      </c>
      <c r="K370" s="217"/>
    </row>
    <row r="371" customHeight="1" spans="1:11">
      <c r="A371" s="191"/>
      <c r="B371" s="189"/>
      <c r="C371" s="193"/>
      <c r="D371" s="196"/>
      <c r="E371" s="188" t="e">
        <f ca="1">VLOOKUP($D371,物料本月库存明細!$B:$J,2,0)</f>
        <v>#N/A</v>
      </c>
      <c r="F371" s="188" t="e">
        <f ca="1">VLOOKUP($D371,物料本月库存明細!$B:$J,5,0)</f>
        <v>#N/A</v>
      </c>
      <c r="G371" s="188"/>
      <c r="I371" s="188"/>
      <c r="J371" s="188" t="e">
        <f ca="1">VLOOKUP($D371,物料本月库存明細!$B:$J,9,0)</f>
        <v>#N/A</v>
      </c>
      <c r="K371" s="217"/>
    </row>
    <row r="372" customHeight="1" spans="1:11">
      <c r="A372" s="191"/>
      <c r="B372" s="189"/>
      <c r="C372" s="193"/>
      <c r="D372" s="196"/>
      <c r="E372" s="188" t="e">
        <f ca="1">VLOOKUP($D372,物料本月库存明細!$B:$J,2,0)</f>
        <v>#N/A</v>
      </c>
      <c r="F372" s="188" t="e">
        <f ca="1">VLOOKUP($D372,物料本月库存明細!$B:$J,5,0)</f>
        <v>#N/A</v>
      </c>
      <c r="G372" s="188"/>
      <c r="H372" s="191"/>
      <c r="I372" s="188"/>
      <c r="J372" s="188" t="e">
        <f ca="1">VLOOKUP($D372,物料本月库存明細!$B:$J,9,0)</f>
        <v>#N/A</v>
      </c>
      <c r="K372" s="217"/>
    </row>
    <row r="373" customHeight="1" spans="1:11">
      <c r="A373" s="191"/>
      <c r="B373" s="189"/>
      <c r="C373" s="193"/>
      <c r="D373" s="196"/>
      <c r="E373" s="188" t="e">
        <f ca="1">VLOOKUP($D373,物料本月库存明細!$B:$J,2,0)</f>
        <v>#N/A</v>
      </c>
      <c r="F373" s="188" t="e">
        <f ca="1">VLOOKUP($D373,物料本月库存明細!$B:$J,5,0)</f>
        <v>#N/A</v>
      </c>
      <c r="G373" s="188"/>
      <c r="H373" s="191"/>
      <c r="I373" s="188"/>
      <c r="J373" s="188" t="e">
        <f ca="1">VLOOKUP($D373,物料本月库存明細!$B:$J,9,0)</f>
        <v>#N/A</v>
      </c>
      <c r="K373" s="217"/>
    </row>
    <row r="374" customHeight="1" spans="1:11">
      <c r="A374" s="191"/>
      <c r="B374" s="189"/>
      <c r="C374" s="193"/>
      <c r="D374" s="201"/>
      <c r="E374" s="188" t="e">
        <f ca="1">VLOOKUP($D374,物料本月库存明細!$B:$J,2,0)</f>
        <v>#N/A</v>
      </c>
      <c r="F374" s="188" t="e">
        <f ca="1">VLOOKUP($D374,物料本月库存明細!$B:$J,5,0)</f>
        <v>#N/A</v>
      </c>
      <c r="G374" s="188"/>
      <c r="H374" s="191"/>
      <c r="I374" s="188"/>
      <c r="J374" s="188" t="e">
        <f ca="1">VLOOKUP($D374,物料本月库存明細!$B:$J,9,0)</f>
        <v>#N/A</v>
      </c>
      <c r="K374" s="217"/>
    </row>
    <row r="375" customHeight="1" spans="1:11">
      <c r="A375" s="191"/>
      <c r="B375" s="189"/>
      <c r="C375" s="193"/>
      <c r="D375" s="196"/>
      <c r="E375" s="188" t="e">
        <f ca="1">VLOOKUP($D375,物料本月库存明細!$B:$J,2,0)</f>
        <v>#N/A</v>
      </c>
      <c r="F375" s="188" t="e">
        <f ca="1">VLOOKUP($D375,物料本月库存明細!$B:$J,5,0)</f>
        <v>#N/A</v>
      </c>
      <c r="G375" s="188"/>
      <c r="H375" s="191"/>
      <c r="I375" s="188"/>
      <c r="J375" s="188" t="e">
        <f ca="1">VLOOKUP($D375,物料本月库存明細!$B:$J,9,0)</f>
        <v>#N/A</v>
      </c>
      <c r="K375" s="217"/>
    </row>
    <row r="376" customHeight="1" spans="1:11">
      <c r="A376" s="191"/>
      <c r="B376" s="189"/>
      <c r="C376" s="193"/>
      <c r="D376" s="196"/>
      <c r="E376" s="188" t="e">
        <f ca="1">VLOOKUP($D376,物料本月库存明細!$B:$J,2,0)</f>
        <v>#N/A</v>
      </c>
      <c r="F376" s="188" t="e">
        <f ca="1">VLOOKUP($D376,物料本月库存明細!$B:$J,5,0)</f>
        <v>#N/A</v>
      </c>
      <c r="G376" s="188"/>
      <c r="H376" s="191"/>
      <c r="I376" s="188"/>
      <c r="J376" s="188" t="e">
        <f ca="1">VLOOKUP($D376,物料本月库存明細!$B:$J,9,0)</f>
        <v>#N/A</v>
      </c>
      <c r="K376" s="217"/>
    </row>
    <row r="377" customHeight="1" spans="1:11">
      <c r="A377" s="191"/>
      <c r="B377" s="189"/>
      <c r="C377" s="193"/>
      <c r="D377" s="192"/>
      <c r="E377" s="188" t="e">
        <f ca="1">VLOOKUP($D377,物料本月库存明細!$B:$J,2,0)</f>
        <v>#N/A</v>
      </c>
      <c r="F377" s="188" t="e">
        <f ca="1">VLOOKUP($D377,物料本月库存明細!$B:$J,5,0)</f>
        <v>#N/A</v>
      </c>
      <c r="G377" s="188"/>
      <c r="H377" s="191"/>
      <c r="I377" s="188"/>
      <c r="J377" s="188" t="e">
        <f ca="1">VLOOKUP($D377,物料本月库存明細!$B:$J,9,0)</f>
        <v>#N/A</v>
      </c>
      <c r="K377" s="217"/>
    </row>
    <row r="378" customHeight="1" spans="1:11">
      <c r="A378" s="191"/>
      <c r="B378" s="189"/>
      <c r="C378" s="193"/>
      <c r="D378" s="192"/>
      <c r="E378" s="188" t="e">
        <f ca="1">VLOOKUP($D378,物料本月库存明細!$B:$J,2,0)</f>
        <v>#N/A</v>
      </c>
      <c r="F378" s="188" t="e">
        <f ca="1">VLOOKUP($D378,物料本月库存明細!$B:$J,5,0)</f>
        <v>#N/A</v>
      </c>
      <c r="G378" s="188"/>
      <c r="H378" s="191"/>
      <c r="I378" s="188"/>
      <c r="J378" s="188" t="e">
        <f ca="1">VLOOKUP($D378,物料本月库存明細!$B:$J,9,0)</f>
        <v>#N/A</v>
      </c>
      <c r="K378" s="217"/>
    </row>
    <row r="379" customHeight="1" spans="1:11">
      <c r="A379" s="191"/>
      <c r="B379" s="189"/>
      <c r="C379" s="193"/>
      <c r="D379" s="196"/>
      <c r="E379" s="188" t="e">
        <f ca="1">VLOOKUP($D379,物料本月库存明細!$B:$J,2,0)</f>
        <v>#N/A</v>
      </c>
      <c r="F379" s="188" t="e">
        <f ca="1">VLOOKUP($D379,物料本月库存明細!$B:$J,5,0)</f>
        <v>#N/A</v>
      </c>
      <c r="G379" s="188"/>
      <c r="H379" s="191"/>
      <c r="I379" s="188"/>
      <c r="J379" s="188" t="e">
        <f ca="1">VLOOKUP($D379,物料本月库存明細!$B:$J,9,0)</f>
        <v>#N/A</v>
      </c>
      <c r="K379" s="217"/>
    </row>
    <row r="380" customHeight="1" spans="1:11">
      <c r="A380" s="191"/>
      <c r="B380" s="189"/>
      <c r="C380" s="193"/>
      <c r="D380" s="196"/>
      <c r="E380" s="188" t="e">
        <f ca="1">VLOOKUP($D380,物料本月库存明細!$B:$J,2,0)</f>
        <v>#N/A</v>
      </c>
      <c r="F380" s="188" t="e">
        <f ca="1">VLOOKUP($D380,物料本月库存明細!$B:$J,5,0)</f>
        <v>#N/A</v>
      </c>
      <c r="G380" s="188"/>
      <c r="H380" s="191"/>
      <c r="I380" s="188"/>
      <c r="J380" s="188" t="e">
        <f ca="1">VLOOKUP($D380,物料本月库存明細!$B:$J,9,0)</f>
        <v>#N/A</v>
      </c>
      <c r="K380" s="217"/>
    </row>
    <row r="381" customHeight="1" spans="1:11">
      <c r="A381" s="191"/>
      <c r="B381" s="189"/>
      <c r="C381" s="193"/>
      <c r="D381" s="196"/>
      <c r="E381" s="188" t="e">
        <f ca="1">VLOOKUP($D381,物料本月库存明細!$B:$J,2,0)</f>
        <v>#N/A</v>
      </c>
      <c r="F381" s="188" t="e">
        <f ca="1">VLOOKUP($D381,物料本月库存明細!$B:$J,5,0)</f>
        <v>#N/A</v>
      </c>
      <c r="G381" s="188"/>
      <c r="H381" s="191"/>
      <c r="I381" s="188"/>
      <c r="J381" s="188" t="e">
        <f ca="1">VLOOKUP($D381,物料本月库存明細!$B:$J,9,0)</f>
        <v>#N/A</v>
      </c>
      <c r="K381" s="217"/>
    </row>
    <row r="382" customHeight="1" spans="1:11">
      <c r="A382" s="191"/>
      <c r="B382" s="189"/>
      <c r="C382" s="193"/>
      <c r="D382" s="192"/>
      <c r="E382" s="188" t="e">
        <f ca="1">VLOOKUP($D382,物料本月库存明細!$B:$J,2,0)</f>
        <v>#N/A</v>
      </c>
      <c r="F382" s="188" t="e">
        <f ca="1">VLOOKUP($D382,物料本月库存明細!$B:$J,5,0)</f>
        <v>#N/A</v>
      </c>
      <c r="G382" s="188"/>
      <c r="H382" s="191"/>
      <c r="I382" s="188"/>
      <c r="J382" s="188" t="e">
        <f ca="1">VLOOKUP($D382,物料本月库存明細!$B:$J,9,0)</f>
        <v>#N/A</v>
      </c>
      <c r="K382" s="217"/>
    </row>
    <row r="383" customHeight="1" spans="1:11">
      <c r="A383" s="191"/>
      <c r="B383" s="189"/>
      <c r="C383" s="193"/>
      <c r="D383" s="192"/>
      <c r="E383" s="188" t="e">
        <f ca="1">VLOOKUP($D383,物料本月库存明細!$B:$J,2,0)</f>
        <v>#N/A</v>
      </c>
      <c r="F383" s="188" t="e">
        <f ca="1">VLOOKUP($D383,物料本月库存明細!$B:$J,5,0)</f>
        <v>#N/A</v>
      </c>
      <c r="G383" s="188"/>
      <c r="H383" s="191"/>
      <c r="I383" s="188"/>
      <c r="J383" s="188" t="e">
        <f ca="1">VLOOKUP($D383,物料本月库存明細!$B:$J,9,0)</f>
        <v>#N/A</v>
      </c>
      <c r="K383" s="217"/>
    </row>
    <row r="384" customHeight="1" spans="1:11">
      <c r="A384" s="191"/>
      <c r="B384" s="189"/>
      <c r="C384" s="193"/>
      <c r="D384" s="196"/>
      <c r="E384" s="188" t="e">
        <f ca="1">VLOOKUP($D384,物料本月库存明細!$B:$J,2,0)</f>
        <v>#N/A</v>
      </c>
      <c r="F384" s="188" t="e">
        <f ca="1">VLOOKUP($D384,物料本月库存明細!$B:$J,5,0)</f>
        <v>#N/A</v>
      </c>
      <c r="G384" s="188"/>
      <c r="H384" s="191"/>
      <c r="I384" s="188"/>
      <c r="J384" s="188" t="e">
        <f ca="1">VLOOKUP($D384,物料本月库存明細!$B:$J,9,0)</f>
        <v>#N/A</v>
      </c>
      <c r="K384" s="217"/>
    </row>
    <row r="385" customHeight="1" spans="1:11">
      <c r="A385" s="191"/>
      <c r="B385" s="189"/>
      <c r="C385" s="193"/>
      <c r="D385" s="192"/>
      <c r="E385" s="188" t="e">
        <f ca="1">VLOOKUP($D385,物料本月库存明細!$B:$J,2,0)</f>
        <v>#N/A</v>
      </c>
      <c r="F385" s="188" t="e">
        <f ca="1">VLOOKUP($D385,物料本月库存明細!$B:$J,5,0)</f>
        <v>#N/A</v>
      </c>
      <c r="G385" s="188"/>
      <c r="H385" s="191"/>
      <c r="I385" s="188"/>
      <c r="J385" s="188" t="e">
        <f ca="1">VLOOKUP($D385,物料本月库存明細!$B:$J,9,0)</f>
        <v>#N/A</v>
      </c>
      <c r="K385" s="217"/>
    </row>
    <row r="386" customHeight="1" spans="1:11">
      <c r="A386" s="191"/>
      <c r="B386" s="189"/>
      <c r="C386" s="193"/>
      <c r="D386" s="192"/>
      <c r="E386" s="188" t="e">
        <f ca="1">VLOOKUP($D386,物料本月库存明細!$B:$J,2,0)</f>
        <v>#N/A</v>
      </c>
      <c r="F386" s="188" t="e">
        <f ca="1">VLOOKUP($D386,物料本月库存明細!$B:$J,5,0)</f>
        <v>#N/A</v>
      </c>
      <c r="G386" s="188"/>
      <c r="H386" s="191"/>
      <c r="I386" s="188"/>
      <c r="J386" s="188" t="e">
        <f ca="1">VLOOKUP($D386,物料本月库存明細!$B:$J,9,0)</f>
        <v>#N/A</v>
      </c>
      <c r="K386" s="217"/>
    </row>
    <row r="387" customHeight="1" spans="1:11">
      <c r="A387" s="191"/>
      <c r="B387" s="189"/>
      <c r="C387" s="193"/>
      <c r="D387" s="197"/>
      <c r="E387" s="188" t="e">
        <f ca="1">VLOOKUP($D387,物料本月库存明細!$B:$J,2,0)</f>
        <v>#N/A</v>
      </c>
      <c r="F387" s="188" t="e">
        <f ca="1">VLOOKUP($D387,物料本月库存明細!$B:$J,5,0)</f>
        <v>#N/A</v>
      </c>
      <c r="G387" s="188"/>
      <c r="H387" s="191"/>
      <c r="I387" s="188"/>
      <c r="J387" s="188" t="e">
        <f ca="1">VLOOKUP($D387,物料本月库存明細!$B:$J,9,0)</f>
        <v>#N/A</v>
      </c>
      <c r="K387" s="217"/>
    </row>
    <row r="388" customHeight="1" spans="1:11">
      <c r="A388" s="191"/>
      <c r="B388" s="189"/>
      <c r="C388" s="193"/>
      <c r="D388" s="192"/>
      <c r="E388" s="188" t="e">
        <f ca="1">VLOOKUP($D388,物料本月库存明細!$B:$J,2,0)</f>
        <v>#N/A</v>
      </c>
      <c r="F388" s="188" t="e">
        <f ca="1">VLOOKUP($D388,物料本月库存明細!$B:$J,5,0)</f>
        <v>#N/A</v>
      </c>
      <c r="G388" s="188"/>
      <c r="H388" s="191"/>
      <c r="I388" s="188"/>
      <c r="J388" s="188" t="e">
        <f ca="1">VLOOKUP($D388,物料本月库存明細!$B:$J,9,0)</f>
        <v>#N/A</v>
      </c>
      <c r="K388" s="217"/>
    </row>
    <row r="389" customHeight="1" spans="1:11">
      <c r="A389" s="191"/>
      <c r="B389" s="189"/>
      <c r="C389" s="193"/>
      <c r="D389" s="196"/>
      <c r="E389" s="188" t="e">
        <f ca="1">VLOOKUP($D389,物料本月库存明細!$B:$J,2,0)</f>
        <v>#N/A</v>
      </c>
      <c r="F389" s="188" t="e">
        <f ca="1">VLOOKUP($D389,物料本月库存明細!$B:$J,5,0)</f>
        <v>#N/A</v>
      </c>
      <c r="G389" s="188"/>
      <c r="H389" s="191"/>
      <c r="I389" s="188"/>
      <c r="J389" s="188" t="e">
        <f ca="1">VLOOKUP($D389,物料本月库存明細!$B:$J,9,0)</f>
        <v>#N/A</v>
      </c>
      <c r="K389" s="217"/>
    </row>
    <row r="390" customHeight="1" spans="1:11">
      <c r="A390" s="191"/>
      <c r="B390" s="189"/>
      <c r="C390" s="193"/>
      <c r="D390" s="197"/>
      <c r="E390" s="188" t="e">
        <f ca="1">VLOOKUP($D390,物料本月库存明細!$B:$J,2,0)</f>
        <v>#N/A</v>
      </c>
      <c r="F390" s="188" t="e">
        <f ca="1">VLOOKUP($D390,物料本月库存明細!$B:$J,5,0)</f>
        <v>#N/A</v>
      </c>
      <c r="G390" s="188"/>
      <c r="H390" s="191"/>
      <c r="I390" s="188"/>
      <c r="J390" s="188" t="e">
        <f ca="1">VLOOKUP($D390,物料本月库存明細!$B:$J,9,0)</f>
        <v>#N/A</v>
      </c>
      <c r="K390" s="217"/>
    </row>
    <row r="391" customHeight="1" spans="1:11">
      <c r="A391" s="191"/>
      <c r="B391" s="189"/>
      <c r="C391" s="193"/>
      <c r="D391" s="192"/>
      <c r="E391" s="188" t="e">
        <f ca="1">VLOOKUP($D391,物料本月库存明細!$B:$J,2,0)</f>
        <v>#N/A</v>
      </c>
      <c r="F391" s="188" t="e">
        <f ca="1">VLOOKUP($D391,物料本月库存明細!$B:$J,5,0)</f>
        <v>#N/A</v>
      </c>
      <c r="G391" s="188"/>
      <c r="H391" s="191"/>
      <c r="I391" s="188"/>
      <c r="J391" s="188" t="e">
        <f ca="1">VLOOKUP($D391,物料本月库存明細!$B:$J,9,0)</f>
        <v>#N/A</v>
      </c>
      <c r="K391" s="217"/>
    </row>
    <row r="392" customHeight="1" spans="1:11">
      <c r="A392" s="191"/>
      <c r="B392" s="189"/>
      <c r="C392" s="193"/>
      <c r="D392" s="192"/>
      <c r="E392" s="188" t="e">
        <f ca="1">VLOOKUP($D392,物料本月库存明細!$B:$J,2,0)</f>
        <v>#N/A</v>
      </c>
      <c r="F392" s="188" t="e">
        <f ca="1">VLOOKUP($D392,物料本月库存明細!$B:$J,5,0)</f>
        <v>#N/A</v>
      </c>
      <c r="G392" s="188"/>
      <c r="H392" s="191"/>
      <c r="I392" s="188"/>
      <c r="J392" s="188" t="e">
        <f ca="1">VLOOKUP($D392,物料本月库存明細!$B:$J,9,0)</f>
        <v>#N/A</v>
      </c>
      <c r="K392" s="217"/>
    </row>
    <row r="393" customHeight="1" spans="1:11">
      <c r="A393" s="191"/>
      <c r="B393" s="189"/>
      <c r="C393" s="193"/>
      <c r="D393" s="201"/>
      <c r="E393" s="188" t="e">
        <f ca="1">VLOOKUP($D393,物料本月库存明細!$B:$J,2,0)</f>
        <v>#N/A</v>
      </c>
      <c r="F393" s="188" t="e">
        <f ca="1">VLOOKUP($D393,物料本月库存明細!$B:$J,5,0)</f>
        <v>#N/A</v>
      </c>
      <c r="G393" s="188"/>
      <c r="H393" s="191"/>
      <c r="I393" s="188"/>
      <c r="J393" s="188" t="e">
        <f ca="1">VLOOKUP($D393,物料本月库存明細!$B:$J,9,0)</f>
        <v>#N/A</v>
      </c>
      <c r="K393" s="217"/>
    </row>
    <row r="394" customHeight="1" spans="1:11">
      <c r="A394" s="191"/>
      <c r="B394" s="189"/>
      <c r="C394" s="193"/>
      <c r="D394" s="201"/>
      <c r="E394" s="188" t="e">
        <f ca="1">VLOOKUP($D394,物料本月库存明細!$B:$J,2,0)</f>
        <v>#N/A</v>
      </c>
      <c r="F394" s="188" t="e">
        <f ca="1">VLOOKUP($D394,物料本月库存明細!$B:$J,5,0)</f>
        <v>#N/A</v>
      </c>
      <c r="G394" s="188"/>
      <c r="H394" s="191"/>
      <c r="I394" s="188"/>
      <c r="J394" s="188" t="e">
        <f ca="1">VLOOKUP($D394,物料本月库存明細!$B:$J,9,0)</f>
        <v>#N/A</v>
      </c>
      <c r="K394" s="217"/>
    </row>
    <row r="395" customHeight="1" spans="1:11">
      <c r="A395" s="191"/>
      <c r="B395" s="189"/>
      <c r="C395" s="193"/>
      <c r="D395" s="192"/>
      <c r="E395" s="188" t="e">
        <f ca="1">VLOOKUP($D395,物料本月库存明細!$B:$J,2,0)</f>
        <v>#N/A</v>
      </c>
      <c r="F395" s="188" t="e">
        <f ca="1">VLOOKUP($D395,物料本月库存明細!$B:$J,5,0)</f>
        <v>#N/A</v>
      </c>
      <c r="G395" s="188"/>
      <c r="H395" s="191"/>
      <c r="I395" s="188"/>
      <c r="J395" s="188" t="e">
        <f ca="1">VLOOKUP($D395,物料本月库存明細!$B:$J,9,0)</f>
        <v>#N/A</v>
      </c>
      <c r="K395" s="217"/>
    </row>
    <row r="396" customHeight="1" spans="1:11">
      <c r="A396" s="191"/>
      <c r="B396" s="189"/>
      <c r="C396" s="193"/>
      <c r="D396" s="192"/>
      <c r="E396" s="188" t="e">
        <f ca="1">VLOOKUP($D396,物料本月库存明細!$B:$J,2,0)</f>
        <v>#N/A</v>
      </c>
      <c r="F396" s="188" t="e">
        <f ca="1">VLOOKUP($D396,物料本月库存明細!$B:$J,5,0)</f>
        <v>#N/A</v>
      </c>
      <c r="G396" s="188"/>
      <c r="H396" s="191"/>
      <c r="I396" s="188"/>
      <c r="J396" s="188" t="e">
        <f ca="1">VLOOKUP($D396,物料本月库存明細!$B:$J,9,0)</f>
        <v>#N/A</v>
      </c>
      <c r="K396" s="217"/>
    </row>
    <row r="397" customHeight="1" spans="1:11">
      <c r="A397" s="191"/>
      <c r="B397" s="189"/>
      <c r="C397" s="193"/>
      <c r="D397" s="192"/>
      <c r="E397" s="188" t="e">
        <f ca="1">VLOOKUP($D397,物料本月库存明細!$B:$J,2,0)</f>
        <v>#N/A</v>
      </c>
      <c r="F397" s="188" t="e">
        <f ca="1">VLOOKUP($D397,物料本月库存明細!$B:$J,5,0)</f>
        <v>#N/A</v>
      </c>
      <c r="G397" s="188"/>
      <c r="H397" s="191"/>
      <c r="I397" s="188"/>
      <c r="J397" s="188" t="e">
        <f ca="1">VLOOKUP($D397,物料本月库存明細!$B:$J,9,0)</f>
        <v>#N/A</v>
      </c>
      <c r="K397" s="217"/>
    </row>
    <row r="398" customHeight="1" spans="1:11">
      <c r="A398" s="191"/>
      <c r="B398" s="189"/>
      <c r="C398" s="193"/>
      <c r="D398" s="196"/>
      <c r="E398" s="188" t="e">
        <f ca="1">VLOOKUP($D398,物料本月库存明細!$B:$J,2,0)</f>
        <v>#N/A</v>
      </c>
      <c r="F398" s="188" t="e">
        <f ca="1">VLOOKUP($D398,物料本月库存明細!$B:$J,5,0)</f>
        <v>#N/A</v>
      </c>
      <c r="G398" s="188"/>
      <c r="H398" s="191"/>
      <c r="I398" s="188"/>
      <c r="J398" s="188" t="e">
        <f ca="1">VLOOKUP($D398,物料本月库存明細!$B:$J,9,0)</f>
        <v>#N/A</v>
      </c>
      <c r="K398" s="217"/>
    </row>
    <row r="399" customHeight="1" spans="1:11">
      <c r="A399" s="191"/>
      <c r="B399" s="189"/>
      <c r="C399" s="193"/>
      <c r="D399" s="192"/>
      <c r="E399" s="188" t="e">
        <f ca="1">VLOOKUP($D399,物料本月库存明細!$B:$J,2,0)</f>
        <v>#N/A</v>
      </c>
      <c r="F399" s="188" t="e">
        <f ca="1">VLOOKUP($D399,物料本月库存明細!$B:$J,5,0)</f>
        <v>#N/A</v>
      </c>
      <c r="G399" s="188"/>
      <c r="H399" s="191"/>
      <c r="I399" s="188"/>
      <c r="J399" s="188" t="e">
        <f ca="1">VLOOKUP($D399,物料本月库存明細!$B:$J,9,0)</f>
        <v>#N/A</v>
      </c>
      <c r="K399" s="217"/>
    </row>
    <row r="400" customHeight="1" spans="1:11">
      <c r="A400" s="191"/>
      <c r="B400" s="189"/>
      <c r="C400" s="193"/>
      <c r="D400" s="196"/>
      <c r="E400" s="188" t="e">
        <f ca="1">VLOOKUP($D400,物料本月库存明細!$B:$J,2,0)</f>
        <v>#N/A</v>
      </c>
      <c r="F400" s="188" t="e">
        <f ca="1">VLOOKUP($D400,物料本月库存明細!$B:$J,5,0)</f>
        <v>#N/A</v>
      </c>
      <c r="G400" s="188"/>
      <c r="H400" s="191"/>
      <c r="I400" s="188"/>
      <c r="J400" s="188" t="e">
        <f ca="1">VLOOKUP($D400,物料本月库存明細!$B:$J,9,0)</f>
        <v>#N/A</v>
      </c>
      <c r="K400" s="217"/>
    </row>
    <row r="401" customHeight="1" spans="1:11">
      <c r="A401" s="191"/>
      <c r="B401" s="189"/>
      <c r="C401" s="193"/>
      <c r="D401" s="197"/>
      <c r="E401" s="188" t="e">
        <f ca="1">VLOOKUP($D401,物料本月库存明細!$B:$J,2,0)</f>
        <v>#N/A</v>
      </c>
      <c r="F401" s="188" t="e">
        <f ca="1">VLOOKUP($D401,物料本月库存明細!$B:$J,5,0)</f>
        <v>#N/A</v>
      </c>
      <c r="G401" s="188"/>
      <c r="H401" s="191"/>
      <c r="I401" s="188"/>
      <c r="J401" s="188" t="e">
        <f ca="1">VLOOKUP($D401,物料本月库存明細!$B:$J,9,0)</f>
        <v>#N/A</v>
      </c>
      <c r="K401" s="217"/>
    </row>
    <row r="402" customHeight="1" spans="1:11">
      <c r="A402" s="191"/>
      <c r="B402" s="189"/>
      <c r="C402" s="193"/>
      <c r="D402" s="196"/>
      <c r="E402" s="188" t="e">
        <f ca="1">VLOOKUP($D402,物料本月库存明細!$B:$J,2,0)</f>
        <v>#N/A</v>
      </c>
      <c r="F402" s="188" t="e">
        <f ca="1">VLOOKUP($D402,物料本月库存明細!$B:$J,5,0)</f>
        <v>#N/A</v>
      </c>
      <c r="G402" s="188"/>
      <c r="H402" s="191"/>
      <c r="I402" s="188"/>
      <c r="J402" s="188" t="e">
        <f ca="1">VLOOKUP($D402,物料本月库存明細!$B:$J,9,0)</f>
        <v>#N/A</v>
      </c>
      <c r="K402" s="217"/>
    </row>
    <row r="403" customHeight="1" spans="1:11">
      <c r="A403" s="191"/>
      <c r="B403" s="189"/>
      <c r="C403" s="193"/>
      <c r="D403" s="196"/>
      <c r="E403" s="188" t="e">
        <f ca="1">VLOOKUP($D403,物料本月库存明細!$B:$J,2,0)</f>
        <v>#N/A</v>
      </c>
      <c r="F403" s="188" t="e">
        <f ca="1">VLOOKUP($D403,物料本月库存明細!$B:$J,5,0)</f>
        <v>#N/A</v>
      </c>
      <c r="G403" s="188"/>
      <c r="H403" s="191"/>
      <c r="I403" s="188"/>
      <c r="J403" s="188" t="e">
        <f ca="1">VLOOKUP($D403,物料本月库存明細!$B:$J,9,0)</f>
        <v>#N/A</v>
      </c>
      <c r="K403" s="217"/>
    </row>
    <row r="404" customHeight="1" spans="1:11">
      <c r="A404" s="191"/>
      <c r="B404" s="189"/>
      <c r="C404" s="193"/>
      <c r="D404" s="201"/>
      <c r="E404" s="188" t="e">
        <f ca="1">VLOOKUP($D404,物料本月库存明細!$B:$J,2,0)</f>
        <v>#N/A</v>
      </c>
      <c r="F404" s="188" t="e">
        <f ca="1">VLOOKUP($D404,物料本月库存明細!$B:$J,5,0)</f>
        <v>#N/A</v>
      </c>
      <c r="G404" s="188"/>
      <c r="H404" s="191"/>
      <c r="I404" s="188"/>
      <c r="J404" s="188" t="e">
        <f ca="1">VLOOKUP($D404,物料本月库存明細!$B:$J,9,0)</f>
        <v>#N/A</v>
      </c>
      <c r="K404" s="217"/>
    </row>
    <row r="405" customHeight="1" spans="1:11">
      <c r="A405" s="191"/>
      <c r="B405" s="189"/>
      <c r="C405" s="193"/>
      <c r="D405" s="201"/>
      <c r="E405" s="188" t="e">
        <f ca="1">VLOOKUP($D405,物料本月库存明細!$B:$J,2,0)</f>
        <v>#N/A</v>
      </c>
      <c r="F405" s="188" t="e">
        <f ca="1">VLOOKUP($D405,物料本月库存明細!$B:$J,5,0)</f>
        <v>#N/A</v>
      </c>
      <c r="G405" s="188"/>
      <c r="H405" s="191"/>
      <c r="I405" s="188"/>
      <c r="J405" s="188" t="e">
        <f ca="1">VLOOKUP($D405,物料本月库存明細!$B:$J,9,0)</f>
        <v>#N/A</v>
      </c>
      <c r="K405" s="217"/>
    </row>
    <row r="406" customHeight="1" spans="1:11">
      <c r="A406" s="191"/>
      <c r="B406" s="189"/>
      <c r="C406" s="193"/>
      <c r="D406" s="192"/>
      <c r="E406" s="188" t="e">
        <f ca="1">VLOOKUP($D406,物料本月库存明細!$B:$J,2,0)</f>
        <v>#N/A</v>
      </c>
      <c r="F406" s="188" t="e">
        <f ca="1">VLOOKUP($D406,物料本月库存明細!$B:$J,5,0)</f>
        <v>#N/A</v>
      </c>
      <c r="G406" s="188"/>
      <c r="H406" s="191"/>
      <c r="I406" s="188"/>
      <c r="J406" s="188" t="e">
        <f ca="1">VLOOKUP($D406,物料本月库存明細!$B:$J,9,0)</f>
        <v>#N/A</v>
      </c>
      <c r="K406" s="217"/>
    </row>
    <row r="407" customHeight="1" spans="1:11">
      <c r="A407" s="191"/>
      <c r="B407" s="189"/>
      <c r="C407" s="193"/>
      <c r="D407" s="192"/>
      <c r="E407" s="188" t="e">
        <f ca="1">VLOOKUP($D407,物料本月库存明細!$B:$J,2,0)</f>
        <v>#N/A</v>
      </c>
      <c r="F407" s="188" t="e">
        <f ca="1">VLOOKUP($D407,物料本月库存明細!$B:$J,5,0)</f>
        <v>#N/A</v>
      </c>
      <c r="G407" s="188"/>
      <c r="H407" s="191"/>
      <c r="I407" s="188"/>
      <c r="J407" s="188" t="e">
        <f ca="1">VLOOKUP($D407,物料本月库存明細!$B:$J,9,0)</f>
        <v>#N/A</v>
      </c>
      <c r="K407" s="217"/>
    </row>
    <row r="408" customHeight="1" spans="1:11">
      <c r="A408" s="191"/>
      <c r="B408" s="189"/>
      <c r="C408" s="193"/>
      <c r="D408" s="201"/>
      <c r="E408" s="188" t="e">
        <f ca="1">VLOOKUP($D408,物料本月库存明細!$B:$J,2,0)</f>
        <v>#N/A</v>
      </c>
      <c r="F408" s="188" t="e">
        <f ca="1">VLOOKUP($D408,物料本月库存明細!$B:$J,5,0)</f>
        <v>#N/A</v>
      </c>
      <c r="G408" s="188"/>
      <c r="H408" s="191"/>
      <c r="I408" s="188"/>
      <c r="J408" s="188" t="e">
        <f ca="1">VLOOKUP($D408,物料本月库存明細!$B:$J,9,0)</f>
        <v>#N/A</v>
      </c>
      <c r="K408" s="217"/>
    </row>
    <row r="409" customHeight="1" spans="1:11">
      <c r="A409" s="191"/>
      <c r="B409" s="189"/>
      <c r="C409" s="193"/>
      <c r="D409" s="192"/>
      <c r="E409" s="188" t="e">
        <f ca="1">VLOOKUP($D409,物料本月库存明細!$B:$J,2,0)</f>
        <v>#N/A</v>
      </c>
      <c r="F409" s="188" t="e">
        <f ca="1">VLOOKUP($D409,物料本月库存明細!$B:$J,5,0)</f>
        <v>#N/A</v>
      </c>
      <c r="G409" s="188"/>
      <c r="H409" s="191"/>
      <c r="I409" s="188"/>
      <c r="J409" s="188" t="e">
        <f ca="1">VLOOKUP($D409,物料本月库存明細!$B:$J,9,0)</f>
        <v>#N/A</v>
      </c>
      <c r="K409" s="217"/>
    </row>
    <row r="410" customHeight="1" spans="1:11">
      <c r="A410" s="191"/>
      <c r="B410" s="189"/>
      <c r="C410" s="193"/>
      <c r="D410" s="201"/>
      <c r="E410" s="188" t="e">
        <f ca="1">VLOOKUP($D410,物料本月库存明細!$B:$J,2,0)</f>
        <v>#N/A</v>
      </c>
      <c r="F410" s="188" t="e">
        <f ca="1">VLOOKUP($D410,物料本月库存明細!$B:$J,5,0)</f>
        <v>#N/A</v>
      </c>
      <c r="G410" s="188"/>
      <c r="H410" s="191"/>
      <c r="I410" s="188"/>
      <c r="J410" s="188" t="e">
        <f ca="1">VLOOKUP($D410,物料本月库存明細!$B:$J,9,0)</f>
        <v>#N/A</v>
      </c>
      <c r="K410" s="217"/>
    </row>
    <row r="411" customHeight="1" spans="1:11">
      <c r="A411" s="175"/>
      <c r="B411" s="227"/>
      <c r="C411" s="175"/>
      <c r="D411" s="204"/>
      <c r="E411" s="188" t="e">
        <f ca="1">VLOOKUP($D411,物料本月库存明細!$B:$J,2,0)</f>
        <v>#N/A</v>
      </c>
      <c r="F411" s="188" t="e">
        <f ca="1">VLOOKUP($D411,物料本月库存明細!$B:$J,5,0)</f>
        <v>#N/A</v>
      </c>
      <c r="G411" s="188"/>
      <c r="H411" s="191"/>
      <c r="I411" s="188"/>
      <c r="J411" s="188" t="e">
        <f ca="1">VLOOKUP($D411,物料本月库存明細!$B:$J,9,0)</f>
        <v>#N/A</v>
      </c>
      <c r="K411" s="217"/>
    </row>
    <row r="412" customHeight="1" spans="1:11">
      <c r="A412" s="191"/>
      <c r="B412" s="219"/>
      <c r="C412" s="189"/>
      <c r="D412" s="196"/>
      <c r="E412" s="188" t="e">
        <f ca="1">VLOOKUP($D412,物料本月库存明細!$B:$J,2,0)</f>
        <v>#N/A</v>
      </c>
      <c r="F412" s="188" t="e">
        <f ca="1">VLOOKUP($D412,物料本月库存明細!$B:$J,5,0)</f>
        <v>#N/A</v>
      </c>
      <c r="G412" s="188"/>
      <c r="H412" s="191"/>
      <c r="I412" s="188"/>
      <c r="J412" s="188" t="e">
        <f ca="1">VLOOKUP($D412,物料本月库存明細!$B:$J,9,0)</f>
        <v>#N/A</v>
      </c>
      <c r="K412" s="217"/>
    </row>
    <row r="413" customHeight="1" spans="1:11">
      <c r="A413" s="191"/>
      <c r="B413" s="219"/>
      <c r="C413" s="193"/>
      <c r="D413" s="192"/>
      <c r="E413" s="188" t="e">
        <f ca="1">VLOOKUP($D413,物料本月库存明細!$B:$J,2,0)</f>
        <v>#N/A</v>
      </c>
      <c r="F413" s="188" t="e">
        <f ca="1">VLOOKUP($D413,物料本月库存明細!$B:$J,5,0)</f>
        <v>#N/A</v>
      </c>
      <c r="G413" s="188"/>
      <c r="H413" s="191"/>
      <c r="I413" s="188"/>
      <c r="J413" s="188" t="e">
        <f ca="1">VLOOKUP($D413,物料本月库存明細!$B:$J,9,0)</f>
        <v>#N/A</v>
      </c>
      <c r="K413" s="217"/>
    </row>
    <row r="414" customHeight="1" spans="1:11">
      <c r="A414" s="191"/>
      <c r="B414" s="219"/>
      <c r="C414" s="193"/>
      <c r="D414" s="192"/>
      <c r="E414" s="188" t="e">
        <f ca="1">VLOOKUP($D414,物料本月库存明細!$B:$J,2,0)</f>
        <v>#N/A</v>
      </c>
      <c r="F414" s="188" t="e">
        <f ca="1">VLOOKUP($D414,物料本月库存明細!$B:$J,5,0)</f>
        <v>#N/A</v>
      </c>
      <c r="G414" s="188"/>
      <c r="H414" s="191"/>
      <c r="I414" s="188"/>
      <c r="J414" s="188" t="e">
        <f ca="1">VLOOKUP($D414,物料本月库存明細!$B:$J,9,0)</f>
        <v>#N/A</v>
      </c>
      <c r="K414" s="217"/>
    </row>
    <row r="415" customHeight="1" spans="1:11">
      <c r="A415" s="191"/>
      <c r="B415" s="219"/>
      <c r="C415" s="193"/>
      <c r="D415" s="197"/>
      <c r="E415" s="188" t="e">
        <f ca="1">VLOOKUP($D415,物料本月库存明細!$B:$J,2,0)</f>
        <v>#N/A</v>
      </c>
      <c r="F415" s="188" t="e">
        <f ca="1">VLOOKUP($D415,物料本月库存明細!$B:$J,5,0)</f>
        <v>#N/A</v>
      </c>
      <c r="G415" s="188"/>
      <c r="H415" s="191"/>
      <c r="I415" s="188"/>
      <c r="J415" s="188" t="e">
        <f ca="1">VLOOKUP($D415,物料本月库存明細!$B:$J,9,0)</f>
        <v>#N/A</v>
      </c>
      <c r="K415" s="217"/>
    </row>
    <row r="416" customHeight="1" spans="1:11">
      <c r="A416" s="191"/>
      <c r="B416" s="219"/>
      <c r="C416" s="193"/>
      <c r="D416" s="192"/>
      <c r="E416" s="188" t="e">
        <f ca="1">VLOOKUP($D416,物料本月库存明細!$B:$J,2,0)</f>
        <v>#N/A</v>
      </c>
      <c r="F416" s="188" t="e">
        <f ca="1">VLOOKUP($D416,物料本月库存明細!$B:$J,5,0)</f>
        <v>#N/A</v>
      </c>
      <c r="G416" s="188"/>
      <c r="H416" s="191"/>
      <c r="I416" s="188"/>
      <c r="J416" s="188" t="e">
        <f ca="1">VLOOKUP($D416,物料本月库存明細!$B:$J,9,0)</f>
        <v>#N/A</v>
      </c>
      <c r="K416" s="217"/>
    </row>
    <row r="417" customHeight="1" spans="1:11">
      <c r="A417" s="191"/>
      <c r="B417" s="219"/>
      <c r="C417" s="193"/>
      <c r="D417" s="192"/>
      <c r="E417" s="188" t="e">
        <f ca="1">VLOOKUP($D417,物料本月库存明細!$B:$J,2,0)</f>
        <v>#N/A</v>
      </c>
      <c r="F417" s="188" t="e">
        <f ca="1">VLOOKUP($D417,物料本月库存明細!$B:$J,5,0)</f>
        <v>#N/A</v>
      </c>
      <c r="G417" s="188"/>
      <c r="H417" s="191"/>
      <c r="I417" s="188"/>
      <c r="J417" s="188" t="e">
        <f ca="1">VLOOKUP($D417,物料本月库存明細!$B:$J,9,0)</f>
        <v>#N/A</v>
      </c>
      <c r="K417" s="217"/>
    </row>
    <row r="418" customHeight="1" spans="1:11">
      <c r="A418" s="191"/>
      <c r="B418" s="219"/>
      <c r="C418" s="193"/>
      <c r="D418" s="192"/>
      <c r="E418" s="188" t="e">
        <f ca="1">VLOOKUP($D418,物料本月库存明細!$B:$J,2,0)</f>
        <v>#N/A</v>
      </c>
      <c r="F418" s="188" t="e">
        <f ca="1">VLOOKUP($D418,物料本月库存明細!$B:$J,5,0)</f>
        <v>#N/A</v>
      </c>
      <c r="G418" s="188"/>
      <c r="H418" s="191"/>
      <c r="I418" s="188"/>
      <c r="J418" s="188" t="e">
        <f ca="1">VLOOKUP($D418,物料本月库存明細!$B:$J,9,0)</f>
        <v>#N/A</v>
      </c>
      <c r="K418" s="217"/>
    </row>
    <row r="419" customHeight="1" spans="1:11">
      <c r="A419" s="191"/>
      <c r="B419" s="219"/>
      <c r="C419" s="193"/>
      <c r="D419" s="192"/>
      <c r="E419" s="188" t="e">
        <f ca="1">VLOOKUP($D419,物料本月库存明細!$B:$J,2,0)</f>
        <v>#N/A</v>
      </c>
      <c r="F419" s="188" t="e">
        <f ca="1">VLOOKUP($D419,物料本月库存明細!$B:$J,5,0)</f>
        <v>#N/A</v>
      </c>
      <c r="G419" s="188"/>
      <c r="H419" s="191"/>
      <c r="I419" s="188"/>
      <c r="J419" s="188" t="e">
        <f ca="1">VLOOKUP($D419,物料本月库存明細!$B:$J,9,0)</f>
        <v>#N/A</v>
      </c>
      <c r="K419" s="217"/>
    </row>
    <row r="420" customHeight="1" spans="1:11">
      <c r="A420" s="191"/>
      <c r="B420" s="219"/>
      <c r="C420" s="193"/>
      <c r="D420" s="192"/>
      <c r="E420" s="188" t="e">
        <f ca="1">VLOOKUP($D420,物料本月库存明細!$B:$J,2,0)</f>
        <v>#N/A</v>
      </c>
      <c r="F420" s="188" t="e">
        <f ca="1">VLOOKUP($D420,物料本月库存明細!$B:$J,5,0)</f>
        <v>#N/A</v>
      </c>
      <c r="G420" s="188"/>
      <c r="H420" s="191"/>
      <c r="I420" s="188"/>
      <c r="J420" s="188" t="e">
        <f ca="1">VLOOKUP($D420,物料本月库存明細!$B:$J,9,0)</f>
        <v>#N/A</v>
      </c>
      <c r="K420" s="217"/>
    </row>
    <row r="421" customHeight="1" spans="1:11">
      <c r="A421" s="191"/>
      <c r="B421" s="189"/>
      <c r="C421" s="193"/>
      <c r="D421" s="196"/>
      <c r="E421" s="188" t="e">
        <f ca="1">VLOOKUP($D421,物料本月库存明細!$B:$J,2,0)</f>
        <v>#N/A</v>
      </c>
      <c r="F421" s="188" t="e">
        <f ca="1">VLOOKUP($D421,物料本月库存明細!$B:$J,5,0)</f>
        <v>#N/A</v>
      </c>
      <c r="G421" s="188"/>
      <c r="H421" s="191"/>
      <c r="I421" s="188"/>
      <c r="J421" s="188" t="e">
        <f ca="1">VLOOKUP($D421,物料本月库存明細!$B:$J,9,0)</f>
        <v>#N/A</v>
      </c>
      <c r="K421" s="217"/>
    </row>
    <row r="422" customHeight="1" spans="1:11">
      <c r="A422" s="191"/>
      <c r="B422" s="189"/>
      <c r="C422" s="193"/>
      <c r="D422" s="196"/>
      <c r="E422" s="188" t="e">
        <f ca="1">VLOOKUP($D422,物料本月库存明細!$B:$J,2,0)</f>
        <v>#N/A</v>
      </c>
      <c r="F422" s="188" t="e">
        <f ca="1">VLOOKUP($D422,物料本月库存明細!$B:$J,5,0)</f>
        <v>#N/A</v>
      </c>
      <c r="G422" s="188"/>
      <c r="H422" s="191"/>
      <c r="I422" s="188"/>
      <c r="J422" s="188" t="e">
        <f ca="1">VLOOKUP($D422,物料本月库存明細!$B:$J,9,0)</f>
        <v>#N/A</v>
      </c>
      <c r="K422" s="217"/>
    </row>
    <row r="423" customHeight="1" spans="1:11">
      <c r="A423" s="191"/>
      <c r="B423" s="189"/>
      <c r="C423" s="193"/>
      <c r="D423" s="192"/>
      <c r="E423" s="188" t="e">
        <f ca="1">VLOOKUP($D423,物料本月库存明細!$B:$J,2,0)</f>
        <v>#N/A</v>
      </c>
      <c r="F423" s="188" t="e">
        <f ca="1">VLOOKUP($D423,物料本月库存明細!$B:$J,5,0)</f>
        <v>#N/A</v>
      </c>
      <c r="G423" s="188"/>
      <c r="H423" s="191"/>
      <c r="I423" s="188"/>
      <c r="J423" s="188" t="e">
        <f ca="1">VLOOKUP($D423,物料本月库存明細!$B:$J,9,0)</f>
        <v>#N/A</v>
      </c>
      <c r="K423" s="217"/>
    </row>
    <row r="424" customHeight="1" spans="1:11">
      <c r="A424" s="191"/>
      <c r="B424" s="189"/>
      <c r="C424" s="193"/>
      <c r="D424" s="204"/>
      <c r="E424" s="188" t="e">
        <f ca="1">VLOOKUP($D424,物料本月库存明細!$B:$J,2,0)</f>
        <v>#N/A</v>
      </c>
      <c r="F424" s="188" t="e">
        <f ca="1">VLOOKUP($D424,物料本月库存明細!$B:$J,5,0)</f>
        <v>#N/A</v>
      </c>
      <c r="G424" s="188"/>
      <c r="H424" s="191"/>
      <c r="I424" s="188"/>
      <c r="J424" s="188" t="e">
        <f ca="1">VLOOKUP($D424,物料本月库存明細!$B:$J,9,0)</f>
        <v>#N/A</v>
      </c>
      <c r="K424" s="217"/>
    </row>
    <row r="425" customHeight="1" spans="1:11">
      <c r="A425" s="191"/>
      <c r="B425" s="189"/>
      <c r="C425" s="193"/>
      <c r="D425" s="192"/>
      <c r="E425" s="188" t="e">
        <f ca="1">VLOOKUP($D425,物料本月库存明細!$B:$J,2,0)</f>
        <v>#N/A</v>
      </c>
      <c r="F425" s="188" t="e">
        <f ca="1">VLOOKUP($D425,物料本月库存明細!$B:$J,5,0)</f>
        <v>#N/A</v>
      </c>
      <c r="G425" s="188"/>
      <c r="H425" s="191"/>
      <c r="I425" s="188"/>
      <c r="J425" s="188" t="e">
        <f ca="1">VLOOKUP($D425,物料本月库存明細!$B:$J,9,0)</f>
        <v>#N/A</v>
      </c>
      <c r="K425" s="217"/>
    </row>
    <row r="426" customHeight="1" spans="1:11">
      <c r="A426" s="191"/>
      <c r="B426" s="189"/>
      <c r="C426" s="193"/>
      <c r="D426" s="194"/>
      <c r="E426" s="188" t="e">
        <f ca="1">VLOOKUP($D426,物料本月库存明細!$B:$J,2,0)</f>
        <v>#N/A</v>
      </c>
      <c r="F426" s="188" t="e">
        <f ca="1">VLOOKUP($D426,物料本月库存明細!$B:$J,5,0)</f>
        <v>#N/A</v>
      </c>
      <c r="G426" s="188"/>
      <c r="H426" s="191"/>
      <c r="I426" s="188"/>
      <c r="J426" s="188" t="e">
        <f ca="1">VLOOKUP($D426,物料本月库存明細!$B:$J,9,0)</f>
        <v>#N/A</v>
      </c>
      <c r="K426" s="217"/>
    </row>
    <row r="427" customHeight="1" spans="1:11">
      <c r="A427" s="191"/>
      <c r="B427" s="189"/>
      <c r="C427" s="193"/>
      <c r="D427" s="196"/>
      <c r="E427" s="188" t="e">
        <f ca="1">VLOOKUP($D427,物料本月库存明細!$B:$J,2,0)</f>
        <v>#N/A</v>
      </c>
      <c r="F427" s="188" t="e">
        <f ca="1">VLOOKUP($D427,物料本月库存明細!$B:$J,5,0)</f>
        <v>#N/A</v>
      </c>
      <c r="G427" s="188"/>
      <c r="H427" s="191"/>
      <c r="I427" s="188"/>
      <c r="J427" s="188" t="e">
        <f ca="1">VLOOKUP($D427,物料本月库存明細!$B:$J,9,0)</f>
        <v>#N/A</v>
      </c>
      <c r="K427" s="217"/>
    </row>
    <row r="428" customHeight="1" spans="1:11">
      <c r="A428" s="191"/>
      <c r="B428" s="189"/>
      <c r="C428" s="193"/>
      <c r="D428" s="196"/>
      <c r="E428" s="188" t="e">
        <f ca="1">VLOOKUP($D428,物料本月库存明細!$B:$J,2,0)</f>
        <v>#N/A</v>
      </c>
      <c r="F428" s="188" t="e">
        <f ca="1">VLOOKUP($D428,物料本月库存明細!$B:$J,5,0)</f>
        <v>#N/A</v>
      </c>
      <c r="G428" s="188"/>
      <c r="H428" s="191"/>
      <c r="I428" s="188"/>
      <c r="J428" s="188" t="e">
        <f ca="1">VLOOKUP($D428,物料本月库存明細!$B:$J,9,0)</f>
        <v>#N/A</v>
      </c>
      <c r="K428" s="217"/>
    </row>
    <row r="429" customHeight="1" spans="1:11">
      <c r="A429" s="191"/>
      <c r="B429" s="189"/>
      <c r="C429" s="193"/>
      <c r="D429" s="201"/>
      <c r="E429" s="188" t="e">
        <f ca="1">VLOOKUP($D429,物料本月库存明細!$B:$J,2,0)</f>
        <v>#N/A</v>
      </c>
      <c r="F429" s="188" t="e">
        <f ca="1">VLOOKUP($D429,物料本月库存明細!$B:$J,5,0)</f>
        <v>#N/A</v>
      </c>
      <c r="G429" s="188"/>
      <c r="H429" s="191"/>
      <c r="I429" s="188"/>
      <c r="J429" s="188" t="e">
        <f ca="1">VLOOKUP($D429,物料本月库存明細!$B:$J,9,0)</f>
        <v>#N/A</v>
      </c>
      <c r="K429" s="217"/>
    </row>
    <row r="430" customHeight="1" spans="1:11">
      <c r="A430" s="191"/>
      <c r="B430" s="189"/>
      <c r="C430" s="193"/>
      <c r="D430" s="192"/>
      <c r="E430" s="188" t="e">
        <f ca="1">VLOOKUP($D430,物料本月库存明細!$B:$J,2,0)</f>
        <v>#N/A</v>
      </c>
      <c r="F430" s="188" t="e">
        <f ca="1">VLOOKUP($D430,物料本月库存明細!$B:$J,5,0)</f>
        <v>#N/A</v>
      </c>
      <c r="G430" s="188"/>
      <c r="H430" s="191"/>
      <c r="I430" s="188"/>
      <c r="J430" s="188" t="e">
        <f ca="1">VLOOKUP($D430,物料本月库存明細!$B:$J,9,0)</f>
        <v>#N/A</v>
      </c>
      <c r="K430" s="217"/>
    </row>
    <row r="431" customHeight="1" spans="1:11">
      <c r="A431" s="191"/>
      <c r="B431" s="189"/>
      <c r="C431" s="193"/>
      <c r="D431" s="192"/>
      <c r="E431" s="188" t="e">
        <f ca="1">VLOOKUP($D431,物料本月库存明細!$B:$J,2,0)</f>
        <v>#N/A</v>
      </c>
      <c r="F431" s="188" t="e">
        <f ca="1">VLOOKUP($D431,物料本月库存明細!$B:$J,5,0)</f>
        <v>#N/A</v>
      </c>
      <c r="G431" s="188"/>
      <c r="H431" s="191"/>
      <c r="I431" s="188"/>
      <c r="J431" s="188" t="e">
        <f ca="1">VLOOKUP($D431,物料本月库存明細!$B:$J,9,0)</f>
        <v>#N/A</v>
      </c>
      <c r="K431" s="217"/>
    </row>
    <row r="432" customHeight="1" spans="1:11">
      <c r="A432" s="191"/>
      <c r="B432" s="189"/>
      <c r="C432" s="193"/>
      <c r="D432" s="192"/>
      <c r="E432" s="188" t="e">
        <f ca="1">VLOOKUP($D432,物料本月库存明細!$B:$J,2,0)</f>
        <v>#N/A</v>
      </c>
      <c r="F432" s="188" t="e">
        <f ca="1">VLOOKUP($D432,物料本月库存明細!$B:$J,5,0)</f>
        <v>#N/A</v>
      </c>
      <c r="G432" s="188"/>
      <c r="H432" s="191"/>
      <c r="I432" s="188"/>
      <c r="J432" s="188" t="e">
        <f ca="1">VLOOKUP($D432,物料本月库存明細!$B:$J,9,0)</f>
        <v>#N/A</v>
      </c>
      <c r="K432" s="217"/>
    </row>
    <row r="433" customHeight="1" spans="1:11">
      <c r="A433" s="191"/>
      <c r="B433" s="189"/>
      <c r="C433" s="193"/>
      <c r="D433" s="192"/>
      <c r="E433" s="188" t="e">
        <f ca="1">VLOOKUP($D433,物料本月库存明細!$B:$J,2,0)</f>
        <v>#N/A</v>
      </c>
      <c r="F433" s="188" t="e">
        <f ca="1">VLOOKUP($D433,物料本月库存明細!$B:$J,5,0)</f>
        <v>#N/A</v>
      </c>
      <c r="G433" s="188"/>
      <c r="H433" s="191"/>
      <c r="I433" s="188"/>
      <c r="J433" s="188" t="e">
        <f ca="1">VLOOKUP($D433,物料本月库存明細!$B:$J,9,0)</f>
        <v>#N/A</v>
      </c>
      <c r="K433" s="217"/>
    </row>
    <row r="434" customHeight="1" spans="1:11">
      <c r="A434" s="191"/>
      <c r="B434" s="189"/>
      <c r="C434" s="193"/>
      <c r="D434" s="201"/>
      <c r="E434" s="188" t="e">
        <f ca="1">VLOOKUP($D434,物料本月库存明細!$B:$J,2,0)</f>
        <v>#N/A</v>
      </c>
      <c r="F434" s="188" t="e">
        <f ca="1">VLOOKUP($D434,物料本月库存明細!$B:$J,5,0)</f>
        <v>#N/A</v>
      </c>
      <c r="G434" s="188"/>
      <c r="H434" s="191"/>
      <c r="I434" s="188"/>
      <c r="J434" s="188" t="e">
        <f ca="1">VLOOKUP($D434,物料本月库存明細!$B:$J,9,0)</f>
        <v>#N/A</v>
      </c>
      <c r="K434" s="217"/>
    </row>
    <row r="435" customHeight="1" spans="1:11">
      <c r="A435" s="191"/>
      <c r="B435" s="189"/>
      <c r="C435" s="193"/>
      <c r="D435" s="192"/>
      <c r="E435" s="188" t="e">
        <f ca="1">VLOOKUP($D435,物料本月库存明細!$B:$J,2,0)</f>
        <v>#N/A</v>
      </c>
      <c r="F435" s="188" t="e">
        <f ca="1">VLOOKUP($D435,物料本月库存明細!$B:$J,5,0)</f>
        <v>#N/A</v>
      </c>
      <c r="G435" s="188"/>
      <c r="H435" s="191"/>
      <c r="I435" s="188"/>
      <c r="J435" s="188" t="e">
        <f ca="1">VLOOKUP($D435,物料本月库存明細!$B:$J,9,0)</f>
        <v>#N/A</v>
      </c>
      <c r="K435" s="217"/>
    </row>
    <row r="436" customHeight="1" spans="1:11">
      <c r="A436" s="191"/>
      <c r="B436" s="189"/>
      <c r="C436" s="193"/>
      <c r="D436" s="196"/>
      <c r="E436" s="188" t="e">
        <f ca="1">VLOOKUP($D436,物料本月库存明細!$B:$J,2,0)</f>
        <v>#N/A</v>
      </c>
      <c r="F436" s="188" t="e">
        <f ca="1">VLOOKUP($D436,物料本月库存明細!$B:$J,5,0)</f>
        <v>#N/A</v>
      </c>
      <c r="G436" s="188"/>
      <c r="H436" s="191"/>
      <c r="I436" s="188"/>
      <c r="J436" s="188" t="e">
        <f ca="1">VLOOKUP($D436,物料本月库存明細!$B:$J,9,0)</f>
        <v>#N/A</v>
      </c>
      <c r="K436" s="217"/>
    </row>
    <row r="437" customHeight="1" spans="1:11">
      <c r="A437" s="191"/>
      <c r="B437" s="189"/>
      <c r="C437" s="193"/>
      <c r="D437" s="196"/>
      <c r="E437" s="188" t="e">
        <f ca="1">VLOOKUP($D437,物料本月库存明細!$B:$J,2,0)</f>
        <v>#N/A</v>
      </c>
      <c r="F437" s="188" t="e">
        <f ca="1">VLOOKUP($D437,物料本月库存明細!$B:$J,5,0)</f>
        <v>#N/A</v>
      </c>
      <c r="G437" s="188"/>
      <c r="H437" s="191"/>
      <c r="I437" s="188"/>
      <c r="J437" s="188" t="e">
        <f ca="1">VLOOKUP($D437,物料本月库存明細!$B:$J,9,0)</f>
        <v>#N/A</v>
      </c>
      <c r="K437" s="217"/>
    </row>
    <row r="438" customHeight="1" spans="1:11">
      <c r="A438" s="191"/>
      <c r="B438" s="189"/>
      <c r="C438" s="193"/>
      <c r="D438" s="196"/>
      <c r="E438" s="188" t="e">
        <f ca="1">VLOOKUP($D438,物料本月库存明細!$B:$J,2,0)</f>
        <v>#N/A</v>
      </c>
      <c r="F438" s="188" t="e">
        <f ca="1">VLOOKUP($D438,物料本月库存明細!$B:$J,5,0)</f>
        <v>#N/A</v>
      </c>
      <c r="G438" s="188"/>
      <c r="H438" s="191"/>
      <c r="I438" s="188"/>
      <c r="J438" s="188" t="e">
        <f ca="1">VLOOKUP($D438,物料本月库存明細!$B:$J,9,0)</f>
        <v>#N/A</v>
      </c>
      <c r="K438" s="217"/>
    </row>
    <row r="439" customHeight="1" spans="1:11">
      <c r="A439" s="191"/>
      <c r="B439" s="189"/>
      <c r="C439" s="193"/>
      <c r="D439" s="192"/>
      <c r="E439" s="188" t="e">
        <f ca="1">VLOOKUP($D439,物料本月库存明細!$B:$J,2,0)</f>
        <v>#N/A</v>
      </c>
      <c r="F439" s="188" t="e">
        <f ca="1">VLOOKUP($D439,物料本月库存明細!$B:$J,5,0)</f>
        <v>#N/A</v>
      </c>
      <c r="G439" s="188"/>
      <c r="H439" s="191"/>
      <c r="I439" s="188"/>
      <c r="J439" s="188" t="e">
        <f ca="1">VLOOKUP($D439,物料本月库存明細!$B:$J,9,0)</f>
        <v>#N/A</v>
      </c>
      <c r="K439" s="217"/>
    </row>
    <row r="440" ht="17" customHeight="1" spans="1:11">
      <c r="A440" s="191"/>
      <c r="B440" s="189"/>
      <c r="C440" s="193"/>
      <c r="D440" s="201"/>
      <c r="E440" s="188" t="e">
        <f ca="1">VLOOKUP($D440,物料本月库存明細!$B:$J,2,0)</f>
        <v>#N/A</v>
      </c>
      <c r="F440" s="188" t="e">
        <f ca="1">VLOOKUP($D440,物料本月库存明細!$B:$J,5,0)</f>
        <v>#N/A</v>
      </c>
      <c r="G440" s="188"/>
      <c r="H440" s="191"/>
      <c r="I440" s="188"/>
      <c r="J440" s="188" t="e">
        <f ca="1">VLOOKUP($D440,物料本月库存明細!$B:$J,9,0)</f>
        <v>#N/A</v>
      </c>
      <c r="K440" s="217"/>
    </row>
    <row r="441" ht="17" customHeight="1" spans="1:11">
      <c r="A441" s="191"/>
      <c r="B441" s="189"/>
      <c r="C441" s="193"/>
      <c r="D441" s="196"/>
      <c r="E441" s="188" t="e">
        <f ca="1">VLOOKUP($D441,物料本月库存明細!$B:$J,2,0)</f>
        <v>#N/A</v>
      </c>
      <c r="F441" s="188" t="e">
        <f ca="1">VLOOKUP($D441,物料本月库存明細!$B:$J,5,0)</f>
        <v>#N/A</v>
      </c>
      <c r="G441" s="188"/>
      <c r="H441" s="191"/>
      <c r="I441" s="188"/>
      <c r="J441" s="188" t="e">
        <f ca="1">VLOOKUP($D441,物料本月库存明細!$B:$J,9,0)</f>
        <v>#N/A</v>
      </c>
      <c r="K441" s="217"/>
    </row>
    <row r="442" customHeight="1" spans="1:11">
      <c r="A442" s="191"/>
      <c r="B442" s="189"/>
      <c r="C442" s="193"/>
      <c r="D442" s="196"/>
      <c r="E442" s="188" t="e">
        <f ca="1">VLOOKUP($D442,物料本月库存明細!$B:$J,2,0)</f>
        <v>#N/A</v>
      </c>
      <c r="F442" s="188" t="e">
        <f ca="1">VLOOKUP($D442,物料本月库存明細!$B:$J,5,0)</f>
        <v>#N/A</v>
      </c>
      <c r="G442" s="188"/>
      <c r="H442" s="191"/>
      <c r="I442" s="188"/>
      <c r="J442" s="188" t="e">
        <f ca="1">VLOOKUP($D442,物料本月库存明細!$B:$J,9,0)</f>
        <v>#N/A</v>
      </c>
      <c r="K442" s="217"/>
    </row>
    <row r="443" customHeight="1" spans="1:11">
      <c r="A443" s="191"/>
      <c r="B443" s="189"/>
      <c r="C443" s="193"/>
      <c r="D443" s="200"/>
      <c r="E443" s="188" t="e">
        <f ca="1">VLOOKUP($D443,物料本月库存明細!$B:$J,2,0)</f>
        <v>#N/A</v>
      </c>
      <c r="F443" s="188" t="e">
        <f ca="1">VLOOKUP($D443,物料本月库存明細!$B:$J,5,0)</f>
        <v>#N/A</v>
      </c>
      <c r="G443" s="188"/>
      <c r="H443" s="191"/>
      <c r="I443" s="188"/>
      <c r="J443" s="188" t="e">
        <f ca="1">VLOOKUP($D443,物料本月库存明細!$B:$J,9,0)</f>
        <v>#N/A</v>
      </c>
      <c r="K443" s="217"/>
    </row>
    <row r="444" customHeight="1" spans="1:11">
      <c r="A444" s="191"/>
      <c r="B444" s="189"/>
      <c r="C444" s="193"/>
      <c r="D444" s="196"/>
      <c r="E444" s="188" t="e">
        <f ca="1">VLOOKUP($D444,物料本月库存明細!$B:$J,2,0)</f>
        <v>#N/A</v>
      </c>
      <c r="F444" s="188" t="e">
        <f ca="1">VLOOKUP($D444,物料本月库存明細!$B:$J,5,0)</f>
        <v>#N/A</v>
      </c>
      <c r="G444" s="188"/>
      <c r="H444" s="191"/>
      <c r="I444" s="188"/>
      <c r="J444" s="188" t="e">
        <f ca="1">VLOOKUP($D444,物料本月库存明細!$B:$J,9,0)</f>
        <v>#N/A</v>
      </c>
      <c r="K444" s="217"/>
    </row>
    <row r="445" customHeight="1" spans="1:11">
      <c r="A445" s="191"/>
      <c r="B445" s="189"/>
      <c r="C445" s="193"/>
      <c r="D445" s="192"/>
      <c r="E445" s="188" t="e">
        <f ca="1">VLOOKUP($D445,物料本月库存明細!$B:$J,2,0)</f>
        <v>#N/A</v>
      </c>
      <c r="F445" s="188" t="e">
        <f ca="1">VLOOKUP($D445,物料本月库存明細!$B:$J,5,0)</f>
        <v>#N/A</v>
      </c>
      <c r="G445" s="188"/>
      <c r="H445" s="191"/>
      <c r="I445" s="188"/>
      <c r="J445" s="188" t="e">
        <f ca="1">VLOOKUP($D445,物料本月库存明細!$B:$J,9,0)</f>
        <v>#N/A</v>
      </c>
      <c r="K445" s="217"/>
    </row>
    <row r="446" customHeight="1" spans="1:11">
      <c r="A446" s="191"/>
      <c r="B446" s="189"/>
      <c r="C446" s="193"/>
      <c r="D446" s="196"/>
      <c r="E446" s="188" t="e">
        <f ca="1">VLOOKUP($D446,物料本月库存明細!$B:$J,2,0)</f>
        <v>#N/A</v>
      </c>
      <c r="F446" s="188" t="e">
        <f ca="1">VLOOKUP($D446,物料本月库存明細!$B:$J,5,0)</f>
        <v>#N/A</v>
      </c>
      <c r="G446" s="188"/>
      <c r="H446" s="191"/>
      <c r="I446" s="188"/>
      <c r="J446" s="188" t="e">
        <f ca="1">VLOOKUP($D446,物料本月库存明細!$B:$J,9,0)</f>
        <v>#N/A</v>
      </c>
      <c r="K446" s="217"/>
    </row>
    <row r="447" customHeight="1" spans="1:11">
      <c r="A447" s="191"/>
      <c r="B447" s="189"/>
      <c r="C447" s="193"/>
      <c r="D447" s="192"/>
      <c r="E447" s="188" t="e">
        <f ca="1">VLOOKUP($D447,物料本月库存明細!$B:$J,2,0)</f>
        <v>#N/A</v>
      </c>
      <c r="F447" s="188" t="e">
        <f ca="1">VLOOKUP($D447,物料本月库存明細!$B:$J,5,0)</f>
        <v>#N/A</v>
      </c>
      <c r="G447" s="188"/>
      <c r="H447" s="191"/>
      <c r="I447" s="188"/>
      <c r="J447" s="188" t="e">
        <f ca="1">VLOOKUP($D447,物料本月库存明細!$B:$J,9,0)</f>
        <v>#N/A</v>
      </c>
      <c r="K447" s="217"/>
    </row>
    <row r="448" customHeight="1" spans="1:11">
      <c r="A448" s="191"/>
      <c r="B448" s="189"/>
      <c r="C448" s="193"/>
      <c r="D448" s="192"/>
      <c r="E448" s="188" t="e">
        <f ca="1">VLOOKUP($D448,物料本月库存明細!$B:$J,2,0)</f>
        <v>#N/A</v>
      </c>
      <c r="F448" s="188" t="e">
        <f ca="1">VLOOKUP($D448,物料本月库存明細!$B:$J,5,0)</f>
        <v>#N/A</v>
      </c>
      <c r="G448" s="188"/>
      <c r="H448" s="191"/>
      <c r="I448" s="188"/>
      <c r="J448" s="188" t="e">
        <f ca="1">VLOOKUP($D448,物料本月库存明細!$B:$J,9,0)</f>
        <v>#N/A</v>
      </c>
      <c r="K448" s="217"/>
    </row>
    <row r="449" customHeight="1" spans="1:11">
      <c r="A449" s="191"/>
      <c r="B449" s="189"/>
      <c r="C449" s="193"/>
      <c r="D449" s="192"/>
      <c r="E449" s="188" t="e">
        <f ca="1">VLOOKUP($D449,物料本月库存明細!$B:$J,2,0)</f>
        <v>#N/A</v>
      </c>
      <c r="F449" s="188" t="e">
        <f ca="1">VLOOKUP($D449,物料本月库存明細!$B:$J,5,0)</f>
        <v>#N/A</v>
      </c>
      <c r="G449" s="188"/>
      <c r="H449" s="191"/>
      <c r="I449" s="188"/>
      <c r="J449" s="188" t="e">
        <f ca="1">VLOOKUP($D449,物料本月库存明細!$B:$J,9,0)</f>
        <v>#N/A</v>
      </c>
      <c r="K449" s="217"/>
    </row>
    <row r="450" customHeight="1" spans="1:11">
      <c r="A450" s="191"/>
      <c r="B450" s="189"/>
      <c r="C450" s="193"/>
      <c r="D450" s="192"/>
      <c r="E450" s="188" t="e">
        <f ca="1">VLOOKUP($D450,物料本月库存明細!$B:$J,2,0)</f>
        <v>#N/A</v>
      </c>
      <c r="F450" s="188" t="e">
        <f ca="1">VLOOKUP($D450,物料本月库存明細!$B:$J,5,0)</f>
        <v>#N/A</v>
      </c>
      <c r="G450" s="188"/>
      <c r="H450" s="191"/>
      <c r="I450" s="188"/>
      <c r="J450" s="188" t="e">
        <f ca="1">VLOOKUP($D450,物料本月库存明細!$B:$J,9,0)</f>
        <v>#N/A</v>
      </c>
      <c r="K450" s="217"/>
    </row>
    <row r="451" customHeight="1" spans="1:11">
      <c r="A451" s="187"/>
      <c r="B451" s="189"/>
      <c r="C451" s="193"/>
      <c r="D451" s="196"/>
      <c r="E451" s="188" t="e">
        <f ca="1">VLOOKUP($D451,物料本月库存明細!$B:$J,2,0)</f>
        <v>#N/A</v>
      </c>
      <c r="F451" s="188" t="e">
        <f ca="1">VLOOKUP($D451,物料本月库存明細!$B:$J,5,0)</f>
        <v>#N/A</v>
      </c>
      <c r="G451" s="188"/>
      <c r="H451" s="191"/>
      <c r="I451" s="188"/>
      <c r="J451" s="188" t="e">
        <f ca="1">VLOOKUP($D451,物料本月库存明細!$B:$J,9,0)</f>
        <v>#N/A</v>
      </c>
      <c r="K451" s="217"/>
    </row>
    <row r="452" customHeight="1" spans="1:11">
      <c r="A452" s="175"/>
      <c r="B452" s="189"/>
      <c r="C452" s="175"/>
      <c r="D452" s="192"/>
      <c r="E452" s="188" t="e">
        <f ca="1">VLOOKUP($D452,物料本月库存明細!$B:$J,2,0)</f>
        <v>#N/A</v>
      </c>
      <c r="F452" s="188" t="e">
        <f ca="1">VLOOKUP($D452,物料本月库存明細!$B:$J,5,0)</f>
        <v>#N/A</v>
      </c>
      <c r="G452" s="188"/>
      <c r="H452" s="191"/>
      <c r="I452" s="188"/>
      <c r="J452" s="188" t="e">
        <f ca="1">VLOOKUP($D452,物料本月库存明細!$B:$J,9,0)</f>
        <v>#N/A</v>
      </c>
      <c r="K452" s="217"/>
    </row>
    <row r="453" customHeight="1" spans="1:11">
      <c r="A453" s="175"/>
      <c r="B453" s="189"/>
      <c r="C453" s="175"/>
      <c r="D453" s="197"/>
      <c r="E453" s="188" t="e">
        <f ca="1">VLOOKUP($D453,物料本月库存明細!$B:$J,2,0)</f>
        <v>#N/A</v>
      </c>
      <c r="F453" s="188" t="e">
        <f ca="1">VLOOKUP($D453,物料本月库存明細!$B:$J,5,0)</f>
        <v>#N/A</v>
      </c>
      <c r="G453" s="188"/>
      <c r="H453" s="191"/>
      <c r="I453" s="188"/>
      <c r="J453" s="188" t="e">
        <f ca="1">VLOOKUP($D453,物料本月库存明細!$B:$J,9,0)</f>
        <v>#N/A</v>
      </c>
      <c r="K453" s="217"/>
    </row>
    <row r="454" customHeight="1" spans="1:11">
      <c r="A454" s="175"/>
      <c r="B454" s="189"/>
      <c r="C454" s="175"/>
      <c r="D454" s="197"/>
      <c r="E454" s="188" t="e">
        <f ca="1">VLOOKUP($D454,物料本月库存明細!$B:$J,2,0)</f>
        <v>#N/A</v>
      </c>
      <c r="F454" s="188" t="e">
        <f ca="1">VLOOKUP($D454,物料本月库存明細!$B:$J,5,0)</f>
        <v>#N/A</v>
      </c>
      <c r="G454" s="188"/>
      <c r="H454" s="191"/>
      <c r="I454" s="188"/>
      <c r="J454" s="188" t="e">
        <f ca="1">VLOOKUP($D454,物料本月库存明細!$B:$J,9,0)</f>
        <v>#N/A</v>
      </c>
      <c r="K454" s="217"/>
    </row>
    <row r="455" customHeight="1" spans="1:11">
      <c r="A455" s="191"/>
      <c r="B455" s="189"/>
      <c r="C455" s="193"/>
      <c r="D455" s="192"/>
      <c r="E455" s="188" t="e">
        <f ca="1">VLOOKUP($D455,物料本月库存明細!$B:$J,2,0)</f>
        <v>#N/A</v>
      </c>
      <c r="F455" s="188" t="e">
        <f ca="1">VLOOKUP($D455,物料本月库存明細!$B:$J,5,0)</f>
        <v>#N/A</v>
      </c>
      <c r="G455" s="188"/>
      <c r="H455" s="191"/>
      <c r="I455" s="188"/>
      <c r="J455" s="188" t="e">
        <f ca="1">VLOOKUP($D455,物料本月库存明細!$B:$J,9,0)</f>
        <v>#N/A</v>
      </c>
      <c r="K455" s="217"/>
    </row>
    <row r="456" customHeight="1" spans="1:11">
      <c r="A456" s="191"/>
      <c r="B456" s="189"/>
      <c r="C456" s="193"/>
      <c r="D456" s="200"/>
      <c r="E456" s="188" t="e">
        <f ca="1">VLOOKUP($D456,物料本月库存明細!$B:$J,2,0)</f>
        <v>#N/A</v>
      </c>
      <c r="F456" s="188" t="e">
        <f ca="1">VLOOKUP($D456,物料本月库存明細!$B:$J,5,0)</f>
        <v>#N/A</v>
      </c>
      <c r="G456" s="188"/>
      <c r="H456" s="191"/>
      <c r="I456" s="188"/>
      <c r="J456" s="188" t="e">
        <f ca="1">VLOOKUP($D456,物料本月库存明細!$B:$J,9,0)</f>
        <v>#N/A</v>
      </c>
      <c r="K456" s="217"/>
    </row>
    <row r="457" customHeight="1" spans="1:11">
      <c r="A457" s="191"/>
      <c r="B457" s="189"/>
      <c r="C457" s="193"/>
      <c r="D457" s="196"/>
      <c r="E457" s="188" t="e">
        <f ca="1">VLOOKUP($D457,物料本月库存明細!$B:$J,2,0)</f>
        <v>#N/A</v>
      </c>
      <c r="F457" s="188" t="e">
        <f ca="1">VLOOKUP($D457,物料本月库存明細!$B:$J,5,0)</f>
        <v>#N/A</v>
      </c>
      <c r="G457" s="188"/>
      <c r="H457" s="191"/>
      <c r="I457" s="188"/>
      <c r="J457" s="188" t="e">
        <f ca="1">VLOOKUP($D457,物料本月库存明細!$B:$J,9,0)</f>
        <v>#N/A</v>
      </c>
      <c r="K457" s="217"/>
    </row>
    <row r="458" customHeight="1" spans="1:11">
      <c r="A458" s="191"/>
      <c r="B458" s="189"/>
      <c r="C458" s="193"/>
      <c r="D458" s="192"/>
      <c r="E458" s="188" t="e">
        <f ca="1">VLOOKUP($D458,物料本月库存明細!$B:$J,2,0)</f>
        <v>#N/A</v>
      </c>
      <c r="F458" s="188" t="e">
        <f ca="1">VLOOKUP($D458,物料本月库存明細!$B:$J,5,0)</f>
        <v>#N/A</v>
      </c>
      <c r="G458" s="188"/>
      <c r="H458" s="191"/>
      <c r="I458" s="188"/>
      <c r="J458" s="188" t="e">
        <f ca="1">VLOOKUP($D458,物料本月库存明細!$B:$J,9,0)</f>
        <v>#N/A</v>
      </c>
      <c r="K458" s="217"/>
    </row>
    <row r="459" customHeight="1" spans="1:11">
      <c r="A459" s="191"/>
      <c r="B459" s="189"/>
      <c r="C459" s="193"/>
      <c r="D459" s="192"/>
      <c r="E459" s="188" t="e">
        <f ca="1">VLOOKUP($D459,物料本月库存明細!$B:$J,2,0)</f>
        <v>#N/A</v>
      </c>
      <c r="F459" s="188" t="e">
        <f ca="1">VLOOKUP($D459,物料本月库存明細!$B:$J,5,0)</f>
        <v>#N/A</v>
      </c>
      <c r="G459" s="188"/>
      <c r="H459" s="191"/>
      <c r="I459" s="188"/>
      <c r="J459" s="188" t="e">
        <f ca="1">VLOOKUP($D459,物料本月库存明細!$B:$J,9,0)</f>
        <v>#N/A</v>
      </c>
      <c r="K459" s="217"/>
    </row>
    <row r="460" customHeight="1" spans="1:11">
      <c r="A460" s="191"/>
      <c r="B460" s="189"/>
      <c r="C460" s="193"/>
      <c r="D460" s="197"/>
      <c r="E460" s="188" t="e">
        <f ca="1">VLOOKUP($D460,物料本月库存明細!$B:$J,2,0)</f>
        <v>#N/A</v>
      </c>
      <c r="F460" s="188" t="e">
        <f ca="1">VLOOKUP($D460,物料本月库存明細!$B:$J,5,0)</f>
        <v>#N/A</v>
      </c>
      <c r="G460" s="188"/>
      <c r="H460" s="191"/>
      <c r="I460" s="188"/>
      <c r="J460" s="188" t="e">
        <f ca="1">VLOOKUP($D460,物料本月库存明細!$B:$J,9,0)</f>
        <v>#N/A</v>
      </c>
      <c r="K460" s="217"/>
    </row>
    <row r="461" customHeight="1" spans="1:11">
      <c r="A461" s="191"/>
      <c r="B461" s="189"/>
      <c r="C461" s="193"/>
      <c r="D461" s="192"/>
      <c r="E461" s="188" t="e">
        <f ca="1">VLOOKUP($D461,物料本月库存明細!$B:$J,2,0)</f>
        <v>#N/A</v>
      </c>
      <c r="F461" s="188" t="e">
        <f ca="1">VLOOKUP($D461,物料本月库存明細!$B:$J,5,0)</f>
        <v>#N/A</v>
      </c>
      <c r="G461" s="188"/>
      <c r="H461" s="191"/>
      <c r="I461" s="188"/>
      <c r="J461" s="188" t="e">
        <f ca="1">VLOOKUP($D461,物料本月库存明細!$B:$J,9,0)</f>
        <v>#N/A</v>
      </c>
      <c r="K461" s="217"/>
    </row>
    <row r="462" customHeight="1" spans="1:11">
      <c r="A462" s="191"/>
      <c r="B462" s="189"/>
      <c r="C462" s="193"/>
      <c r="D462" s="192"/>
      <c r="E462" s="188" t="e">
        <f ca="1">VLOOKUP($D462,物料本月库存明細!$B:$J,2,0)</f>
        <v>#N/A</v>
      </c>
      <c r="F462" s="188" t="e">
        <f ca="1">VLOOKUP($D462,物料本月库存明細!$B:$J,5,0)</f>
        <v>#N/A</v>
      </c>
      <c r="G462" s="188"/>
      <c r="H462" s="191"/>
      <c r="I462" s="188"/>
      <c r="J462" s="188" t="e">
        <f ca="1">VLOOKUP($D462,物料本月库存明細!$B:$J,9,0)</f>
        <v>#N/A</v>
      </c>
      <c r="K462" s="217"/>
    </row>
    <row r="463" customHeight="1" spans="1:11">
      <c r="A463" s="191"/>
      <c r="B463" s="189"/>
      <c r="C463" s="193"/>
      <c r="D463" s="192"/>
      <c r="E463" s="188" t="e">
        <f ca="1">VLOOKUP($D463,物料本月库存明細!$B:$J,2,0)</f>
        <v>#N/A</v>
      </c>
      <c r="F463" s="188" t="e">
        <f ca="1">VLOOKUP($D463,物料本月库存明細!$B:$J,5,0)</f>
        <v>#N/A</v>
      </c>
      <c r="G463" s="188"/>
      <c r="H463" s="191"/>
      <c r="I463" s="188"/>
      <c r="J463" s="188" t="e">
        <f ca="1">VLOOKUP($D463,物料本月库存明細!$B:$J,9,0)</f>
        <v>#N/A</v>
      </c>
      <c r="K463" s="217"/>
    </row>
    <row r="464" customHeight="1" spans="1:11">
      <c r="A464" s="191"/>
      <c r="B464" s="189"/>
      <c r="C464" s="193"/>
      <c r="D464" s="192"/>
      <c r="E464" s="188" t="e">
        <f ca="1">VLOOKUP($D464,物料本月库存明細!$B:$J,2,0)</f>
        <v>#N/A</v>
      </c>
      <c r="F464" s="188" t="e">
        <f ca="1">VLOOKUP($D464,物料本月库存明細!$B:$J,5,0)</f>
        <v>#N/A</v>
      </c>
      <c r="G464" s="188"/>
      <c r="H464" s="191"/>
      <c r="I464" s="188"/>
      <c r="J464" s="188" t="e">
        <f ca="1">VLOOKUP($D464,物料本月库存明細!$B:$J,9,0)</f>
        <v>#N/A</v>
      </c>
      <c r="K464" s="217"/>
    </row>
    <row r="465" customHeight="1" spans="1:11">
      <c r="A465" s="191"/>
      <c r="B465" s="189"/>
      <c r="C465" s="193"/>
      <c r="D465" s="192"/>
      <c r="E465" s="188" t="e">
        <f ca="1">VLOOKUP($D465,物料本月库存明細!$B:$J,2,0)</f>
        <v>#N/A</v>
      </c>
      <c r="F465" s="188" t="e">
        <f ca="1">VLOOKUP($D465,物料本月库存明細!$B:$J,5,0)</f>
        <v>#N/A</v>
      </c>
      <c r="G465" s="188"/>
      <c r="H465" s="191"/>
      <c r="I465" s="188"/>
      <c r="J465" s="188" t="e">
        <f ca="1">VLOOKUP($D465,物料本月库存明細!$B:$J,9,0)</f>
        <v>#N/A</v>
      </c>
      <c r="K465" s="217"/>
    </row>
    <row r="466" customHeight="1" spans="1:11">
      <c r="A466" s="191"/>
      <c r="B466" s="189"/>
      <c r="C466" s="193"/>
      <c r="D466" s="192"/>
      <c r="E466" s="188" t="e">
        <f ca="1">VLOOKUP($D466,物料本月库存明細!$B:$J,2,0)</f>
        <v>#N/A</v>
      </c>
      <c r="F466" s="188" t="e">
        <f ca="1">VLOOKUP($D466,物料本月库存明細!$B:$J,5,0)</f>
        <v>#N/A</v>
      </c>
      <c r="G466" s="188"/>
      <c r="H466" s="191"/>
      <c r="I466" s="188"/>
      <c r="J466" s="188" t="e">
        <f ca="1">VLOOKUP($D466,物料本月库存明細!$B:$J,9,0)</f>
        <v>#N/A</v>
      </c>
      <c r="K466" s="217"/>
    </row>
    <row r="467" customHeight="1" spans="1:11">
      <c r="A467" s="191"/>
      <c r="B467" s="189"/>
      <c r="C467" s="193"/>
      <c r="D467" s="196"/>
      <c r="E467" s="188" t="e">
        <f ca="1">VLOOKUP($D467,物料本月库存明細!$B:$J,2,0)</f>
        <v>#N/A</v>
      </c>
      <c r="F467" s="188" t="e">
        <f ca="1">VLOOKUP($D467,物料本月库存明細!$B:$J,5,0)</f>
        <v>#N/A</v>
      </c>
      <c r="G467" s="188"/>
      <c r="H467" s="191"/>
      <c r="I467" s="188"/>
      <c r="J467" s="188" t="e">
        <f ca="1">VLOOKUP($D467,物料本月库存明細!$B:$J,9,0)</f>
        <v>#N/A</v>
      </c>
      <c r="K467" s="217"/>
    </row>
    <row r="468" customHeight="1" spans="1:11">
      <c r="A468" s="191"/>
      <c r="B468" s="189"/>
      <c r="C468" s="193"/>
      <c r="D468" s="204"/>
      <c r="E468" s="188" t="e">
        <f ca="1">VLOOKUP($D468,物料本月库存明細!$B:$J,2,0)</f>
        <v>#N/A</v>
      </c>
      <c r="F468" s="188" t="e">
        <f ca="1">VLOOKUP($D468,物料本月库存明細!$B:$J,5,0)</f>
        <v>#N/A</v>
      </c>
      <c r="G468" s="188"/>
      <c r="H468" s="191"/>
      <c r="I468" s="188"/>
      <c r="J468" s="188" t="e">
        <f ca="1">VLOOKUP($D468,物料本月库存明細!$B:$J,9,0)</f>
        <v>#N/A</v>
      </c>
      <c r="K468" s="217"/>
    </row>
    <row r="469" customHeight="1" spans="1:11">
      <c r="A469" s="191"/>
      <c r="B469" s="189"/>
      <c r="C469" s="193"/>
      <c r="D469" s="204"/>
      <c r="E469" s="188" t="e">
        <f ca="1">VLOOKUP($D469,物料本月库存明細!$B:$J,2,0)</f>
        <v>#N/A</v>
      </c>
      <c r="F469" s="188" t="e">
        <f ca="1">VLOOKUP($D469,物料本月库存明細!$B:$J,5,0)</f>
        <v>#N/A</v>
      </c>
      <c r="G469" s="188"/>
      <c r="H469" s="191"/>
      <c r="I469" s="188"/>
      <c r="J469" s="188" t="e">
        <f ca="1">VLOOKUP($D469,物料本月库存明細!$B:$J,9,0)</f>
        <v>#N/A</v>
      </c>
      <c r="K469" s="217"/>
    </row>
    <row r="470" customHeight="1" spans="1:11">
      <c r="A470" s="191"/>
      <c r="B470" s="189"/>
      <c r="C470" s="193"/>
      <c r="D470" s="192"/>
      <c r="E470" s="188" t="e">
        <f ca="1">VLOOKUP($D470,物料本月库存明細!$B:$J,2,0)</f>
        <v>#N/A</v>
      </c>
      <c r="F470" s="188" t="e">
        <f ca="1">VLOOKUP($D470,物料本月库存明細!$B:$J,5,0)</f>
        <v>#N/A</v>
      </c>
      <c r="G470" s="188"/>
      <c r="H470" s="191"/>
      <c r="I470" s="188"/>
      <c r="J470" s="188" t="e">
        <f ca="1">VLOOKUP($D470,物料本月库存明細!$B:$J,9,0)</f>
        <v>#N/A</v>
      </c>
      <c r="K470" s="217"/>
    </row>
    <row r="471" customHeight="1" spans="1:11">
      <c r="A471" s="191"/>
      <c r="B471" s="189"/>
      <c r="C471" s="193"/>
      <c r="D471" s="204"/>
      <c r="E471" s="188" t="e">
        <f ca="1">VLOOKUP($D471,物料本月库存明細!$B:$J,2,0)</f>
        <v>#N/A</v>
      </c>
      <c r="F471" s="188" t="e">
        <f ca="1">VLOOKUP($D471,物料本月库存明細!$B:$J,5,0)</f>
        <v>#N/A</v>
      </c>
      <c r="G471" s="188"/>
      <c r="H471" s="191"/>
      <c r="I471" s="188"/>
      <c r="J471" s="188" t="e">
        <f ca="1">VLOOKUP($D471,物料本月库存明細!$B:$J,9,0)</f>
        <v>#N/A</v>
      </c>
      <c r="K471" s="217"/>
    </row>
    <row r="472" customHeight="1" spans="1:11">
      <c r="A472" s="191"/>
      <c r="B472" s="189"/>
      <c r="C472" s="193"/>
      <c r="D472" s="197"/>
      <c r="E472" s="188" t="e">
        <f ca="1">VLOOKUP($D472,物料本月库存明細!$B:$J,2,0)</f>
        <v>#N/A</v>
      </c>
      <c r="F472" s="188" t="e">
        <f ca="1">VLOOKUP($D472,物料本月库存明細!$B:$J,5,0)</f>
        <v>#N/A</v>
      </c>
      <c r="G472" s="188"/>
      <c r="H472" s="191"/>
      <c r="I472" s="188"/>
      <c r="J472" s="188" t="e">
        <f ca="1">VLOOKUP($D472,物料本月库存明細!$B:$J,9,0)</f>
        <v>#N/A</v>
      </c>
      <c r="K472" s="217"/>
    </row>
    <row r="473" customHeight="1" spans="1:11">
      <c r="A473" s="191"/>
      <c r="B473" s="189"/>
      <c r="C473" s="193"/>
      <c r="D473" s="192"/>
      <c r="E473" s="188" t="e">
        <f ca="1">VLOOKUP($D473,物料本月库存明細!$B:$J,2,0)</f>
        <v>#N/A</v>
      </c>
      <c r="F473" s="188" t="e">
        <f ca="1">VLOOKUP($D473,物料本月库存明細!$B:$J,5,0)</f>
        <v>#N/A</v>
      </c>
      <c r="G473" s="188"/>
      <c r="H473" s="191"/>
      <c r="I473" s="188"/>
      <c r="J473" s="188" t="e">
        <f ca="1">VLOOKUP($D473,物料本月库存明細!$B:$J,9,0)</f>
        <v>#N/A</v>
      </c>
      <c r="K473" s="217"/>
    </row>
    <row r="474" customHeight="1" spans="1:11">
      <c r="A474" s="191"/>
      <c r="B474" s="189"/>
      <c r="C474" s="193"/>
      <c r="D474" s="192"/>
      <c r="E474" s="188" t="e">
        <f ca="1">VLOOKUP($D474,物料本月库存明細!$B:$J,2,0)</f>
        <v>#N/A</v>
      </c>
      <c r="F474" s="188" t="e">
        <f ca="1">VLOOKUP($D474,物料本月库存明細!$B:$J,5,0)</f>
        <v>#N/A</v>
      </c>
      <c r="G474" s="188"/>
      <c r="H474" s="191"/>
      <c r="I474" s="188"/>
      <c r="J474" s="188" t="e">
        <f ca="1">VLOOKUP($D474,物料本月库存明細!$B:$J,9,0)</f>
        <v>#N/A</v>
      </c>
      <c r="K474" s="217"/>
    </row>
    <row r="475" customHeight="1" spans="1:11">
      <c r="A475" s="191"/>
      <c r="B475" s="189"/>
      <c r="C475" s="193"/>
      <c r="D475" s="192"/>
      <c r="E475" s="188" t="e">
        <f ca="1">VLOOKUP($D475,物料本月库存明細!$B:$J,2,0)</f>
        <v>#N/A</v>
      </c>
      <c r="F475" s="188" t="e">
        <f ca="1">VLOOKUP($D475,物料本月库存明細!$B:$J,5,0)</f>
        <v>#N/A</v>
      </c>
      <c r="G475" s="188"/>
      <c r="H475" s="191"/>
      <c r="I475" s="188"/>
      <c r="J475" s="188" t="e">
        <f ca="1">VLOOKUP($D475,物料本月库存明細!$B:$J,9,0)</f>
        <v>#N/A</v>
      </c>
      <c r="K475" s="217"/>
    </row>
    <row r="476" customHeight="1" spans="1:11">
      <c r="A476" s="191"/>
      <c r="B476" s="189"/>
      <c r="C476" s="193"/>
      <c r="D476" s="192"/>
      <c r="E476" s="188" t="e">
        <f ca="1">VLOOKUP($D476,物料本月库存明細!$B:$J,2,0)</f>
        <v>#N/A</v>
      </c>
      <c r="F476" s="188" t="e">
        <f ca="1">VLOOKUP($D476,物料本月库存明細!$B:$J,5,0)</f>
        <v>#N/A</v>
      </c>
      <c r="G476" s="188"/>
      <c r="H476" s="191"/>
      <c r="I476" s="188"/>
      <c r="J476" s="188" t="e">
        <f ca="1">VLOOKUP($D476,物料本月库存明細!$B:$J,9,0)</f>
        <v>#N/A</v>
      </c>
      <c r="K476" s="217"/>
    </row>
    <row r="477" customHeight="1" spans="1:11">
      <c r="A477" s="191"/>
      <c r="B477" s="189"/>
      <c r="C477" s="193"/>
      <c r="D477" s="192"/>
      <c r="E477" s="188" t="e">
        <f ca="1">VLOOKUP($D477,物料本月库存明細!$B:$J,2,0)</f>
        <v>#N/A</v>
      </c>
      <c r="F477" s="188" t="e">
        <f ca="1">VLOOKUP($D477,物料本月库存明細!$B:$J,5,0)</f>
        <v>#N/A</v>
      </c>
      <c r="G477" s="188"/>
      <c r="H477" s="191"/>
      <c r="I477" s="188"/>
      <c r="J477" s="188" t="e">
        <f ca="1">VLOOKUP($D477,物料本月库存明細!$B:$J,9,0)</f>
        <v>#N/A</v>
      </c>
      <c r="K477" s="217"/>
    </row>
    <row r="478" customHeight="1" spans="1:11">
      <c r="A478" s="191"/>
      <c r="B478" s="189"/>
      <c r="C478" s="193"/>
      <c r="D478" s="197"/>
      <c r="E478" s="188" t="e">
        <f ca="1">VLOOKUP($D478,物料本月库存明細!$B:$J,2,0)</f>
        <v>#N/A</v>
      </c>
      <c r="F478" s="188" t="e">
        <f ca="1">VLOOKUP($D478,物料本月库存明細!$B:$J,5,0)</f>
        <v>#N/A</v>
      </c>
      <c r="G478" s="188"/>
      <c r="H478" s="191"/>
      <c r="I478" s="188"/>
      <c r="J478" s="188" t="e">
        <f ca="1">VLOOKUP($D478,物料本月库存明細!$B:$J,9,0)</f>
        <v>#N/A</v>
      </c>
      <c r="K478" s="217"/>
    </row>
    <row r="479" customHeight="1" spans="1:11">
      <c r="A479" s="191"/>
      <c r="B479" s="189"/>
      <c r="C479" s="193"/>
      <c r="D479" s="192"/>
      <c r="E479" s="188" t="e">
        <f ca="1">VLOOKUP($D479,物料本月库存明細!$B:$J,2,0)</f>
        <v>#N/A</v>
      </c>
      <c r="F479" s="188" t="e">
        <f ca="1">VLOOKUP($D479,物料本月库存明細!$B:$J,5,0)</f>
        <v>#N/A</v>
      </c>
      <c r="G479" s="188"/>
      <c r="H479" s="191"/>
      <c r="I479" s="188"/>
      <c r="J479" s="188" t="e">
        <f ca="1">VLOOKUP($D479,物料本月库存明細!$B:$J,9,0)</f>
        <v>#N/A</v>
      </c>
      <c r="K479" s="217"/>
    </row>
    <row r="480" customHeight="1" spans="1:11">
      <c r="A480" s="191"/>
      <c r="B480" s="189"/>
      <c r="C480" s="193"/>
      <c r="D480" s="196"/>
      <c r="E480" s="188" t="e">
        <f ca="1">VLOOKUP($D480,物料本月库存明細!$B:$J,2,0)</f>
        <v>#N/A</v>
      </c>
      <c r="F480" s="188" t="e">
        <f ca="1">VLOOKUP($D480,物料本月库存明細!$B:$J,5,0)</f>
        <v>#N/A</v>
      </c>
      <c r="G480" s="188"/>
      <c r="H480" s="191"/>
      <c r="I480" s="188"/>
      <c r="J480" s="188" t="e">
        <f ca="1">VLOOKUP($D480,物料本月库存明細!$B:$J,9,0)</f>
        <v>#N/A</v>
      </c>
      <c r="K480" s="217"/>
    </row>
    <row r="481" customHeight="1" spans="1:11">
      <c r="A481" s="191"/>
      <c r="B481" s="189"/>
      <c r="C481" s="193"/>
      <c r="D481" s="192"/>
      <c r="E481" s="188" t="e">
        <f ca="1">VLOOKUP($D481,物料本月库存明細!$B:$J,2,0)</f>
        <v>#N/A</v>
      </c>
      <c r="F481" s="188" t="e">
        <f ca="1">VLOOKUP($D481,物料本月库存明細!$B:$J,5,0)</f>
        <v>#N/A</v>
      </c>
      <c r="G481" s="188"/>
      <c r="H481" s="191"/>
      <c r="I481" s="188"/>
      <c r="J481" s="188" t="e">
        <f ca="1">VLOOKUP($D481,物料本月库存明細!$B:$J,9,0)</f>
        <v>#N/A</v>
      </c>
      <c r="K481" s="217"/>
    </row>
    <row r="482" customHeight="1" spans="1:11">
      <c r="A482" s="191"/>
      <c r="B482" s="189"/>
      <c r="C482" s="193"/>
      <c r="D482" s="197"/>
      <c r="E482" s="188" t="e">
        <f ca="1">VLOOKUP($D482,物料本月库存明細!$B:$J,2,0)</f>
        <v>#N/A</v>
      </c>
      <c r="F482" s="188" t="e">
        <f ca="1">VLOOKUP($D482,物料本月库存明細!$B:$J,5,0)</f>
        <v>#N/A</v>
      </c>
      <c r="G482" s="188"/>
      <c r="H482" s="191"/>
      <c r="I482" s="188"/>
      <c r="J482" s="188" t="e">
        <f ca="1">VLOOKUP($D482,物料本月库存明細!$B:$J,9,0)</f>
        <v>#N/A</v>
      </c>
      <c r="K482" s="217"/>
    </row>
    <row r="483" customHeight="1" spans="1:11">
      <c r="A483" s="191"/>
      <c r="B483" s="189"/>
      <c r="C483" s="193"/>
      <c r="D483" s="192"/>
      <c r="E483" s="188" t="e">
        <f ca="1">VLOOKUP($D483,物料本月库存明細!$B:$J,2,0)</f>
        <v>#N/A</v>
      </c>
      <c r="F483" s="188" t="e">
        <f ca="1">VLOOKUP($D483,物料本月库存明細!$B:$J,5,0)</f>
        <v>#N/A</v>
      </c>
      <c r="G483" s="188"/>
      <c r="H483" s="191"/>
      <c r="I483" s="188"/>
      <c r="J483" s="188" t="e">
        <f ca="1">VLOOKUP($D483,物料本月库存明細!$B:$J,9,0)</f>
        <v>#N/A</v>
      </c>
      <c r="K483" s="217"/>
    </row>
    <row r="484" customHeight="1" spans="1:11">
      <c r="A484" s="191"/>
      <c r="B484" s="189"/>
      <c r="C484" s="193"/>
      <c r="D484" s="192"/>
      <c r="E484" s="188" t="e">
        <f ca="1">VLOOKUP($D484,物料本月库存明細!$B:$J,2,0)</f>
        <v>#N/A</v>
      </c>
      <c r="F484" s="188" t="e">
        <f ca="1">VLOOKUP($D484,物料本月库存明細!$B:$J,5,0)</f>
        <v>#N/A</v>
      </c>
      <c r="G484" s="188"/>
      <c r="H484" s="191"/>
      <c r="I484" s="188"/>
      <c r="J484" s="188" t="e">
        <f ca="1">VLOOKUP($D484,物料本月库存明細!$B:$J,9,0)</f>
        <v>#N/A</v>
      </c>
      <c r="K484" s="217"/>
    </row>
    <row r="485" customHeight="1" spans="1:11">
      <c r="A485" s="191"/>
      <c r="B485" s="189"/>
      <c r="C485" s="193"/>
      <c r="D485" s="192"/>
      <c r="E485" s="188" t="e">
        <f ca="1">VLOOKUP($D485,物料本月库存明細!$B:$J,2,0)</f>
        <v>#N/A</v>
      </c>
      <c r="F485" s="188" t="e">
        <f ca="1">VLOOKUP($D485,物料本月库存明細!$B:$J,5,0)</f>
        <v>#N/A</v>
      </c>
      <c r="G485" s="188"/>
      <c r="H485" s="191"/>
      <c r="I485" s="188"/>
      <c r="J485" s="188" t="e">
        <f ca="1">VLOOKUP($D485,物料本月库存明細!$B:$J,9,0)</f>
        <v>#N/A</v>
      </c>
      <c r="K485" s="217"/>
    </row>
    <row r="486" customHeight="1" spans="1:11">
      <c r="A486" s="191"/>
      <c r="B486" s="189"/>
      <c r="C486" s="193"/>
      <c r="D486" s="196"/>
      <c r="E486" s="188" t="e">
        <f ca="1">VLOOKUP($D486,物料本月库存明細!$B:$J,2,0)</f>
        <v>#N/A</v>
      </c>
      <c r="F486" s="188" t="e">
        <f ca="1">VLOOKUP($D486,物料本月库存明細!$B:$J,5,0)</f>
        <v>#N/A</v>
      </c>
      <c r="G486" s="188"/>
      <c r="H486" s="191"/>
      <c r="I486" s="188"/>
      <c r="J486" s="188" t="e">
        <f ca="1">VLOOKUP($D486,物料本月库存明細!$B:$J,9,0)</f>
        <v>#N/A</v>
      </c>
      <c r="K486" s="217"/>
    </row>
    <row r="487" customHeight="1" spans="1:11">
      <c r="A487" s="191"/>
      <c r="B487" s="189"/>
      <c r="C487" s="193"/>
      <c r="D487" s="204"/>
      <c r="E487" s="188" t="e">
        <f ca="1">VLOOKUP($D487,物料本月库存明細!$B:$J,2,0)</f>
        <v>#N/A</v>
      </c>
      <c r="F487" s="188" t="e">
        <f ca="1">VLOOKUP($D487,物料本月库存明細!$B:$J,5,0)</f>
        <v>#N/A</v>
      </c>
      <c r="G487" s="188"/>
      <c r="H487" s="191"/>
      <c r="I487" s="188"/>
      <c r="J487" s="188" t="e">
        <f ca="1">VLOOKUP($D487,物料本月库存明細!$B:$J,9,0)</f>
        <v>#N/A</v>
      </c>
      <c r="K487" s="217"/>
    </row>
    <row r="488" customHeight="1" spans="1:11">
      <c r="A488" s="191"/>
      <c r="B488" s="189"/>
      <c r="C488" s="193"/>
      <c r="D488" s="192"/>
      <c r="E488" s="188" t="e">
        <f ca="1">VLOOKUP($D488,物料本月库存明細!$B:$J,2,0)</f>
        <v>#N/A</v>
      </c>
      <c r="F488" s="188" t="e">
        <f ca="1">VLOOKUP($D488,物料本月库存明細!$B:$J,5,0)</f>
        <v>#N/A</v>
      </c>
      <c r="G488" s="188"/>
      <c r="H488" s="191"/>
      <c r="I488" s="188"/>
      <c r="J488" s="188" t="e">
        <f ca="1">VLOOKUP($D488,物料本月库存明細!$B:$J,9,0)</f>
        <v>#N/A</v>
      </c>
      <c r="K488" s="217"/>
    </row>
    <row r="489" customHeight="1" spans="1:11">
      <c r="A489" s="191"/>
      <c r="B489" s="189"/>
      <c r="C489" s="193"/>
      <c r="D489" s="196"/>
      <c r="E489" s="188" t="e">
        <f ca="1">VLOOKUP($D489,物料本月库存明細!$B:$J,2,0)</f>
        <v>#N/A</v>
      </c>
      <c r="F489" s="188" t="e">
        <f ca="1">VLOOKUP($D489,物料本月库存明細!$B:$J,5,0)</f>
        <v>#N/A</v>
      </c>
      <c r="G489" s="188"/>
      <c r="H489" s="191"/>
      <c r="I489" s="188"/>
      <c r="J489" s="188" t="e">
        <f ca="1">VLOOKUP($D489,物料本月库存明細!$B:$J,9,0)</f>
        <v>#N/A</v>
      </c>
      <c r="K489" s="217"/>
    </row>
    <row r="490" customHeight="1" spans="1:11">
      <c r="A490" s="191"/>
      <c r="B490" s="189"/>
      <c r="C490" s="193"/>
      <c r="D490" s="196"/>
      <c r="E490" s="188" t="e">
        <f ca="1">VLOOKUP($D490,物料本月库存明細!$B:$J,2,0)</f>
        <v>#N/A</v>
      </c>
      <c r="F490" s="188" t="e">
        <f ca="1">VLOOKUP($D490,物料本月库存明細!$B:$J,5,0)</f>
        <v>#N/A</v>
      </c>
      <c r="G490" s="188"/>
      <c r="H490" s="188"/>
      <c r="I490" s="188"/>
      <c r="J490" s="188" t="e">
        <f ca="1">VLOOKUP($D490,物料本月库存明細!$B:$J,9,0)</f>
        <v>#N/A</v>
      </c>
      <c r="K490" s="217"/>
    </row>
    <row r="491" customHeight="1" spans="1:11">
      <c r="A491" s="191"/>
      <c r="B491" s="189"/>
      <c r="C491" s="193"/>
      <c r="D491" s="196"/>
      <c r="E491" s="188" t="e">
        <f ca="1">VLOOKUP($D491,物料本月库存明細!$B:$J,2,0)</f>
        <v>#N/A</v>
      </c>
      <c r="F491" s="188" t="e">
        <f ca="1">VLOOKUP($D491,物料本月库存明細!$B:$J,5,0)</f>
        <v>#N/A</v>
      </c>
      <c r="G491" s="188"/>
      <c r="H491" s="188"/>
      <c r="I491" s="188"/>
      <c r="J491" s="188" t="e">
        <f ca="1">VLOOKUP($D491,物料本月库存明細!$B:$J,9,0)</f>
        <v>#N/A</v>
      </c>
      <c r="K491" s="217"/>
    </row>
    <row r="492" customHeight="1" spans="1:11">
      <c r="A492" s="191"/>
      <c r="B492" s="189"/>
      <c r="C492" s="193"/>
      <c r="D492" s="192"/>
      <c r="E492" s="188" t="e">
        <f ca="1">VLOOKUP($D492,物料本月库存明細!$B:$J,2,0)</f>
        <v>#N/A</v>
      </c>
      <c r="F492" s="188" t="e">
        <f ca="1">VLOOKUP($D492,物料本月库存明細!$B:$J,5,0)</f>
        <v>#N/A</v>
      </c>
      <c r="G492" s="188"/>
      <c r="H492" s="188"/>
      <c r="I492" s="188"/>
      <c r="J492" s="188" t="e">
        <f ca="1">VLOOKUP($D492,物料本月库存明細!$B:$J,9,0)</f>
        <v>#N/A</v>
      </c>
      <c r="K492" s="217"/>
    </row>
    <row r="493" customHeight="1" spans="1:11">
      <c r="A493" s="191"/>
      <c r="B493" s="189"/>
      <c r="C493" s="193"/>
      <c r="D493" s="200"/>
      <c r="E493" s="188" t="e">
        <f ca="1">VLOOKUP($D493,物料本月库存明細!$B:$J,2,0)</f>
        <v>#N/A</v>
      </c>
      <c r="F493" s="188" t="e">
        <f ca="1">VLOOKUP($D493,物料本月库存明細!$B:$J,5,0)</f>
        <v>#N/A</v>
      </c>
      <c r="G493" s="188"/>
      <c r="H493" s="188"/>
      <c r="I493" s="188"/>
      <c r="J493" s="188" t="e">
        <f ca="1">VLOOKUP($D493,物料本月库存明細!$B:$J,9,0)</f>
        <v>#N/A</v>
      </c>
      <c r="K493" s="217"/>
    </row>
    <row r="494" customHeight="1" spans="1:11">
      <c r="A494" s="191"/>
      <c r="B494" s="189"/>
      <c r="C494" s="193"/>
      <c r="D494" s="192"/>
      <c r="E494" s="188" t="e">
        <f ca="1">VLOOKUP($D494,物料本月库存明細!$B:$J,2,0)</f>
        <v>#N/A</v>
      </c>
      <c r="F494" s="188" t="e">
        <f ca="1">VLOOKUP($D494,物料本月库存明細!$B:$J,5,0)</f>
        <v>#N/A</v>
      </c>
      <c r="G494" s="188"/>
      <c r="H494" s="188"/>
      <c r="I494" s="188"/>
      <c r="J494" s="188" t="e">
        <f ca="1">VLOOKUP($D494,物料本月库存明細!$B:$J,9,0)</f>
        <v>#N/A</v>
      </c>
      <c r="K494" s="217"/>
    </row>
    <row r="495" customHeight="1" spans="1:11">
      <c r="A495" s="191"/>
      <c r="B495" s="189"/>
      <c r="C495" s="193"/>
      <c r="D495" s="197"/>
      <c r="E495" s="188" t="e">
        <f ca="1">VLOOKUP($D495,物料本月库存明細!$B:$J,2,0)</f>
        <v>#N/A</v>
      </c>
      <c r="F495" s="188" t="e">
        <f ca="1">VLOOKUP($D495,物料本月库存明細!$B:$J,5,0)</f>
        <v>#N/A</v>
      </c>
      <c r="G495" s="188"/>
      <c r="H495" s="188"/>
      <c r="I495" s="188"/>
      <c r="J495" s="188" t="e">
        <f ca="1">VLOOKUP($D495,物料本月库存明細!$B:$J,9,0)</f>
        <v>#N/A</v>
      </c>
      <c r="K495" s="217"/>
    </row>
    <row r="496" customHeight="1" spans="1:11">
      <c r="A496" s="191"/>
      <c r="B496" s="189"/>
      <c r="C496" s="193"/>
      <c r="D496" s="192"/>
      <c r="E496" s="188" t="e">
        <f ca="1">VLOOKUP($D496,物料本月库存明細!$B:$J,2,0)</f>
        <v>#N/A</v>
      </c>
      <c r="F496" s="188" t="e">
        <f ca="1">VLOOKUP($D496,物料本月库存明細!$B:$J,5,0)</f>
        <v>#N/A</v>
      </c>
      <c r="G496" s="188"/>
      <c r="H496" s="188"/>
      <c r="I496" s="188"/>
      <c r="J496" s="188" t="e">
        <f ca="1">VLOOKUP($D496,物料本月库存明細!$B:$J,9,0)</f>
        <v>#N/A</v>
      </c>
      <c r="K496" s="217"/>
    </row>
    <row r="497" customHeight="1" spans="1:11">
      <c r="A497" s="191"/>
      <c r="B497" s="189"/>
      <c r="C497" s="193"/>
      <c r="D497" s="192"/>
      <c r="E497" s="188" t="e">
        <f ca="1">VLOOKUP($D497,物料本月库存明細!$B:$J,2,0)</f>
        <v>#N/A</v>
      </c>
      <c r="F497" s="188" t="e">
        <f ca="1">VLOOKUP($D497,物料本月库存明細!$B:$J,5,0)</f>
        <v>#N/A</v>
      </c>
      <c r="G497" s="188"/>
      <c r="H497" s="188"/>
      <c r="I497" s="188"/>
      <c r="J497" s="188" t="e">
        <f ca="1">VLOOKUP($D497,物料本月库存明細!$B:$J,9,0)</f>
        <v>#N/A</v>
      </c>
      <c r="K497" s="217"/>
    </row>
    <row r="498" customHeight="1" spans="1:11">
      <c r="A498" s="191"/>
      <c r="B498" s="189"/>
      <c r="C498" s="193"/>
      <c r="D498" s="197"/>
      <c r="E498" s="188" t="e">
        <f ca="1">VLOOKUP($D498,物料本月库存明細!$B:$J,2,0)</f>
        <v>#N/A</v>
      </c>
      <c r="F498" s="188" t="e">
        <f ca="1">VLOOKUP($D498,物料本月库存明細!$B:$J,5,0)</f>
        <v>#N/A</v>
      </c>
      <c r="G498" s="188"/>
      <c r="H498" s="188"/>
      <c r="I498" s="188"/>
      <c r="J498" s="188" t="e">
        <f ca="1">VLOOKUP($D498,物料本月库存明細!$B:$J,9,0)</f>
        <v>#N/A</v>
      </c>
      <c r="K498" s="217"/>
    </row>
    <row r="499" customHeight="1" spans="1:11">
      <c r="A499" s="191"/>
      <c r="B499" s="189"/>
      <c r="C499" s="193"/>
      <c r="D499" s="192"/>
      <c r="E499" s="188" t="e">
        <f ca="1">VLOOKUP($D499,物料本月库存明細!$B:$J,2,0)</f>
        <v>#N/A</v>
      </c>
      <c r="F499" s="188" t="e">
        <f ca="1">VLOOKUP($D499,物料本月库存明細!$B:$J,5,0)</f>
        <v>#N/A</v>
      </c>
      <c r="G499" s="188"/>
      <c r="H499" s="188"/>
      <c r="I499" s="188"/>
      <c r="J499" s="188" t="e">
        <f ca="1">VLOOKUP($D499,物料本月库存明細!$B:$J,9,0)</f>
        <v>#N/A</v>
      </c>
      <c r="K499" s="217"/>
    </row>
    <row r="500" customHeight="1" spans="1:11">
      <c r="A500" s="191"/>
      <c r="B500" s="189"/>
      <c r="C500" s="193"/>
      <c r="D500" s="192"/>
      <c r="E500" s="188" t="e">
        <f ca="1">VLOOKUP($D500,物料本月库存明細!$B:$J,2,0)</f>
        <v>#N/A</v>
      </c>
      <c r="F500" s="188" t="e">
        <f ca="1">VLOOKUP($D500,物料本月库存明細!$B:$J,5,0)</f>
        <v>#N/A</v>
      </c>
      <c r="G500" s="188"/>
      <c r="H500" s="188"/>
      <c r="I500" s="188"/>
      <c r="J500" s="188" t="e">
        <f ca="1">VLOOKUP($D500,物料本月库存明細!$B:$J,9,0)</f>
        <v>#N/A</v>
      </c>
      <c r="K500" s="217"/>
    </row>
    <row r="501" customHeight="1" spans="1:11">
      <c r="A501" s="191"/>
      <c r="B501" s="189"/>
      <c r="C501" s="193"/>
      <c r="D501" s="192"/>
      <c r="E501" s="188" t="e">
        <f ca="1">VLOOKUP($D501,物料本月库存明細!$B:$J,2,0)</f>
        <v>#N/A</v>
      </c>
      <c r="F501" s="188" t="e">
        <f ca="1">VLOOKUP($D501,物料本月库存明細!$B:$J,5,0)</f>
        <v>#N/A</v>
      </c>
      <c r="G501" s="188"/>
      <c r="H501" s="188"/>
      <c r="I501" s="188"/>
      <c r="J501" s="188" t="e">
        <f ca="1">VLOOKUP($D501,物料本月库存明細!$B:$J,9,0)</f>
        <v>#N/A</v>
      </c>
      <c r="K501" s="217"/>
    </row>
    <row r="502" customHeight="1" spans="1:11">
      <c r="A502" s="191"/>
      <c r="B502" s="189"/>
      <c r="C502" s="193"/>
      <c r="D502" s="192"/>
      <c r="E502" s="188" t="e">
        <f ca="1">VLOOKUP($D502,物料本月库存明細!$B:$J,2,0)</f>
        <v>#N/A</v>
      </c>
      <c r="F502" s="188" t="e">
        <f ca="1">VLOOKUP($D502,物料本月库存明細!$B:$J,5,0)</f>
        <v>#N/A</v>
      </c>
      <c r="G502" s="188"/>
      <c r="H502" s="188"/>
      <c r="I502" s="188"/>
      <c r="J502" s="188" t="e">
        <f ca="1">VLOOKUP($D502,物料本月库存明細!$B:$J,9,0)</f>
        <v>#N/A</v>
      </c>
      <c r="K502" s="217"/>
    </row>
    <row r="503" customHeight="1" spans="1:11">
      <c r="A503" s="191"/>
      <c r="B503" s="189"/>
      <c r="C503" s="193"/>
      <c r="D503" s="192"/>
      <c r="E503" s="188" t="e">
        <f ca="1">VLOOKUP($D503,物料本月库存明細!$B:$J,2,0)</f>
        <v>#N/A</v>
      </c>
      <c r="F503" s="188" t="e">
        <f ca="1">VLOOKUP($D503,物料本月库存明細!$B:$J,5,0)</f>
        <v>#N/A</v>
      </c>
      <c r="G503" s="188"/>
      <c r="H503" s="188"/>
      <c r="I503" s="188"/>
      <c r="J503" s="188" t="e">
        <f ca="1">VLOOKUP($D503,物料本月库存明細!$B:$J,9,0)</f>
        <v>#N/A</v>
      </c>
      <c r="K503" s="217"/>
    </row>
    <row r="504" customHeight="1" spans="1:11">
      <c r="A504" s="191"/>
      <c r="B504" s="189"/>
      <c r="C504" s="193"/>
      <c r="D504" s="196"/>
      <c r="E504" s="188" t="e">
        <f ca="1">VLOOKUP($D504,物料本月库存明細!$B:$J,2,0)</f>
        <v>#N/A</v>
      </c>
      <c r="F504" s="188" t="e">
        <f ca="1">VLOOKUP($D504,物料本月库存明細!$B:$J,5,0)</f>
        <v>#N/A</v>
      </c>
      <c r="G504" s="188"/>
      <c r="H504" s="188"/>
      <c r="I504" s="188"/>
      <c r="J504" s="188" t="e">
        <f ca="1">VLOOKUP($D504,物料本月库存明細!$B:$J,9,0)</f>
        <v>#N/A</v>
      </c>
      <c r="K504" s="217"/>
    </row>
    <row r="505" customHeight="1" spans="1:11">
      <c r="A505" s="191"/>
      <c r="B505" s="189"/>
      <c r="C505" s="193"/>
      <c r="D505" s="196"/>
      <c r="E505" s="188" t="e">
        <f ca="1">VLOOKUP($D505,物料本月库存明細!$B:$J,2,0)</f>
        <v>#N/A</v>
      </c>
      <c r="F505" s="188" t="e">
        <f ca="1">VLOOKUP($D505,物料本月库存明細!$B:$J,5,0)</f>
        <v>#N/A</v>
      </c>
      <c r="G505" s="188"/>
      <c r="H505" s="188"/>
      <c r="I505" s="188"/>
      <c r="J505" s="188" t="e">
        <f ca="1">VLOOKUP($D505,物料本月库存明細!$B:$J,9,0)</f>
        <v>#N/A</v>
      </c>
      <c r="K505" s="217"/>
    </row>
    <row r="506" customHeight="1" spans="1:11">
      <c r="A506" s="191"/>
      <c r="B506" s="189"/>
      <c r="C506" s="193"/>
      <c r="D506" s="196"/>
      <c r="E506" s="188" t="e">
        <f ca="1">VLOOKUP($D506,物料本月库存明細!$B:$J,2,0)</f>
        <v>#N/A</v>
      </c>
      <c r="F506" s="188" t="e">
        <f ca="1">VLOOKUP($D506,物料本月库存明細!$B:$J,5,0)</f>
        <v>#N/A</v>
      </c>
      <c r="G506" s="188"/>
      <c r="H506" s="188"/>
      <c r="I506" s="188"/>
      <c r="J506" s="188" t="e">
        <f ca="1">VLOOKUP($D506,物料本月库存明細!$B:$J,9,0)</f>
        <v>#N/A</v>
      </c>
      <c r="K506" s="217"/>
    </row>
    <row r="507" customHeight="1" spans="1:11">
      <c r="A507" s="191"/>
      <c r="B507" s="189"/>
      <c r="C507" s="193"/>
      <c r="D507" s="196"/>
      <c r="E507" s="188" t="e">
        <f ca="1">VLOOKUP($D507,物料本月库存明細!$B:$J,2,0)</f>
        <v>#N/A</v>
      </c>
      <c r="F507" s="188" t="e">
        <f ca="1">VLOOKUP($D507,物料本月库存明細!$B:$J,5,0)</f>
        <v>#N/A</v>
      </c>
      <c r="G507" s="188"/>
      <c r="H507" s="188"/>
      <c r="I507" s="188"/>
      <c r="J507" s="188" t="e">
        <f ca="1">VLOOKUP($D507,物料本月库存明細!$B:$J,9,0)</f>
        <v>#N/A</v>
      </c>
      <c r="K507" s="217"/>
    </row>
    <row r="508" customHeight="1" spans="1:11">
      <c r="A508" s="191"/>
      <c r="B508" s="189"/>
      <c r="C508" s="193"/>
      <c r="D508" s="192"/>
      <c r="E508" s="188" t="e">
        <f ca="1">VLOOKUP($D508,物料本月库存明細!$B:$J,2,0)</f>
        <v>#N/A</v>
      </c>
      <c r="F508" s="188" t="e">
        <f ca="1">VLOOKUP($D508,物料本月库存明細!$B:$J,5,0)</f>
        <v>#N/A</v>
      </c>
      <c r="G508" s="188"/>
      <c r="H508" s="188"/>
      <c r="I508" s="188"/>
      <c r="J508" s="188" t="e">
        <f ca="1">VLOOKUP($D508,物料本月库存明細!$B:$J,9,0)</f>
        <v>#N/A</v>
      </c>
      <c r="K508" s="217"/>
    </row>
    <row r="509" customHeight="1" spans="1:11">
      <c r="A509" s="191"/>
      <c r="B509" s="189"/>
      <c r="C509" s="193"/>
      <c r="D509" s="192"/>
      <c r="E509" s="188" t="e">
        <f ca="1">VLOOKUP($D509,物料本月库存明細!$B:$J,2,0)</f>
        <v>#N/A</v>
      </c>
      <c r="F509" s="188" t="e">
        <f ca="1">VLOOKUP($D509,物料本月库存明細!$B:$J,5,0)</f>
        <v>#N/A</v>
      </c>
      <c r="G509" s="188"/>
      <c r="H509" s="188"/>
      <c r="I509" s="188"/>
      <c r="J509" s="188" t="e">
        <f ca="1">VLOOKUP($D509,物料本月库存明細!$B:$J,9,0)</f>
        <v>#N/A</v>
      </c>
      <c r="K509" s="217"/>
    </row>
    <row r="510" customHeight="1" spans="1:11">
      <c r="A510" s="191"/>
      <c r="B510" s="189"/>
      <c r="C510" s="193"/>
      <c r="D510" s="196"/>
      <c r="E510" s="188" t="e">
        <f ca="1">VLOOKUP($D510,物料本月库存明細!$B:$J,2,0)</f>
        <v>#N/A</v>
      </c>
      <c r="F510" s="188" t="e">
        <f ca="1">VLOOKUP($D510,物料本月库存明細!$B:$J,5,0)</f>
        <v>#N/A</v>
      </c>
      <c r="G510" s="188"/>
      <c r="H510" s="188"/>
      <c r="I510" s="188"/>
      <c r="J510" s="188" t="e">
        <f ca="1">VLOOKUP($D510,物料本月库存明細!$B:$J,9,0)</f>
        <v>#N/A</v>
      </c>
      <c r="K510" s="217"/>
    </row>
    <row r="511" customHeight="1" spans="1:11">
      <c r="A511" s="191"/>
      <c r="B511" s="189"/>
      <c r="C511" s="193"/>
      <c r="D511" s="196"/>
      <c r="E511" s="188" t="e">
        <f ca="1">VLOOKUP($D511,物料本月库存明細!$B:$J,2,0)</f>
        <v>#N/A</v>
      </c>
      <c r="F511" s="188" t="e">
        <f ca="1">VLOOKUP($D511,物料本月库存明細!$B:$J,5,0)</f>
        <v>#N/A</v>
      </c>
      <c r="G511" s="188"/>
      <c r="H511" s="188"/>
      <c r="I511" s="188"/>
      <c r="J511" s="188" t="e">
        <f ca="1">VLOOKUP($D511,物料本月库存明細!$B:$J,9,0)</f>
        <v>#N/A</v>
      </c>
      <c r="K511" s="217"/>
    </row>
    <row r="512" customHeight="1" spans="1:11">
      <c r="A512" s="191"/>
      <c r="B512" s="189"/>
      <c r="C512" s="193"/>
      <c r="D512" s="192"/>
      <c r="E512" s="188" t="e">
        <f ca="1">VLOOKUP($D512,物料本月库存明細!$B:$J,2,0)</f>
        <v>#N/A</v>
      </c>
      <c r="F512" s="188" t="e">
        <f ca="1">VLOOKUP($D512,物料本月库存明細!$B:$J,5,0)</f>
        <v>#N/A</v>
      </c>
      <c r="G512" s="188"/>
      <c r="H512" s="188"/>
      <c r="I512" s="188"/>
      <c r="J512" s="188" t="e">
        <f ca="1">VLOOKUP($D512,物料本月库存明細!$B:$J,9,0)</f>
        <v>#N/A</v>
      </c>
      <c r="K512" s="217"/>
    </row>
    <row r="513" customHeight="1" spans="1:11">
      <c r="A513" s="191"/>
      <c r="B513" s="189"/>
      <c r="C513" s="193"/>
      <c r="D513" s="192"/>
      <c r="E513" s="188" t="e">
        <f ca="1">VLOOKUP($D513,物料本月库存明細!$B:$J,2,0)</f>
        <v>#N/A</v>
      </c>
      <c r="F513" s="188" t="e">
        <f ca="1">VLOOKUP($D513,物料本月库存明細!$B:$J,5,0)</f>
        <v>#N/A</v>
      </c>
      <c r="G513" s="188"/>
      <c r="H513" s="188"/>
      <c r="I513" s="188"/>
      <c r="J513" s="188" t="e">
        <f ca="1">VLOOKUP($D513,物料本月库存明細!$B:$J,9,0)</f>
        <v>#N/A</v>
      </c>
      <c r="K513" s="217"/>
    </row>
    <row r="514" customHeight="1" spans="1:11">
      <c r="A514" s="191"/>
      <c r="B514" s="189"/>
      <c r="C514" s="193"/>
      <c r="D514" s="192"/>
      <c r="E514" s="188" t="e">
        <f ca="1">VLOOKUP($D514,物料本月库存明細!$B:$J,2,0)</f>
        <v>#N/A</v>
      </c>
      <c r="F514" s="188" t="e">
        <f ca="1">VLOOKUP($D514,物料本月库存明細!$B:$J,5,0)</f>
        <v>#N/A</v>
      </c>
      <c r="G514" s="188"/>
      <c r="H514" s="191"/>
      <c r="I514" s="188"/>
      <c r="J514" s="188" t="e">
        <f ca="1">VLOOKUP($D514,物料本月库存明細!$B:$J,9,0)</f>
        <v>#N/A</v>
      </c>
      <c r="K514" s="217"/>
    </row>
    <row r="515" customHeight="1" spans="1:11">
      <c r="A515" s="191"/>
      <c r="B515" s="189"/>
      <c r="C515" s="193"/>
      <c r="D515" s="192"/>
      <c r="E515" s="188" t="e">
        <f ca="1">VLOOKUP($D515,物料本月库存明細!$B:$J,2,0)</f>
        <v>#N/A</v>
      </c>
      <c r="F515" s="188" t="e">
        <f ca="1">VLOOKUP($D515,物料本月库存明細!$B:$J,5,0)</f>
        <v>#N/A</v>
      </c>
      <c r="G515" s="188"/>
      <c r="H515" s="191"/>
      <c r="I515" s="188"/>
      <c r="J515" s="188" t="e">
        <f ca="1">VLOOKUP($D515,物料本月库存明細!$B:$J,9,0)</f>
        <v>#N/A</v>
      </c>
      <c r="K515" s="217"/>
    </row>
    <row r="516" customHeight="1" spans="1:11">
      <c r="A516" s="191"/>
      <c r="B516" s="189"/>
      <c r="C516" s="193"/>
      <c r="D516" s="197"/>
      <c r="E516" s="188" t="e">
        <f ca="1">VLOOKUP($D516,物料本月库存明細!$B:$J,2,0)</f>
        <v>#N/A</v>
      </c>
      <c r="F516" s="188" t="e">
        <f ca="1">VLOOKUP($D516,物料本月库存明細!$B:$J,5,0)</f>
        <v>#N/A</v>
      </c>
      <c r="G516" s="188"/>
      <c r="H516" s="188"/>
      <c r="I516" s="188"/>
      <c r="J516" s="188" t="e">
        <f ca="1">VLOOKUP($D516,物料本月库存明細!$B:$J,9,0)</f>
        <v>#N/A</v>
      </c>
      <c r="K516" s="217"/>
    </row>
    <row r="517" customHeight="1" spans="1:11">
      <c r="A517" s="191"/>
      <c r="B517" s="189"/>
      <c r="C517" s="193"/>
      <c r="D517" s="192"/>
      <c r="E517" s="188" t="e">
        <f ca="1">VLOOKUP($D517,物料本月库存明細!$B:$J,2,0)</f>
        <v>#N/A</v>
      </c>
      <c r="F517" s="188" t="e">
        <f ca="1">VLOOKUP($D517,物料本月库存明細!$B:$J,5,0)</f>
        <v>#N/A</v>
      </c>
      <c r="G517" s="188"/>
      <c r="H517" s="188"/>
      <c r="I517" s="188"/>
      <c r="J517" s="188" t="e">
        <f ca="1">VLOOKUP($D517,物料本月库存明細!$B:$J,9,0)</f>
        <v>#N/A</v>
      </c>
      <c r="K517" s="217"/>
    </row>
    <row r="518" customHeight="1" spans="1:11">
      <c r="A518" s="191"/>
      <c r="B518" s="189"/>
      <c r="C518" s="193"/>
      <c r="D518" s="192"/>
      <c r="E518" s="188" t="e">
        <f ca="1">VLOOKUP($D518,物料本月库存明細!$B:$J,2,0)</f>
        <v>#N/A</v>
      </c>
      <c r="F518" s="188" t="e">
        <f ca="1">VLOOKUP($D518,物料本月库存明細!$B:$J,5,0)</f>
        <v>#N/A</v>
      </c>
      <c r="G518" s="188"/>
      <c r="H518" s="188"/>
      <c r="I518" s="188"/>
      <c r="J518" s="188" t="e">
        <f ca="1">VLOOKUP($D518,物料本月库存明細!$B:$J,9,0)</f>
        <v>#N/A</v>
      </c>
      <c r="K518" s="217"/>
    </row>
    <row r="519" customHeight="1" spans="1:11">
      <c r="A519" s="191"/>
      <c r="B519" s="189"/>
      <c r="C519" s="193"/>
      <c r="D519" s="196"/>
      <c r="E519" s="188" t="e">
        <f ca="1">VLOOKUP($D519,物料本月库存明細!$B:$J,2,0)</f>
        <v>#N/A</v>
      </c>
      <c r="F519" s="188" t="e">
        <f ca="1">VLOOKUP($D519,物料本月库存明細!$B:$J,5,0)</f>
        <v>#N/A</v>
      </c>
      <c r="G519" s="188"/>
      <c r="H519" s="188"/>
      <c r="I519" s="188"/>
      <c r="J519" s="188" t="e">
        <f ca="1">VLOOKUP($D519,物料本月库存明細!$B:$J,9,0)</f>
        <v>#N/A</v>
      </c>
      <c r="K519" s="217"/>
    </row>
    <row r="520" customHeight="1" spans="1:11">
      <c r="A520" s="191"/>
      <c r="B520" s="189"/>
      <c r="C520" s="193"/>
      <c r="D520" s="192"/>
      <c r="E520" s="188" t="e">
        <f ca="1">VLOOKUP($D520,物料本月库存明細!$B:$J,2,0)</f>
        <v>#N/A</v>
      </c>
      <c r="F520" s="188" t="e">
        <f ca="1">VLOOKUP($D520,物料本月库存明細!$B:$J,5,0)</f>
        <v>#N/A</v>
      </c>
      <c r="G520" s="188"/>
      <c r="H520" s="188"/>
      <c r="I520" s="188"/>
      <c r="J520" s="188" t="e">
        <f ca="1">VLOOKUP($D520,物料本月库存明細!$B:$J,9,0)</f>
        <v>#N/A</v>
      </c>
      <c r="K520" s="217"/>
    </row>
    <row r="521" customHeight="1" spans="1:11">
      <c r="A521" s="191"/>
      <c r="B521" s="189"/>
      <c r="C521" s="193"/>
      <c r="D521" s="192"/>
      <c r="E521" s="188" t="e">
        <f ca="1">VLOOKUP($D521,物料本月库存明細!$B:$J,2,0)</f>
        <v>#N/A</v>
      </c>
      <c r="F521" s="188" t="e">
        <f ca="1">VLOOKUP($D521,物料本月库存明細!$B:$J,5,0)</f>
        <v>#N/A</v>
      </c>
      <c r="G521" s="188"/>
      <c r="H521" s="188"/>
      <c r="I521" s="188"/>
      <c r="J521" s="188" t="e">
        <f ca="1">VLOOKUP($D521,物料本月库存明細!$B:$J,9,0)</f>
        <v>#N/A</v>
      </c>
      <c r="K521" s="217"/>
    </row>
    <row r="522" customHeight="1" spans="1:11">
      <c r="A522" s="191"/>
      <c r="B522" s="189"/>
      <c r="C522" s="193"/>
      <c r="D522" s="192"/>
      <c r="E522" s="188" t="e">
        <f ca="1">VLOOKUP($D522,物料本月库存明細!$B:$J,2,0)</f>
        <v>#N/A</v>
      </c>
      <c r="F522" s="188" t="e">
        <f ca="1">VLOOKUP($D522,物料本月库存明細!$B:$J,5,0)</f>
        <v>#N/A</v>
      </c>
      <c r="G522" s="188"/>
      <c r="H522" s="188"/>
      <c r="I522" s="188"/>
      <c r="J522" s="188" t="e">
        <f ca="1">VLOOKUP($D522,物料本月库存明細!$B:$J,9,0)</f>
        <v>#N/A</v>
      </c>
      <c r="K522" s="217"/>
    </row>
    <row r="523" customHeight="1" spans="1:11">
      <c r="A523" s="191"/>
      <c r="B523" s="189"/>
      <c r="C523" s="193"/>
      <c r="D523" s="192"/>
      <c r="E523" s="188" t="e">
        <f ca="1">VLOOKUP($D523,物料本月库存明細!$B:$J,2,0)</f>
        <v>#N/A</v>
      </c>
      <c r="F523" s="188" t="e">
        <f ca="1">VLOOKUP($D523,物料本月库存明細!$B:$J,5,0)</f>
        <v>#N/A</v>
      </c>
      <c r="G523" s="188"/>
      <c r="H523" s="188"/>
      <c r="I523" s="188"/>
      <c r="J523" s="188" t="e">
        <f ca="1">VLOOKUP($D523,物料本月库存明細!$B:$J,9,0)</f>
        <v>#N/A</v>
      </c>
      <c r="K523" s="217"/>
    </row>
    <row r="524" customHeight="1" spans="1:11">
      <c r="A524" s="191"/>
      <c r="B524" s="189"/>
      <c r="C524" s="193"/>
      <c r="D524" s="192"/>
      <c r="E524" s="188" t="e">
        <f ca="1">VLOOKUP($D524,物料本月库存明細!$B:$J,2,0)</f>
        <v>#N/A</v>
      </c>
      <c r="F524" s="188" t="e">
        <f ca="1">VLOOKUP($D524,物料本月库存明細!$B:$J,5,0)</f>
        <v>#N/A</v>
      </c>
      <c r="G524" s="188"/>
      <c r="H524" s="188"/>
      <c r="I524" s="188"/>
      <c r="J524" s="188" t="e">
        <f ca="1">VLOOKUP($D524,物料本月库存明細!$B:$J,9,0)</f>
        <v>#N/A</v>
      </c>
      <c r="K524" s="217"/>
    </row>
    <row r="525" customHeight="1" spans="1:11">
      <c r="A525" s="191"/>
      <c r="B525" s="189"/>
      <c r="C525" s="193"/>
      <c r="D525" s="196"/>
      <c r="E525" s="188" t="e">
        <f ca="1">VLOOKUP($D525,物料本月库存明細!$B:$J,2,0)</f>
        <v>#N/A</v>
      </c>
      <c r="F525" s="188" t="e">
        <f ca="1">VLOOKUP($D525,物料本月库存明細!$B:$J,5,0)</f>
        <v>#N/A</v>
      </c>
      <c r="G525" s="188"/>
      <c r="H525" s="188"/>
      <c r="I525" s="188"/>
      <c r="J525" s="188" t="e">
        <f ca="1">VLOOKUP($D525,物料本月库存明細!$B:$J,9,0)</f>
        <v>#N/A</v>
      </c>
      <c r="K525" s="217"/>
    </row>
    <row r="526" customHeight="1" spans="1:11">
      <c r="A526" s="191"/>
      <c r="B526" s="189"/>
      <c r="C526" s="193"/>
      <c r="D526" s="192"/>
      <c r="E526" s="188" t="e">
        <f ca="1">VLOOKUP($D526,物料本月库存明細!$B:$J,2,0)</f>
        <v>#N/A</v>
      </c>
      <c r="F526" s="188" t="e">
        <f ca="1">VLOOKUP($D526,物料本月库存明細!$B:$J,5,0)</f>
        <v>#N/A</v>
      </c>
      <c r="G526" s="188"/>
      <c r="H526" s="188"/>
      <c r="I526" s="188"/>
      <c r="J526" s="188" t="e">
        <f ca="1">VLOOKUP($D526,物料本月库存明細!$B:$J,9,0)</f>
        <v>#N/A</v>
      </c>
      <c r="K526" s="217"/>
    </row>
    <row r="527" customHeight="1" spans="1:11">
      <c r="A527" s="191"/>
      <c r="B527" s="189"/>
      <c r="C527" s="193"/>
      <c r="D527" s="192"/>
      <c r="E527" s="188" t="e">
        <f ca="1">VLOOKUP($D527,物料本月库存明細!$B:$J,2,0)</f>
        <v>#N/A</v>
      </c>
      <c r="F527" s="188" t="e">
        <f ca="1">VLOOKUP($D527,物料本月库存明細!$B:$J,5,0)</f>
        <v>#N/A</v>
      </c>
      <c r="G527" s="188"/>
      <c r="H527" s="188"/>
      <c r="I527" s="188"/>
      <c r="J527" s="188" t="e">
        <f ca="1">VLOOKUP($D527,物料本月库存明細!$B:$J,9,0)</f>
        <v>#N/A</v>
      </c>
      <c r="K527" s="217"/>
    </row>
    <row r="528" customHeight="1" spans="1:11">
      <c r="A528" s="191"/>
      <c r="B528" s="189"/>
      <c r="C528" s="193"/>
      <c r="D528" s="192"/>
      <c r="E528" s="188" t="e">
        <f ca="1">VLOOKUP($D528,物料本月库存明細!$B:$J,2,0)</f>
        <v>#N/A</v>
      </c>
      <c r="F528" s="188" t="e">
        <f ca="1">VLOOKUP($D528,物料本月库存明細!$B:$J,5,0)</f>
        <v>#N/A</v>
      </c>
      <c r="G528" s="188"/>
      <c r="H528" s="188"/>
      <c r="I528" s="188"/>
      <c r="J528" s="188" t="e">
        <f ca="1">VLOOKUP($D528,物料本月库存明細!$B:$J,9,0)</f>
        <v>#N/A</v>
      </c>
      <c r="K528" s="217"/>
    </row>
    <row r="529" customHeight="1" spans="1:11">
      <c r="A529" s="191"/>
      <c r="B529" s="189"/>
      <c r="C529" s="193"/>
      <c r="D529" s="192"/>
      <c r="E529" s="188" t="e">
        <f ca="1">VLOOKUP($D529,物料本月库存明細!$B:$J,2,0)</f>
        <v>#N/A</v>
      </c>
      <c r="F529" s="188" t="e">
        <f ca="1">VLOOKUP($D529,物料本月库存明細!$B:$J,5,0)</f>
        <v>#N/A</v>
      </c>
      <c r="G529" s="188"/>
      <c r="H529" s="188"/>
      <c r="I529" s="188"/>
      <c r="J529" s="188" t="e">
        <f ca="1">VLOOKUP($D529,物料本月库存明細!$B:$J,9,0)</f>
        <v>#N/A</v>
      </c>
      <c r="K529" s="217"/>
    </row>
    <row r="530" customHeight="1" spans="1:11">
      <c r="A530" s="191"/>
      <c r="B530" s="189"/>
      <c r="C530" s="193"/>
      <c r="D530" s="196"/>
      <c r="E530" s="188" t="e">
        <f ca="1">VLOOKUP($D530,物料本月库存明細!$B:$J,2,0)</f>
        <v>#N/A</v>
      </c>
      <c r="F530" s="188" t="e">
        <f ca="1">VLOOKUP($D530,物料本月库存明細!$B:$J,5,0)</f>
        <v>#N/A</v>
      </c>
      <c r="G530" s="188"/>
      <c r="H530" s="188"/>
      <c r="I530" s="188"/>
      <c r="J530" s="188" t="e">
        <f ca="1">VLOOKUP($D530,物料本月库存明細!$B:$J,9,0)</f>
        <v>#N/A</v>
      </c>
      <c r="K530" s="217"/>
    </row>
    <row r="531" customHeight="1" spans="1:11">
      <c r="A531" s="191"/>
      <c r="B531" s="189"/>
      <c r="C531" s="193"/>
      <c r="D531" s="192"/>
      <c r="E531" s="188" t="e">
        <f ca="1">VLOOKUP($D531,物料本月库存明細!$B:$J,2,0)</f>
        <v>#N/A</v>
      </c>
      <c r="F531" s="188" t="e">
        <f ca="1">VLOOKUP($D531,物料本月库存明細!$B:$J,5,0)</f>
        <v>#N/A</v>
      </c>
      <c r="G531" s="188"/>
      <c r="H531" s="188"/>
      <c r="I531" s="188"/>
      <c r="J531" s="188" t="e">
        <f ca="1">VLOOKUP($D531,物料本月库存明細!$B:$J,9,0)</f>
        <v>#N/A</v>
      </c>
      <c r="K531" s="217"/>
    </row>
    <row r="532" customHeight="1" spans="1:11">
      <c r="A532" s="191"/>
      <c r="B532" s="189"/>
      <c r="C532" s="193"/>
      <c r="D532" s="200"/>
      <c r="E532" s="188" t="e">
        <f ca="1">VLOOKUP($D532,物料本月库存明細!$B:$J,2,0)</f>
        <v>#N/A</v>
      </c>
      <c r="F532" s="188" t="e">
        <f ca="1">VLOOKUP($D532,物料本月库存明細!$B:$J,5,0)</f>
        <v>#N/A</v>
      </c>
      <c r="G532" s="188"/>
      <c r="H532" s="188"/>
      <c r="I532" s="188"/>
      <c r="J532" s="188" t="e">
        <f ca="1">VLOOKUP($D532,物料本月库存明細!$B:$J,9,0)</f>
        <v>#N/A</v>
      </c>
      <c r="K532" s="217"/>
    </row>
    <row r="533" customHeight="1" spans="1:11">
      <c r="A533" s="191"/>
      <c r="B533" s="189"/>
      <c r="C533" s="193"/>
      <c r="D533" s="197"/>
      <c r="E533" s="188" t="e">
        <f ca="1">VLOOKUP($D533,物料本月库存明細!$B:$J,2,0)</f>
        <v>#N/A</v>
      </c>
      <c r="F533" s="188" t="e">
        <f ca="1">VLOOKUP($D533,物料本月库存明細!$B:$J,5,0)</f>
        <v>#N/A</v>
      </c>
      <c r="G533" s="188"/>
      <c r="H533" s="188"/>
      <c r="I533" s="188"/>
      <c r="J533" s="188" t="e">
        <f ca="1">VLOOKUP($D533,物料本月库存明細!$B:$J,9,0)</f>
        <v>#N/A</v>
      </c>
      <c r="K533" s="217"/>
    </row>
    <row r="534" customHeight="1" spans="1:11">
      <c r="A534" s="191"/>
      <c r="B534" s="189"/>
      <c r="C534" s="193"/>
      <c r="D534" s="192"/>
      <c r="E534" s="188" t="e">
        <f ca="1">VLOOKUP($D534,物料本月库存明細!$B:$J,2,0)</f>
        <v>#N/A</v>
      </c>
      <c r="F534" s="188" t="e">
        <f ca="1">VLOOKUP($D534,物料本月库存明細!$B:$J,5,0)</f>
        <v>#N/A</v>
      </c>
      <c r="G534" s="188"/>
      <c r="H534" s="188"/>
      <c r="I534" s="188"/>
      <c r="J534" s="188" t="e">
        <f ca="1">VLOOKUP($D534,物料本月库存明細!$B:$J,9,0)</f>
        <v>#N/A</v>
      </c>
      <c r="K534" s="217"/>
    </row>
    <row r="535" customHeight="1" spans="1:11">
      <c r="A535" s="191"/>
      <c r="B535" s="189"/>
      <c r="C535" s="193"/>
      <c r="D535" s="192"/>
      <c r="E535" s="188" t="e">
        <f ca="1">VLOOKUP($D535,物料本月库存明細!$B:$J,2,0)</f>
        <v>#N/A</v>
      </c>
      <c r="F535" s="188" t="e">
        <f ca="1">VLOOKUP($D535,物料本月库存明細!$B:$J,5,0)</f>
        <v>#N/A</v>
      </c>
      <c r="G535" s="188"/>
      <c r="H535" s="188"/>
      <c r="I535" s="188"/>
      <c r="J535" s="188" t="e">
        <f ca="1">VLOOKUP($D535,物料本月库存明細!$B:$J,9,0)</f>
        <v>#N/A</v>
      </c>
      <c r="K535" s="217"/>
    </row>
    <row r="536" customHeight="1" spans="1:11">
      <c r="A536" s="191"/>
      <c r="B536" s="189"/>
      <c r="C536" s="193"/>
      <c r="D536" s="192"/>
      <c r="E536" s="188" t="e">
        <f ca="1">VLOOKUP($D536,物料本月库存明細!$B:$J,2,0)</f>
        <v>#N/A</v>
      </c>
      <c r="F536" s="188" t="e">
        <f ca="1">VLOOKUP($D536,物料本月库存明細!$B:$J,5,0)</f>
        <v>#N/A</v>
      </c>
      <c r="G536" s="188"/>
      <c r="H536" s="188"/>
      <c r="I536" s="188"/>
      <c r="J536" s="188" t="e">
        <f ca="1">VLOOKUP($D536,物料本月库存明細!$B:$J,9,0)</f>
        <v>#N/A</v>
      </c>
      <c r="K536" s="217"/>
    </row>
    <row r="537" customHeight="1" spans="1:11">
      <c r="A537" s="191"/>
      <c r="B537" s="189"/>
      <c r="C537" s="193"/>
      <c r="D537" s="192"/>
      <c r="E537" s="188" t="e">
        <f ca="1">VLOOKUP($D537,物料本月库存明細!$B:$J,2,0)</f>
        <v>#N/A</v>
      </c>
      <c r="F537" s="188" t="e">
        <f ca="1">VLOOKUP($D537,物料本月库存明細!$B:$J,5,0)</f>
        <v>#N/A</v>
      </c>
      <c r="G537" s="188"/>
      <c r="H537" s="188"/>
      <c r="I537" s="188"/>
      <c r="J537" s="188" t="e">
        <f ca="1">VLOOKUP($D537,物料本月库存明細!$B:$J,9,0)</f>
        <v>#N/A</v>
      </c>
      <c r="K537" s="217"/>
    </row>
    <row r="538" customHeight="1" spans="1:11">
      <c r="A538" s="191"/>
      <c r="B538" s="189"/>
      <c r="C538" s="193"/>
      <c r="D538" s="204"/>
      <c r="E538" s="188" t="e">
        <f ca="1">VLOOKUP($D538,物料本月库存明細!$B:$J,2,0)</f>
        <v>#N/A</v>
      </c>
      <c r="F538" s="188" t="e">
        <f ca="1">VLOOKUP($D538,物料本月库存明細!$B:$J,5,0)</f>
        <v>#N/A</v>
      </c>
      <c r="G538" s="188"/>
      <c r="H538" s="188"/>
      <c r="I538" s="188"/>
      <c r="J538" s="188" t="e">
        <f ca="1">VLOOKUP($D538,物料本月库存明細!$B:$J,9,0)</f>
        <v>#N/A</v>
      </c>
      <c r="K538" s="217"/>
    </row>
    <row r="539" customHeight="1" spans="1:11">
      <c r="A539" s="191"/>
      <c r="B539" s="189"/>
      <c r="C539" s="193"/>
      <c r="D539" s="196"/>
      <c r="E539" s="188" t="e">
        <f ca="1">VLOOKUP($D539,物料本月库存明細!$B:$J,2,0)</f>
        <v>#N/A</v>
      </c>
      <c r="F539" s="188" t="e">
        <f ca="1">VLOOKUP($D539,物料本月库存明細!$B:$J,5,0)</f>
        <v>#N/A</v>
      </c>
      <c r="G539" s="188"/>
      <c r="H539" s="188"/>
      <c r="I539" s="188"/>
      <c r="J539" s="188" t="e">
        <f ca="1">VLOOKUP($D539,物料本月库存明細!$B:$J,9,0)</f>
        <v>#N/A</v>
      </c>
      <c r="K539" s="217"/>
    </row>
    <row r="540" customHeight="1" spans="1:11">
      <c r="A540" s="191"/>
      <c r="B540" s="189"/>
      <c r="C540" s="193"/>
      <c r="D540" s="196"/>
      <c r="E540" s="188" t="e">
        <f ca="1">VLOOKUP($D540,物料本月库存明細!$B:$J,2,0)</f>
        <v>#N/A</v>
      </c>
      <c r="F540" s="188" t="e">
        <f ca="1">VLOOKUP($D540,物料本月库存明細!$B:$J,5,0)</f>
        <v>#N/A</v>
      </c>
      <c r="G540" s="188"/>
      <c r="H540" s="188"/>
      <c r="I540" s="188"/>
      <c r="J540" s="188" t="e">
        <f ca="1">VLOOKUP($D540,物料本月库存明細!$B:$J,9,0)</f>
        <v>#N/A</v>
      </c>
      <c r="K540" s="217"/>
    </row>
    <row r="541" customHeight="1" spans="1:11">
      <c r="A541" s="191"/>
      <c r="B541" s="189"/>
      <c r="C541" s="193"/>
      <c r="D541" s="196"/>
      <c r="E541" s="188" t="e">
        <f ca="1">VLOOKUP($D541,物料本月库存明細!$B:$J,2,0)</f>
        <v>#N/A</v>
      </c>
      <c r="F541" s="188" t="e">
        <f ca="1">VLOOKUP($D541,物料本月库存明細!$B:$J,5,0)</f>
        <v>#N/A</v>
      </c>
      <c r="G541" s="188"/>
      <c r="H541" s="188"/>
      <c r="I541" s="188"/>
      <c r="J541" s="188" t="e">
        <f ca="1">VLOOKUP($D541,物料本月库存明細!$B:$J,9,0)</f>
        <v>#N/A</v>
      </c>
      <c r="K541" s="217"/>
    </row>
    <row r="542" customHeight="1" spans="1:11">
      <c r="A542" s="191"/>
      <c r="B542" s="189"/>
      <c r="C542" s="193"/>
      <c r="D542" s="196"/>
      <c r="E542" s="188" t="e">
        <f ca="1">VLOOKUP($D542,物料本月库存明細!$B:$J,2,0)</f>
        <v>#N/A</v>
      </c>
      <c r="F542" s="188" t="e">
        <f ca="1">VLOOKUP($D542,物料本月库存明細!$B:$J,5,0)</f>
        <v>#N/A</v>
      </c>
      <c r="G542" s="188"/>
      <c r="H542" s="188"/>
      <c r="I542" s="188"/>
      <c r="J542" s="188" t="e">
        <f ca="1">VLOOKUP($D542,物料本月库存明細!$B:$J,9,0)</f>
        <v>#N/A</v>
      </c>
      <c r="K542" s="217"/>
    </row>
    <row r="543" customHeight="1" spans="1:11">
      <c r="A543" s="191"/>
      <c r="B543" s="189"/>
      <c r="C543" s="193"/>
      <c r="D543" s="196"/>
      <c r="E543" s="188" t="e">
        <f ca="1">VLOOKUP($D543,物料本月库存明細!$B:$J,2,0)</f>
        <v>#N/A</v>
      </c>
      <c r="F543" s="188" t="e">
        <f ca="1">VLOOKUP($D543,物料本月库存明細!$B:$J,5,0)</f>
        <v>#N/A</v>
      </c>
      <c r="G543" s="188"/>
      <c r="H543" s="188"/>
      <c r="I543" s="188"/>
      <c r="J543" s="188" t="e">
        <f ca="1">VLOOKUP($D543,物料本月库存明細!$B:$J,9,0)</f>
        <v>#N/A</v>
      </c>
      <c r="K543" s="217"/>
    </row>
    <row r="544" customHeight="1" spans="1:11">
      <c r="A544" s="191"/>
      <c r="B544" s="189"/>
      <c r="C544" s="193"/>
      <c r="D544" s="196"/>
      <c r="E544" s="188" t="e">
        <f ca="1">VLOOKUP($D544,物料本月库存明細!$B:$J,2,0)</f>
        <v>#N/A</v>
      </c>
      <c r="F544" s="188" t="e">
        <f ca="1">VLOOKUP($D544,物料本月库存明細!$B:$J,5,0)</f>
        <v>#N/A</v>
      </c>
      <c r="G544" s="188"/>
      <c r="H544" s="188"/>
      <c r="I544" s="188"/>
      <c r="J544" s="188" t="e">
        <f ca="1">VLOOKUP($D544,物料本月库存明細!$B:$J,9,0)</f>
        <v>#N/A</v>
      </c>
      <c r="K544" s="217"/>
    </row>
    <row r="545" customHeight="1" spans="1:11">
      <c r="A545" s="191"/>
      <c r="B545" s="189"/>
      <c r="C545" s="193"/>
      <c r="D545" s="196"/>
      <c r="E545" s="188" t="e">
        <f ca="1">VLOOKUP($D545,物料本月库存明細!$B:$J,2,0)</f>
        <v>#N/A</v>
      </c>
      <c r="F545" s="188" t="e">
        <f ca="1">VLOOKUP($D545,物料本月库存明細!$B:$J,5,0)</f>
        <v>#N/A</v>
      </c>
      <c r="G545" s="188"/>
      <c r="H545" s="188"/>
      <c r="I545" s="188"/>
      <c r="J545" s="188" t="e">
        <f ca="1">VLOOKUP($D545,物料本月库存明細!$B:$J,9,0)</f>
        <v>#N/A</v>
      </c>
      <c r="K545" s="217"/>
    </row>
    <row r="546" customHeight="1" spans="1:11">
      <c r="A546" s="191"/>
      <c r="B546" s="189"/>
      <c r="C546" s="193"/>
      <c r="D546" s="194"/>
      <c r="E546" s="188" t="e">
        <f ca="1">VLOOKUP($D546,物料本月库存明細!$B:$J,2,0)</f>
        <v>#N/A</v>
      </c>
      <c r="F546" s="188" t="e">
        <f ca="1">VLOOKUP($D546,物料本月库存明細!$B:$J,5,0)</f>
        <v>#N/A</v>
      </c>
      <c r="G546" s="188"/>
      <c r="H546" s="188"/>
      <c r="I546" s="188"/>
      <c r="J546" s="188" t="e">
        <f ca="1">VLOOKUP($D546,物料本月库存明細!$B:$J,9,0)</f>
        <v>#N/A</v>
      </c>
      <c r="K546" s="217"/>
    </row>
    <row r="547" customHeight="1" spans="1:11">
      <c r="A547" s="191"/>
      <c r="B547" s="189"/>
      <c r="C547" s="193"/>
      <c r="D547" s="192"/>
      <c r="E547" s="188" t="e">
        <f ca="1">VLOOKUP($D547,物料本月库存明細!$B:$J,2,0)</f>
        <v>#N/A</v>
      </c>
      <c r="F547" s="188" t="e">
        <f ca="1">VLOOKUP($D547,物料本月库存明細!$B:$J,5,0)</f>
        <v>#N/A</v>
      </c>
      <c r="G547" s="188"/>
      <c r="H547" s="188"/>
      <c r="I547" s="188"/>
      <c r="J547" s="188" t="e">
        <f ca="1">VLOOKUP($D547,物料本月库存明細!$B:$J,9,0)</f>
        <v>#N/A</v>
      </c>
      <c r="K547" s="217"/>
    </row>
    <row r="548" customHeight="1" spans="1:11">
      <c r="A548" s="191"/>
      <c r="B548" s="189"/>
      <c r="C548" s="193"/>
      <c r="D548" s="192"/>
      <c r="E548" s="188" t="e">
        <f ca="1">VLOOKUP($D548,物料本月库存明細!$B:$J,2,0)</f>
        <v>#N/A</v>
      </c>
      <c r="F548" s="188" t="e">
        <f ca="1">VLOOKUP($D548,物料本月库存明細!$B:$J,5,0)</f>
        <v>#N/A</v>
      </c>
      <c r="G548" s="188"/>
      <c r="H548" s="188"/>
      <c r="I548" s="188"/>
      <c r="J548" s="188" t="e">
        <f ca="1">VLOOKUP($D548,物料本月库存明細!$B:$J,9,0)</f>
        <v>#N/A</v>
      </c>
      <c r="K548" s="217"/>
    </row>
    <row r="549" customHeight="1" spans="1:11">
      <c r="A549" s="191"/>
      <c r="B549" s="189"/>
      <c r="C549" s="193"/>
      <c r="D549" s="196"/>
      <c r="E549" s="188" t="e">
        <f ca="1">VLOOKUP($D549,物料本月库存明細!$B:$J,2,0)</f>
        <v>#N/A</v>
      </c>
      <c r="F549" s="188" t="e">
        <f ca="1">VLOOKUP($D549,物料本月库存明細!$B:$J,5,0)</f>
        <v>#N/A</v>
      </c>
      <c r="G549" s="188"/>
      <c r="H549" s="188"/>
      <c r="I549" s="188"/>
      <c r="J549" s="188" t="e">
        <f ca="1">VLOOKUP($D549,物料本月库存明細!$B:$J,9,0)</f>
        <v>#N/A</v>
      </c>
      <c r="K549" s="217"/>
    </row>
    <row r="550" customHeight="1" spans="1:11">
      <c r="A550" s="191"/>
      <c r="B550" s="189"/>
      <c r="C550" s="193"/>
      <c r="D550" s="197"/>
      <c r="E550" s="188" t="e">
        <f ca="1">VLOOKUP($D550,物料本月库存明細!$B:$J,2,0)</f>
        <v>#N/A</v>
      </c>
      <c r="F550" s="188" t="e">
        <f ca="1">VLOOKUP($D550,物料本月库存明細!$B:$J,5,0)</f>
        <v>#N/A</v>
      </c>
      <c r="G550" s="188"/>
      <c r="H550" s="188"/>
      <c r="I550" s="188"/>
      <c r="J550" s="188" t="e">
        <f ca="1">VLOOKUP($D550,物料本月库存明細!$B:$J,9,0)</f>
        <v>#N/A</v>
      </c>
      <c r="K550" s="217"/>
    </row>
    <row r="551" customHeight="1" spans="1:11">
      <c r="A551" s="191"/>
      <c r="B551" s="189"/>
      <c r="C551" s="193"/>
      <c r="D551" s="197"/>
      <c r="E551" s="188" t="e">
        <f ca="1">VLOOKUP($D551,物料本月库存明細!$B:$J,2,0)</f>
        <v>#N/A</v>
      </c>
      <c r="F551" s="188" t="e">
        <f ca="1">VLOOKUP($D551,物料本月库存明細!$B:$J,5,0)</f>
        <v>#N/A</v>
      </c>
      <c r="G551" s="188"/>
      <c r="H551" s="188"/>
      <c r="I551" s="188"/>
      <c r="J551" s="188" t="e">
        <f ca="1">VLOOKUP($D551,物料本月库存明細!$B:$J,9,0)</f>
        <v>#N/A</v>
      </c>
      <c r="K551" s="217"/>
    </row>
    <row r="552" customHeight="1" spans="1:11">
      <c r="A552" s="191"/>
      <c r="B552" s="189"/>
      <c r="C552" s="193"/>
      <c r="D552" s="197"/>
      <c r="E552" s="188" t="e">
        <f ca="1">VLOOKUP($D552,物料本月库存明細!$B:$J,2,0)</f>
        <v>#N/A</v>
      </c>
      <c r="F552" s="188" t="e">
        <f ca="1">VLOOKUP($D552,物料本月库存明細!$B:$J,5,0)</f>
        <v>#N/A</v>
      </c>
      <c r="G552" s="188"/>
      <c r="H552" s="188"/>
      <c r="I552" s="188"/>
      <c r="J552" s="188" t="e">
        <f ca="1">VLOOKUP($D552,物料本月库存明細!$B:$J,9,0)</f>
        <v>#N/A</v>
      </c>
      <c r="K552" s="217"/>
    </row>
    <row r="553" customHeight="1" spans="1:11">
      <c r="A553" s="191"/>
      <c r="B553" s="189"/>
      <c r="C553" s="193"/>
      <c r="D553" s="197"/>
      <c r="E553" s="188" t="e">
        <f ca="1">VLOOKUP($D553,物料本月库存明細!$B:$J,2,0)</f>
        <v>#N/A</v>
      </c>
      <c r="F553" s="188" t="e">
        <f ca="1">VLOOKUP($D553,物料本月库存明細!$B:$J,5,0)</f>
        <v>#N/A</v>
      </c>
      <c r="G553" s="188"/>
      <c r="H553" s="188"/>
      <c r="I553" s="188"/>
      <c r="J553" s="188" t="e">
        <f ca="1">VLOOKUP($D553,物料本月库存明細!$B:$J,9,0)</f>
        <v>#N/A</v>
      </c>
      <c r="K553" s="217"/>
    </row>
    <row r="554" customHeight="1" spans="1:11">
      <c r="A554" s="191"/>
      <c r="B554" s="189"/>
      <c r="C554" s="193"/>
      <c r="D554" s="197"/>
      <c r="E554" s="188" t="e">
        <f ca="1">VLOOKUP($D554,物料本月库存明細!$B:$J,2,0)</f>
        <v>#N/A</v>
      </c>
      <c r="F554" s="188" t="e">
        <f ca="1">VLOOKUP($D554,物料本月库存明細!$B:$J,5,0)</f>
        <v>#N/A</v>
      </c>
      <c r="G554" s="188"/>
      <c r="H554" s="188"/>
      <c r="I554" s="188"/>
      <c r="J554" s="188" t="e">
        <f ca="1">VLOOKUP($D554,物料本月库存明細!$B:$J,9,0)</f>
        <v>#N/A</v>
      </c>
      <c r="K554" s="217"/>
    </row>
    <row r="555" customHeight="1" spans="1:11">
      <c r="A555" s="191"/>
      <c r="B555" s="189"/>
      <c r="C555" s="193"/>
      <c r="D555" s="197"/>
      <c r="E555" s="188" t="e">
        <f ca="1">VLOOKUP($D555,物料本月库存明細!$B:$J,2,0)</f>
        <v>#N/A</v>
      </c>
      <c r="F555" s="188" t="e">
        <f ca="1">VLOOKUP($D555,物料本月库存明細!$B:$J,5,0)</f>
        <v>#N/A</v>
      </c>
      <c r="G555" s="188"/>
      <c r="H555" s="188"/>
      <c r="I555" s="188"/>
      <c r="J555" s="188" t="e">
        <f ca="1">VLOOKUP($D555,物料本月库存明細!$B:$J,9,0)</f>
        <v>#N/A</v>
      </c>
      <c r="K555" s="217"/>
    </row>
    <row r="556" customHeight="1" spans="1:11">
      <c r="A556" s="191"/>
      <c r="B556" s="189"/>
      <c r="C556" s="193"/>
      <c r="D556" s="197"/>
      <c r="E556" s="188" t="e">
        <f ca="1">VLOOKUP($D556,物料本月库存明細!$B:$J,2,0)</f>
        <v>#N/A</v>
      </c>
      <c r="F556" s="188" t="e">
        <f ca="1">VLOOKUP($D556,物料本月库存明細!$B:$J,5,0)</f>
        <v>#N/A</v>
      </c>
      <c r="G556" s="188"/>
      <c r="H556" s="188"/>
      <c r="I556" s="188"/>
      <c r="J556" s="188" t="e">
        <f ca="1">VLOOKUP($D556,物料本月库存明細!$B:$J,9,0)</f>
        <v>#N/A</v>
      </c>
      <c r="K556" s="217"/>
    </row>
    <row r="557" customHeight="1" spans="1:11">
      <c r="A557" s="191"/>
      <c r="B557" s="189"/>
      <c r="C557" s="193"/>
      <c r="D557" s="197"/>
      <c r="E557" s="188" t="e">
        <f ca="1">VLOOKUP($D557,物料本月库存明細!$B:$J,2,0)</f>
        <v>#N/A</v>
      </c>
      <c r="F557" s="188" t="e">
        <f ca="1">VLOOKUP($D557,物料本月库存明細!$B:$J,5,0)</f>
        <v>#N/A</v>
      </c>
      <c r="G557" s="188"/>
      <c r="H557" s="188"/>
      <c r="I557" s="188"/>
      <c r="J557" s="188" t="e">
        <f ca="1">VLOOKUP($D557,物料本月库存明細!$B:$J,9,0)</f>
        <v>#N/A</v>
      </c>
      <c r="K557" s="217"/>
    </row>
    <row r="558" customHeight="1" spans="1:11">
      <c r="A558" s="191"/>
      <c r="B558" s="189"/>
      <c r="C558" s="193"/>
      <c r="D558" s="197"/>
      <c r="E558" s="188" t="e">
        <f ca="1">VLOOKUP($D558,物料本月库存明細!$B:$J,2,0)</f>
        <v>#N/A</v>
      </c>
      <c r="F558" s="188" t="e">
        <f ca="1">VLOOKUP($D558,物料本月库存明細!$B:$J,5,0)</f>
        <v>#N/A</v>
      </c>
      <c r="G558" s="188"/>
      <c r="H558" s="188"/>
      <c r="I558" s="188"/>
      <c r="J558" s="188" t="e">
        <f ca="1">VLOOKUP($D558,物料本月库存明細!$B:$J,9,0)</f>
        <v>#N/A</v>
      </c>
      <c r="K558" s="217"/>
    </row>
    <row r="559" customHeight="1" spans="1:11">
      <c r="A559" s="191"/>
      <c r="B559" s="189"/>
      <c r="C559" s="193"/>
      <c r="D559" s="197"/>
      <c r="E559" s="188" t="e">
        <f ca="1">VLOOKUP($D559,物料本月库存明細!$B:$J,2,0)</f>
        <v>#N/A</v>
      </c>
      <c r="F559" s="188" t="e">
        <f ca="1">VLOOKUP($D559,物料本月库存明細!$B:$J,5,0)</f>
        <v>#N/A</v>
      </c>
      <c r="G559" s="188"/>
      <c r="H559" s="188"/>
      <c r="I559" s="188"/>
      <c r="J559" s="188" t="e">
        <f ca="1">VLOOKUP($D559,物料本月库存明細!$B:$J,9,0)</f>
        <v>#N/A</v>
      </c>
      <c r="K559" s="217"/>
    </row>
    <row r="560" customHeight="1" spans="1:11">
      <c r="A560" s="191"/>
      <c r="B560" s="189"/>
      <c r="C560" s="193"/>
      <c r="D560" s="197"/>
      <c r="E560" s="188" t="e">
        <f ca="1">VLOOKUP($D560,物料本月库存明細!$B:$J,2,0)</f>
        <v>#N/A</v>
      </c>
      <c r="F560" s="188" t="e">
        <f ca="1">VLOOKUP($D560,物料本月库存明細!$B:$J,5,0)</f>
        <v>#N/A</v>
      </c>
      <c r="G560" s="188"/>
      <c r="H560" s="188"/>
      <c r="I560" s="188"/>
      <c r="J560" s="188" t="e">
        <f ca="1">VLOOKUP($D560,物料本月库存明細!$B:$J,9,0)</f>
        <v>#N/A</v>
      </c>
      <c r="K560" s="217"/>
    </row>
    <row r="561" customHeight="1" spans="1:11">
      <c r="A561" s="191"/>
      <c r="B561" s="189"/>
      <c r="C561" s="193"/>
      <c r="D561" s="197"/>
      <c r="E561" s="188" t="e">
        <f ca="1">VLOOKUP($D561,物料本月库存明細!$B:$J,2,0)</f>
        <v>#N/A</v>
      </c>
      <c r="F561" s="188" t="e">
        <f ca="1">VLOOKUP($D561,物料本月库存明細!$B:$J,5,0)</f>
        <v>#N/A</v>
      </c>
      <c r="G561" s="188"/>
      <c r="H561" s="188"/>
      <c r="I561" s="188"/>
      <c r="J561" s="188" t="e">
        <f ca="1">VLOOKUP($D561,物料本月库存明細!$B:$J,9,0)</f>
        <v>#N/A</v>
      </c>
      <c r="K561" s="217"/>
    </row>
    <row r="562" customHeight="1" spans="1:11">
      <c r="A562" s="191"/>
      <c r="B562" s="189"/>
      <c r="C562" s="193"/>
      <c r="D562" s="197"/>
      <c r="E562" s="188" t="e">
        <f ca="1">VLOOKUP($D562,物料本月库存明細!$B:$J,2,0)</f>
        <v>#N/A</v>
      </c>
      <c r="F562" s="188" t="e">
        <f ca="1">VLOOKUP($D562,物料本月库存明細!$B:$J,5,0)</f>
        <v>#N/A</v>
      </c>
      <c r="G562" s="188"/>
      <c r="H562" s="188"/>
      <c r="I562" s="188"/>
      <c r="J562" s="188" t="e">
        <f ca="1">VLOOKUP($D562,物料本月库存明細!$B:$J,9,0)</f>
        <v>#N/A</v>
      </c>
      <c r="K562" s="217"/>
    </row>
    <row r="563" customHeight="1" spans="1:11">
      <c r="A563" s="191"/>
      <c r="B563" s="189"/>
      <c r="C563" s="193"/>
      <c r="D563" s="197"/>
      <c r="E563" s="188" t="e">
        <f ca="1">VLOOKUP($D563,物料本月库存明細!$B:$J,2,0)</f>
        <v>#N/A</v>
      </c>
      <c r="F563" s="188" t="e">
        <f ca="1">VLOOKUP($D563,物料本月库存明細!$B:$J,5,0)</f>
        <v>#N/A</v>
      </c>
      <c r="G563" s="188"/>
      <c r="H563" s="188"/>
      <c r="I563" s="188"/>
      <c r="J563" s="188" t="e">
        <f ca="1">VLOOKUP($D563,物料本月库存明細!$B:$J,9,0)</f>
        <v>#N/A</v>
      </c>
      <c r="K563" s="217"/>
    </row>
    <row r="564" customHeight="1" spans="1:11">
      <c r="A564" s="191"/>
      <c r="B564" s="189"/>
      <c r="C564" s="193"/>
      <c r="D564" s="197"/>
      <c r="E564" s="188" t="e">
        <f ca="1">VLOOKUP($D564,物料本月库存明細!$B:$J,2,0)</f>
        <v>#N/A</v>
      </c>
      <c r="F564" s="188" t="e">
        <f ca="1">VLOOKUP($D564,物料本月库存明細!$B:$J,5,0)</f>
        <v>#N/A</v>
      </c>
      <c r="G564" s="188"/>
      <c r="H564" s="188"/>
      <c r="I564" s="188"/>
      <c r="J564" s="188" t="e">
        <f ca="1">VLOOKUP($D564,物料本月库存明細!$B:$J,9,0)</f>
        <v>#N/A</v>
      </c>
      <c r="K564" s="217"/>
    </row>
    <row r="565" customHeight="1" spans="1:11">
      <c r="A565" s="191"/>
      <c r="B565" s="189"/>
      <c r="C565" s="193"/>
      <c r="D565" s="197"/>
      <c r="E565" s="188" t="e">
        <f ca="1">VLOOKUP($D565,物料本月库存明細!$B:$J,2,0)</f>
        <v>#N/A</v>
      </c>
      <c r="F565" s="188" t="e">
        <f ca="1">VLOOKUP($D565,物料本月库存明細!$B:$J,5,0)</f>
        <v>#N/A</v>
      </c>
      <c r="G565" s="188"/>
      <c r="H565" s="188"/>
      <c r="I565" s="188"/>
      <c r="J565" s="188" t="e">
        <f ca="1">VLOOKUP($D565,物料本月库存明細!$B:$J,9,0)</f>
        <v>#N/A</v>
      </c>
      <c r="K565" s="217"/>
    </row>
    <row r="566" customHeight="1" spans="1:11">
      <c r="A566" s="191"/>
      <c r="B566" s="189"/>
      <c r="C566" s="193"/>
      <c r="D566" s="197"/>
      <c r="E566" s="188" t="e">
        <f ca="1">VLOOKUP($D566,物料本月库存明細!$B:$J,2,0)</f>
        <v>#N/A</v>
      </c>
      <c r="F566" s="188" t="e">
        <f ca="1">VLOOKUP($D566,物料本月库存明細!$B:$J,5,0)</f>
        <v>#N/A</v>
      </c>
      <c r="G566" s="188"/>
      <c r="H566" s="188"/>
      <c r="I566" s="188"/>
      <c r="J566" s="188" t="e">
        <f ca="1">VLOOKUP($D566,物料本月库存明細!$B:$J,9,0)</f>
        <v>#N/A</v>
      </c>
      <c r="K566" s="217"/>
    </row>
    <row r="567" customHeight="1" spans="1:11">
      <c r="A567" s="191"/>
      <c r="B567" s="189"/>
      <c r="C567" s="193"/>
      <c r="D567" s="197"/>
      <c r="E567" s="188" t="e">
        <f ca="1">VLOOKUP($D567,物料本月库存明細!$B:$J,2,0)</f>
        <v>#N/A</v>
      </c>
      <c r="F567" s="188" t="e">
        <f ca="1">VLOOKUP($D567,物料本月库存明細!$B:$J,5,0)</f>
        <v>#N/A</v>
      </c>
      <c r="G567" s="188"/>
      <c r="H567" s="188"/>
      <c r="I567" s="188"/>
      <c r="J567" s="188" t="e">
        <f ca="1">VLOOKUP($D567,物料本月库存明細!$B:$J,9,0)</f>
        <v>#N/A</v>
      </c>
      <c r="K567" s="217"/>
    </row>
    <row r="568" customHeight="1" spans="1:11">
      <c r="A568" s="191"/>
      <c r="B568" s="189"/>
      <c r="C568" s="193"/>
      <c r="D568" s="197"/>
      <c r="E568" s="188" t="e">
        <f ca="1">VLOOKUP($D568,物料本月库存明細!$B:$J,2,0)</f>
        <v>#N/A</v>
      </c>
      <c r="F568" s="188" t="e">
        <f ca="1">VLOOKUP($D568,物料本月库存明細!$B:$J,5,0)</f>
        <v>#N/A</v>
      </c>
      <c r="G568" s="188"/>
      <c r="H568" s="188"/>
      <c r="I568" s="188"/>
      <c r="J568" s="188" t="e">
        <f ca="1">VLOOKUP($D568,物料本月库存明細!$B:$J,9,0)</f>
        <v>#N/A</v>
      </c>
      <c r="K568" s="217"/>
    </row>
    <row r="569" customHeight="1" spans="1:11">
      <c r="A569" s="191"/>
      <c r="B569" s="189"/>
      <c r="C569" s="193"/>
      <c r="D569" s="197"/>
      <c r="E569" s="188" t="e">
        <f ca="1">VLOOKUP($D569,物料本月库存明細!$B:$J,2,0)</f>
        <v>#N/A</v>
      </c>
      <c r="F569" s="188" t="e">
        <f ca="1">VLOOKUP($D569,物料本月库存明細!$B:$J,5,0)</f>
        <v>#N/A</v>
      </c>
      <c r="G569" s="188"/>
      <c r="H569" s="188"/>
      <c r="I569" s="188"/>
      <c r="J569" s="188" t="e">
        <f ca="1">VLOOKUP($D569,物料本月库存明細!$B:$J,9,0)</f>
        <v>#N/A</v>
      </c>
      <c r="K569" s="217"/>
    </row>
    <row r="570" customHeight="1" spans="1:11">
      <c r="A570" s="191"/>
      <c r="B570" s="189"/>
      <c r="C570" s="193"/>
      <c r="D570" s="197"/>
      <c r="E570" s="188" t="e">
        <f ca="1">VLOOKUP($D570,物料本月库存明細!$B:$J,2,0)</f>
        <v>#N/A</v>
      </c>
      <c r="F570" s="188" t="e">
        <f ca="1">VLOOKUP($D570,物料本月库存明細!$B:$J,5,0)</f>
        <v>#N/A</v>
      </c>
      <c r="G570" s="188"/>
      <c r="H570" s="188"/>
      <c r="I570" s="188"/>
      <c r="J570" s="188" t="e">
        <f ca="1">VLOOKUP($D570,物料本月库存明細!$B:$J,9,0)</f>
        <v>#N/A</v>
      </c>
      <c r="K570" s="217"/>
    </row>
    <row r="571" customHeight="1" spans="1:11">
      <c r="A571" s="191"/>
      <c r="B571" s="189"/>
      <c r="C571" s="193"/>
      <c r="D571" s="197"/>
      <c r="E571" s="188" t="e">
        <f ca="1">VLOOKUP($D571,物料本月库存明細!$B:$J,2,0)</f>
        <v>#N/A</v>
      </c>
      <c r="F571" s="188" t="e">
        <f ca="1">VLOOKUP($D571,物料本月库存明細!$B:$J,5,0)</f>
        <v>#N/A</v>
      </c>
      <c r="G571" s="188"/>
      <c r="H571" s="188"/>
      <c r="I571" s="188"/>
      <c r="J571" s="188" t="e">
        <f ca="1">VLOOKUP($D571,物料本月库存明細!$B:$J,9,0)</f>
        <v>#N/A</v>
      </c>
      <c r="K571" s="217"/>
    </row>
    <row r="572" customHeight="1" spans="1:11">
      <c r="A572" s="191"/>
      <c r="B572" s="189"/>
      <c r="C572" s="193"/>
      <c r="D572" s="197"/>
      <c r="E572" s="188" t="e">
        <f ca="1">VLOOKUP($D572,物料本月库存明細!$B:$J,2,0)</f>
        <v>#N/A</v>
      </c>
      <c r="F572" s="188" t="e">
        <f ca="1">VLOOKUP($D572,物料本月库存明細!$B:$J,5,0)</f>
        <v>#N/A</v>
      </c>
      <c r="G572" s="188"/>
      <c r="H572" s="188"/>
      <c r="I572" s="188"/>
      <c r="J572" s="188" t="e">
        <f ca="1">VLOOKUP($D572,物料本月库存明細!$B:$J,9,0)</f>
        <v>#N/A</v>
      </c>
      <c r="K572" s="217"/>
    </row>
    <row r="573" customHeight="1" spans="1:11">
      <c r="A573" s="191"/>
      <c r="B573" s="189"/>
      <c r="C573" s="193"/>
      <c r="D573" s="197"/>
      <c r="E573" s="188" t="e">
        <f ca="1">VLOOKUP($D573,物料本月库存明細!$B:$J,2,0)</f>
        <v>#N/A</v>
      </c>
      <c r="F573" s="188" t="e">
        <f ca="1">VLOOKUP($D573,物料本月库存明細!$B:$J,5,0)</f>
        <v>#N/A</v>
      </c>
      <c r="G573" s="188"/>
      <c r="H573" s="188"/>
      <c r="I573" s="188"/>
      <c r="J573" s="188" t="e">
        <f ca="1">VLOOKUP($D573,物料本月库存明細!$B:$J,9,0)</f>
        <v>#N/A</v>
      </c>
      <c r="K573" s="217"/>
    </row>
    <row r="574" customHeight="1" spans="1:11">
      <c r="A574" s="191"/>
      <c r="B574" s="189"/>
      <c r="C574" s="193"/>
      <c r="D574" s="197"/>
      <c r="E574" s="188" t="e">
        <f ca="1">VLOOKUP($D574,物料本月库存明細!$B:$J,2,0)</f>
        <v>#N/A</v>
      </c>
      <c r="F574" s="188" t="e">
        <f ca="1">VLOOKUP($D574,物料本月库存明細!$B:$J,5,0)</f>
        <v>#N/A</v>
      </c>
      <c r="G574" s="188"/>
      <c r="H574" s="188"/>
      <c r="I574" s="188"/>
      <c r="J574" s="188" t="e">
        <f ca="1">VLOOKUP($D574,物料本月库存明細!$B:$J,9,0)</f>
        <v>#N/A</v>
      </c>
      <c r="K574" s="217"/>
    </row>
    <row r="575" customHeight="1" spans="1:11">
      <c r="A575" s="191"/>
      <c r="B575" s="189"/>
      <c r="C575" s="193"/>
      <c r="D575" s="197"/>
      <c r="E575" s="188" t="e">
        <f ca="1">VLOOKUP($D575,物料本月库存明細!$B:$J,2,0)</f>
        <v>#N/A</v>
      </c>
      <c r="F575" s="188" t="e">
        <f ca="1">VLOOKUP($D575,物料本月库存明細!$B:$J,5,0)</f>
        <v>#N/A</v>
      </c>
      <c r="G575" s="188"/>
      <c r="H575" s="188"/>
      <c r="I575" s="188"/>
      <c r="J575" s="188" t="e">
        <f ca="1">VLOOKUP($D575,物料本月库存明細!$B:$J,9,0)</f>
        <v>#N/A</v>
      </c>
      <c r="K575" s="217"/>
    </row>
    <row r="576" customHeight="1" spans="1:11">
      <c r="A576" s="191"/>
      <c r="B576" s="189"/>
      <c r="C576" s="193"/>
      <c r="D576" s="197"/>
      <c r="E576" s="188" t="e">
        <f ca="1">VLOOKUP($D576,物料本月库存明細!$B:$J,2,0)</f>
        <v>#N/A</v>
      </c>
      <c r="F576" s="188" t="e">
        <f ca="1">VLOOKUP($D576,物料本月库存明細!$B:$J,5,0)</f>
        <v>#N/A</v>
      </c>
      <c r="G576" s="188"/>
      <c r="H576" s="188"/>
      <c r="I576" s="188"/>
      <c r="J576" s="188" t="e">
        <f ca="1">VLOOKUP($D576,物料本月库存明細!$B:$J,9,0)</f>
        <v>#N/A</v>
      </c>
      <c r="K576" s="217"/>
    </row>
    <row r="577" customHeight="1" spans="1:11">
      <c r="A577" s="191"/>
      <c r="B577" s="189"/>
      <c r="C577" s="193"/>
      <c r="D577" s="197"/>
      <c r="E577" s="188" t="e">
        <f ca="1">VLOOKUP($D577,物料本月库存明細!$B:$J,2,0)</f>
        <v>#N/A</v>
      </c>
      <c r="F577" s="188" t="e">
        <f ca="1">VLOOKUP($D577,物料本月库存明細!$B:$J,5,0)</f>
        <v>#N/A</v>
      </c>
      <c r="G577" s="188"/>
      <c r="H577" s="188"/>
      <c r="I577" s="188"/>
      <c r="J577" s="188" t="e">
        <f ca="1">VLOOKUP($D577,物料本月库存明細!$B:$J,9,0)</f>
        <v>#N/A</v>
      </c>
      <c r="K577" s="217"/>
    </row>
    <row r="578" customHeight="1" spans="1:11">
      <c r="A578" s="191"/>
      <c r="B578" s="189"/>
      <c r="C578" s="193"/>
      <c r="D578" s="197"/>
      <c r="E578" s="188" t="e">
        <f ca="1">VLOOKUP($D578,物料本月库存明細!$B:$J,2,0)</f>
        <v>#N/A</v>
      </c>
      <c r="F578" s="188" t="e">
        <f ca="1">VLOOKUP($D578,物料本月库存明細!$B:$J,5,0)</f>
        <v>#N/A</v>
      </c>
      <c r="G578" s="188"/>
      <c r="H578" s="188"/>
      <c r="I578" s="188"/>
      <c r="J578" s="188" t="e">
        <f ca="1">VLOOKUP($D578,物料本月库存明細!$B:$J,9,0)</f>
        <v>#N/A</v>
      </c>
      <c r="K578" s="217"/>
    </row>
    <row r="579" customHeight="1" spans="1:11">
      <c r="A579" s="191"/>
      <c r="B579" s="189"/>
      <c r="C579" s="193"/>
      <c r="D579" s="197"/>
      <c r="E579" s="188" t="e">
        <f ca="1">VLOOKUP($D579,物料本月库存明細!$B:$J,2,0)</f>
        <v>#N/A</v>
      </c>
      <c r="F579" s="188" t="e">
        <f ca="1">VLOOKUP($D579,物料本月库存明細!$B:$J,5,0)</f>
        <v>#N/A</v>
      </c>
      <c r="G579" s="188"/>
      <c r="H579" s="188"/>
      <c r="I579" s="188"/>
      <c r="J579" s="188" t="e">
        <f ca="1">VLOOKUP($D579,物料本月库存明細!$B:$J,9,0)</f>
        <v>#N/A</v>
      </c>
      <c r="K579" s="217"/>
    </row>
    <row r="580" customHeight="1" spans="1:11">
      <c r="A580" s="191"/>
      <c r="B580" s="189"/>
      <c r="C580" s="193"/>
      <c r="D580" s="197"/>
      <c r="E580" s="188" t="e">
        <f ca="1">VLOOKUP($D580,物料本月库存明細!$B:$J,2,0)</f>
        <v>#N/A</v>
      </c>
      <c r="F580" s="188" t="e">
        <f ca="1">VLOOKUP($D580,物料本月库存明細!$B:$J,5,0)</f>
        <v>#N/A</v>
      </c>
      <c r="G580" s="188"/>
      <c r="H580" s="188"/>
      <c r="I580" s="188"/>
      <c r="J580" s="188" t="e">
        <f ca="1">VLOOKUP($D580,物料本月库存明細!$B:$J,9,0)</f>
        <v>#N/A</v>
      </c>
      <c r="K580" s="217"/>
    </row>
    <row r="581" customHeight="1" spans="1:11">
      <c r="A581" s="191"/>
      <c r="B581" s="189"/>
      <c r="C581" s="193"/>
      <c r="D581" s="197"/>
      <c r="E581" s="188" t="e">
        <f ca="1">VLOOKUP($D581,物料本月库存明細!$B:$J,2,0)</f>
        <v>#N/A</v>
      </c>
      <c r="F581" s="188" t="e">
        <f ca="1">VLOOKUP($D581,物料本月库存明細!$B:$J,5,0)</f>
        <v>#N/A</v>
      </c>
      <c r="G581" s="188"/>
      <c r="H581" s="188"/>
      <c r="I581" s="188"/>
      <c r="J581" s="188" t="e">
        <f ca="1">VLOOKUP($D581,物料本月库存明細!$B:$J,9,0)</f>
        <v>#N/A</v>
      </c>
      <c r="K581" s="217"/>
    </row>
    <row r="582" customHeight="1" spans="1:11">
      <c r="A582" s="191"/>
      <c r="B582" s="189"/>
      <c r="C582" s="193"/>
      <c r="D582" s="197"/>
      <c r="E582" s="188" t="e">
        <f ca="1">VLOOKUP($D582,物料本月库存明細!$B:$J,2,0)</f>
        <v>#N/A</v>
      </c>
      <c r="F582" s="188" t="e">
        <f ca="1">VLOOKUP($D582,物料本月库存明細!$B:$J,5,0)</f>
        <v>#N/A</v>
      </c>
      <c r="G582" s="188"/>
      <c r="H582" s="188"/>
      <c r="I582" s="188"/>
      <c r="J582" s="188" t="e">
        <f ca="1">VLOOKUP($D582,物料本月库存明細!$B:$J,9,0)</f>
        <v>#N/A</v>
      </c>
      <c r="K582" s="217"/>
    </row>
    <row r="583" customHeight="1" spans="1:11">
      <c r="A583" s="191"/>
      <c r="B583" s="189"/>
      <c r="C583" s="193"/>
      <c r="D583" s="197"/>
      <c r="E583" s="188" t="e">
        <f ca="1">VLOOKUP($D583,物料本月库存明細!$B:$J,2,0)</f>
        <v>#N/A</v>
      </c>
      <c r="F583" s="188" t="e">
        <f ca="1">VLOOKUP($D583,物料本月库存明細!$B:$J,5,0)</f>
        <v>#N/A</v>
      </c>
      <c r="G583" s="188"/>
      <c r="H583" s="188"/>
      <c r="I583" s="188"/>
      <c r="J583" s="188" t="e">
        <f ca="1">VLOOKUP($D583,物料本月库存明細!$B:$J,9,0)</f>
        <v>#N/A</v>
      </c>
      <c r="K583" s="217"/>
    </row>
    <row r="584" customHeight="1" spans="1:11">
      <c r="A584" s="191"/>
      <c r="B584" s="189"/>
      <c r="C584" s="193"/>
      <c r="D584" s="197"/>
      <c r="E584" s="188" t="e">
        <f ca="1">VLOOKUP($D584,物料本月库存明細!$B:$J,2,0)</f>
        <v>#N/A</v>
      </c>
      <c r="F584" s="188" t="e">
        <f ca="1">VLOOKUP($D584,物料本月库存明細!$B:$J,5,0)</f>
        <v>#N/A</v>
      </c>
      <c r="G584" s="188"/>
      <c r="H584" s="188"/>
      <c r="I584" s="188"/>
      <c r="J584" s="188" t="e">
        <f ca="1">VLOOKUP($D584,物料本月库存明細!$B:$J,9,0)</f>
        <v>#N/A</v>
      </c>
      <c r="K584" s="217"/>
    </row>
    <row r="585" customHeight="1" spans="1:11">
      <c r="A585" s="191"/>
      <c r="B585" s="189"/>
      <c r="C585" s="193"/>
      <c r="D585" s="197"/>
      <c r="E585" s="188" t="e">
        <f ca="1">VLOOKUP($D585,物料本月库存明細!$B:$J,2,0)</f>
        <v>#N/A</v>
      </c>
      <c r="F585" s="188" t="e">
        <f ca="1">VLOOKUP($D585,物料本月库存明細!$B:$J,5,0)</f>
        <v>#N/A</v>
      </c>
      <c r="G585" s="188"/>
      <c r="H585" s="188"/>
      <c r="I585" s="188"/>
      <c r="J585" s="188" t="e">
        <f ca="1">VLOOKUP($D585,物料本月库存明細!$B:$J,9,0)</f>
        <v>#N/A</v>
      </c>
      <c r="K585" s="217"/>
    </row>
    <row r="586" customHeight="1" spans="1:11">
      <c r="A586" s="191"/>
      <c r="B586" s="189"/>
      <c r="C586" s="193"/>
      <c r="D586" s="197"/>
      <c r="E586" s="188" t="e">
        <f ca="1">VLOOKUP($D586,物料本月库存明細!$B:$J,2,0)</f>
        <v>#N/A</v>
      </c>
      <c r="F586" s="188" t="e">
        <f ca="1">VLOOKUP($D586,物料本月库存明細!$B:$J,5,0)</f>
        <v>#N/A</v>
      </c>
      <c r="G586" s="188"/>
      <c r="H586" s="188"/>
      <c r="I586" s="188"/>
      <c r="J586" s="188" t="e">
        <f ca="1">VLOOKUP($D586,物料本月库存明細!$B:$J,9,0)</f>
        <v>#N/A</v>
      </c>
      <c r="K586" s="217"/>
    </row>
    <row r="587" customHeight="1" spans="1:11">
      <c r="A587" s="191"/>
      <c r="B587" s="189"/>
      <c r="C587" s="193"/>
      <c r="D587" s="197"/>
      <c r="E587" s="188" t="e">
        <f ca="1">VLOOKUP($D587,物料本月库存明細!$B:$J,2,0)</f>
        <v>#N/A</v>
      </c>
      <c r="F587" s="188" t="e">
        <f ca="1">VLOOKUP($D587,物料本月库存明細!$B:$J,5,0)</f>
        <v>#N/A</v>
      </c>
      <c r="G587" s="188"/>
      <c r="H587" s="188"/>
      <c r="I587" s="188"/>
      <c r="J587" s="188" t="e">
        <f ca="1">VLOOKUP($D587,物料本月库存明細!$B:$J,9,0)</f>
        <v>#N/A</v>
      </c>
      <c r="K587" s="217"/>
    </row>
    <row r="588" customHeight="1" spans="1:11">
      <c r="A588" s="191"/>
      <c r="B588" s="189"/>
      <c r="C588" s="193"/>
      <c r="D588" s="197"/>
      <c r="E588" s="188" t="e">
        <f ca="1">VLOOKUP($D588,物料本月库存明細!$B:$J,2,0)</f>
        <v>#N/A</v>
      </c>
      <c r="F588" s="188" t="e">
        <f ca="1">VLOOKUP($D588,物料本月库存明細!$B:$J,5,0)</f>
        <v>#N/A</v>
      </c>
      <c r="G588" s="188"/>
      <c r="H588" s="188"/>
      <c r="I588" s="188"/>
      <c r="J588" s="188" t="e">
        <f ca="1">VLOOKUP($D588,物料本月库存明細!$B:$J,9,0)</f>
        <v>#N/A</v>
      </c>
      <c r="K588" s="217"/>
    </row>
    <row r="589" customHeight="1" spans="1:11">
      <c r="A589" s="191"/>
      <c r="B589" s="189"/>
      <c r="C589" s="193"/>
      <c r="D589" s="197"/>
      <c r="E589" s="188" t="e">
        <f ca="1">VLOOKUP($D589,物料本月库存明細!$B:$J,2,0)</f>
        <v>#N/A</v>
      </c>
      <c r="F589" s="188" t="e">
        <f ca="1">VLOOKUP($D589,物料本月库存明細!$B:$J,5,0)</f>
        <v>#N/A</v>
      </c>
      <c r="G589" s="188"/>
      <c r="H589" s="188"/>
      <c r="I589" s="188"/>
      <c r="J589" s="188" t="e">
        <f ca="1">VLOOKUP($D589,物料本月库存明細!$B:$J,9,0)</f>
        <v>#N/A</v>
      </c>
      <c r="K589" s="217"/>
    </row>
    <row r="590" customHeight="1" spans="1:11">
      <c r="A590" s="191"/>
      <c r="B590" s="189"/>
      <c r="C590" s="193"/>
      <c r="D590" s="197"/>
      <c r="E590" s="188" t="e">
        <f ca="1">VLOOKUP($D590,物料本月库存明細!$B:$J,2,0)</f>
        <v>#N/A</v>
      </c>
      <c r="F590" s="188" t="e">
        <f ca="1">VLOOKUP($D590,物料本月库存明細!$B:$J,5,0)</f>
        <v>#N/A</v>
      </c>
      <c r="G590" s="188"/>
      <c r="H590" s="188"/>
      <c r="I590" s="188"/>
      <c r="J590" s="188" t="e">
        <f ca="1">VLOOKUP($D590,物料本月库存明細!$B:$J,9,0)</f>
        <v>#N/A</v>
      </c>
      <c r="K590" s="217"/>
    </row>
    <row r="591" customHeight="1" spans="1:11">
      <c r="A591" s="191"/>
      <c r="B591" s="189"/>
      <c r="C591" s="193"/>
      <c r="D591" s="197"/>
      <c r="E591" s="188" t="e">
        <f ca="1">VLOOKUP($D591,物料本月库存明細!$B:$J,2,0)</f>
        <v>#N/A</v>
      </c>
      <c r="F591" s="188" t="e">
        <f ca="1">VLOOKUP($D591,物料本月库存明細!$B:$J,5,0)</f>
        <v>#N/A</v>
      </c>
      <c r="G591" s="188"/>
      <c r="H591" s="188"/>
      <c r="I591" s="188"/>
      <c r="J591" s="188" t="e">
        <f ca="1">VLOOKUP($D591,物料本月库存明細!$B:$J,9,0)</f>
        <v>#N/A</v>
      </c>
      <c r="K591" s="217"/>
    </row>
    <row r="592" customHeight="1" spans="1:11">
      <c r="A592" s="191"/>
      <c r="B592" s="189"/>
      <c r="C592" s="193"/>
      <c r="D592" s="197"/>
      <c r="E592" s="188" t="e">
        <f ca="1">VLOOKUP($D592,物料本月库存明細!$B:$J,2,0)</f>
        <v>#N/A</v>
      </c>
      <c r="F592" s="188" t="e">
        <f ca="1">VLOOKUP($D592,物料本月库存明細!$B:$J,5,0)</f>
        <v>#N/A</v>
      </c>
      <c r="G592" s="188"/>
      <c r="H592" s="188"/>
      <c r="I592" s="188"/>
      <c r="J592" s="188" t="e">
        <f ca="1">VLOOKUP($D592,物料本月库存明細!$B:$J,9,0)</f>
        <v>#N/A</v>
      </c>
      <c r="K592" s="217"/>
    </row>
    <row r="593" customHeight="1" spans="1:11">
      <c r="A593" s="191"/>
      <c r="B593" s="189"/>
      <c r="C593" s="193"/>
      <c r="D593" s="196"/>
      <c r="E593" s="188" t="e">
        <f ca="1">VLOOKUP($D593,物料本月库存明細!$B:$J,2,0)</f>
        <v>#N/A</v>
      </c>
      <c r="F593" s="188" t="e">
        <f ca="1">VLOOKUP($D593,物料本月库存明細!$B:$J,5,0)</f>
        <v>#N/A</v>
      </c>
      <c r="G593" s="188"/>
      <c r="H593" s="188"/>
      <c r="I593" s="188"/>
      <c r="J593" s="188" t="e">
        <f ca="1">VLOOKUP($D593,物料本月库存明細!$B:$J,9,0)</f>
        <v>#N/A</v>
      </c>
      <c r="K593" s="217"/>
    </row>
    <row r="594" customHeight="1" spans="1:11">
      <c r="A594" s="191"/>
      <c r="B594" s="189"/>
      <c r="C594" s="193"/>
      <c r="D594" s="197"/>
      <c r="E594" s="188" t="e">
        <f ca="1">VLOOKUP($D594,物料本月库存明細!$B:$J,2,0)</f>
        <v>#N/A</v>
      </c>
      <c r="F594" s="188" t="e">
        <f ca="1">VLOOKUP($D594,物料本月库存明細!$B:$J,5,0)</f>
        <v>#N/A</v>
      </c>
      <c r="G594" s="188"/>
      <c r="H594" s="188"/>
      <c r="I594" s="188"/>
      <c r="J594" s="188" t="e">
        <f ca="1">VLOOKUP($D594,物料本月库存明細!$B:$J,9,0)</f>
        <v>#N/A</v>
      </c>
      <c r="K594" s="217"/>
    </row>
    <row r="595" customHeight="1" spans="1:11">
      <c r="A595" s="191"/>
      <c r="B595" s="189"/>
      <c r="C595" s="193"/>
      <c r="D595" s="196"/>
      <c r="E595" s="188" t="e">
        <f ca="1">VLOOKUP($D595,物料本月库存明細!$B:$J,2,0)</f>
        <v>#N/A</v>
      </c>
      <c r="F595" s="188" t="e">
        <f ca="1">VLOOKUP($D595,物料本月库存明細!$B:$J,5,0)</f>
        <v>#N/A</v>
      </c>
      <c r="G595" s="188"/>
      <c r="H595" s="188"/>
      <c r="I595" s="188"/>
      <c r="J595" s="188" t="e">
        <f ca="1">VLOOKUP($D595,物料本月库存明細!$B:$J,9,0)</f>
        <v>#N/A</v>
      </c>
      <c r="K595" s="217"/>
    </row>
    <row r="596" customHeight="1" spans="1:11">
      <c r="A596" s="191"/>
      <c r="B596" s="189"/>
      <c r="C596" s="193"/>
      <c r="D596" s="196"/>
      <c r="E596" s="188" t="e">
        <f ca="1">VLOOKUP($D596,物料本月库存明細!$B:$J,2,0)</f>
        <v>#N/A</v>
      </c>
      <c r="F596" s="188" t="e">
        <f ca="1">VLOOKUP($D596,物料本月库存明細!$B:$J,5,0)</f>
        <v>#N/A</v>
      </c>
      <c r="G596" s="188"/>
      <c r="H596" s="188"/>
      <c r="I596" s="188"/>
      <c r="J596" s="188" t="e">
        <f ca="1">VLOOKUP($D596,物料本月库存明細!$B:$J,9,0)</f>
        <v>#N/A</v>
      </c>
      <c r="K596" s="217"/>
    </row>
    <row r="597" customHeight="1" spans="1:11">
      <c r="A597" s="191"/>
      <c r="B597" s="189"/>
      <c r="C597" s="193"/>
      <c r="D597" s="196"/>
      <c r="E597" s="188" t="e">
        <f ca="1">VLOOKUP($D597,物料本月库存明細!$B:$J,2,0)</f>
        <v>#N/A</v>
      </c>
      <c r="F597" s="188" t="e">
        <f ca="1">VLOOKUP($D597,物料本月库存明細!$B:$J,5,0)</f>
        <v>#N/A</v>
      </c>
      <c r="G597" s="188"/>
      <c r="H597" s="188"/>
      <c r="I597" s="188"/>
      <c r="J597" s="188" t="e">
        <f ca="1">VLOOKUP($D597,物料本月库存明細!$B:$J,9,0)</f>
        <v>#N/A</v>
      </c>
      <c r="K597" s="217"/>
    </row>
    <row r="598" customHeight="1" spans="1:11">
      <c r="A598" s="191"/>
      <c r="B598" s="189"/>
      <c r="C598" s="193"/>
      <c r="D598" s="197"/>
      <c r="E598" s="188" t="e">
        <f ca="1">VLOOKUP($D598,物料本月库存明細!$B:$J,2,0)</f>
        <v>#N/A</v>
      </c>
      <c r="F598" s="188" t="e">
        <f ca="1">VLOOKUP($D598,物料本月库存明細!$B:$J,5,0)</f>
        <v>#N/A</v>
      </c>
      <c r="G598" s="188"/>
      <c r="H598" s="188"/>
      <c r="I598" s="188"/>
      <c r="J598" s="188" t="e">
        <f ca="1">VLOOKUP($D598,物料本月库存明細!$B:$J,9,0)</f>
        <v>#N/A</v>
      </c>
      <c r="K598" s="217"/>
    </row>
    <row r="599" customHeight="1" spans="1:11">
      <c r="A599" s="191"/>
      <c r="B599" s="189"/>
      <c r="C599" s="193"/>
      <c r="D599" s="196"/>
      <c r="E599" s="188" t="e">
        <f ca="1">VLOOKUP($D599,物料本月库存明細!$B:$J,2,0)</f>
        <v>#N/A</v>
      </c>
      <c r="F599" s="188" t="e">
        <f ca="1">VLOOKUP($D599,物料本月库存明細!$B:$J,5,0)</f>
        <v>#N/A</v>
      </c>
      <c r="G599" s="188"/>
      <c r="H599" s="188"/>
      <c r="I599" s="188"/>
      <c r="J599" s="188" t="e">
        <f ca="1">VLOOKUP($D599,物料本月库存明細!$B:$J,9,0)</f>
        <v>#N/A</v>
      </c>
      <c r="K599" s="217"/>
    </row>
    <row r="600" customHeight="1" spans="1:11">
      <c r="A600" s="191"/>
      <c r="B600" s="189"/>
      <c r="C600" s="193"/>
      <c r="D600" s="196"/>
      <c r="E600" s="188" t="e">
        <f ca="1">VLOOKUP($D600,物料本月库存明細!$B:$J,2,0)</f>
        <v>#N/A</v>
      </c>
      <c r="F600" s="188" t="e">
        <f ca="1">VLOOKUP($D600,物料本月库存明細!$B:$J,5,0)</f>
        <v>#N/A</v>
      </c>
      <c r="G600" s="188"/>
      <c r="H600" s="188"/>
      <c r="I600" s="188"/>
      <c r="J600" s="188" t="e">
        <f ca="1">VLOOKUP($D600,物料本月库存明細!$B:$J,9,0)</f>
        <v>#N/A</v>
      </c>
      <c r="K600" s="217"/>
    </row>
    <row r="601" customHeight="1" spans="1:11">
      <c r="A601" s="191"/>
      <c r="B601" s="189"/>
      <c r="C601" s="193"/>
      <c r="D601" s="196"/>
      <c r="E601" s="188" t="e">
        <f ca="1">VLOOKUP($D601,物料本月库存明細!$B:$J,2,0)</f>
        <v>#N/A</v>
      </c>
      <c r="F601" s="188" t="e">
        <f ca="1">VLOOKUP($D601,物料本月库存明細!$B:$J,5,0)</f>
        <v>#N/A</v>
      </c>
      <c r="G601" s="188"/>
      <c r="H601" s="188"/>
      <c r="I601" s="188"/>
      <c r="J601" s="188" t="e">
        <f ca="1">VLOOKUP($D601,物料本月库存明細!$B:$J,9,0)</f>
        <v>#N/A</v>
      </c>
      <c r="K601" s="217"/>
    </row>
    <row r="602" customHeight="1" spans="1:11">
      <c r="A602" s="191"/>
      <c r="B602" s="189"/>
      <c r="C602" s="193"/>
      <c r="D602" s="197"/>
      <c r="E602" s="188" t="e">
        <f ca="1">VLOOKUP($D602,物料本月库存明細!$B:$J,2,0)</f>
        <v>#N/A</v>
      </c>
      <c r="F602" s="188" t="e">
        <f ca="1">VLOOKUP($D602,物料本月库存明細!$B:$J,5,0)</f>
        <v>#N/A</v>
      </c>
      <c r="G602" s="188"/>
      <c r="H602" s="188"/>
      <c r="I602" s="188"/>
      <c r="J602" s="188" t="e">
        <f ca="1">VLOOKUP($D602,物料本月库存明細!$B:$J,9,0)</f>
        <v>#N/A</v>
      </c>
      <c r="K602" s="217"/>
    </row>
    <row r="603" customHeight="1" spans="1:11">
      <c r="A603" s="191"/>
      <c r="B603" s="189"/>
      <c r="C603" s="193"/>
      <c r="D603" s="197"/>
      <c r="E603" s="188" t="e">
        <f ca="1">VLOOKUP($D603,物料本月库存明細!$B:$J,2,0)</f>
        <v>#N/A</v>
      </c>
      <c r="F603" s="188" t="e">
        <f ca="1">VLOOKUP($D603,物料本月库存明細!$B:$J,5,0)</f>
        <v>#N/A</v>
      </c>
      <c r="G603" s="188"/>
      <c r="H603" s="188"/>
      <c r="I603" s="188"/>
      <c r="J603" s="188" t="e">
        <f ca="1">VLOOKUP($D603,物料本月库存明細!$B:$J,9,0)</f>
        <v>#N/A</v>
      </c>
    </row>
    <row r="604" customHeight="1" spans="1:11">
      <c r="A604" s="191"/>
      <c r="B604" s="189"/>
      <c r="C604" s="193"/>
      <c r="D604" s="197"/>
      <c r="E604" s="188" t="e">
        <f ca="1">VLOOKUP($D604,物料本月库存明細!$B:$J,2,0)</f>
        <v>#N/A</v>
      </c>
      <c r="F604" s="188" t="e">
        <f ca="1">VLOOKUP($D604,物料本月库存明細!$B:$J,5,0)</f>
        <v>#N/A</v>
      </c>
      <c r="G604" s="188"/>
      <c r="H604" s="188"/>
      <c r="I604" s="188"/>
      <c r="J604" s="188" t="e">
        <f ca="1">VLOOKUP($D604,物料本月库存明細!$B:$J,9,0)</f>
        <v>#N/A</v>
      </c>
    </row>
    <row r="605" customHeight="1" spans="1:11">
      <c r="A605" s="191"/>
      <c r="B605" s="189"/>
      <c r="C605" s="193"/>
      <c r="D605" s="197"/>
      <c r="E605" s="188" t="e">
        <f ca="1">VLOOKUP($D605,物料本月库存明細!$B:$J,2,0)</f>
        <v>#N/A</v>
      </c>
      <c r="F605" s="188" t="e">
        <f ca="1">VLOOKUP($D605,物料本月库存明細!$B:$J,5,0)</f>
        <v>#N/A</v>
      </c>
      <c r="G605" s="188"/>
      <c r="H605" s="188"/>
      <c r="I605" s="188"/>
      <c r="J605" s="188" t="e">
        <f ca="1">VLOOKUP($D605,物料本月库存明細!$B:$J,9,0)</f>
        <v>#N/A</v>
      </c>
    </row>
    <row r="606" customHeight="1" spans="1:11">
      <c r="A606" s="191"/>
      <c r="B606" s="189"/>
      <c r="C606" s="193"/>
      <c r="D606" s="196"/>
      <c r="E606" s="188" t="e">
        <f ca="1">VLOOKUP($D606,物料本月库存明細!$B:$J,2,0)</f>
        <v>#N/A</v>
      </c>
      <c r="F606" s="188" t="e">
        <f ca="1">VLOOKUP($D606,物料本月库存明細!$B:$J,5,0)</f>
        <v>#N/A</v>
      </c>
      <c r="G606" s="188"/>
      <c r="H606" s="188"/>
      <c r="I606" s="188"/>
      <c r="J606" s="188" t="e">
        <f ca="1">VLOOKUP($D606,物料本月库存明細!$B:$J,9,0)</f>
        <v>#N/A</v>
      </c>
    </row>
    <row r="607" customHeight="1" spans="1:11">
      <c r="A607" s="191"/>
      <c r="B607" s="189"/>
      <c r="C607" s="193"/>
      <c r="D607" s="196"/>
      <c r="E607" s="188" t="e">
        <f ca="1">VLOOKUP($D607,物料本月库存明細!$B:$J,2,0)</f>
        <v>#N/A</v>
      </c>
      <c r="F607" s="188" t="e">
        <f ca="1">VLOOKUP($D607,物料本月库存明細!$B:$J,5,0)</f>
        <v>#N/A</v>
      </c>
      <c r="G607" s="188"/>
      <c r="H607" s="188"/>
      <c r="I607" s="188"/>
      <c r="J607" s="188" t="e">
        <f ca="1">VLOOKUP($D607,物料本月库存明細!$B:$J,9,0)</f>
        <v>#N/A</v>
      </c>
    </row>
    <row r="608" customHeight="1" spans="1:11">
      <c r="A608" s="191"/>
      <c r="B608" s="189"/>
      <c r="C608" s="193"/>
      <c r="D608" s="196"/>
      <c r="E608" s="188" t="e">
        <f ca="1">VLOOKUP($D608,物料本月库存明細!$B:$J,2,0)</f>
        <v>#N/A</v>
      </c>
      <c r="F608" s="188" t="e">
        <f ca="1">VLOOKUP($D608,物料本月库存明細!$B:$J,5,0)</f>
        <v>#N/A</v>
      </c>
      <c r="G608" s="188"/>
      <c r="H608" s="188"/>
      <c r="I608" s="188"/>
      <c r="J608" s="188" t="e">
        <f ca="1">VLOOKUP($D608,物料本月库存明細!$B:$J,9,0)</f>
        <v>#N/A</v>
      </c>
    </row>
    <row r="609" customHeight="1" spans="1:10">
      <c r="A609" s="191"/>
      <c r="B609" s="189"/>
      <c r="C609" s="193"/>
      <c r="D609" s="196"/>
      <c r="E609" s="188" t="e">
        <f ca="1">VLOOKUP($D609,物料本月库存明細!$B:$J,2,0)</f>
        <v>#N/A</v>
      </c>
      <c r="F609" s="188" t="e">
        <f ca="1">VLOOKUP($D609,物料本月库存明細!$B:$J,5,0)</f>
        <v>#N/A</v>
      </c>
      <c r="G609" s="188"/>
      <c r="H609" s="188"/>
      <c r="I609" s="188"/>
      <c r="J609" s="188" t="e">
        <f ca="1">VLOOKUP($D609,物料本月库存明細!$B:$J,9,0)</f>
        <v>#N/A</v>
      </c>
    </row>
    <row r="610" customHeight="1" spans="1:10">
      <c r="A610" s="191"/>
      <c r="B610" s="189"/>
      <c r="C610" s="193"/>
      <c r="D610" s="196"/>
      <c r="E610" s="188" t="e">
        <f ca="1">VLOOKUP($D610,物料本月库存明細!$B:$J,2,0)</f>
        <v>#N/A</v>
      </c>
      <c r="F610" s="188" t="e">
        <f ca="1">VLOOKUP($D610,物料本月库存明細!$B:$J,5,0)</f>
        <v>#N/A</v>
      </c>
      <c r="G610" s="188"/>
      <c r="H610" s="188"/>
      <c r="I610" s="188"/>
      <c r="J610" s="188" t="e">
        <f ca="1">VLOOKUP($D610,物料本月库存明細!$B:$J,9,0)</f>
        <v>#N/A</v>
      </c>
    </row>
    <row r="611" customHeight="1" spans="1:10">
      <c r="A611" s="191"/>
      <c r="B611" s="189"/>
      <c r="C611" s="193"/>
      <c r="D611" s="196"/>
      <c r="E611" s="188" t="e">
        <f ca="1">VLOOKUP($D611,物料本月库存明細!$B:$J,2,0)</f>
        <v>#N/A</v>
      </c>
      <c r="F611" s="188" t="e">
        <f ca="1">VLOOKUP($D611,物料本月库存明細!$B:$J,5,0)</f>
        <v>#N/A</v>
      </c>
      <c r="G611" s="188"/>
      <c r="H611" s="188"/>
      <c r="I611" s="188"/>
      <c r="J611" s="188" t="e">
        <f ca="1">VLOOKUP($D611,物料本月库存明細!$B:$J,9,0)</f>
        <v>#N/A</v>
      </c>
    </row>
    <row r="612" customHeight="1" spans="1:10">
      <c r="A612" s="191"/>
      <c r="B612" s="189"/>
      <c r="C612" s="193"/>
      <c r="D612" s="196"/>
      <c r="E612" s="188" t="e">
        <f ca="1">VLOOKUP($D612,物料本月库存明細!$B:$J,2,0)</f>
        <v>#N/A</v>
      </c>
      <c r="F612" s="188" t="e">
        <f ca="1">VLOOKUP($D612,物料本月库存明細!$B:$J,5,0)</f>
        <v>#N/A</v>
      </c>
      <c r="G612" s="188"/>
      <c r="H612" s="188"/>
      <c r="I612" s="188"/>
      <c r="J612" s="188" t="e">
        <f ca="1">VLOOKUP($D612,物料本月库存明細!$B:$J,9,0)</f>
        <v>#N/A</v>
      </c>
    </row>
    <row r="613" customHeight="1" spans="1:10">
      <c r="A613" s="191"/>
      <c r="B613" s="189"/>
      <c r="C613" s="193"/>
      <c r="D613" s="196"/>
      <c r="E613" s="188" t="e">
        <f ca="1">VLOOKUP($D613,物料本月库存明細!$B:$J,2,0)</f>
        <v>#N/A</v>
      </c>
      <c r="F613" s="188" t="e">
        <f ca="1">VLOOKUP($D613,物料本月库存明細!$B:$J,5,0)</f>
        <v>#N/A</v>
      </c>
      <c r="G613" s="188"/>
      <c r="H613" s="188"/>
      <c r="I613" s="188"/>
      <c r="J613" s="188" t="e">
        <f ca="1">VLOOKUP($D613,物料本月库存明細!$B:$J,9,0)</f>
        <v>#N/A</v>
      </c>
    </row>
    <row r="614" customHeight="1" spans="1:10">
      <c r="A614" s="191"/>
      <c r="B614" s="189"/>
      <c r="C614" s="193"/>
      <c r="D614" s="197"/>
      <c r="E614" s="188" t="e">
        <f ca="1">VLOOKUP($D614,物料本月库存明細!$B:$J,2,0)</f>
        <v>#N/A</v>
      </c>
      <c r="F614" s="188" t="e">
        <f ca="1">VLOOKUP($D614,物料本月库存明細!$B:$J,5,0)</f>
        <v>#N/A</v>
      </c>
      <c r="G614" s="188"/>
      <c r="H614" s="188"/>
      <c r="I614" s="188"/>
      <c r="J614" s="188" t="e">
        <f ca="1">VLOOKUP($D614,物料本月库存明細!$B:$J,9,0)</f>
        <v>#N/A</v>
      </c>
    </row>
    <row r="615" customHeight="1" spans="1:10">
      <c r="A615" s="191"/>
      <c r="B615" s="189"/>
      <c r="C615" s="193"/>
      <c r="D615" s="196"/>
      <c r="E615" s="188" t="e">
        <f ca="1">VLOOKUP($D615,物料本月库存明細!$B:$J,2,0)</f>
        <v>#N/A</v>
      </c>
      <c r="F615" s="188" t="e">
        <f ca="1">VLOOKUP($D615,物料本月库存明細!$B:$J,5,0)</f>
        <v>#N/A</v>
      </c>
      <c r="G615" s="188"/>
      <c r="H615" s="188"/>
      <c r="I615" s="188"/>
      <c r="J615" s="188" t="e">
        <f ca="1">VLOOKUP($D615,物料本月库存明細!$B:$J,9,0)</f>
        <v>#N/A</v>
      </c>
    </row>
    <row r="616" customHeight="1" spans="1:10">
      <c r="A616" s="191"/>
      <c r="B616" s="189"/>
      <c r="C616" s="193"/>
      <c r="D616" s="196"/>
      <c r="E616" s="188" t="e">
        <f ca="1">VLOOKUP($D616,物料本月库存明細!$B:$J,2,0)</f>
        <v>#N/A</v>
      </c>
      <c r="F616" s="188" t="e">
        <f ca="1">VLOOKUP($D616,物料本月库存明細!$B:$J,5,0)</f>
        <v>#N/A</v>
      </c>
      <c r="G616" s="188"/>
      <c r="H616" s="188"/>
      <c r="I616" s="188"/>
      <c r="J616" s="188" t="e">
        <f ca="1">VLOOKUP($D616,物料本月库存明細!$B:$J,9,0)</f>
        <v>#N/A</v>
      </c>
    </row>
    <row r="617" customHeight="1" spans="1:10">
      <c r="A617" s="191"/>
      <c r="B617" s="189"/>
      <c r="C617" s="193"/>
      <c r="D617" s="196"/>
      <c r="E617" s="188" t="e">
        <f ca="1">VLOOKUP($D617,物料本月库存明細!$B:$J,2,0)</f>
        <v>#N/A</v>
      </c>
      <c r="F617" s="188" t="e">
        <f ca="1">VLOOKUP($D617,物料本月库存明細!$B:$J,5,0)</f>
        <v>#N/A</v>
      </c>
      <c r="G617" s="188"/>
      <c r="H617" s="188"/>
      <c r="I617" s="188"/>
      <c r="J617" s="188" t="e">
        <f ca="1">VLOOKUP($D617,物料本月库存明細!$B:$J,9,0)</f>
        <v>#N/A</v>
      </c>
    </row>
    <row r="618" customHeight="1" spans="1:10">
      <c r="A618" s="191"/>
      <c r="B618" s="189"/>
      <c r="C618" s="193"/>
      <c r="D618" s="196"/>
      <c r="E618" s="188" t="e">
        <f ca="1">VLOOKUP($D618,物料本月库存明細!$B:$J,2,0)</f>
        <v>#N/A</v>
      </c>
      <c r="F618" s="188" t="e">
        <f ca="1">VLOOKUP($D618,物料本月库存明細!$B:$J,5,0)</f>
        <v>#N/A</v>
      </c>
      <c r="G618" s="188"/>
      <c r="H618" s="188"/>
      <c r="I618" s="188"/>
      <c r="J618" s="188" t="e">
        <f ca="1">VLOOKUP($D618,物料本月库存明細!$B:$J,9,0)</f>
        <v>#N/A</v>
      </c>
    </row>
    <row r="619" customHeight="1" spans="1:10">
      <c r="A619" s="191"/>
      <c r="B619" s="189"/>
      <c r="C619" s="193"/>
      <c r="D619" s="197"/>
      <c r="E619" s="188" t="e">
        <f ca="1">VLOOKUP($D619,物料本月库存明細!$B:$J,2,0)</f>
        <v>#N/A</v>
      </c>
      <c r="F619" s="188" t="e">
        <f ca="1">VLOOKUP($D619,物料本月库存明細!$B:$J,5,0)</f>
        <v>#N/A</v>
      </c>
      <c r="G619" s="188"/>
      <c r="H619" s="188"/>
      <c r="I619" s="188"/>
      <c r="J619" s="188" t="e">
        <f ca="1">VLOOKUP($D619,物料本月库存明細!$B:$J,9,0)</f>
        <v>#N/A</v>
      </c>
    </row>
    <row r="620" customHeight="1" spans="1:10">
      <c r="A620" s="191"/>
      <c r="B620" s="189"/>
      <c r="C620" s="193"/>
      <c r="D620" s="197"/>
      <c r="E620" s="188" t="e">
        <f ca="1">VLOOKUP($D620,物料本月库存明細!$B:$J,2,0)</f>
        <v>#N/A</v>
      </c>
      <c r="F620" s="188" t="e">
        <f ca="1">VLOOKUP($D620,物料本月库存明細!$B:$J,5,0)</f>
        <v>#N/A</v>
      </c>
      <c r="G620" s="188"/>
      <c r="H620" s="188"/>
      <c r="I620" s="188"/>
      <c r="J620" s="188" t="e">
        <f ca="1">VLOOKUP($D620,物料本月库存明細!$B:$J,9,0)</f>
        <v>#N/A</v>
      </c>
    </row>
    <row r="621" customHeight="1" spans="1:10">
      <c r="A621" s="191"/>
      <c r="B621" s="189"/>
      <c r="C621" s="193"/>
      <c r="D621" s="196"/>
      <c r="E621" s="188" t="e">
        <f ca="1">VLOOKUP($D621,物料本月库存明細!$B:$J,2,0)</f>
        <v>#N/A</v>
      </c>
      <c r="F621" s="188" t="e">
        <f ca="1">VLOOKUP($D621,物料本月库存明細!$B:$J,5,0)</f>
        <v>#N/A</v>
      </c>
      <c r="G621" s="188"/>
      <c r="H621" s="188"/>
      <c r="I621" s="188"/>
      <c r="J621" s="188" t="e">
        <f ca="1">VLOOKUP($D621,物料本月库存明細!$B:$J,9,0)</f>
        <v>#N/A</v>
      </c>
    </row>
    <row r="622" customHeight="1" spans="1:10">
      <c r="A622" s="191"/>
      <c r="B622" s="189"/>
      <c r="C622" s="193"/>
      <c r="D622" s="196"/>
      <c r="E622" s="188" t="e">
        <f ca="1">VLOOKUP($D622,物料本月库存明細!$B:$J,2,0)</f>
        <v>#N/A</v>
      </c>
      <c r="F622" s="188" t="e">
        <f ca="1">VLOOKUP($D622,物料本月库存明細!$B:$J,5,0)</f>
        <v>#N/A</v>
      </c>
      <c r="G622" s="188"/>
      <c r="H622" s="188"/>
      <c r="I622" s="188"/>
      <c r="J622" s="188" t="e">
        <f ca="1">VLOOKUP($D622,物料本月库存明細!$B:$J,9,0)</f>
        <v>#N/A</v>
      </c>
    </row>
    <row r="623" customHeight="1" spans="1:10">
      <c r="A623" s="191"/>
      <c r="B623" s="189"/>
      <c r="C623" s="193"/>
      <c r="D623" s="196"/>
      <c r="E623" s="188" t="e">
        <f ca="1">VLOOKUP($D623,物料本月库存明細!$B:$J,2,0)</f>
        <v>#N/A</v>
      </c>
      <c r="F623" s="188" t="e">
        <f ca="1">VLOOKUP($D623,物料本月库存明細!$B:$J,5,0)</f>
        <v>#N/A</v>
      </c>
      <c r="G623" s="188"/>
      <c r="H623" s="188"/>
      <c r="I623" s="188"/>
      <c r="J623" s="188" t="e">
        <f ca="1">VLOOKUP($D623,物料本月库存明細!$B:$J,9,0)</f>
        <v>#N/A</v>
      </c>
    </row>
    <row r="624" customHeight="1" spans="1:10">
      <c r="A624" s="191"/>
      <c r="B624" s="189"/>
      <c r="C624" s="193"/>
      <c r="D624" s="197"/>
      <c r="E624" s="188" t="e">
        <f ca="1">VLOOKUP($D624,物料本月库存明細!$B:$J,2,0)</f>
        <v>#N/A</v>
      </c>
      <c r="F624" s="188" t="e">
        <f ca="1">VLOOKUP($D624,物料本月库存明細!$B:$J,5,0)</f>
        <v>#N/A</v>
      </c>
      <c r="G624" s="188"/>
      <c r="H624" s="188"/>
      <c r="I624" s="188"/>
      <c r="J624" s="188" t="e">
        <f ca="1">VLOOKUP($D624,物料本月库存明細!$B:$J,9,0)</f>
        <v>#N/A</v>
      </c>
    </row>
    <row r="625" customHeight="1" spans="1:10">
      <c r="A625" s="191"/>
      <c r="B625" s="189"/>
      <c r="C625" s="193"/>
      <c r="D625" s="196"/>
      <c r="E625" s="188" t="e">
        <f ca="1">VLOOKUP($D625,物料本月库存明細!$B:$J,2,0)</f>
        <v>#N/A</v>
      </c>
      <c r="F625" s="188" t="e">
        <f ca="1">VLOOKUP($D625,物料本月库存明細!$B:$J,5,0)</f>
        <v>#N/A</v>
      </c>
      <c r="G625" s="188"/>
      <c r="H625" s="188"/>
      <c r="I625" s="188"/>
      <c r="J625" s="188" t="e">
        <f ca="1">VLOOKUP($D625,物料本月库存明細!$B:$J,9,0)</f>
        <v>#N/A</v>
      </c>
    </row>
    <row r="626" customHeight="1" spans="1:10">
      <c r="A626" s="191"/>
      <c r="B626" s="189"/>
      <c r="C626" s="193"/>
      <c r="D626" s="196"/>
      <c r="E626" s="188" t="e">
        <f ca="1">VLOOKUP($D626,物料本月库存明細!$B:$J,2,0)</f>
        <v>#N/A</v>
      </c>
      <c r="F626" s="188" t="e">
        <f ca="1">VLOOKUP($D626,物料本月库存明細!$B:$J,5,0)</f>
        <v>#N/A</v>
      </c>
      <c r="G626" s="188"/>
      <c r="H626" s="188"/>
      <c r="I626" s="188"/>
      <c r="J626" s="188" t="e">
        <f ca="1">VLOOKUP($D626,物料本月库存明細!$B:$J,9,0)</f>
        <v>#N/A</v>
      </c>
    </row>
    <row r="627" customHeight="1" spans="1:10">
      <c r="A627" s="191"/>
      <c r="B627" s="189"/>
      <c r="C627" s="193"/>
      <c r="D627" s="196"/>
      <c r="E627" s="188" t="e">
        <f ca="1">VLOOKUP($D627,物料本月库存明細!$B:$J,2,0)</f>
        <v>#N/A</v>
      </c>
      <c r="F627" s="188" t="e">
        <f ca="1">VLOOKUP($D627,物料本月库存明細!$B:$J,5,0)</f>
        <v>#N/A</v>
      </c>
      <c r="G627" s="188"/>
      <c r="H627" s="188"/>
      <c r="I627" s="188"/>
      <c r="J627" s="188" t="e">
        <f ca="1">VLOOKUP($D627,物料本月库存明細!$B:$J,9,0)</f>
        <v>#N/A</v>
      </c>
    </row>
    <row r="628" customHeight="1" spans="1:10">
      <c r="A628" s="191"/>
      <c r="B628" s="189"/>
      <c r="C628" s="193"/>
      <c r="D628" s="196"/>
      <c r="E628" s="188" t="e">
        <f ca="1">VLOOKUP($D628,物料本月库存明細!$B:$J,2,0)</f>
        <v>#N/A</v>
      </c>
      <c r="F628" s="188" t="e">
        <f ca="1">VLOOKUP($D628,物料本月库存明細!$B:$J,5,0)</f>
        <v>#N/A</v>
      </c>
      <c r="G628" s="188"/>
      <c r="H628" s="188"/>
      <c r="I628" s="188"/>
      <c r="J628" s="188" t="e">
        <f ca="1">VLOOKUP($D628,物料本月库存明細!$B:$J,9,0)</f>
        <v>#N/A</v>
      </c>
    </row>
    <row r="629" customHeight="1" spans="1:10">
      <c r="A629" s="191"/>
      <c r="B629" s="189"/>
      <c r="C629" s="193"/>
      <c r="D629" s="196"/>
      <c r="E629" s="188" t="e">
        <f ca="1">VLOOKUP($D629,物料本月库存明細!$B:$J,2,0)</f>
        <v>#N/A</v>
      </c>
      <c r="F629" s="188" t="e">
        <f ca="1">VLOOKUP($D629,物料本月库存明細!$B:$J,5,0)</f>
        <v>#N/A</v>
      </c>
      <c r="G629" s="188"/>
      <c r="H629" s="188"/>
      <c r="I629" s="188"/>
      <c r="J629" s="188" t="e">
        <f ca="1">VLOOKUP($D629,物料本月库存明細!$B:$J,9,0)</f>
        <v>#N/A</v>
      </c>
    </row>
    <row r="630" customHeight="1" spans="1:10">
      <c r="A630" s="191"/>
      <c r="B630" s="189"/>
      <c r="C630" s="193"/>
      <c r="D630" s="196"/>
      <c r="E630" s="188" t="e">
        <f ca="1">VLOOKUP($D630,物料本月库存明細!$B:$J,2,0)</f>
        <v>#N/A</v>
      </c>
      <c r="F630" s="188" t="e">
        <f ca="1">VLOOKUP($D630,物料本月库存明細!$B:$J,5,0)</f>
        <v>#N/A</v>
      </c>
      <c r="G630" s="188"/>
      <c r="H630" s="188"/>
      <c r="I630" s="188"/>
      <c r="J630" s="188" t="e">
        <f ca="1">VLOOKUP($D630,物料本月库存明細!$B:$J,9,0)</f>
        <v>#N/A</v>
      </c>
    </row>
    <row r="631" customHeight="1" spans="1:10">
      <c r="A631" s="191"/>
      <c r="B631" s="189"/>
      <c r="C631" s="193"/>
      <c r="D631" s="196"/>
      <c r="E631" s="188" t="e">
        <f ca="1">VLOOKUP($D631,物料本月库存明細!$B:$J,2,0)</f>
        <v>#N/A</v>
      </c>
      <c r="F631" s="188" t="e">
        <f ca="1">VLOOKUP($D631,物料本月库存明細!$B:$J,5,0)</f>
        <v>#N/A</v>
      </c>
      <c r="G631" s="188"/>
      <c r="H631" s="188"/>
      <c r="I631" s="188"/>
      <c r="J631" s="188" t="e">
        <f ca="1">VLOOKUP($D631,物料本月库存明細!$B:$J,9,0)</f>
        <v>#N/A</v>
      </c>
    </row>
    <row r="632" customHeight="1" spans="1:10">
      <c r="A632" s="191"/>
      <c r="B632" s="189"/>
      <c r="C632" s="193"/>
      <c r="D632" s="196"/>
      <c r="E632" s="188" t="e">
        <f ca="1">VLOOKUP($D632,物料本月库存明細!$B:$J,2,0)</f>
        <v>#N/A</v>
      </c>
      <c r="F632" s="188" t="e">
        <f ca="1">VLOOKUP($D632,物料本月库存明細!$B:$J,5,0)</f>
        <v>#N/A</v>
      </c>
      <c r="G632" s="188"/>
      <c r="H632" s="188"/>
      <c r="I632" s="188"/>
      <c r="J632" s="188" t="e">
        <f ca="1">VLOOKUP($D632,物料本月库存明細!$B:$J,9,0)</f>
        <v>#N/A</v>
      </c>
    </row>
    <row r="633" customHeight="1" spans="1:10">
      <c r="A633" s="191"/>
      <c r="B633" s="189"/>
      <c r="C633" s="193"/>
      <c r="D633" s="196"/>
      <c r="E633" s="188" t="e">
        <f ca="1">VLOOKUP($D633,物料本月库存明細!$B:$J,2,0)</f>
        <v>#N/A</v>
      </c>
      <c r="F633" s="188" t="e">
        <f ca="1">VLOOKUP($D633,物料本月库存明細!$B:$J,5,0)</f>
        <v>#N/A</v>
      </c>
      <c r="G633" s="188"/>
      <c r="H633" s="188"/>
      <c r="I633" s="188"/>
      <c r="J633" s="188" t="e">
        <f ca="1">VLOOKUP($D633,物料本月库存明細!$B:$J,9,0)</f>
        <v>#N/A</v>
      </c>
    </row>
    <row r="634" customHeight="1" spans="1:10">
      <c r="A634" s="191"/>
      <c r="B634" s="189"/>
      <c r="C634" s="193"/>
      <c r="D634" s="196"/>
      <c r="E634" s="188" t="e">
        <f ca="1">VLOOKUP($D634,物料本月库存明細!$B:$J,2,0)</f>
        <v>#N/A</v>
      </c>
      <c r="F634" s="188" t="e">
        <f ca="1">VLOOKUP($D634,物料本月库存明細!$B:$J,5,0)</f>
        <v>#N/A</v>
      </c>
      <c r="G634" s="188"/>
      <c r="H634" s="188"/>
      <c r="I634" s="188"/>
      <c r="J634" s="188" t="e">
        <f ca="1">VLOOKUP($D634,物料本月库存明細!$B:$J,9,0)</f>
        <v>#N/A</v>
      </c>
    </row>
    <row r="635" customHeight="1" spans="1:10">
      <c r="A635" s="191"/>
      <c r="B635" s="189"/>
      <c r="C635" s="193"/>
      <c r="D635" s="196"/>
      <c r="E635" s="188" t="e">
        <f ca="1">VLOOKUP($D635,物料本月库存明細!$B:$J,2,0)</f>
        <v>#N/A</v>
      </c>
      <c r="F635" s="188" t="e">
        <f ca="1">VLOOKUP($D635,物料本月库存明細!$B:$J,5,0)</f>
        <v>#N/A</v>
      </c>
      <c r="G635" s="188"/>
      <c r="H635" s="188"/>
      <c r="I635" s="188"/>
      <c r="J635" s="188" t="e">
        <f ca="1">VLOOKUP($D635,物料本月库存明細!$B:$J,9,0)</f>
        <v>#N/A</v>
      </c>
    </row>
    <row r="636" customHeight="1" spans="1:10">
      <c r="A636" s="191"/>
      <c r="B636" s="189"/>
      <c r="C636" s="193"/>
      <c r="D636" s="197"/>
      <c r="E636" s="188" t="e">
        <f ca="1">VLOOKUP($D636,物料本月库存明細!$B:$J,2,0)</f>
        <v>#N/A</v>
      </c>
      <c r="F636" s="188" t="e">
        <f ca="1">VLOOKUP($D636,物料本月库存明細!$B:$J,5,0)</f>
        <v>#N/A</v>
      </c>
      <c r="G636" s="188"/>
      <c r="H636" s="188"/>
      <c r="I636" s="188"/>
      <c r="J636" s="188" t="e">
        <f ca="1">VLOOKUP($D636,物料本月库存明細!$B:$J,9,0)</f>
        <v>#N/A</v>
      </c>
    </row>
    <row r="637" customHeight="1" spans="1:10">
      <c r="A637" s="191"/>
      <c r="B637" s="189"/>
      <c r="C637" s="193"/>
      <c r="D637" s="197"/>
      <c r="E637" s="188" t="e">
        <f ca="1">VLOOKUP($D637,物料本月库存明細!$B:$J,2,0)</f>
        <v>#N/A</v>
      </c>
      <c r="F637" s="188" t="e">
        <f ca="1">VLOOKUP($D637,物料本月库存明細!$B:$J,5,0)</f>
        <v>#N/A</v>
      </c>
      <c r="G637" s="188"/>
      <c r="H637" s="188"/>
      <c r="I637" s="188"/>
      <c r="J637" s="188" t="e">
        <f ca="1">VLOOKUP($D637,物料本月库存明細!$B:$J,9,0)</f>
        <v>#N/A</v>
      </c>
    </row>
    <row r="638" customHeight="1" spans="1:10">
      <c r="A638" s="191"/>
      <c r="B638" s="189"/>
      <c r="C638" s="193"/>
      <c r="D638" s="197"/>
      <c r="E638" s="188" t="e">
        <f ca="1">VLOOKUP($D638,物料本月库存明細!$B:$J,2,0)</f>
        <v>#N/A</v>
      </c>
      <c r="F638" s="188" t="e">
        <f ca="1">VLOOKUP($D638,物料本月库存明細!$B:$J,5,0)</f>
        <v>#N/A</v>
      </c>
      <c r="G638" s="188"/>
      <c r="H638" s="188"/>
      <c r="I638" s="188"/>
      <c r="J638" s="188" t="e">
        <f ca="1">VLOOKUP($D638,物料本月库存明細!$B:$J,9,0)</f>
        <v>#N/A</v>
      </c>
    </row>
    <row r="639" customHeight="1" spans="1:10">
      <c r="A639" s="191"/>
      <c r="B639" s="189"/>
      <c r="C639" s="193"/>
      <c r="D639" s="197"/>
      <c r="E639" s="188" t="e">
        <f ca="1">VLOOKUP($D639,物料本月库存明細!$B:$J,2,0)</f>
        <v>#N/A</v>
      </c>
      <c r="F639" s="188" t="e">
        <f ca="1">VLOOKUP($D639,物料本月库存明細!$B:$J,5,0)</f>
        <v>#N/A</v>
      </c>
      <c r="G639" s="188"/>
      <c r="H639" s="188"/>
      <c r="I639" s="188"/>
      <c r="J639" s="188" t="e">
        <f ca="1">VLOOKUP($D639,物料本月库存明細!$B:$J,9,0)</f>
        <v>#N/A</v>
      </c>
    </row>
    <row r="640" customHeight="1" spans="1:10">
      <c r="A640" s="191"/>
      <c r="B640" s="189"/>
      <c r="C640" s="193"/>
      <c r="D640" s="197"/>
      <c r="E640" s="188" t="e">
        <f ca="1">VLOOKUP($D640,物料本月库存明細!$B:$J,2,0)</f>
        <v>#N/A</v>
      </c>
      <c r="F640" s="188" t="e">
        <f ca="1">VLOOKUP($D640,物料本月库存明細!$B:$J,5,0)</f>
        <v>#N/A</v>
      </c>
      <c r="G640" s="188"/>
      <c r="H640" s="188"/>
      <c r="I640" s="188"/>
      <c r="J640" s="188" t="e">
        <f ca="1">VLOOKUP($D640,物料本月库存明細!$B:$J,9,0)</f>
        <v>#N/A</v>
      </c>
    </row>
    <row r="641" customHeight="1" spans="1:10">
      <c r="A641" s="191"/>
      <c r="B641" s="189"/>
      <c r="C641" s="193"/>
      <c r="D641" s="197"/>
      <c r="E641" s="188" t="e">
        <f ca="1">VLOOKUP($D641,物料本月库存明細!$B:$J,2,0)</f>
        <v>#N/A</v>
      </c>
      <c r="F641" s="188" t="e">
        <f ca="1">VLOOKUP($D641,物料本月库存明細!$B:$J,5,0)</f>
        <v>#N/A</v>
      </c>
      <c r="G641" s="188"/>
      <c r="H641" s="188"/>
      <c r="I641" s="188"/>
      <c r="J641" s="188" t="e">
        <f ca="1">VLOOKUP($D641,物料本月库存明細!$B:$J,9,0)</f>
        <v>#N/A</v>
      </c>
    </row>
    <row r="642" customHeight="1" spans="1:10">
      <c r="A642" s="191"/>
      <c r="B642" s="189"/>
      <c r="C642" s="193"/>
      <c r="D642" s="197"/>
      <c r="E642" s="188" t="e">
        <f ca="1">VLOOKUP($D642,物料本月库存明細!$B:$J,2,0)</f>
        <v>#N/A</v>
      </c>
      <c r="F642" s="188" t="e">
        <f ca="1">VLOOKUP($D642,物料本月库存明細!$B:$J,5,0)</f>
        <v>#N/A</v>
      </c>
      <c r="G642" s="188"/>
      <c r="H642" s="188"/>
      <c r="I642" s="188"/>
      <c r="J642" s="188" t="e">
        <f ca="1">VLOOKUP($D642,物料本月库存明細!$B:$J,9,0)</f>
        <v>#N/A</v>
      </c>
    </row>
    <row r="643" customHeight="1" spans="1:10">
      <c r="A643" s="191"/>
      <c r="B643" s="189"/>
      <c r="C643" s="193"/>
      <c r="D643" s="197"/>
      <c r="E643" s="188" t="e">
        <f ca="1">VLOOKUP($D643,物料本月库存明細!$B:$J,2,0)</f>
        <v>#N/A</v>
      </c>
      <c r="F643" s="188" t="e">
        <f ca="1">VLOOKUP($D643,物料本月库存明細!$B:$J,5,0)</f>
        <v>#N/A</v>
      </c>
      <c r="G643" s="188"/>
      <c r="H643" s="188"/>
      <c r="I643" s="188"/>
      <c r="J643" s="188" t="e">
        <f ca="1">VLOOKUP($D643,物料本月库存明細!$B:$J,9,0)</f>
        <v>#N/A</v>
      </c>
    </row>
    <row r="644" customHeight="1" spans="1:10">
      <c r="A644" s="191"/>
      <c r="B644" s="189"/>
      <c r="C644" s="193"/>
      <c r="D644" s="197"/>
      <c r="E644" s="188" t="e">
        <f ca="1">VLOOKUP($D644,物料本月库存明細!$B:$J,2,0)</f>
        <v>#N/A</v>
      </c>
      <c r="F644" s="188" t="e">
        <f ca="1">VLOOKUP($D644,物料本月库存明細!$B:$J,5,0)</f>
        <v>#N/A</v>
      </c>
      <c r="G644" s="188"/>
      <c r="H644" s="188"/>
      <c r="I644" s="188"/>
      <c r="J644" s="188" t="e">
        <f ca="1">VLOOKUP($D644,物料本月库存明細!$B:$J,9,0)</f>
        <v>#N/A</v>
      </c>
    </row>
    <row r="645" customHeight="1" spans="1:10">
      <c r="A645" s="191"/>
      <c r="B645" s="189"/>
      <c r="C645" s="193"/>
      <c r="D645" s="197"/>
      <c r="E645" s="188" t="e">
        <f ca="1">VLOOKUP($D645,物料本月库存明細!$B:$J,2,0)</f>
        <v>#N/A</v>
      </c>
      <c r="F645" s="188" t="e">
        <f ca="1">VLOOKUP($D645,物料本月库存明細!$B:$J,5,0)</f>
        <v>#N/A</v>
      </c>
      <c r="G645" s="188"/>
      <c r="H645" s="188"/>
      <c r="I645" s="188"/>
      <c r="J645" s="188" t="e">
        <f ca="1">VLOOKUP($D645,物料本月库存明細!$B:$J,9,0)</f>
        <v>#N/A</v>
      </c>
    </row>
    <row r="646" customHeight="1" spans="1:10">
      <c r="A646" s="191"/>
      <c r="B646" s="189"/>
      <c r="C646" s="193"/>
      <c r="D646" s="197"/>
      <c r="E646" s="188" t="e">
        <f ca="1">VLOOKUP($D646,物料本月库存明細!$B:$J,2,0)</f>
        <v>#N/A</v>
      </c>
      <c r="F646" s="188" t="e">
        <f ca="1">VLOOKUP($D646,物料本月库存明細!$B:$J,5,0)</f>
        <v>#N/A</v>
      </c>
      <c r="G646" s="188"/>
      <c r="H646" s="188"/>
      <c r="I646" s="188"/>
      <c r="J646" s="188" t="e">
        <f ca="1">VLOOKUP($D646,物料本月库存明細!$B:$J,9,0)</f>
        <v>#N/A</v>
      </c>
    </row>
    <row r="647" customHeight="1" spans="1:10">
      <c r="A647" s="191"/>
      <c r="B647" s="189"/>
      <c r="C647" s="193"/>
      <c r="D647" s="197"/>
      <c r="E647" s="188" t="e">
        <f ca="1">VLOOKUP($D647,物料本月库存明細!$B:$J,2,0)</f>
        <v>#N/A</v>
      </c>
      <c r="F647" s="188" t="e">
        <f ca="1">VLOOKUP($D647,物料本月库存明細!$B:$J,5,0)</f>
        <v>#N/A</v>
      </c>
      <c r="G647" s="188"/>
      <c r="H647" s="188"/>
      <c r="I647" s="188"/>
      <c r="J647" s="188" t="e">
        <f ca="1">VLOOKUP($D647,物料本月库存明細!$B:$J,9,0)</f>
        <v>#N/A</v>
      </c>
    </row>
    <row r="648" customHeight="1" spans="1:10">
      <c r="A648" s="191"/>
      <c r="B648" s="189"/>
      <c r="C648" s="193"/>
      <c r="D648" s="197"/>
      <c r="E648" s="188" t="e">
        <f ca="1">VLOOKUP($D648,物料本月库存明細!$B:$J,2,0)</f>
        <v>#N/A</v>
      </c>
      <c r="F648" s="188" t="e">
        <f ca="1">VLOOKUP($D648,物料本月库存明細!$B:$J,5,0)</f>
        <v>#N/A</v>
      </c>
      <c r="G648" s="188"/>
      <c r="H648" s="188"/>
      <c r="I648" s="188"/>
      <c r="J648" s="188" t="e">
        <f ca="1">VLOOKUP($D648,物料本月库存明細!$B:$J,9,0)</f>
        <v>#N/A</v>
      </c>
    </row>
    <row r="649" customHeight="1" spans="1:10">
      <c r="A649" s="191"/>
      <c r="B649" s="189"/>
      <c r="C649" s="193"/>
      <c r="D649" s="197"/>
      <c r="E649" s="188" t="e">
        <f ca="1">VLOOKUP($D649,物料本月库存明細!$B:$J,2,0)</f>
        <v>#N/A</v>
      </c>
      <c r="F649" s="188" t="e">
        <f ca="1">VLOOKUP($D649,物料本月库存明細!$B:$J,5,0)</f>
        <v>#N/A</v>
      </c>
      <c r="G649" s="188"/>
      <c r="H649" s="188"/>
      <c r="I649" s="188"/>
      <c r="J649" s="188" t="e">
        <f ca="1">VLOOKUP($D649,物料本月库存明細!$B:$J,9,0)</f>
        <v>#N/A</v>
      </c>
    </row>
    <row r="650" customHeight="1" spans="1:10">
      <c r="A650" s="191"/>
      <c r="B650" s="189"/>
      <c r="C650" s="193"/>
      <c r="D650" s="197"/>
      <c r="E650" s="188" t="e">
        <f ca="1">VLOOKUP($D650,物料本月库存明細!$B:$J,2,0)</f>
        <v>#N/A</v>
      </c>
      <c r="F650" s="188" t="e">
        <f ca="1">VLOOKUP($D650,物料本月库存明細!$B:$J,5,0)</f>
        <v>#N/A</v>
      </c>
      <c r="G650" s="188"/>
      <c r="H650" s="188"/>
      <c r="I650" s="188"/>
      <c r="J650" s="188" t="e">
        <f ca="1">VLOOKUP($D650,物料本月库存明細!$B:$J,9,0)</f>
        <v>#N/A</v>
      </c>
    </row>
    <row r="651" customHeight="1" spans="1:10">
      <c r="A651" s="191"/>
      <c r="B651" s="189"/>
      <c r="D651" s="197"/>
      <c r="E651" s="188" t="e">
        <f ca="1">VLOOKUP($D651,物料本月库存明細!$B:$J,2,0)</f>
        <v>#N/A</v>
      </c>
      <c r="F651" s="188" t="e">
        <f ca="1">VLOOKUP($D651,物料本月库存明細!$B:$J,5,0)</f>
        <v>#N/A</v>
      </c>
      <c r="J651" s="188" t="e">
        <f ca="1">VLOOKUP($D651,物料本月库存明細!$B:$J,9,0)</f>
        <v>#N/A</v>
      </c>
    </row>
    <row r="652" customHeight="1" spans="1:10">
      <c r="E652" s="188" t="e">
        <f ca="1">VLOOKUP($D652,物料本月库存明細!$B:$J,2,0)</f>
        <v>#N/A</v>
      </c>
      <c r="F652" s="188" t="e">
        <f ca="1">VLOOKUP($D652,物料本月库存明細!$B:$J,5,0)</f>
        <v>#N/A</v>
      </c>
      <c r="J652" s="188" t="e">
        <f ca="1">VLOOKUP($D652,物料本月库存明細!$B:$J,9,0)</f>
        <v>#N/A</v>
      </c>
    </row>
    <row r="653" customHeight="1" spans="1:10">
      <c r="E653" s="188" t="e">
        <f ca="1">VLOOKUP($D653,物料本月库存明細!$B:$J,2,0)</f>
        <v>#N/A</v>
      </c>
      <c r="F653" s="188" t="e">
        <f ca="1">VLOOKUP($D653,物料本月库存明細!$B:$J,5,0)</f>
        <v>#N/A</v>
      </c>
      <c r="J653" s="188" t="e">
        <f ca="1">VLOOKUP($D653,物料本月库存明細!$B:$J,9,0)</f>
        <v>#N/A</v>
      </c>
    </row>
    <row r="654" customHeight="1" spans="1:10">
      <c r="E654" s="188" t="e">
        <f ca="1">VLOOKUP($D654,物料本月库存明細!$B:$J,2,0)</f>
        <v>#N/A</v>
      </c>
      <c r="F654" s="188" t="e">
        <f ca="1">VLOOKUP($D654,物料本月库存明細!$B:$J,5,0)</f>
        <v>#N/A</v>
      </c>
      <c r="J654" s="188" t="e">
        <f ca="1">VLOOKUP($D654,物料本月库存明細!$B:$J,9,0)</f>
        <v>#N/A</v>
      </c>
    </row>
    <row r="655" customHeight="1" spans="1:10">
      <c r="E655" s="188" t="e">
        <f ca="1">VLOOKUP($D655,物料本月库存明細!$B:$J,2,0)</f>
        <v>#N/A</v>
      </c>
      <c r="F655" s="188" t="e">
        <f ca="1">VLOOKUP($D655,物料本月库存明細!$B:$J,5,0)</f>
        <v>#N/A</v>
      </c>
      <c r="J655" s="188" t="e">
        <f ca="1">VLOOKUP($D655,物料本月库存明細!$B:$J,9,0)</f>
        <v>#N/A</v>
      </c>
    </row>
    <row r="656" customHeight="1" spans="1:10">
      <c r="E656" s="188" t="e">
        <f ca="1">VLOOKUP($D656,物料本月库存明細!$B:$J,2,0)</f>
        <v>#N/A</v>
      </c>
      <c r="F656" s="188" t="e">
        <f ca="1">VLOOKUP($D656,物料本月库存明細!$B:$J,5,0)</f>
        <v>#N/A</v>
      </c>
      <c r="J656" s="188" t="e">
        <f ca="1">VLOOKUP($D656,物料本月库存明細!$B:$J,9,0)</f>
        <v>#N/A</v>
      </c>
    </row>
    <row r="657" customHeight="1" spans="2:10">
      <c r="B657" s="209" t="s">
        <v>152</v>
      </c>
      <c r="E657" s="188" t="e">
        <f ca="1">VLOOKUP($D657,物料本月库存明細!$B:$J,2,0)</f>
        <v>#N/A</v>
      </c>
      <c r="F657" s="188" t="e">
        <f ca="1">VLOOKUP($D657,物料本月库存明細!$B:$J,5,0)</f>
        <v>#N/A</v>
      </c>
      <c r="J657" s="188" t="e">
        <f ca="1">VLOOKUP($D657,物料本月库存明細!$B:$J,9,0)</f>
        <v>#N/A</v>
      </c>
    </row>
    <row r="658" customHeight="1" spans="2:10">
      <c r="E658" s="188" t="e">
        <f ca="1">VLOOKUP($D658,物料本月库存明細!$B:$J,2,0)</f>
        <v>#N/A</v>
      </c>
      <c r="F658" s="188" t="e">
        <f ca="1">VLOOKUP($D658,物料本月库存明細!$B:$J,5,0)</f>
        <v>#N/A</v>
      </c>
      <c r="J658" s="188" t="e">
        <f ca="1">VLOOKUP($D658,物料本月库存明細!$B:$J,9,0)</f>
        <v>#N/A</v>
      </c>
    </row>
    <row r="659" customHeight="1" spans="2:10">
      <c r="E659" s="188" t="e">
        <f ca="1">VLOOKUP($D659,物料本月库存明細!$B:$J,2,0)</f>
        <v>#N/A</v>
      </c>
      <c r="F659" s="188" t="e">
        <f ca="1">VLOOKUP($D659,物料本月库存明細!$B:$J,5,0)</f>
        <v>#N/A</v>
      </c>
      <c r="J659" s="188" t="e">
        <f ca="1">VLOOKUP($D659,物料本月库存明細!$B:$J,9,0)</f>
        <v>#N/A</v>
      </c>
    </row>
    <row r="660" customHeight="1" spans="2:10">
      <c r="E660" s="188" t="e">
        <f ca="1">VLOOKUP($D660,物料本月库存明細!$B:$J,2,0)</f>
        <v>#N/A</v>
      </c>
      <c r="F660" s="188" t="e">
        <f ca="1">VLOOKUP($D660,物料本月库存明細!$B:$J,5,0)</f>
        <v>#N/A</v>
      </c>
      <c r="J660" s="188" t="e">
        <f ca="1">VLOOKUP($D660,物料本月库存明細!$B:$J,9,0)</f>
        <v>#N/A</v>
      </c>
    </row>
    <row r="661" customHeight="1" spans="2:10">
      <c r="E661" s="188" t="e">
        <f ca="1">VLOOKUP($D661,物料本月库存明細!$B:$J,2,0)</f>
        <v>#N/A</v>
      </c>
      <c r="F661" s="188" t="e">
        <f ca="1">VLOOKUP($D661,物料本月库存明細!$B:$J,5,0)</f>
        <v>#N/A</v>
      </c>
      <c r="J661" s="188" t="e">
        <f ca="1">VLOOKUP($D661,物料本月库存明細!$B:$J,9,0)</f>
        <v>#N/A</v>
      </c>
    </row>
    <row r="662" customHeight="1" spans="2:10">
      <c r="E662" s="188" t="e">
        <f ca="1">VLOOKUP($D662,物料本月库存明細!$B:$J,2,0)</f>
        <v>#N/A</v>
      </c>
      <c r="F662" s="188" t="e">
        <f ca="1">VLOOKUP($D662,物料本月库存明細!$B:$J,5,0)</f>
        <v>#N/A</v>
      </c>
      <c r="J662" s="188" t="e">
        <f ca="1">VLOOKUP($D662,物料本月库存明細!$B:$J,9,0)</f>
        <v>#N/A</v>
      </c>
    </row>
    <row r="663" customHeight="1" spans="2:10">
      <c r="E663" s="188" t="e">
        <f ca="1">VLOOKUP($D663,物料本月库存明細!$B:$J,2,0)</f>
        <v>#N/A</v>
      </c>
      <c r="F663" s="188" t="e">
        <f ca="1">VLOOKUP($D663,物料本月库存明細!$B:$J,5,0)</f>
        <v>#N/A</v>
      </c>
      <c r="J663" s="188" t="e">
        <f ca="1">VLOOKUP($D663,物料本月库存明細!$B:$J,9,0)</f>
        <v>#N/A</v>
      </c>
    </row>
    <row r="664" customHeight="1" spans="2:10">
      <c r="E664" s="188" t="e">
        <f ca="1">VLOOKUP($D664,物料本月库存明細!$B:$J,2,0)</f>
        <v>#N/A</v>
      </c>
      <c r="F664" s="188" t="e">
        <f ca="1">VLOOKUP($D664,物料本月库存明細!$B:$J,5,0)</f>
        <v>#N/A</v>
      </c>
      <c r="J664" s="188" t="e">
        <f ca="1">VLOOKUP($D664,物料本月库存明細!$B:$J,9,0)</f>
        <v>#N/A</v>
      </c>
    </row>
    <row r="665" customHeight="1" spans="2:10">
      <c r="E665" s="188" t="e">
        <f ca="1">VLOOKUP($D665,物料本月库存明細!$B:$J,2,0)</f>
        <v>#N/A</v>
      </c>
      <c r="F665" s="188" t="e">
        <f ca="1">VLOOKUP($D665,物料本月库存明細!$B:$J,5,0)</f>
        <v>#N/A</v>
      </c>
      <c r="J665" s="188" t="e">
        <f ca="1">VLOOKUP($D665,物料本月库存明細!$B:$J,9,0)</f>
        <v>#N/A</v>
      </c>
    </row>
    <row r="666" customHeight="1" spans="2:10">
      <c r="E666" s="188" t="e">
        <f ca="1">VLOOKUP($D666,物料本月库存明細!$B:$J,2,0)</f>
        <v>#N/A</v>
      </c>
      <c r="F666" s="188" t="e">
        <f ca="1">VLOOKUP($D666,物料本月库存明細!$B:$J,5,0)</f>
        <v>#N/A</v>
      </c>
      <c r="J666" s="188" t="e">
        <f ca="1">VLOOKUP($D666,物料本月库存明細!$B:$J,9,0)</f>
        <v>#N/A</v>
      </c>
    </row>
    <row r="667" customHeight="1" spans="2:10">
      <c r="E667" s="188" t="e">
        <f ca="1">VLOOKUP($D667,物料本月库存明細!$B:$J,2,0)</f>
        <v>#N/A</v>
      </c>
      <c r="F667" s="188" t="e">
        <f ca="1">VLOOKUP($D667,物料本月库存明細!$B:$J,5,0)</f>
        <v>#N/A</v>
      </c>
      <c r="J667" s="188" t="e">
        <f ca="1">VLOOKUP($D667,物料本月库存明細!$B:$J,9,0)</f>
        <v>#N/A</v>
      </c>
    </row>
    <row r="668" customHeight="1" spans="2:10">
      <c r="E668" s="188" t="e">
        <f ca="1">VLOOKUP($D668,物料本月库存明細!$B:$J,2,0)</f>
        <v>#N/A</v>
      </c>
      <c r="F668" s="188" t="e">
        <f ca="1">VLOOKUP($D668,物料本月库存明細!$B:$J,5,0)</f>
        <v>#N/A</v>
      </c>
      <c r="J668" s="188" t="e">
        <f ca="1">VLOOKUP($D668,物料本月库存明細!$B:$J,9,0)</f>
        <v>#N/A</v>
      </c>
    </row>
    <row r="669" customHeight="1" spans="2:10">
      <c r="E669" s="188" t="e">
        <f ca="1">VLOOKUP($D669,物料本月库存明細!$B:$J,2,0)</f>
        <v>#N/A</v>
      </c>
      <c r="F669" s="188" t="e">
        <f ca="1">VLOOKUP($D669,物料本月库存明細!$B:$J,5,0)</f>
        <v>#N/A</v>
      </c>
      <c r="J669" s="188" t="e">
        <f ca="1">VLOOKUP($D669,物料本月库存明細!$B:$J,9,0)</f>
        <v>#N/A</v>
      </c>
    </row>
    <row r="670" customHeight="1" spans="2:10">
      <c r="E670" s="188" t="e">
        <f ca="1">VLOOKUP($D670,物料本月库存明細!$B:$J,2,0)</f>
        <v>#N/A</v>
      </c>
      <c r="F670" s="188" t="e">
        <f ca="1">VLOOKUP($D670,物料本月库存明細!$B:$J,5,0)</f>
        <v>#N/A</v>
      </c>
      <c r="J670" s="188" t="e">
        <f ca="1">VLOOKUP($D670,物料本月库存明細!$B:$J,9,0)</f>
        <v>#N/A</v>
      </c>
    </row>
    <row r="671" customHeight="1" spans="2:10">
      <c r="E671" s="188" t="e">
        <f ca="1">VLOOKUP($D671,物料本月库存明細!$B:$J,2,0)</f>
        <v>#N/A</v>
      </c>
      <c r="F671" s="188" t="e">
        <f ca="1">VLOOKUP($D671,物料本月库存明細!$B:$J,5,0)</f>
        <v>#N/A</v>
      </c>
      <c r="J671" s="188" t="e">
        <f ca="1">VLOOKUP($D671,物料本月库存明細!$B:$J,9,0)</f>
        <v>#N/A</v>
      </c>
    </row>
    <row r="672" customHeight="1" spans="2:10">
      <c r="E672" s="188" t="e">
        <f ca="1">VLOOKUP($D672,物料本月库存明細!$B:$J,2,0)</f>
        <v>#N/A</v>
      </c>
      <c r="F672" s="188" t="e">
        <f ca="1">VLOOKUP($D672,物料本月库存明細!$B:$J,5,0)</f>
        <v>#N/A</v>
      </c>
      <c r="J672" s="188" t="e">
        <f ca="1">VLOOKUP($D672,物料本月库存明細!$B:$J,9,0)</f>
        <v>#N/A</v>
      </c>
    </row>
    <row r="673" customHeight="1" spans="5:10">
      <c r="E673" s="188" t="e">
        <f ca="1">VLOOKUP($D673,物料本月库存明細!$B:$J,2,0)</f>
        <v>#N/A</v>
      </c>
      <c r="F673" s="188" t="e">
        <f ca="1">VLOOKUP($D673,物料本月库存明細!$B:$J,5,0)</f>
        <v>#N/A</v>
      </c>
      <c r="J673" s="188" t="e">
        <f ca="1">VLOOKUP($D673,物料本月库存明細!$B:$J,9,0)</f>
        <v>#N/A</v>
      </c>
    </row>
    <row r="674" customHeight="1" spans="5:10">
      <c r="E674" s="188" t="e">
        <f ca="1">VLOOKUP($D674,物料本月库存明細!$B:$J,2,0)</f>
        <v>#N/A</v>
      </c>
      <c r="F674" s="188" t="e">
        <f ca="1">VLOOKUP($D674,物料本月库存明細!$B:$J,5,0)</f>
        <v>#N/A</v>
      </c>
      <c r="J674" s="188" t="e">
        <f ca="1">VLOOKUP($D674,物料本月库存明細!$B:$J,9,0)</f>
        <v>#N/A</v>
      </c>
    </row>
    <row r="675" customHeight="1" spans="5:10">
      <c r="E675" s="188" t="e">
        <f ca="1">VLOOKUP($D675,物料本月库存明細!$B:$J,2,0)</f>
        <v>#N/A</v>
      </c>
      <c r="F675" s="188" t="e">
        <f ca="1">VLOOKUP($D675,物料本月库存明細!$B:$J,5,0)</f>
        <v>#N/A</v>
      </c>
      <c r="G675" s="188"/>
      <c r="H675" s="191"/>
      <c r="I675" s="188"/>
      <c r="J675" s="188" t="e">
        <f ca="1">VLOOKUP($D675,物料本月库存明細!$B:$J,9,0)</f>
        <v>#N/A</v>
      </c>
    </row>
    <row r="676" customHeight="1" spans="5:10">
      <c r="E676" s="188" t="e">
        <f ca="1">VLOOKUP($D676,物料本月库存明細!$B:$J,2,0)</f>
        <v>#N/A</v>
      </c>
      <c r="F676" s="188" t="e">
        <f ca="1">VLOOKUP($D676,物料本月库存明細!$B:$J,5,0)</f>
        <v>#N/A</v>
      </c>
      <c r="G676" s="188"/>
      <c r="H676" s="191"/>
      <c r="I676" s="188"/>
      <c r="J676" s="188" t="e">
        <f ca="1">VLOOKUP($D676,物料本月库存明細!$B:$J,9,0)</f>
        <v>#N/A</v>
      </c>
    </row>
    <row r="677" customHeight="1" spans="5:10">
      <c r="E677" s="188" t="e">
        <f ca="1">VLOOKUP($D677,物料本月库存明細!$B:$J,2,0)</f>
        <v>#N/A</v>
      </c>
      <c r="F677" s="188" t="e">
        <f ca="1">VLOOKUP($D677,物料本月库存明細!$B:$J,5,0)</f>
        <v>#N/A</v>
      </c>
      <c r="G677" s="188"/>
      <c r="H677" s="191"/>
      <c r="I677" s="188"/>
      <c r="J677" s="188" t="e">
        <f ca="1">VLOOKUP($D677,物料本月库存明細!$B:$J,9,0)</f>
        <v>#N/A</v>
      </c>
    </row>
    <row r="678" customHeight="1" spans="5:10">
      <c r="E678" s="188" t="e">
        <f ca="1">VLOOKUP($D678,物料本月库存明細!$B:$J,2,0)</f>
        <v>#N/A</v>
      </c>
      <c r="F678" s="188" t="e">
        <f ca="1">VLOOKUP($D678,物料本月库存明細!$B:$J,5,0)</f>
        <v>#N/A</v>
      </c>
      <c r="G678" s="188"/>
      <c r="H678" s="191"/>
      <c r="I678" s="188"/>
      <c r="J678" s="188" t="e">
        <f ca="1">VLOOKUP($D678,物料本月库存明細!$B:$J,9,0)</f>
        <v>#N/A</v>
      </c>
    </row>
    <row r="679" customHeight="1" spans="5:10">
      <c r="E679" s="188" t="e">
        <f ca="1">VLOOKUP($D679,物料本月库存明細!$B:$J,2,0)</f>
        <v>#N/A</v>
      </c>
      <c r="F679" s="188" t="e">
        <f ca="1">VLOOKUP($D679,物料本月库存明細!$B:$J,5,0)</f>
        <v>#N/A</v>
      </c>
      <c r="G679" s="188"/>
      <c r="H679" s="191"/>
      <c r="I679" s="188"/>
      <c r="J679" s="188" t="e">
        <f ca="1">VLOOKUP($D679,物料本月库存明細!$B:$J,9,0)</f>
        <v>#N/A</v>
      </c>
    </row>
    <row r="680" customHeight="1" spans="5:10">
      <c r="E680" s="188" t="e">
        <f ca="1">VLOOKUP($D680,物料本月库存明細!$B:$J,2,0)</f>
        <v>#N/A</v>
      </c>
      <c r="F680" s="188" t="e">
        <f ca="1">VLOOKUP($D680,物料本月库存明細!$B:$J,5,0)</f>
        <v>#N/A</v>
      </c>
      <c r="G680" s="188"/>
      <c r="H680" s="191"/>
      <c r="I680" s="188"/>
      <c r="J680" s="188" t="e">
        <f ca="1">VLOOKUP($D680,物料本月库存明細!$B:$J,9,0)</f>
        <v>#N/A</v>
      </c>
    </row>
    <row r="681" customHeight="1" spans="5:10">
      <c r="E681" s="188" t="e">
        <f ca="1">VLOOKUP($D681,物料本月库存明細!$B:$J,2,0)</f>
        <v>#N/A</v>
      </c>
      <c r="F681" s="188" t="e">
        <f ca="1">VLOOKUP($D681,物料本月库存明細!$B:$J,5,0)</f>
        <v>#N/A</v>
      </c>
      <c r="J681" s="188" t="e">
        <f ca="1">VLOOKUP($D681,物料本月库存明細!$B:$J,9,0)</f>
        <v>#N/A</v>
      </c>
    </row>
    <row r="682" customHeight="1" spans="5:10">
      <c r="E682" s="188" t="e">
        <f ca="1">VLOOKUP($D682,物料本月库存明細!$B:$J,2,0)</f>
        <v>#N/A</v>
      </c>
      <c r="F682" s="188" t="e">
        <f ca="1">VLOOKUP($D682,物料本月库存明細!$B:$J,5,0)</f>
        <v>#N/A</v>
      </c>
      <c r="J682" s="188" t="e">
        <f ca="1">VLOOKUP($D682,物料本月库存明細!$B:$J,9,0)</f>
        <v>#N/A</v>
      </c>
    </row>
    <row r="683" customHeight="1" spans="5:10">
      <c r="E683" s="188" t="e">
        <f ca="1">VLOOKUP($D683,物料本月库存明細!$B:$J,2,0)</f>
        <v>#N/A</v>
      </c>
      <c r="F683" s="188" t="e">
        <f ca="1">VLOOKUP($D683,物料本月库存明細!$B:$J,5,0)</f>
        <v>#N/A</v>
      </c>
      <c r="J683" s="188" t="e">
        <f ca="1">VLOOKUP($D683,物料本月库存明細!$B:$J,9,0)</f>
        <v>#N/A</v>
      </c>
    </row>
    <row r="684" customHeight="1" spans="5:10">
      <c r="E684" s="188" t="e">
        <f ca="1">VLOOKUP($D684,物料本月库存明細!$B:$J,2,0)</f>
        <v>#N/A</v>
      </c>
      <c r="F684" s="188" t="e">
        <f ca="1">VLOOKUP($D684,物料本月库存明細!$B:$J,5,0)</f>
        <v>#N/A</v>
      </c>
      <c r="J684" s="188" t="e">
        <f ca="1">VLOOKUP($D684,物料本月库存明細!$B:$J,9,0)</f>
        <v>#N/A</v>
      </c>
    </row>
    <row r="685" customHeight="1" spans="5:10">
      <c r="E685" s="188" t="e">
        <f ca="1">VLOOKUP($D685,物料本月库存明細!$B:$J,2,0)</f>
        <v>#N/A</v>
      </c>
      <c r="F685" s="188" t="e">
        <f ca="1">VLOOKUP($D685,物料本月库存明細!$B:$J,5,0)</f>
        <v>#N/A</v>
      </c>
      <c r="J685" s="188" t="e">
        <f ca="1">VLOOKUP($D685,物料本月库存明細!$B:$J,9,0)</f>
        <v>#N/A</v>
      </c>
    </row>
    <row r="686" customHeight="1" spans="5:10">
      <c r="E686" s="188" t="e">
        <f ca="1">VLOOKUP($D686,物料本月库存明細!$B:$J,2,0)</f>
        <v>#N/A</v>
      </c>
      <c r="F686" s="188" t="e">
        <f ca="1">VLOOKUP($D686,物料本月库存明細!$B:$J,5,0)</f>
        <v>#N/A</v>
      </c>
      <c r="J686" s="188" t="e">
        <f ca="1">VLOOKUP($D686,物料本月库存明細!$B:$J,9,0)</f>
        <v>#N/A</v>
      </c>
    </row>
    <row r="687" customHeight="1" spans="5:10">
      <c r="E687" s="188" t="e">
        <f ca="1">VLOOKUP($D687,物料本月库存明細!$B:$J,2,0)</f>
        <v>#N/A</v>
      </c>
      <c r="F687" s="188" t="e">
        <f ca="1">VLOOKUP($D687,物料本月库存明細!$B:$J,5,0)</f>
        <v>#N/A</v>
      </c>
      <c r="J687" s="188" t="e">
        <f ca="1">VLOOKUP($D687,物料本月库存明細!$B:$J,9,0)</f>
        <v>#N/A</v>
      </c>
    </row>
    <row r="688" customHeight="1" spans="5:10">
      <c r="E688" s="188" t="e">
        <f ca="1">VLOOKUP($D688,物料本月库存明細!$B:$J,2,0)</f>
        <v>#N/A</v>
      </c>
      <c r="F688" s="188" t="e">
        <f ca="1">VLOOKUP($D688,物料本月库存明細!$B:$J,5,0)</f>
        <v>#N/A</v>
      </c>
      <c r="J688" s="188" t="e">
        <f ca="1">VLOOKUP($D688,物料本月库存明細!$B:$J,9,0)</f>
        <v>#N/A</v>
      </c>
    </row>
    <row r="689" customHeight="1" spans="5:10">
      <c r="E689" s="188" t="e">
        <f ca="1">VLOOKUP($D689,物料本月库存明細!$B:$J,2,0)</f>
        <v>#N/A</v>
      </c>
      <c r="F689" s="188" t="e">
        <f ca="1">VLOOKUP($D689,物料本月库存明細!$B:$J,5,0)</f>
        <v>#N/A</v>
      </c>
      <c r="J689" s="188" t="e">
        <f ca="1">VLOOKUP($D689,物料本月库存明細!$B:$J,9,0)</f>
        <v>#N/A</v>
      </c>
    </row>
    <row r="690" customHeight="1" spans="5:10">
      <c r="E690" s="188" t="e">
        <f ca="1">VLOOKUP($D690,物料本月库存明細!$B:$J,2,0)</f>
        <v>#N/A</v>
      </c>
      <c r="F690" s="188" t="e">
        <f ca="1">VLOOKUP($D690,物料本月库存明細!$B:$J,5,0)</f>
        <v>#N/A</v>
      </c>
      <c r="J690" s="188" t="e">
        <f ca="1">VLOOKUP($D690,物料本月库存明細!$B:$J,9,0)</f>
        <v>#N/A</v>
      </c>
    </row>
    <row r="691" customHeight="1" spans="5:10">
      <c r="E691" s="188" t="e">
        <f ca="1">VLOOKUP($D691,物料本月库存明細!$B:$J,2,0)</f>
        <v>#N/A</v>
      </c>
      <c r="F691" s="188" t="e">
        <f ca="1">VLOOKUP($D691,物料本月库存明細!$B:$J,5,0)</f>
        <v>#N/A</v>
      </c>
      <c r="J691" s="188" t="e">
        <f ca="1">VLOOKUP($D691,物料本月库存明細!$B:$J,9,0)</f>
        <v>#N/A</v>
      </c>
    </row>
    <row r="692" customHeight="1" spans="5:10">
      <c r="E692" s="188" t="e">
        <f ca="1">VLOOKUP($D692,物料本月库存明細!$B:$J,2,0)</f>
        <v>#N/A</v>
      </c>
      <c r="F692" s="188" t="e">
        <f ca="1">VLOOKUP($D692,物料本月库存明細!$B:$J,5,0)</f>
        <v>#N/A</v>
      </c>
      <c r="J692" s="188" t="e">
        <f ca="1">VLOOKUP($D692,物料本月库存明細!$B:$J,9,0)</f>
        <v>#N/A</v>
      </c>
    </row>
    <row r="693" customHeight="1" spans="5:10">
      <c r="E693" s="188" t="e">
        <f ca="1">VLOOKUP($D693,物料本月库存明細!$B:$J,2,0)</f>
        <v>#N/A</v>
      </c>
      <c r="F693" s="188" t="e">
        <f ca="1">VLOOKUP($D693,物料本月库存明細!$B:$J,5,0)</f>
        <v>#N/A</v>
      </c>
      <c r="J693" s="188" t="e">
        <f ca="1">VLOOKUP($D693,物料本月库存明細!$B:$J,9,0)</f>
        <v>#N/A</v>
      </c>
    </row>
    <row r="694" customHeight="1" spans="5:10">
      <c r="E694" s="188" t="e">
        <f ca="1">VLOOKUP($D694,物料本月库存明細!$B:$J,2,0)</f>
        <v>#N/A</v>
      </c>
      <c r="F694" s="188" t="e">
        <f ca="1">VLOOKUP($D694,物料本月库存明細!$B:$J,5,0)</f>
        <v>#N/A</v>
      </c>
      <c r="J694" s="188" t="e">
        <f ca="1">VLOOKUP($D694,物料本月库存明細!$B:$J,9,0)</f>
        <v>#N/A</v>
      </c>
    </row>
    <row r="695" customHeight="1" spans="5:10">
      <c r="E695" s="188" t="e">
        <f ca="1">VLOOKUP($D695,物料本月库存明細!$B:$J,2,0)</f>
        <v>#N/A</v>
      </c>
      <c r="F695" s="188" t="e">
        <f ca="1">VLOOKUP($D695,物料本月库存明細!$B:$J,5,0)</f>
        <v>#N/A</v>
      </c>
      <c r="J695" s="188" t="e">
        <f ca="1">VLOOKUP($D695,物料本月库存明細!$B:$J,9,0)</f>
        <v>#N/A</v>
      </c>
    </row>
    <row r="696" customHeight="1" spans="5:10">
      <c r="E696" s="188" t="e">
        <f ca="1">VLOOKUP($D696,物料本月库存明細!$B:$J,2,0)</f>
        <v>#N/A</v>
      </c>
      <c r="F696" s="188" t="e">
        <f ca="1">VLOOKUP($D696,物料本月库存明細!$B:$J,5,0)</f>
        <v>#N/A</v>
      </c>
      <c r="J696" s="188" t="e">
        <f ca="1">VLOOKUP($D696,物料本月库存明細!$B:$J,9,0)</f>
        <v>#N/A</v>
      </c>
    </row>
    <row r="697" customHeight="1" spans="5:10">
      <c r="E697" s="188" t="e">
        <f ca="1">VLOOKUP($D697,物料本月库存明細!$B:$J,2,0)</f>
        <v>#N/A</v>
      </c>
      <c r="F697" s="188" t="e">
        <f ca="1">VLOOKUP($D697,物料本月库存明細!$B:$J,5,0)</f>
        <v>#N/A</v>
      </c>
      <c r="J697" s="188" t="e">
        <f ca="1">VLOOKUP($D697,物料本月库存明細!$B:$J,9,0)</f>
        <v>#N/A</v>
      </c>
    </row>
    <row r="698" customHeight="1" spans="5:10">
      <c r="E698" s="188" t="e">
        <f ca="1">VLOOKUP($D698,物料本月库存明細!$B:$J,2,0)</f>
        <v>#N/A</v>
      </c>
      <c r="F698" s="188" t="e">
        <f ca="1">VLOOKUP($D698,物料本月库存明細!$B:$J,5,0)</f>
        <v>#N/A</v>
      </c>
      <c r="J698" s="188" t="e">
        <f ca="1">VLOOKUP($D698,物料本月库存明細!$B:$J,9,0)</f>
        <v>#N/A</v>
      </c>
    </row>
    <row r="699" customHeight="1" spans="5:10">
      <c r="E699" s="188" t="e">
        <f ca="1">VLOOKUP($D699,物料本月库存明細!$B:$J,2,0)</f>
        <v>#N/A</v>
      </c>
      <c r="F699" s="188" t="e">
        <f ca="1">VLOOKUP($D699,物料本月库存明細!$B:$J,5,0)</f>
        <v>#N/A</v>
      </c>
      <c r="J699" s="188" t="e">
        <f ca="1">VLOOKUP($D699,物料本月库存明細!$B:$J,9,0)</f>
        <v>#N/A</v>
      </c>
    </row>
    <row r="700" customHeight="1" spans="5:10">
      <c r="E700" s="188" t="e">
        <f ca="1">VLOOKUP($D700,物料本月库存明細!$B:$J,2,0)</f>
        <v>#N/A</v>
      </c>
      <c r="F700" s="188" t="e">
        <f ca="1">VLOOKUP($D700,物料本月库存明細!$B:$J,5,0)</f>
        <v>#N/A</v>
      </c>
      <c r="J700" s="188" t="e">
        <f ca="1">VLOOKUP($D700,物料本月库存明細!$B:$J,9,0)</f>
        <v>#N/A</v>
      </c>
    </row>
    <row r="701" customHeight="1" spans="5:10">
      <c r="E701" s="188" t="e">
        <f ca="1">VLOOKUP($D701,物料本月库存明細!$B:$J,2,0)</f>
        <v>#N/A</v>
      </c>
      <c r="F701" s="188" t="e">
        <f ca="1">VLOOKUP($D701,物料本月库存明細!$B:$J,5,0)</f>
        <v>#N/A</v>
      </c>
      <c r="J701" s="188" t="e">
        <f ca="1">VLOOKUP($D701,物料本月库存明細!$B:$J,9,0)</f>
        <v>#N/A</v>
      </c>
    </row>
    <row r="702" customHeight="1" spans="5:10">
      <c r="E702" s="188" t="e">
        <f ca="1">VLOOKUP($D702,物料本月库存明細!$B:$J,2,0)</f>
        <v>#N/A</v>
      </c>
      <c r="F702" s="188" t="e">
        <f ca="1">VLOOKUP($D702,物料本月库存明細!$B:$J,5,0)</f>
        <v>#N/A</v>
      </c>
      <c r="J702" s="188" t="e">
        <f ca="1">VLOOKUP($D702,物料本月库存明細!$B:$J,9,0)</f>
        <v>#N/A</v>
      </c>
    </row>
    <row r="703" customHeight="1" spans="5:10">
      <c r="E703" s="188" t="e">
        <f ca="1">VLOOKUP($D703,物料本月库存明細!$B:$J,2,0)</f>
        <v>#N/A</v>
      </c>
      <c r="F703" s="188" t="e">
        <f ca="1">VLOOKUP($D703,物料本月库存明細!$B:$J,5,0)</f>
        <v>#N/A</v>
      </c>
      <c r="J703" s="188" t="e">
        <f ca="1">VLOOKUP($D703,物料本月库存明細!$B:$J,9,0)</f>
        <v>#N/A</v>
      </c>
    </row>
    <row r="704" customHeight="1" spans="5:10">
      <c r="E704" s="188" t="e">
        <f ca="1">VLOOKUP($D704,物料本月库存明細!$B:$J,2,0)</f>
        <v>#N/A</v>
      </c>
      <c r="F704" s="188" t="e">
        <f ca="1">VLOOKUP($D704,物料本月库存明細!$B:$J,5,0)</f>
        <v>#N/A</v>
      </c>
      <c r="J704" s="188" t="e">
        <f ca="1">VLOOKUP($D704,物料本月库存明細!$B:$J,9,0)</f>
        <v>#N/A</v>
      </c>
    </row>
    <row r="705" customHeight="1" spans="5:10">
      <c r="E705" s="188" t="e">
        <f ca="1">VLOOKUP($D705,物料本月库存明細!$B:$J,2,0)</f>
        <v>#N/A</v>
      </c>
      <c r="F705" s="188" t="e">
        <f ca="1">VLOOKUP($D705,物料本月库存明細!$B:$J,5,0)</f>
        <v>#N/A</v>
      </c>
      <c r="J705" s="188" t="e">
        <f ca="1">VLOOKUP($D705,物料本月库存明細!$B:$J,9,0)</f>
        <v>#N/A</v>
      </c>
    </row>
    <row r="706" customHeight="1" spans="5:10">
      <c r="E706" s="188" t="e">
        <f ca="1">VLOOKUP($D706,物料本月库存明細!$B:$J,2,0)</f>
        <v>#N/A</v>
      </c>
      <c r="F706" s="188" t="e">
        <f ca="1">VLOOKUP($D706,物料本月库存明細!$B:$J,5,0)</f>
        <v>#N/A</v>
      </c>
      <c r="J706" s="188" t="e">
        <f ca="1">VLOOKUP($D706,物料本月库存明細!$B:$J,9,0)</f>
        <v>#N/A</v>
      </c>
    </row>
    <row r="707" customHeight="1" spans="5:10">
      <c r="E707" s="188" t="e">
        <f ca="1">VLOOKUP($D707,物料本月库存明細!$B:$J,2,0)</f>
        <v>#N/A</v>
      </c>
      <c r="F707" s="188" t="e">
        <f ca="1">VLOOKUP($D707,物料本月库存明細!$B:$J,5,0)</f>
        <v>#N/A</v>
      </c>
      <c r="J707" s="188" t="e">
        <f ca="1">VLOOKUP($D707,物料本月库存明細!$B:$J,9,0)</f>
        <v>#N/A</v>
      </c>
    </row>
    <row r="708" customHeight="1" spans="5:10">
      <c r="E708" s="188" t="e">
        <f ca="1">VLOOKUP($D708,物料本月库存明細!$B:$J,2,0)</f>
        <v>#N/A</v>
      </c>
      <c r="F708" s="188" t="e">
        <f ca="1">VLOOKUP($D708,物料本月库存明細!$B:$J,5,0)</f>
        <v>#N/A</v>
      </c>
      <c r="J708" s="188" t="e">
        <f ca="1">VLOOKUP($D708,物料本月库存明細!$B:$J,9,0)</f>
        <v>#N/A</v>
      </c>
    </row>
    <row r="709" customHeight="1" spans="5:10">
      <c r="E709" s="188" t="e">
        <f ca="1">VLOOKUP($D709,物料本月库存明細!$B:$J,2,0)</f>
        <v>#N/A</v>
      </c>
      <c r="F709" s="188" t="e">
        <f ca="1">VLOOKUP($D709,物料本月库存明細!$B:$J,5,0)</f>
        <v>#N/A</v>
      </c>
      <c r="J709" s="188" t="e">
        <f ca="1">VLOOKUP($D709,物料本月库存明細!$B:$J,9,0)</f>
        <v>#N/A</v>
      </c>
    </row>
    <row r="710" customHeight="1" spans="5:10">
      <c r="E710" s="188" t="e">
        <f ca="1">VLOOKUP($D710,物料本月库存明細!$B:$J,2,0)</f>
        <v>#N/A</v>
      </c>
      <c r="F710" s="188" t="e">
        <f ca="1">VLOOKUP($D710,物料本月库存明細!$B:$J,5,0)</f>
        <v>#N/A</v>
      </c>
      <c r="J710" s="188" t="e">
        <f ca="1">VLOOKUP($D710,物料本月库存明細!$B:$J,9,0)</f>
        <v>#N/A</v>
      </c>
    </row>
    <row r="711" customHeight="1" spans="5:10">
      <c r="E711" s="188" t="e">
        <f ca="1">VLOOKUP($D711,物料本月库存明細!$B:$J,2,0)</f>
        <v>#N/A</v>
      </c>
      <c r="F711" s="188" t="e">
        <f ca="1">VLOOKUP($D711,物料本月库存明細!$B:$J,5,0)</f>
        <v>#N/A</v>
      </c>
      <c r="J711" s="188" t="e">
        <f ca="1">VLOOKUP($D711,物料本月库存明細!$B:$J,9,0)</f>
        <v>#N/A</v>
      </c>
    </row>
    <row r="712" customHeight="1" spans="5:10">
      <c r="E712" s="188" t="e">
        <f ca="1">VLOOKUP($D712,物料本月库存明細!$B:$J,2,0)</f>
        <v>#N/A</v>
      </c>
      <c r="F712" s="188" t="e">
        <f ca="1">VLOOKUP($D712,物料本月库存明細!$B:$J,5,0)</f>
        <v>#N/A</v>
      </c>
      <c r="J712" s="188" t="e">
        <f ca="1">VLOOKUP($D712,物料本月库存明細!$B:$J,9,0)</f>
        <v>#N/A</v>
      </c>
    </row>
    <row r="713" customHeight="1" spans="5:10">
      <c r="E713" s="188" t="e">
        <f ca="1">VLOOKUP($D713,物料本月库存明細!$B:$J,2,0)</f>
        <v>#N/A</v>
      </c>
      <c r="F713" s="188" t="e">
        <f ca="1">VLOOKUP($D713,物料本月库存明細!$B:$J,5,0)</f>
        <v>#N/A</v>
      </c>
      <c r="J713" s="188" t="e">
        <f ca="1">VLOOKUP($D713,物料本月库存明細!$B:$J,9,0)</f>
        <v>#N/A</v>
      </c>
    </row>
    <row r="714" customHeight="1" spans="5:10">
      <c r="E714" s="188" t="e">
        <f ca="1">VLOOKUP($D714,物料本月库存明細!$B:$J,2,0)</f>
        <v>#N/A</v>
      </c>
      <c r="F714" s="188" t="e">
        <f ca="1">VLOOKUP($D714,物料本月库存明細!$B:$J,5,0)</f>
        <v>#N/A</v>
      </c>
      <c r="J714" s="188" t="e">
        <f ca="1">VLOOKUP($D714,物料本月库存明細!$B:$J,9,0)</f>
        <v>#N/A</v>
      </c>
    </row>
    <row r="715" customHeight="1" spans="5:10">
      <c r="E715" s="188" t="e">
        <f ca="1">VLOOKUP($D715,物料本月库存明細!$B:$J,2,0)</f>
        <v>#N/A</v>
      </c>
      <c r="F715" s="188" t="e">
        <f ca="1">VLOOKUP($D715,物料本月库存明細!$B:$J,5,0)</f>
        <v>#N/A</v>
      </c>
      <c r="J715" s="188" t="e">
        <f ca="1">VLOOKUP($D715,物料本月库存明細!$B:$J,9,0)</f>
        <v>#N/A</v>
      </c>
    </row>
    <row r="716" customHeight="1" spans="5:10">
      <c r="E716" s="188" t="e">
        <f ca="1">VLOOKUP($D716,物料本月库存明細!$B:$J,2,0)</f>
        <v>#N/A</v>
      </c>
      <c r="F716" s="188" t="e">
        <f ca="1">VLOOKUP($D716,物料本月库存明細!$B:$J,5,0)</f>
        <v>#N/A</v>
      </c>
      <c r="J716" s="188" t="e">
        <f ca="1">VLOOKUP($D716,物料本月库存明細!$B:$J,9,0)</f>
        <v>#N/A</v>
      </c>
    </row>
    <row r="717" customHeight="1" spans="5:10">
      <c r="E717" s="188" t="e">
        <f ca="1">VLOOKUP($D717,物料本月库存明細!$B:$J,2,0)</f>
        <v>#N/A</v>
      </c>
      <c r="F717" s="188" t="e">
        <f ca="1">VLOOKUP($D717,物料本月库存明細!$B:$J,5,0)</f>
        <v>#N/A</v>
      </c>
      <c r="J717" s="188" t="e">
        <f ca="1">VLOOKUP($D717,物料本月库存明細!$B:$J,9,0)</f>
        <v>#N/A</v>
      </c>
    </row>
    <row r="718" customHeight="1" spans="5:10">
      <c r="E718" s="188" t="e">
        <f ca="1">VLOOKUP($D718,物料本月库存明細!$B:$J,2,0)</f>
        <v>#N/A</v>
      </c>
      <c r="F718" s="188" t="e">
        <f ca="1">VLOOKUP($D718,物料本月库存明細!$B:$J,5,0)</f>
        <v>#N/A</v>
      </c>
      <c r="J718" s="188" t="e">
        <f ca="1">VLOOKUP($D718,物料本月库存明細!$B:$J,9,0)</f>
        <v>#N/A</v>
      </c>
    </row>
    <row r="719" customHeight="1" spans="5:10">
      <c r="E719" s="188" t="e">
        <f ca="1">VLOOKUP($D719,物料本月库存明細!$B:$J,2,0)</f>
        <v>#N/A</v>
      </c>
      <c r="F719" s="188" t="e">
        <f ca="1">VLOOKUP($D719,物料本月库存明細!$B:$J,5,0)</f>
        <v>#N/A</v>
      </c>
      <c r="J719" s="188" t="e">
        <f ca="1">VLOOKUP($D719,物料本月库存明細!$B:$J,9,0)</f>
        <v>#N/A</v>
      </c>
    </row>
    <row r="720" customHeight="1" spans="5:10">
      <c r="E720" s="188" t="e">
        <f ca="1">VLOOKUP($D720,物料本月库存明細!$B:$J,2,0)</f>
        <v>#N/A</v>
      </c>
      <c r="F720" s="188" t="e">
        <f ca="1">VLOOKUP($D720,物料本月库存明細!$B:$J,5,0)</f>
        <v>#N/A</v>
      </c>
      <c r="J720" s="188" t="e">
        <f ca="1">VLOOKUP($D720,物料本月库存明細!$B:$J,9,0)</f>
        <v>#N/A</v>
      </c>
    </row>
    <row r="721" customHeight="1" spans="5:10">
      <c r="E721" s="188" t="e">
        <f ca="1">VLOOKUP($D721,物料本月库存明細!$B:$J,2,0)</f>
        <v>#N/A</v>
      </c>
      <c r="F721" s="188" t="e">
        <f ca="1">VLOOKUP($D721,物料本月库存明細!$B:$J,5,0)</f>
        <v>#N/A</v>
      </c>
      <c r="J721" s="188" t="e">
        <f ca="1">VLOOKUP($D721,物料本月库存明細!$B:$J,9,0)</f>
        <v>#N/A</v>
      </c>
    </row>
    <row r="722" customHeight="1" spans="5:10">
      <c r="E722" s="188" t="e">
        <f ca="1">VLOOKUP($D722,物料本月库存明細!$B:$J,2,0)</f>
        <v>#N/A</v>
      </c>
      <c r="F722" s="188" t="e">
        <f ca="1">VLOOKUP($D722,物料本月库存明細!$B:$J,5,0)</f>
        <v>#N/A</v>
      </c>
      <c r="J722" s="188" t="e">
        <f ca="1">VLOOKUP($D722,物料本月库存明細!$B:$J,9,0)</f>
        <v>#N/A</v>
      </c>
    </row>
    <row r="723" customHeight="1" spans="5:10">
      <c r="E723" s="188" t="e">
        <f ca="1">VLOOKUP($D723,物料本月库存明細!$B:$J,2,0)</f>
        <v>#N/A</v>
      </c>
      <c r="F723" s="188" t="e">
        <f ca="1">VLOOKUP($D723,物料本月库存明細!$B:$J,5,0)</f>
        <v>#N/A</v>
      </c>
      <c r="J723" s="188" t="e">
        <f ca="1">VLOOKUP($D723,物料本月库存明細!$B:$J,9,0)</f>
        <v>#N/A</v>
      </c>
    </row>
    <row r="724" customHeight="1" spans="5:10">
      <c r="E724" s="188" t="e">
        <f ca="1">VLOOKUP($D724,物料本月库存明細!$B:$J,2,0)</f>
        <v>#N/A</v>
      </c>
      <c r="F724" s="188" t="e">
        <f ca="1">VLOOKUP($D724,物料本月库存明細!$B:$J,5,0)</f>
        <v>#N/A</v>
      </c>
      <c r="J724" s="188" t="e">
        <f ca="1">VLOOKUP($D724,物料本月库存明細!$B:$J,9,0)</f>
        <v>#N/A</v>
      </c>
    </row>
    <row r="725" customHeight="1" spans="5:10">
      <c r="E725" s="188" t="e">
        <f ca="1">VLOOKUP($D725,物料本月库存明細!$B:$J,2,0)</f>
        <v>#N/A</v>
      </c>
      <c r="F725" s="188" t="e">
        <f ca="1">VLOOKUP($D725,物料本月库存明細!$B:$J,5,0)</f>
        <v>#N/A</v>
      </c>
      <c r="J725" s="188" t="e">
        <f ca="1">VLOOKUP($D725,物料本月库存明細!$B:$J,9,0)</f>
        <v>#N/A</v>
      </c>
    </row>
    <row r="726" customHeight="1" spans="5:10">
      <c r="E726" s="188" t="e">
        <f ca="1">VLOOKUP($D726,物料本月库存明細!$B:$J,2,0)</f>
        <v>#N/A</v>
      </c>
      <c r="F726" s="188" t="e">
        <f ca="1">VLOOKUP($D726,物料本月库存明細!$B:$J,5,0)</f>
        <v>#N/A</v>
      </c>
      <c r="J726" s="188" t="e">
        <f ca="1">VLOOKUP($D726,物料本月库存明細!$B:$J,9,0)</f>
        <v>#N/A</v>
      </c>
    </row>
    <row r="727" customHeight="1" spans="5:10">
      <c r="E727" s="188" t="e">
        <f ca="1">VLOOKUP($D727,物料本月库存明細!$B:$J,2,0)</f>
        <v>#N/A</v>
      </c>
      <c r="F727" s="188" t="e">
        <f ca="1">VLOOKUP($D727,物料本月库存明細!$B:$J,5,0)</f>
        <v>#N/A</v>
      </c>
      <c r="J727" s="188" t="e">
        <f ca="1">VLOOKUP($D727,物料本月库存明細!$B:$J,9,0)</f>
        <v>#N/A</v>
      </c>
    </row>
    <row r="728" customHeight="1" spans="5:10">
      <c r="E728" s="188" t="e">
        <f ca="1">VLOOKUP($D728,物料本月库存明細!$B:$J,2,0)</f>
        <v>#N/A</v>
      </c>
      <c r="F728" s="188" t="e">
        <f ca="1">VLOOKUP($D728,物料本月库存明細!$B:$J,5,0)</f>
        <v>#N/A</v>
      </c>
      <c r="J728" s="188" t="e">
        <f ca="1">VLOOKUP($D728,物料本月库存明細!$B:$J,9,0)</f>
        <v>#N/A</v>
      </c>
    </row>
    <row r="729" customHeight="1" spans="5:10">
      <c r="E729" s="188" t="e">
        <f ca="1">VLOOKUP($D729,物料本月库存明細!$B:$J,2,0)</f>
        <v>#N/A</v>
      </c>
      <c r="F729" s="188" t="e">
        <f ca="1">VLOOKUP($D729,物料本月库存明細!$B:$J,5,0)</f>
        <v>#N/A</v>
      </c>
      <c r="J729" s="188" t="e">
        <f ca="1">VLOOKUP($D729,物料本月库存明細!$B:$J,9,0)</f>
        <v>#N/A</v>
      </c>
    </row>
    <row r="730" customHeight="1" spans="5:10">
      <c r="E730" s="188" t="e">
        <f ca="1">VLOOKUP($D730,物料本月库存明細!$B:$J,2,0)</f>
        <v>#N/A</v>
      </c>
      <c r="F730" s="188" t="e">
        <f ca="1">VLOOKUP($D730,物料本月库存明細!$B:$J,5,0)</f>
        <v>#N/A</v>
      </c>
      <c r="J730" s="188" t="e">
        <f ca="1">VLOOKUP($D730,物料本月库存明細!$B:$J,9,0)</f>
        <v>#N/A</v>
      </c>
    </row>
    <row r="731" customHeight="1" spans="5:10">
      <c r="E731" s="188" t="e">
        <f ca="1">VLOOKUP($D731,物料本月库存明細!$B:$J,2,0)</f>
        <v>#N/A</v>
      </c>
      <c r="F731" s="188" t="e">
        <f ca="1">VLOOKUP($D731,物料本月库存明細!$B:$J,5,0)</f>
        <v>#N/A</v>
      </c>
      <c r="J731" s="188" t="e">
        <f ca="1">VLOOKUP($D731,物料本月库存明細!$B:$J,9,0)</f>
        <v>#N/A</v>
      </c>
    </row>
    <row r="732" customHeight="1" spans="5:10">
      <c r="E732" s="188" t="e">
        <f ca="1">VLOOKUP($D732,物料本月库存明細!$B:$J,2,0)</f>
        <v>#N/A</v>
      </c>
      <c r="F732" s="188" t="e">
        <f ca="1">VLOOKUP($D732,物料本月库存明細!$B:$J,5,0)</f>
        <v>#N/A</v>
      </c>
      <c r="J732" s="188" t="e">
        <f ca="1">VLOOKUP($D732,物料本月库存明細!$B:$J,9,0)</f>
        <v>#N/A</v>
      </c>
    </row>
    <row r="733" customHeight="1" spans="5:10">
      <c r="E733" s="188" t="e">
        <f ca="1">VLOOKUP($D733,物料本月库存明細!$B:$J,2,0)</f>
        <v>#N/A</v>
      </c>
      <c r="F733" s="188" t="e">
        <f ca="1">VLOOKUP($D733,物料本月库存明細!$B:$J,5,0)</f>
        <v>#N/A</v>
      </c>
      <c r="J733" s="188" t="e">
        <f ca="1">VLOOKUP($D733,物料本月库存明細!$B:$J,9,0)</f>
        <v>#N/A</v>
      </c>
    </row>
    <row r="734" customHeight="1" spans="5:10">
      <c r="E734" s="188" t="e">
        <f ca="1">VLOOKUP($D734,物料本月库存明細!$B:$J,2,0)</f>
        <v>#N/A</v>
      </c>
      <c r="F734" s="188" t="e">
        <f ca="1">VLOOKUP($D734,物料本月库存明細!$B:$J,5,0)</f>
        <v>#N/A</v>
      </c>
      <c r="J734" s="188" t="e">
        <f ca="1">VLOOKUP($D734,物料本月库存明細!$B:$J,9,0)</f>
        <v>#N/A</v>
      </c>
    </row>
    <row r="735" customHeight="1" spans="5:10">
      <c r="E735" s="188" t="e">
        <f ca="1">VLOOKUP($D735,物料本月库存明細!$B:$J,2,0)</f>
        <v>#N/A</v>
      </c>
      <c r="F735" s="188" t="e">
        <f ca="1">VLOOKUP($D735,物料本月库存明細!$B:$J,5,0)</f>
        <v>#N/A</v>
      </c>
      <c r="J735" s="188" t="e">
        <f ca="1">VLOOKUP($D735,物料本月库存明細!$B:$J,9,0)</f>
        <v>#N/A</v>
      </c>
    </row>
    <row r="736" customHeight="1" spans="5:10">
      <c r="E736" s="188" t="e">
        <f ca="1">VLOOKUP($D736,物料本月库存明細!$B:$J,2,0)</f>
        <v>#N/A</v>
      </c>
      <c r="F736" s="188" t="e">
        <f ca="1">VLOOKUP($D736,物料本月库存明細!$B:$J,5,0)</f>
        <v>#N/A</v>
      </c>
      <c r="J736" s="188" t="e">
        <f ca="1">VLOOKUP($D736,物料本月库存明細!$B:$J,9,0)</f>
        <v>#N/A</v>
      </c>
    </row>
    <row r="737" customHeight="1" spans="5:10">
      <c r="E737" s="188" t="e">
        <f ca="1">VLOOKUP($D737,物料本月库存明細!$B:$J,2,0)</f>
        <v>#N/A</v>
      </c>
      <c r="F737" s="188" t="e">
        <f ca="1">VLOOKUP($D737,物料本月库存明細!$B:$J,5,0)</f>
        <v>#N/A</v>
      </c>
      <c r="J737" s="188" t="e">
        <f ca="1">VLOOKUP($D737,物料本月库存明細!$B:$J,9,0)</f>
        <v>#N/A</v>
      </c>
    </row>
    <row r="738" customHeight="1" spans="5:10">
      <c r="E738" s="188" t="e">
        <f ca="1">VLOOKUP($D738,物料本月库存明細!$B:$J,2,0)</f>
        <v>#N/A</v>
      </c>
      <c r="F738" s="188" t="e">
        <f ca="1">VLOOKUP($D738,物料本月库存明細!$B:$J,5,0)</f>
        <v>#N/A</v>
      </c>
      <c r="J738" s="188" t="e">
        <f ca="1">VLOOKUP($D738,物料本月库存明細!$B:$J,9,0)</f>
        <v>#N/A</v>
      </c>
    </row>
    <row r="739" customHeight="1" spans="5:10">
      <c r="E739" s="188" t="e">
        <f ca="1">VLOOKUP($D739,物料本月库存明細!$B:$J,2,0)</f>
        <v>#N/A</v>
      </c>
      <c r="F739" s="188" t="e">
        <f ca="1">VLOOKUP($D739,物料本月库存明細!$B:$J,5,0)</f>
        <v>#N/A</v>
      </c>
      <c r="J739" s="188" t="e">
        <f ca="1">VLOOKUP($D739,物料本月库存明細!$B:$J,9,0)</f>
        <v>#N/A</v>
      </c>
    </row>
    <row r="740" customHeight="1" spans="5:10">
      <c r="E740" s="188" t="e">
        <f ca="1">VLOOKUP($D740,物料本月库存明細!$B:$J,2,0)</f>
        <v>#N/A</v>
      </c>
      <c r="F740" s="188" t="e">
        <f ca="1">VLOOKUP($D740,物料本月库存明細!$B:$J,5,0)</f>
        <v>#N/A</v>
      </c>
      <c r="J740" s="188" t="e">
        <f ca="1">VLOOKUP($D740,物料本月库存明細!$B:$J,9,0)</f>
        <v>#N/A</v>
      </c>
    </row>
    <row r="741" customHeight="1" spans="5:10">
      <c r="E741" s="188" t="e">
        <f ca="1">VLOOKUP($D741,物料本月库存明細!$B:$J,2,0)</f>
        <v>#N/A</v>
      </c>
      <c r="F741" s="188" t="e">
        <f ca="1">VLOOKUP($D741,物料本月库存明細!$B:$J,5,0)</f>
        <v>#N/A</v>
      </c>
      <c r="J741" s="188" t="e">
        <f ca="1">VLOOKUP($D741,物料本月库存明細!$B:$J,9,0)</f>
        <v>#N/A</v>
      </c>
    </row>
    <row r="742" customHeight="1" spans="5:10">
      <c r="E742" s="188" t="e">
        <f ca="1">VLOOKUP($D742,物料本月库存明細!$B:$J,2,0)</f>
        <v>#N/A</v>
      </c>
      <c r="F742" s="188" t="e">
        <f ca="1">VLOOKUP($D742,物料本月库存明細!$B:$J,5,0)</f>
        <v>#N/A</v>
      </c>
      <c r="J742" s="188" t="e">
        <f ca="1">VLOOKUP($D742,物料本月库存明細!$B:$J,9,0)</f>
        <v>#N/A</v>
      </c>
    </row>
    <row r="743" customHeight="1" spans="5:10">
      <c r="E743" s="188" t="e">
        <f ca="1">VLOOKUP($D743,物料本月库存明細!$B:$J,2,0)</f>
        <v>#N/A</v>
      </c>
      <c r="F743" s="188" t="e">
        <f ca="1">VLOOKUP($D743,物料本月库存明細!$B:$J,5,0)</f>
        <v>#N/A</v>
      </c>
      <c r="J743" s="188" t="e">
        <f ca="1">VLOOKUP($D743,物料本月库存明細!$B:$J,9,0)</f>
        <v>#N/A</v>
      </c>
    </row>
    <row r="744" customHeight="1" spans="5:10">
      <c r="E744" s="188" t="e">
        <f ca="1">VLOOKUP($D744,物料本月库存明細!$B:$J,2,0)</f>
        <v>#N/A</v>
      </c>
      <c r="F744" s="188" t="e">
        <f ca="1">VLOOKUP($D744,物料本月库存明細!$B:$J,5,0)</f>
        <v>#N/A</v>
      </c>
      <c r="J744" s="188" t="e">
        <f ca="1">VLOOKUP($D744,物料本月库存明細!$B:$J,9,0)</f>
        <v>#N/A</v>
      </c>
    </row>
    <row r="745" customHeight="1" spans="5:10">
      <c r="E745" s="188" t="e">
        <f ca="1">VLOOKUP($D745,物料本月库存明細!$B:$J,2,0)</f>
        <v>#N/A</v>
      </c>
      <c r="F745" s="188" t="e">
        <f ca="1">VLOOKUP($D745,物料本月库存明細!$B:$J,5,0)</f>
        <v>#N/A</v>
      </c>
      <c r="J745" s="188" t="e">
        <f ca="1">VLOOKUP($D745,物料本月库存明細!$B:$J,9,0)</f>
        <v>#N/A</v>
      </c>
    </row>
    <row r="746" customHeight="1" spans="5:10">
      <c r="E746" s="188" t="e">
        <f ca="1">VLOOKUP($D746,物料本月库存明細!$B:$J,2,0)</f>
        <v>#N/A</v>
      </c>
      <c r="F746" s="188" t="e">
        <f ca="1">VLOOKUP($D746,物料本月库存明細!$B:$J,5,0)</f>
        <v>#N/A</v>
      </c>
      <c r="J746" s="188" t="e">
        <f ca="1">VLOOKUP($D746,物料本月库存明細!$B:$J,9,0)</f>
        <v>#N/A</v>
      </c>
    </row>
    <row r="747" customHeight="1" spans="5:10">
      <c r="E747" s="188" t="e">
        <f ca="1">VLOOKUP($D747,物料本月库存明細!$B:$J,2,0)</f>
        <v>#N/A</v>
      </c>
      <c r="F747" s="188" t="e">
        <f ca="1">VLOOKUP($D747,物料本月库存明細!$B:$J,5,0)</f>
        <v>#N/A</v>
      </c>
      <c r="J747" s="188" t="e">
        <f ca="1">VLOOKUP($D747,物料本月库存明細!$B:$J,9,0)</f>
        <v>#N/A</v>
      </c>
    </row>
    <row r="748" customHeight="1" spans="5:10">
      <c r="E748" s="188" t="e">
        <f ca="1">VLOOKUP($D748,物料本月库存明細!$B:$J,2,0)</f>
        <v>#N/A</v>
      </c>
      <c r="F748" s="188" t="e">
        <f ca="1">VLOOKUP($D748,物料本月库存明細!$B:$J,5,0)</f>
        <v>#N/A</v>
      </c>
      <c r="J748" s="188" t="e">
        <f ca="1">VLOOKUP($D748,物料本月库存明細!$B:$J,9,0)</f>
        <v>#N/A</v>
      </c>
    </row>
    <row r="749" customHeight="1" spans="5:10">
      <c r="E749" s="188" t="e">
        <f ca="1">VLOOKUP($D749,物料本月库存明細!$B:$J,2,0)</f>
        <v>#N/A</v>
      </c>
      <c r="F749" s="188" t="e">
        <f ca="1">VLOOKUP($D749,物料本月库存明細!$B:$J,5,0)</f>
        <v>#N/A</v>
      </c>
      <c r="J749" s="188" t="e">
        <f ca="1">VLOOKUP($D749,物料本月库存明細!$B:$J,9,0)</f>
        <v>#N/A</v>
      </c>
    </row>
    <row r="750" customHeight="1" spans="5:10">
      <c r="E750" s="188" t="e">
        <f ca="1">VLOOKUP($D750,物料本月库存明細!$B:$J,2,0)</f>
        <v>#N/A</v>
      </c>
      <c r="F750" s="188" t="e">
        <f ca="1">VLOOKUP($D750,物料本月库存明細!$B:$J,5,0)</f>
        <v>#N/A</v>
      </c>
      <c r="J750" s="188" t="e">
        <f ca="1">VLOOKUP($D750,物料本月库存明細!$B:$J,9,0)</f>
        <v>#N/A</v>
      </c>
    </row>
    <row r="751" customHeight="1" spans="5:10">
      <c r="E751" s="188" t="e">
        <f ca="1">VLOOKUP($D751,物料本月库存明細!$B:$J,2,0)</f>
        <v>#N/A</v>
      </c>
      <c r="F751" s="188" t="e">
        <f ca="1">VLOOKUP($D751,物料本月库存明細!$B:$J,5,0)</f>
        <v>#N/A</v>
      </c>
      <c r="J751" s="188" t="e">
        <f ca="1">VLOOKUP($D751,物料本月库存明細!$B:$J,9,0)</f>
        <v>#N/A</v>
      </c>
    </row>
    <row r="752" customHeight="1" spans="5:10">
      <c r="E752" s="188" t="e">
        <f ca="1">VLOOKUP($D752,物料本月库存明細!$B:$J,2,0)</f>
        <v>#N/A</v>
      </c>
      <c r="F752" s="188" t="e">
        <f ca="1">VLOOKUP($D752,物料本月库存明細!$B:$J,5,0)</f>
        <v>#N/A</v>
      </c>
      <c r="J752" s="188" t="e">
        <f ca="1">VLOOKUP($D752,物料本月库存明細!$B:$J,9,0)</f>
        <v>#N/A</v>
      </c>
    </row>
    <row r="753" customHeight="1" spans="5:10">
      <c r="E753" s="188" t="e">
        <f ca="1">VLOOKUP($D753,物料本月库存明細!$B:$J,2,0)</f>
        <v>#N/A</v>
      </c>
      <c r="F753" s="188" t="e">
        <f ca="1">VLOOKUP($D753,物料本月库存明細!$B:$J,5,0)</f>
        <v>#N/A</v>
      </c>
      <c r="J753" s="188" t="e">
        <f ca="1">VLOOKUP($D753,物料本月库存明細!$B:$J,9,0)</f>
        <v>#N/A</v>
      </c>
    </row>
    <row r="754" customHeight="1" spans="5:10">
      <c r="E754" s="188" t="e">
        <f ca="1">VLOOKUP($D754,物料本月库存明細!$B:$J,2,0)</f>
        <v>#N/A</v>
      </c>
      <c r="F754" s="188" t="e">
        <f ca="1">VLOOKUP($D754,物料本月库存明細!$B:$J,5,0)</f>
        <v>#N/A</v>
      </c>
      <c r="J754" s="188" t="e">
        <f ca="1">VLOOKUP($D754,物料本月库存明細!$B:$J,9,0)</f>
        <v>#N/A</v>
      </c>
    </row>
    <row r="755" customHeight="1" spans="5:10">
      <c r="E755" s="188" t="e">
        <f ca="1">VLOOKUP($D755,物料本月库存明細!$B:$J,2,0)</f>
        <v>#N/A</v>
      </c>
      <c r="F755" s="188" t="e">
        <f ca="1">VLOOKUP($D755,物料本月库存明細!$B:$J,5,0)</f>
        <v>#N/A</v>
      </c>
      <c r="J755" s="188" t="e">
        <f ca="1">VLOOKUP($D755,物料本月库存明細!$B:$J,9,0)</f>
        <v>#N/A</v>
      </c>
    </row>
    <row r="756" customHeight="1" spans="5:10">
      <c r="E756" s="188" t="e">
        <f ca="1">VLOOKUP($D756,物料本月库存明細!$B:$J,2,0)</f>
        <v>#N/A</v>
      </c>
      <c r="F756" s="188" t="e">
        <f ca="1">VLOOKUP($D756,物料本月库存明細!$B:$J,5,0)</f>
        <v>#N/A</v>
      </c>
      <c r="J756" s="188" t="e">
        <f ca="1">VLOOKUP($D756,物料本月库存明細!$B:$J,9,0)</f>
        <v>#N/A</v>
      </c>
    </row>
    <row r="757" customHeight="1" spans="5:10">
      <c r="E757" s="188" t="e">
        <f ca="1">VLOOKUP($D757,物料本月库存明細!$B:$J,2,0)</f>
        <v>#N/A</v>
      </c>
      <c r="F757" s="188" t="e">
        <f ca="1">VLOOKUP($D757,物料本月库存明細!$B:$J,5,0)</f>
        <v>#N/A</v>
      </c>
      <c r="J757" s="188" t="e">
        <f ca="1">VLOOKUP($D757,物料本月库存明細!$B:$J,9,0)</f>
        <v>#N/A</v>
      </c>
    </row>
    <row r="758" customHeight="1" spans="5:10">
      <c r="E758" s="188" t="e">
        <f ca="1">VLOOKUP($D758,物料本月库存明細!$B:$J,2,0)</f>
        <v>#N/A</v>
      </c>
      <c r="F758" s="188" t="e">
        <f ca="1">VLOOKUP($D758,物料本月库存明細!$B:$J,5,0)</f>
        <v>#N/A</v>
      </c>
      <c r="J758" s="188" t="e">
        <f ca="1">VLOOKUP($D758,物料本月库存明細!$B:$J,9,0)</f>
        <v>#N/A</v>
      </c>
    </row>
    <row r="759" customHeight="1" spans="5:10">
      <c r="E759" s="188" t="e">
        <f ca="1">VLOOKUP($D759,物料本月库存明細!$B:$J,2,0)</f>
        <v>#N/A</v>
      </c>
      <c r="F759" s="188" t="e">
        <f ca="1">VLOOKUP($D759,物料本月库存明細!$B:$J,5,0)</f>
        <v>#N/A</v>
      </c>
      <c r="J759" s="188" t="e">
        <f ca="1">VLOOKUP($D759,物料本月库存明細!$B:$J,9,0)</f>
        <v>#N/A</v>
      </c>
    </row>
    <row r="760" customHeight="1" spans="5:10">
      <c r="E760" s="188" t="e">
        <f ca="1">VLOOKUP($D760,物料本月库存明細!$B:$J,2,0)</f>
        <v>#N/A</v>
      </c>
      <c r="F760" s="188" t="e">
        <f ca="1">VLOOKUP($D760,物料本月库存明細!$B:$J,5,0)</f>
        <v>#N/A</v>
      </c>
      <c r="J760" s="188" t="e">
        <f ca="1">VLOOKUP($D760,物料本月库存明細!$B:$J,9,0)</f>
        <v>#N/A</v>
      </c>
    </row>
    <row r="761" customHeight="1" spans="5:10">
      <c r="E761" s="188" t="e">
        <f ca="1">VLOOKUP($D761,物料本月库存明細!$B:$J,2,0)</f>
        <v>#N/A</v>
      </c>
      <c r="F761" s="188" t="e">
        <f ca="1">VLOOKUP($D761,物料本月库存明細!$B:$J,5,0)</f>
        <v>#N/A</v>
      </c>
      <c r="J761" s="188" t="e">
        <f ca="1">VLOOKUP($D761,物料本月库存明細!$B:$J,9,0)</f>
        <v>#N/A</v>
      </c>
    </row>
    <row r="762" customHeight="1" spans="5:10">
      <c r="E762" s="188" t="e">
        <f ca="1">VLOOKUP($D762,物料本月库存明細!$B:$J,2,0)</f>
        <v>#N/A</v>
      </c>
      <c r="F762" s="188" t="e">
        <f ca="1">VLOOKUP($D762,物料本月库存明細!$B:$J,5,0)</f>
        <v>#N/A</v>
      </c>
      <c r="J762" s="188" t="e">
        <f ca="1">VLOOKUP($D762,物料本月库存明細!$B:$J,9,0)</f>
        <v>#N/A</v>
      </c>
    </row>
    <row r="763" customHeight="1" spans="5:10">
      <c r="E763" s="188" t="e">
        <f ca="1">VLOOKUP($D763,物料本月库存明細!$B:$J,2,0)</f>
        <v>#N/A</v>
      </c>
      <c r="F763" s="188" t="e">
        <f ca="1">VLOOKUP($D763,物料本月库存明細!$B:$J,5,0)</f>
        <v>#N/A</v>
      </c>
      <c r="J763" s="188" t="e">
        <f ca="1">VLOOKUP($D763,物料本月库存明細!$B:$J,9,0)</f>
        <v>#N/A</v>
      </c>
    </row>
    <row r="764" customHeight="1" spans="5:10">
      <c r="E764" s="188" t="e">
        <f ca="1">VLOOKUP($D764,物料本月库存明細!$B:$J,2,0)</f>
        <v>#N/A</v>
      </c>
      <c r="F764" s="188" t="e">
        <f ca="1">VLOOKUP($D764,物料本月库存明細!$B:$J,5,0)</f>
        <v>#N/A</v>
      </c>
      <c r="J764" s="188" t="e">
        <f ca="1">VLOOKUP($D764,物料本月库存明細!$B:$J,9,0)</f>
        <v>#N/A</v>
      </c>
    </row>
    <row r="765" customHeight="1" spans="5:10">
      <c r="E765" s="188" t="e">
        <f ca="1">VLOOKUP($D765,物料本月库存明細!$B:$J,2,0)</f>
        <v>#N/A</v>
      </c>
      <c r="F765" s="188" t="e">
        <f ca="1">VLOOKUP($D765,物料本月库存明細!$B:$J,5,0)</f>
        <v>#N/A</v>
      </c>
      <c r="J765" s="188" t="e">
        <f ca="1">VLOOKUP($D765,物料本月库存明細!$B:$J,9,0)</f>
        <v>#N/A</v>
      </c>
    </row>
    <row r="766" customHeight="1" spans="5:10">
      <c r="E766" s="188" t="e">
        <f ca="1">VLOOKUP($D766,物料本月库存明細!$B:$J,2,0)</f>
        <v>#N/A</v>
      </c>
      <c r="F766" s="188" t="e">
        <f ca="1">VLOOKUP($D766,物料本月库存明細!$B:$J,5,0)</f>
        <v>#N/A</v>
      </c>
      <c r="J766" s="188" t="e">
        <f ca="1">VLOOKUP($D766,物料本月库存明細!$B:$J,9,0)</f>
        <v>#N/A</v>
      </c>
    </row>
    <row r="767" customHeight="1" spans="5:10">
      <c r="E767" s="188" t="e">
        <f ca="1">VLOOKUP($D767,物料本月库存明細!$B:$J,2,0)</f>
        <v>#N/A</v>
      </c>
      <c r="F767" s="188" t="e">
        <f ca="1">VLOOKUP($D767,物料本月库存明細!$B:$J,5,0)</f>
        <v>#N/A</v>
      </c>
      <c r="J767" s="188" t="e">
        <f ca="1">VLOOKUP($D767,物料本月库存明細!$B:$J,9,0)</f>
        <v>#N/A</v>
      </c>
    </row>
    <row r="768" customHeight="1" spans="5:10">
      <c r="E768" s="188" t="e">
        <f ca="1">VLOOKUP($D768,物料本月库存明細!$B:$J,2,0)</f>
        <v>#N/A</v>
      </c>
      <c r="F768" s="188" t="e">
        <f ca="1">VLOOKUP($D768,物料本月库存明細!$B:$J,5,0)</f>
        <v>#N/A</v>
      </c>
      <c r="J768" s="188" t="e">
        <f ca="1">VLOOKUP($D768,物料本月库存明細!$B:$J,9,0)</f>
        <v>#N/A</v>
      </c>
    </row>
    <row r="769" customHeight="1" spans="5:10">
      <c r="E769" s="188" t="e">
        <f ca="1">VLOOKUP($D769,物料本月库存明細!$B:$J,2,0)</f>
        <v>#N/A</v>
      </c>
      <c r="F769" s="188" t="e">
        <f ca="1">VLOOKUP($D769,物料本月库存明細!$B:$J,5,0)</f>
        <v>#N/A</v>
      </c>
      <c r="J769" s="188" t="e">
        <f ca="1">VLOOKUP($D769,物料本月库存明細!$B:$J,9,0)</f>
        <v>#N/A</v>
      </c>
    </row>
    <row r="770" customHeight="1" spans="5:10">
      <c r="E770" s="188" t="e">
        <f ca="1">VLOOKUP($D770,物料本月库存明細!$B:$J,2,0)</f>
        <v>#N/A</v>
      </c>
      <c r="F770" s="188" t="e">
        <f ca="1">VLOOKUP($D770,物料本月库存明細!$B:$J,5,0)</f>
        <v>#N/A</v>
      </c>
      <c r="J770" s="188" t="e">
        <f ca="1">VLOOKUP($D770,物料本月库存明細!$B:$J,9,0)</f>
        <v>#N/A</v>
      </c>
    </row>
    <row r="771" customHeight="1" spans="5:10">
      <c r="E771" s="188" t="e">
        <f ca="1">VLOOKUP($D771,物料本月库存明細!$B:$J,2,0)</f>
        <v>#N/A</v>
      </c>
      <c r="F771" s="188" t="e">
        <f ca="1">VLOOKUP($D771,物料本月库存明細!$B:$J,5,0)</f>
        <v>#N/A</v>
      </c>
      <c r="J771" s="188" t="e">
        <f ca="1">VLOOKUP($D771,物料本月库存明細!$B:$J,9,0)</f>
        <v>#N/A</v>
      </c>
    </row>
    <row r="772" customHeight="1" spans="5:10">
      <c r="E772" s="188" t="e">
        <f ca="1">VLOOKUP($D772,物料本月库存明細!$B:$J,2,0)</f>
        <v>#N/A</v>
      </c>
      <c r="F772" s="188" t="e">
        <f ca="1">VLOOKUP($D772,物料本月库存明細!$B:$J,5,0)</f>
        <v>#N/A</v>
      </c>
      <c r="J772" s="188" t="e">
        <f ca="1">VLOOKUP($D772,物料本月库存明細!$B:$J,9,0)</f>
        <v>#N/A</v>
      </c>
    </row>
    <row r="773" customHeight="1" spans="5:10">
      <c r="E773" s="188" t="e">
        <f ca="1">VLOOKUP($D773,物料本月库存明細!$B:$J,2,0)</f>
        <v>#N/A</v>
      </c>
      <c r="F773" s="188" t="e">
        <f ca="1">VLOOKUP($D773,物料本月库存明細!$B:$J,5,0)</f>
        <v>#N/A</v>
      </c>
      <c r="J773" s="188" t="e">
        <f ca="1">VLOOKUP($D773,物料本月库存明細!$B:$J,9,0)</f>
        <v>#N/A</v>
      </c>
    </row>
    <row r="774" customHeight="1" spans="5:10">
      <c r="E774" s="188" t="e">
        <f ca="1">VLOOKUP($D774,物料本月库存明細!$B:$J,2,0)</f>
        <v>#N/A</v>
      </c>
      <c r="F774" s="188" t="e">
        <f ca="1">VLOOKUP($D774,物料本月库存明細!$B:$J,5,0)</f>
        <v>#N/A</v>
      </c>
      <c r="J774" s="188" t="e">
        <f ca="1">VLOOKUP($D774,物料本月库存明細!$B:$J,9,0)</f>
        <v>#N/A</v>
      </c>
    </row>
    <row r="775" customHeight="1" spans="5:10">
      <c r="E775" s="188" t="e">
        <f ca="1">VLOOKUP($D775,物料本月库存明細!$B:$J,2,0)</f>
        <v>#N/A</v>
      </c>
      <c r="F775" s="188" t="e">
        <f ca="1">VLOOKUP($D775,物料本月库存明細!$B:$J,5,0)</f>
        <v>#N/A</v>
      </c>
      <c r="J775" s="188" t="e">
        <f ca="1">VLOOKUP($D775,物料本月库存明細!$B:$J,9,0)</f>
        <v>#N/A</v>
      </c>
    </row>
    <row r="776" customHeight="1" spans="5:10">
      <c r="E776" s="188" t="e">
        <f ca="1">VLOOKUP($D776,物料本月库存明細!$B:$J,2,0)</f>
        <v>#N/A</v>
      </c>
      <c r="F776" s="188" t="e">
        <f ca="1">VLOOKUP($D776,物料本月库存明細!$B:$J,5,0)</f>
        <v>#N/A</v>
      </c>
      <c r="J776" s="188" t="e">
        <f ca="1">VLOOKUP($D776,物料本月库存明細!$B:$J,9,0)</f>
        <v>#N/A</v>
      </c>
    </row>
    <row r="777" customHeight="1" spans="5:10">
      <c r="E777" s="188" t="e">
        <f ca="1">VLOOKUP($D777,物料本月库存明細!$B:$J,2,0)</f>
        <v>#N/A</v>
      </c>
      <c r="F777" s="188" t="e">
        <f ca="1">VLOOKUP($D777,物料本月库存明細!$B:$J,5,0)</f>
        <v>#N/A</v>
      </c>
      <c r="J777" s="188" t="e">
        <f ca="1">VLOOKUP($D777,物料本月库存明細!$B:$J,9,0)</f>
        <v>#N/A</v>
      </c>
    </row>
    <row r="778" customHeight="1" spans="5:10">
      <c r="E778" s="188" t="e">
        <f ca="1">VLOOKUP($D778,物料本月库存明細!$B:$J,2,0)</f>
        <v>#N/A</v>
      </c>
      <c r="F778" s="188" t="e">
        <f ca="1">VLOOKUP($D778,物料本月库存明細!$B:$J,5,0)</f>
        <v>#N/A</v>
      </c>
      <c r="J778" s="188" t="e">
        <f ca="1">VLOOKUP($D778,物料本月库存明細!$B:$J,9,0)</f>
        <v>#N/A</v>
      </c>
    </row>
    <row r="779" customHeight="1" spans="5:10">
      <c r="E779" s="188" t="e">
        <f ca="1">VLOOKUP($D779,物料本月库存明細!$B:$J,2,0)</f>
        <v>#N/A</v>
      </c>
      <c r="F779" s="188" t="e">
        <f ca="1">VLOOKUP($D779,物料本月库存明細!$B:$J,5,0)</f>
        <v>#N/A</v>
      </c>
      <c r="J779" s="188" t="e">
        <f ca="1">VLOOKUP($D779,物料本月库存明細!$B:$J,9,0)</f>
        <v>#N/A</v>
      </c>
    </row>
    <row r="780" customHeight="1" spans="5:10">
      <c r="E780" s="188" t="e">
        <f ca="1">VLOOKUP($D780,物料本月库存明細!$B:$J,2,0)</f>
        <v>#N/A</v>
      </c>
      <c r="F780" s="188" t="e">
        <f ca="1">VLOOKUP($D780,物料本月库存明細!$B:$J,5,0)</f>
        <v>#N/A</v>
      </c>
      <c r="J780" s="188" t="e">
        <f ca="1">VLOOKUP($D780,物料本月库存明細!$B:$J,9,0)</f>
        <v>#N/A</v>
      </c>
    </row>
    <row r="781" customHeight="1" spans="5:10">
      <c r="E781" s="188" t="e">
        <f ca="1">VLOOKUP($D781,物料本月库存明細!$B:$J,2,0)</f>
        <v>#N/A</v>
      </c>
      <c r="F781" s="188" t="e">
        <f ca="1">VLOOKUP($D781,物料本月库存明細!$B:$J,5,0)</f>
        <v>#N/A</v>
      </c>
      <c r="J781" s="188" t="e">
        <f ca="1">VLOOKUP($D781,物料本月库存明細!$B:$J,9,0)</f>
        <v>#N/A</v>
      </c>
    </row>
    <row r="782" customHeight="1" spans="5:10">
      <c r="E782" s="188" t="e">
        <f ca="1">VLOOKUP($D782,物料本月库存明細!$B:$J,2,0)</f>
        <v>#N/A</v>
      </c>
      <c r="F782" s="188" t="e">
        <f ca="1">VLOOKUP($D782,物料本月库存明細!$B:$J,5,0)</f>
        <v>#N/A</v>
      </c>
      <c r="J782" s="188" t="e">
        <f ca="1">VLOOKUP($D782,物料本月库存明細!$B:$J,9,0)</f>
        <v>#N/A</v>
      </c>
    </row>
    <row r="783" customHeight="1" spans="5:10">
      <c r="E783" s="188" t="e">
        <f ca="1">VLOOKUP($D783,物料本月库存明細!$B:$J,2,0)</f>
        <v>#N/A</v>
      </c>
      <c r="F783" s="188" t="e">
        <f ca="1">VLOOKUP($D783,物料本月库存明細!$B:$J,5,0)</f>
        <v>#N/A</v>
      </c>
      <c r="J783" s="188" t="e">
        <f ca="1">VLOOKUP($D783,物料本月库存明細!$B:$J,9,0)</f>
        <v>#N/A</v>
      </c>
    </row>
    <row r="784" customHeight="1" spans="5:10">
      <c r="E784" s="188" t="e">
        <f ca="1">VLOOKUP($D784,物料本月库存明細!$B:$J,2,0)</f>
        <v>#N/A</v>
      </c>
      <c r="F784" s="188" t="e">
        <f ca="1">VLOOKUP($D784,物料本月库存明細!$B:$J,5,0)</f>
        <v>#N/A</v>
      </c>
      <c r="J784" s="188" t="e">
        <f ca="1">VLOOKUP($D784,物料本月库存明細!$B:$J,9,0)</f>
        <v>#N/A</v>
      </c>
    </row>
    <row r="785" customHeight="1" spans="5:10">
      <c r="E785" s="188" t="e">
        <f ca="1">VLOOKUP($D785,物料本月库存明細!$B:$J,2,0)</f>
        <v>#N/A</v>
      </c>
      <c r="F785" s="188" t="e">
        <f ca="1">VLOOKUP($D785,物料本月库存明細!$B:$J,5,0)</f>
        <v>#N/A</v>
      </c>
      <c r="J785" s="188" t="e">
        <f ca="1">VLOOKUP($D785,物料本月库存明細!$B:$J,9,0)</f>
        <v>#N/A</v>
      </c>
    </row>
    <row r="786" customHeight="1" spans="5:10">
      <c r="E786" s="188" t="e">
        <f ca="1">VLOOKUP($D786,物料本月库存明細!$B:$J,2,0)</f>
        <v>#N/A</v>
      </c>
      <c r="F786" s="188" t="e">
        <f ca="1">VLOOKUP($D786,物料本月库存明細!$B:$J,5,0)</f>
        <v>#N/A</v>
      </c>
      <c r="J786" s="188" t="e">
        <f ca="1">VLOOKUP($D786,物料本月库存明細!$B:$J,9,0)</f>
        <v>#N/A</v>
      </c>
    </row>
    <row r="787" customHeight="1" spans="5:10">
      <c r="E787" s="188" t="e">
        <f ca="1">VLOOKUP($D787,物料本月库存明細!$B:$J,2,0)</f>
        <v>#N/A</v>
      </c>
      <c r="F787" s="188" t="e">
        <f ca="1">VLOOKUP($D787,物料本月库存明細!$B:$J,5,0)</f>
        <v>#N/A</v>
      </c>
      <c r="J787" s="188" t="e">
        <f ca="1">VLOOKUP($D787,物料本月库存明細!$B:$J,9,0)</f>
        <v>#N/A</v>
      </c>
    </row>
    <row r="788" customHeight="1" spans="5:10">
      <c r="E788" s="188" t="e">
        <f ca="1">VLOOKUP($D788,物料本月库存明細!$B:$J,2,0)</f>
        <v>#N/A</v>
      </c>
      <c r="F788" s="188" t="e">
        <f ca="1">VLOOKUP($D788,物料本月库存明細!$B:$J,5,0)</f>
        <v>#N/A</v>
      </c>
      <c r="J788" s="188" t="e">
        <f ca="1">VLOOKUP($D788,物料本月库存明細!$B:$J,9,0)</f>
        <v>#N/A</v>
      </c>
    </row>
    <row r="789" customHeight="1" spans="5:10">
      <c r="E789" s="188" t="e">
        <f ca="1">VLOOKUP($D789,物料本月库存明細!$B:$J,2,0)</f>
        <v>#N/A</v>
      </c>
      <c r="F789" s="188" t="e">
        <f ca="1">VLOOKUP($D789,物料本月库存明細!$B:$J,5,0)</f>
        <v>#N/A</v>
      </c>
      <c r="J789" s="188" t="e">
        <f ca="1">VLOOKUP($D789,物料本月库存明細!$B:$J,9,0)</f>
        <v>#N/A</v>
      </c>
    </row>
    <row r="790" customHeight="1" spans="5:10">
      <c r="E790" s="188" t="e">
        <f ca="1">VLOOKUP($D790,物料本月库存明細!$B:$J,2,0)</f>
        <v>#N/A</v>
      </c>
      <c r="F790" s="188" t="e">
        <f ca="1">VLOOKUP($D790,物料本月库存明細!$B:$J,5,0)</f>
        <v>#N/A</v>
      </c>
      <c r="J790" s="188" t="e">
        <f ca="1">VLOOKUP($D790,物料本月库存明細!$B:$J,9,0)</f>
        <v>#N/A</v>
      </c>
    </row>
    <row r="791" customHeight="1" spans="5:10">
      <c r="E791" s="188" t="e">
        <f ca="1">VLOOKUP($D791,物料本月库存明細!$B:$J,2,0)</f>
        <v>#N/A</v>
      </c>
      <c r="F791" s="188" t="e">
        <f ca="1">VLOOKUP($D791,物料本月库存明細!$B:$J,5,0)</f>
        <v>#N/A</v>
      </c>
      <c r="J791" s="188" t="e">
        <f ca="1">VLOOKUP($D791,物料本月库存明細!$B:$J,9,0)</f>
        <v>#N/A</v>
      </c>
    </row>
    <row r="792" customHeight="1" spans="5:10">
      <c r="E792" s="188" t="e">
        <f ca="1">VLOOKUP($D792,物料本月库存明細!$B:$J,2,0)</f>
        <v>#N/A</v>
      </c>
      <c r="F792" s="188" t="e">
        <f ca="1">VLOOKUP($D792,物料本月库存明細!$B:$J,5,0)</f>
        <v>#N/A</v>
      </c>
      <c r="J792" s="188" t="e">
        <f ca="1">VLOOKUP($D792,物料本月库存明細!$B:$J,9,0)</f>
        <v>#N/A</v>
      </c>
    </row>
    <row r="793" customHeight="1" spans="5:10">
      <c r="E793" s="188" t="e">
        <f ca="1">VLOOKUP($D793,物料本月库存明細!$B:$J,2,0)</f>
        <v>#N/A</v>
      </c>
      <c r="F793" s="188" t="e">
        <f ca="1">VLOOKUP($D793,物料本月库存明細!$B:$J,5,0)</f>
        <v>#N/A</v>
      </c>
      <c r="J793" s="188" t="e">
        <f ca="1">VLOOKUP($D793,物料本月库存明細!$B:$J,9,0)</f>
        <v>#N/A</v>
      </c>
    </row>
    <row r="794" customHeight="1" spans="5:10">
      <c r="E794" s="188" t="e">
        <f ca="1">VLOOKUP($D794,物料本月库存明細!$B:$J,2,0)</f>
        <v>#N/A</v>
      </c>
      <c r="F794" s="188" t="e">
        <f ca="1">VLOOKUP($D794,物料本月库存明細!$B:$J,5,0)</f>
        <v>#N/A</v>
      </c>
      <c r="J794" s="188" t="e">
        <f ca="1">VLOOKUP($D794,物料本月库存明細!$B:$J,9,0)</f>
        <v>#N/A</v>
      </c>
    </row>
    <row r="795" customHeight="1" spans="5:10">
      <c r="E795" s="188" t="e">
        <f ca="1">VLOOKUP($D795,物料本月库存明細!$B:$J,2,0)</f>
        <v>#N/A</v>
      </c>
      <c r="F795" s="188" t="e">
        <f ca="1">VLOOKUP($D795,物料本月库存明細!$B:$J,5,0)</f>
        <v>#N/A</v>
      </c>
      <c r="J795" s="188" t="e">
        <f ca="1">VLOOKUP($D795,物料本月库存明細!$B:$J,9,0)</f>
        <v>#N/A</v>
      </c>
    </row>
    <row r="796" customHeight="1" spans="5:10">
      <c r="E796" s="188" t="e">
        <f ca="1">VLOOKUP($D796,物料本月库存明細!$B:$J,2,0)</f>
        <v>#N/A</v>
      </c>
      <c r="F796" s="188" t="e">
        <f ca="1">VLOOKUP($D796,物料本月库存明細!$B:$J,5,0)</f>
        <v>#N/A</v>
      </c>
      <c r="J796" s="188" t="e">
        <f ca="1">VLOOKUP($D796,物料本月库存明細!$B:$J,9,0)</f>
        <v>#N/A</v>
      </c>
    </row>
    <row r="797" customHeight="1" spans="5:10">
      <c r="E797" s="188" t="e">
        <f ca="1">VLOOKUP($D797,物料本月库存明細!$B:$J,2,0)</f>
        <v>#N/A</v>
      </c>
      <c r="F797" s="188" t="e">
        <f ca="1">VLOOKUP($D797,物料本月库存明細!$B:$J,5,0)</f>
        <v>#N/A</v>
      </c>
      <c r="J797" s="188" t="e">
        <f ca="1">VLOOKUP($D797,物料本月库存明細!$B:$J,9,0)</f>
        <v>#N/A</v>
      </c>
    </row>
    <row r="798" customHeight="1" spans="5:10">
      <c r="E798" s="188" t="e">
        <f ca="1">VLOOKUP($D798,物料本月库存明細!$B:$J,2,0)</f>
        <v>#N/A</v>
      </c>
      <c r="F798" s="188" t="e">
        <f ca="1">VLOOKUP($D798,物料本月库存明細!$B:$J,5,0)</f>
        <v>#N/A</v>
      </c>
      <c r="J798" s="188" t="e">
        <f ca="1">VLOOKUP($D798,物料本月库存明細!$B:$J,9,0)</f>
        <v>#N/A</v>
      </c>
    </row>
    <row r="799" customHeight="1" spans="5:10">
      <c r="E799" s="188" t="e">
        <f ca="1">VLOOKUP($D799,物料本月库存明細!$B:$J,2,0)</f>
        <v>#N/A</v>
      </c>
      <c r="F799" s="188" t="e">
        <f ca="1">VLOOKUP($D799,物料本月库存明細!$B:$J,5,0)</f>
        <v>#N/A</v>
      </c>
      <c r="J799" s="188" t="e">
        <f ca="1">VLOOKUP($D799,物料本月库存明細!$B:$J,9,0)</f>
        <v>#N/A</v>
      </c>
    </row>
    <row r="800" customHeight="1" spans="5:10">
      <c r="E800" s="188" t="e">
        <f ca="1">VLOOKUP($D800,物料本月库存明細!$B:$J,2,0)</f>
        <v>#N/A</v>
      </c>
      <c r="F800" s="188" t="e">
        <f ca="1">VLOOKUP($D800,物料本月库存明細!$B:$J,5,0)</f>
        <v>#N/A</v>
      </c>
      <c r="J800" s="188" t="e">
        <f ca="1">VLOOKUP($D800,物料本月库存明細!$B:$J,9,0)</f>
        <v>#N/A</v>
      </c>
    </row>
    <row r="801" customHeight="1" spans="5:10">
      <c r="E801" s="188" t="e">
        <f ca="1">VLOOKUP($D801,物料本月库存明細!$B:$J,2,0)</f>
        <v>#N/A</v>
      </c>
      <c r="F801" s="188" t="e">
        <f ca="1">VLOOKUP($D801,物料本月库存明細!$B:$J,5,0)</f>
        <v>#N/A</v>
      </c>
      <c r="J801" s="188" t="e">
        <f ca="1">VLOOKUP($D801,物料本月库存明細!$B:$J,9,0)</f>
        <v>#N/A</v>
      </c>
    </row>
    <row r="802" customHeight="1" spans="5:10">
      <c r="E802" s="188" t="e">
        <f ca="1">VLOOKUP($D802,物料本月库存明細!$B:$J,2,0)</f>
        <v>#N/A</v>
      </c>
      <c r="F802" s="188" t="e">
        <f ca="1">VLOOKUP($D802,物料本月库存明細!$B:$J,5,0)</f>
        <v>#N/A</v>
      </c>
      <c r="J802" s="188" t="e">
        <f ca="1">VLOOKUP($D802,物料本月库存明細!$B:$J,9,0)</f>
        <v>#N/A</v>
      </c>
    </row>
    <row r="803" customHeight="1" spans="5:10">
      <c r="E803" s="188" t="e">
        <f ca="1">VLOOKUP($D803,物料本月库存明細!$B:$J,2,0)</f>
        <v>#N/A</v>
      </c>
      <c r="F803" s="188" t="e">
        <f ca="1">VLOOKUP($D803,物料本月库存明細!$B:$J,5,0)</f>
        <v>#N/A</v>
      </c>
      <c r="J803" s="188" t="e">
        <f ca="1">VLOOKUP($D803,物料本月库存明細!$B:$J,9,0)</f>
        <v>#N/A</v>
      </c>
    </row>
    <row r="804" customHeight="1" spans="5:10">
      <c r="E804" s="188" t="e">
        <f ca="1">VLOOKUP($D804,物料本月库存明細!$B:$J,2,0)</f>
        <v>#N/A</v>
      </c>
      <c r="F804" s="188" t="e">
        <f ca="1">VLOOKUP($D804,物料本月库存明細!$B:$J,5,0)</f>
        <v>#N/A</v>
      </c>
      <c r="J804" s="188" t="e">
        <f ca="1">VLOOKUP($D804,物料本月库存明細!$B:$J,9,0)</f>
        <v>#N/A</v>
      </c>
    </row>
    <row r="805" customHeight="1" spans="5:10">
      <c r="E805" s="188" t="e">
        <f ca="1">VLOOKUP($D805,物料本月库存明細!$B:$J,2,0)</f>
        <v>#N/A</v>
      </c>
      <c r="F805" s="188" t="e">
        <f ca="1">VLOOKUP($D805,物料本月库存明細!$B:$J,5,0)</f>
        <v>#N/A</v>
      </c>
      <c r="J805" s="188" t="e">
        <f ca="1">VLOOKUP($D805,物料本月库存明細!$B:$J,9,0)</f>
        <v>#N/A</v>
      </c>
    </row>
    <row r="806" customHeight="1" spans="5:10">
      <c r="E806" s="188" t="e">
        <f ca="1">VLOOKUP($D806,物料本月库存明細!$B:$J,2,0)</f>
        <v>#N/A</v>
      </c>
      <c r="F806" s="188" t="e">
        <f ca="1">VLOOKUP($D806,物料本月库存明細!$B:$J,5,0)</f>
        <v>#N/A</v>
      </c>
      <c r="J806" s="188" t="e">
        <f ca="1">VLOOKUP($D806,物料本月库存明細!$B:$J,9,0)</f>
        <v>#N/A</v>
      </c>
    </row>
    <row r="807" customHeight="1" spans="5:10">
      <c r="E807" s="188" t="e">
        <f ca="1">VLOOKUP($D807,物料本月库存明細!$B:$J,2,0)</f>
        <v>#N/A</v>
      </c>
      <c r="F807" s="188" t="e">
        <f ca="1">VLOOKUP($D807,物料本月库存明細!$B:$J,5,0)</f>
        <v>#N/A</v>
      </c>
      <c r="J807" s="188" t="e">
        <f ca="1">VLOOKUP($D807,物料本月库存明細!$B:$J,9,0)</f>
        <v>#N/A</v>
      </c>
    </row>
    <row r="808" customHeight="1" spans="5:10">
      <c r="E808" s="188" t="e">
        <f ca="1">VLOOKUP($D808,物料本月库存明細!$B:$J,2,0)</f>
        <v>#N/A</v>
      </c>
      <c r="F808" s="188" t="e">
        <f ca="1">VLOOKUP($D808,物料本月库存明細!$B:$J,5,0)</f>
        <v>#N/A</v>
      </c>
      <c r="J808" s="188" t="e">
        <f ca="1">VLOOKUP($D808,物料本月库存明細!$B:$J,9,0)</f>
        <v>#N/A</v>
      </c>
    </row>
    <row r="809" customHeight="1" spans="5:10">
      <c r="E809" s="188" t="e">
        <f ca="1">VLOOKUP($D809,物料本月库存明細!$B:$J,2,0)</f>
        <v>#N/A</v>
      </c>
      <c r="F809" s="188" t="e">
        <f ca="1">VLOOKUP($D809,物料本月库存明細!$B:$J,5,0)</f>
        <v>#N/A</v>
      </c>
      <c r="J809" s="188" t="e">
        <f ca="1">VLOOKUP($D809,物料本月库存明細!$B:$J,9,0)</f>
        <v>#N/A</v>
      </c>
    </row>
    <row r="810" customHeight="1" spans="5:10">
      <c r="E810" s="188" t="e">
        <f ca="1">VLOOKUP($D810,物料本月库存明細!$B:$J,2,0)</f>
        <v>#N/A</v>
      </c>
      <c r="F810" s="188" t="e">
        <f ca="1">VLOOKUP($D810,物料本月库存明細!$B:$J,5,0)</f>
        <v>#N/A</v>
      </c>
      <c r="J810" s="188" t="e">
        <f ca="1">VLOOKUP($D810,物料本月库存明細!$B:$J,9,0)</f>
        <v>#N/A</v>
      </c>
    </row>
    <row r="811" customHeight="1" spans="5:10">
      <c r="E811" s="188" t="e">
        <f ca="1">VLOOKUP($D811,物料本月库存明細!$B:$J,2,0)</f>
        <v>#N/A</v>
      </c>
      <c r="F811" s="188" t="e">
        <f ca="1">VLOOKUP($D811,物料本月库存明細!$B:$J,5,0)</f>
        <v>#N/A</v>
      </c>
      <c r="J811" s="188" t="e">
        <f ca="1">VLOOKUP($D811,物料本月库存明細!$B:$J,9,0)</f>
        <v>#N/A</v>
      </c>
    </row>
    <row r="812" customHeight="1" spans="5:10">
      <c r="E812" s="188" t="e">
        <f ca="1">VLOOKUP($D812,物料本月库存明細!$B:$J,2,0)</f>
        <v>#N/A</v>
      </c>
      <c r="F812" s="188" t="e">
        <f ca="1">VLOOKUP($D812,物料本月库存明細!$B:$J,5,0)</f>
        <v>#N/A</v>
      </c>
      <c r="J812" s="188" t="e">
        <f ca="1">VLOOKUP($D812,物料本月库存明細!$B:$J,9,0)</f>
        <v>#N/A</v>
      </c>
    </row>
    <row r="813" customHeight="1" spans="5:10">
      <c r="E813" s="188" t="e">
        <f ca="1">VLOOKUP($D813,物料本月库存明細!$B:$J,2,0)</f>
        <v>#N/A</v>
      </c>
      <c r="F813" s="188" t="e">
        <f ca="1">VLOOKUP($D813,物料本月库存明細!$B:$J,5,0)</f>
        <v>#N/A</v>
      </c>
      <c r="J813" s="188" t="e">
        <f ca="1">VLOOKUP($D813,物料本月库存明細!$B:$J,9,0)</f>
        <v>#N/A</v>
      </c>
    </row>
    <row r="814" customHeight="1" spans="5:10">
      <c r="E814" s="188" t="e">
        <f ca="1">VLOOKUP($D814,物料本月库存明細!$B:$J,2,0)</f>
        <v>#N/A</v>
      </c>
      <c r="F814" s="188" t="e">
        <f ca="1">VLOOKUP($D814,物料本月库存明細!$B:$J,5,0)</f>
        <v>#N/A</v>
      </c>
      <c r="J814" s="188" t="e">
        <f ca="1">VLOOKUP($D814,物料本月库存明細!$B:$J,9,0)</f>
        <v>#N/A</v>
      </c>
    </row>
    <row r="815" customHeight="1" spans="5:10">
      <c r="E815" s="188" t="e">
        <f ca="1">VLOOKUP($D815,物料本月库存明細!$B:$J,2,0)</f>
        <v>#N/A</v>
      </c>
      <c r="F815" s="188" t="e">
        <f ca="1">VLOOKUP($D815,物料本月库存明細!$B:$J,5,0)</f>
        <v>#N/A</v>
      </c>
      <c r="J815" s="188" t="e">
        <f ca="1">VLOOKUP($D815,物料本月库存明細!$B:$J,9,0)</f>
        <v>#N/A</v>
      </c>
    </row>
    <row r="816" customHeight="1" spans="5:10">
      <c r="E816" s="188" t="e">
        <f ca="1">VLOOKUP($D816,物料本月库存明細!$B:$J,2,0)</f>
        <v>#N/A</v>
      </c>
      <c r="F816" s="188" t="e">
        <f ca="1">VLOOKUP($D816,物料本月库存明細!$B:$J,5,0)</f>
        <v>#N/A</v>
      </c>
      <c r="J816" s="188" t="e">
        <f ca="1">VLOOKUP($D816,物料本月库存明細!$B:$J,9,0)</f>
        <v>#N/A</v>
      </c>
    </row>
    <row r="817" customHeight="1" spans="5:10">
      <c r="E817" s="188" t="e">
        <f ca="1">VLOOKUP($D817,物料本月库存明細!$B:$J,2,0)</f>
        <v>#N/A</v>
      </c>
      <c r="F817" s="188" t="e">
        <f ca="1">VLOOKUP($D817,物料本月库存明細!$B:$J,5,0)</f>
        <v>#N/A</v>
      </c>
      <c r="J817" s="188" t="e">
        <f ca="1">VLOOKUP($D817,物料本月库存明細!$B:$J,9,0)</f>
        <v>#N/A</v>
      </c>
    </row>
    <row r="818" customHeight="1" spans="5:10">
      <c r="E818" s="188" t="e">
        <f ca="1">VLOOKUP($D818,物料本月库存明細!$B:$J,2,0)</f>
        <v>#N/A</v>
      </c>
      <c r="F818" s="188" t="e">
        <f ca="1">VLOOKUP($D818,物料本月库存明細!$B:$J,5,0)</f>
        <v>#N/A</v>
      </c>
      <c r="J818" s="188" t="e">
        <f ca="1">VLOOKUP($D818,物料本月库存明細!$B:$J,9,0)</f>
        <v>#N/A</v>
      </c>
    </row>
    <row r="819" customHeight="1" spans="5:10">
      <c r="E819" s="188" t="e">
        <f ca="1">VLOOKUP($D819,物料本月库存明細!$B:$J,2,0)</f>
        <v>#N/A</v>
      </c>
      <c r="F819" s="188" t="e">
        <f ca="1">VLOOKUP($D819,物料本月库存明細!$B:$J,5,0)</f>
        <v>#N/A</v>
      </c>
      <c r="J819" s="188" t="e">
        <f ca="1">VLOOKUP($D819,物料本月库存明細!$B:$J,9,0)</f>
        <v>#N/A</v>
      </c>
    </row>
    <row r="820" customHeight="1" spans="5:10">
      <c r="E820" s="188" t="e">
        <f ca="1">VLOOKUP($D820,物料本月库存明細!$B:$J,2,0)</f>
        <v>#N/A</v>
      </c>
      <c r="F820" s="188" t="e">
        <f ca="1">VLOOKUP($D820,物料本月库存明細!$B:$J,5,0)</f>
        <v>#N/A</v>
      </c>
      <c r="J820" s="188" t="e">
        <f ca="1">VLOOKUP($D820,物料本月库存明細!$B:$J,9,0)</f>
        <v>#N/A</v>
      </c>
    </row>
    <row r="821" customHeight="1" spans="5:10">
      <c r="E821" s="188" t="e">
        <f ca="1">VLOOKUP($D821,物料本月库存明細!$B:$J,2,0)</f>
        <v>#N/A</v>
      </c>
      <c r="F821" s="188" t="e">
        <f ca="1">VLOOKUP($D821,物料本月库存明細!$B:$J,5,0)</f>
        <v>#N/A</v>
      </c>
      <c r="J821" s="188" t="e">
        <f ca="1">VLOOKUP($D821,物料本月库存明細!$B:$J,9,0)</f>
        <v>#N/A</v>
      </c>
    </row>
    <row r="822" customHeight="1" spans="5:10">
      <c r="E822" s="188" t="e">
        <f ca="1">VLOOKUP($D822,物料本月库存明細!$B:$J,2,0)</f>
        <v>#N/A</v>
      </c>
      <c r="F822" s="188" t="e">
        <f ca="1">VLOOKUP($D822,物料本月库存明細!$B:$J,5,0)</f>
        <v>#N/A</v>
      </c>
      <c r="J822" s="188" t="e">
        <f ca="1">VLOOKUP($D822,物料本月库存明細!$B:$J,9,0)</f>
        <v>#N/A</v>
      </c>
    </row>
    <row r="823" customHeight="1" spans="5:10">
      <c r="E823" s="188" t="e">
        <f ca="1">VLOOKUP($D823,物料本月库存明細!$B:$J,2,0)</f>
        <v>#N/A</v>
      </c>
      <c r="F823" s="188" t="e">
        <f ca="1">VLOOKUP($D823,物料本月库存明細!$B:$J,5,0)</f>
        <v>#N/A</v>
      </c>
      <c r="J823" s="188" t="e">
        <f ca="1">VLOOKUP($D823,物料本月库存明細!$B:$J,9,0)</f>
        <v>#N/A</v>
      </c>
    </row>
    <row r="824" customHeight="1" spans="5:10">
      <c r="E824" s="188" t="e">
        <f ca="1">VLOOKUP($D824,物料本月库存明細!$B:$J,2,0)</f>
        <v>#N/A</v>
      </c>
      <c r="F824" s="188" t="e">
        <f ca="1">VLOOKUP($D824,物料本月库存明細!$B:$J,5,0)</f>
        <v>#N/A</v>
      </c>
      <c r="J824" s="188" t="e">
        <f ca="1">VLOOKUP($D824,物料本月库存明細!$B:$J,9,0)</f>
        <v>#N/A</v>
      </c>
    </row>
    <row r="825" customHeight="1" spans="5:10">
      <c r="E825" s="188" t="e">
        <f ca="1">VLOOKUP($D825,物料本月库存明細!$B:$J,2,0)</f>
        <v>#N/A</v>
      </c>
      <c r="F825" s="188" t="e">
        <f ca="1">VLOOKUP($D825,物料本月库存明細!$B:$J,5,0)</f>
        <v>#N/A</v>
      </c>
      <c r="J825" s="188" t="e">
        <f ca="1">VLOOKUP($D825,物料本月库存明細!$B:$J,9,0)</f>
        <v>#N/A</v>
      </c>
    </row>
    <row r="826" customHeight="1" spans="5:10">
      <c r="E826" s="188" t="e">
        <f ca="1">VLOOKUP($D826,物料本月库存明細!$B:$J,2,0)</f>
        <v>#N/A</v>
      </c>
      <c r="F826" s="188" t="e">
        <f ca="1">VLOOKUP($D826,物料本月库存明細!$B:$J,5,0)</f>
        <v>#N/A</v>
      </c>
      <c r="J826" s="188" t="e">
        <f ca="1">VLOOKUP($D826,物料本月库存明細!$B:$J,9,0)</f>
        <v>#N/A</v>
      </c>
    </row>
    <row r="827" customHeight="1" spans="5:10">
      <c r="E827" s="188" t="e">
        <f ca="1">VLOOKUP($D827,物料本月库存明細!$B:$J,2,0)</f>
        <v>#N/A</v>
      </c>
      <c r="F827" s="188" t="e">
        <f ca="1">VLOOKUP($D827,物料本月库存明細!$B:$J,5,0)</f>
        <v>#N/A</v>
      </c>
      <c r="J827" s="188" t="e">
        <f ca="1">VLOOKUP($D827,物料本月库存明細!$B:$J,9,0)</f>
        <v>#N/A</v>
      </c>
    </row>
    <row r="828" customHeight="1" spans="5:10">
      <c r="E828" s="188" t="e">
        <f ca="1">VLOOKUP($D828,物料本月库存明細!$B:$J,2,0)</f>
        <v>#N/A</v>
      </c>
      <c r="F828" s="188" t="e">
        <f ca="1">VLOOKUP($D828,物料本月库存明細!$B:$J,5,0)</f>
        <v>#N/A</v>
      </c>
      <c r="J828" s="188" t="e">
        <f ca="1">VLOOKUP($D828,物料本月库存明細!$B:$J,9,0)</f>
        <v>#N/A</v>
      </c>
    </row>
    <row r="829" customHeight="1" spans="5:10">
      <c r="E829" s="188" t="e">
        <f ca="1">VLOOKUP($D829,物料本月库存明細!$B:$J,2,0)</f>
        <v>#N/A</v>
      </c>
      <c r="F829" s="188" t="e">
        <f ca="1">VLOOKUP($D829,物料本月库存明細!$B:$J,5,0)</f>
        <v>#N/A</v>
      </c>
      <c r="J829" s="188" t="e">
        <f ca="1">VLOOKUP($D829,物料本月库存明細!$B:$J,9,0)</f>
        <v>#N/A</v>
      </c>
    </row>
    <row r="830" customHeight="1" spans="5:10">
      <c r="E830" s="188" t="e">
        <f ca="1">VLOOKUP($D830,物料本月库存明細!$B:$J,2,0)</f>
        <v>#N/A</v>
      </c>
      <c r="F830" s="188" t="e">
        <f ca="1">VLOOKUP($D830,物料本月库存明細!$B:$J,5,0)</f>
        <v>#N/A</v>
      </c>
      <c r="J830" s="188" t="e">
        <f ca="1">VLOOKUP($D830,物料本月库存明細!$B:$J,9,0)</f>
        <v>#N/A</v>
      </c>
    </row>
    <row r="831" customHeight="1" spans="5:10">
      <c r="E831" s="188" t="e">
        <f ca="1">VLOOKUP($D831,物料本月库存明細!$B:$J,2,0)</f>
        <v>#N/A</v>
      </c>
      <c r="F831" s="188" t="e">
        <f ca="1">VLOOKUP($D831,物料本月库存明細!$B:$J,5,0)</f>
        <v>#N/A</v>
      </c>
      <c r="J831" s="188" t="e">
        <f ca="1">VLOOKUP($D831,物料本月库存明細!$B:$J,9,0)</f>
        <v>#N/A</v>
      </c>
    </row>
    <row r="832" customHeight="1" spans="5:10">
      <c r="E832" s="188" t="e">
        <f ca="1">VLOOKUP($D832,物料本月库存明細!$B:$J,2,0)</f>
        <v>#N/A</v>
      </c>
      <c r="F832" s="188" t="e">
        <f ca="1">VLOOKUP($D832,物料本月库存明細!$B:$J,5,0)</f>
        <v>#N/A</v>
      </c>
      <c r="J832" s="188" t="e">
        <f ca="1">VLOOKUP($D832,物料本月库存明細!$B:$J,9,0)</f>
        <v>#N/A</v>
      </c>
    </row>
    <row r="833" customHeight="1" spans="5:10">
      <c r="E833" s="188" t="e">
        <f ca="1">VLOOKUP($D833,物料本月库存明細!$B:$J,2,0)</f>
        <v>#N/A</v>
      </c>
      <c r="F833" s="188" t="e">
        <f ca="1">VLOOKUP($D833,物料本月库存明細!$B:$J,5,0)</f>
        <v>#N/A</v>
      </c>
      <c r="J833" s="188" t="e">
        <f ca="1">VLOOKUP($D833,物料本月库存明細!$B:$J,9,0)</f>
        <v>#N/A</v>
      </c>
    </row>
    <row r="834" customHeight="1" spans="5:10">
      <c r="E834" s="188" t="e">
        <f ca="1">VLOOKUP($D834,物料本月库存明細!$B:$J,2,0)</f>
        <v>#N/A</v>
      </c>
      <c r="F834" s="188" t="e">
        <f ca="1">VLOOKUP($D834,物料本月库存明細!$B:$J,5,0)</f>
        <v>#N/A</v>
      </c>
      <c r="J834" s="188" t="e">
        <f ca="1">VLOOKUP($D834,物料本月库存明細!$B:$J,9,0)</f>
        <v>#N/A</v>
      </c>
    </row>
    <row r="835" customHeight="1" spans="5:10">
      <c r="E835" s="188" t="e">
        <f ca="1">VLOOKUP($D835,物料本月库存明細!$B:$J,2,0)</f>
        <v>#N/A</v>
      </c>
      <c r="F835" s="188" t="e">
        <f ca="1">VLOOKUP($D835,物料本月库存明細!$B:$J,5,0)</f>
        <v>#N/A</v>
      </c>
      <c r="J835" s="188" t="e">
        <f ca="1">VLOOKUP($D835,物料本月库存明細!$B:$J,9,0)</f>
        <v>#N/A</v>
      </c>
    </row>
    <row r="836" customHeight="1" spans="5:10">
      <c r="E836" s="188" t="e">
        <f ca="1">VLOOKUP($D836,物料本月库存明細!$B:$J,2,0)</f>
        <v>#N/A</v>
      </c>
      <c r="F836" s="188" t="e">
        <f ca="1">VLOOKUP($D836,物料本月库存明細!$B:$J,5,0)</f>
        <v>#N/A</v>
      </c>
      <c r="J836" s="188" t="e">
        <f ca="1">VLOOKUP($D836,物料本月库存明細!$B:$J,9,0)</f>
        <v>#N/A</v>
      </c>
    </row>
    <row r="837" customHeight="1" spans="5:10">
      <c r="E837" s="188" t="e">
        <f ca="1">VLOOKUP($D837,物料本月库存明細!$B:$J,2,0)</f>
        <v>#N/A</v>
      </c>
      <c r="F837" s="188" t="e">
        <f ca="1">VLOOKUP($D837,物料本月库存明細!$B:$J,5,0)</f>
        <v>#N/A</v>
      </c>
      <c r="J837" s="188" t="e">
        <f ca="1">VLOOKUP($D837,物料本月库存明細!$B:$J,9,0)</f>
        <v>#N/A</v>
      </c>
    </row>
    <row r="838" customHeight="1" spans="5:10">
      <c r="E838" s="188" t="e">
        <f ca="1">VLOOKUP($D838,物料本月库存明細!$B:$J,2,0)</f>
        <v>#N/A</v>
      </c>
      <c r="F838" s="188" t="e">
        <f ca="1">VLOOKUP($D838,物料本月库存明細!$B:$J,5,0)</f>
        <v>#N/A</v>
      </c>
      <c r="J838" s="188" t="e">
        <f ca="1">VLOOKUP($D838,物料本月库存明細!$B:$J,9,0)</f>
        <v>#N/A</v>
      </c>
    </row>
    <row r="839" customHeight="1" spans="5:10">
      <c r="E839" s="188" t="e">
        <f ca="1">VLOOKUP($D839,物料本月库存明細!$B:$J,2,0)</f>
        <v>#N/A</v>
      </c>
      <c r="F839" s="188" t="e">
        <f ca="1">VLOOKUP($D839,物料本月库存明細!$B:$J,5,0)</f>
        <v>#N/A</v>
      </c>
      <c r="J839" s="188" t="e">
        <f ca="1">VLOOKUP($D839,物料本月库存明細!$B:$J,9,0)</f>
        <v>#N/A</v>
      </c>
    </row>
    <row r="840" customHeight="1" spans="5:10">
      <c r="E840" s="188" t="e">
        <f ca="1">VLOOKUP($D840,物料本月库存明細!$B:$J,2,0)</f>
        <v>#N/A</v>
      </c>
      <c r="F840" s="188" t="e">
        <f ca="1">VLOOKUP($D840,物料本月库存明細!$B:$J,5,0)</f>
        <v>#N/A</v>
      </c>
      <c r="J840" s="188" t="e">
        <f ca="1">VLOOKUP($D840,物料本月库存明細!$B:$J,9,0)</f>
        <v>#N/A</v>
      </c>
    </row>
    <row r="841" customHeight="1" spans="5:10">
      <c r="E841" s="188" t="e">
        <f ca="1">VLOOKUP($D841,物料本月库存明細!$B:$J,2,0)</f>
        <v>#N/A</v>
      </c>
      <c r="F841" s="188" t="e">
        <f ca="1">VLOOKUP($D841,物料本月库存明細!$B:$J,5,0)</f>
        <v>#N/A</v>
      </c>
      <c r="J841" s="188" t="e">
        <f ca="1">VLOOKUP($D841,物料本月库存明細!$B:$J,9,0)</f>
        <v>#N/A</v>
      </c>
    </row>
    <row r="842" customHeight="1" spans="5:10">
      <c r="E842" s="188" t="e">
        <f ca="1">VLOOKUP($D842,物料本月库存明細!$B:$J,2,0)</f>
        <v>#N/A</v>
      </c>
      <c r="F842" s="188" t="e">
        <f ca="1">VLOOKUP($D842,物料本月库存明細!$B:$J,5,0)</f>
        <v>#N/A</v>
      </c>
      <c r="J842" s="188" t="e">
        <f ca="1">VLOOKUP($D842,物料本月库存明細!$B:$J,9,0)</f>
        <v>#N/A</v>
      </c>
    </row>
    <row r="843" customHeight="1" spans="5:10">
      <c r="E843" s="188" t="e">
        <f ca="1">VLOOKUP($D843,物料本月库存明細!$B:$J,2,0)</f>
        <v>#N/A</v>
      </c>
      <c r="F843" s="188" t="e">
        <f ca="1">VLOOKUP($D843,物料本月库存明細!$B:$J,5,0)</f>
        <v>#N/A</v>
      </c>
      <c r="J843" s="188" t="e">
        <f ca="1">VLOOKUP($D843,物料本月库存明細!$B:$J,9,0)</f>
        <v>#N/A</v>
      </c>
    </row>
    <row r="844" customHeight="1" spans="5:10">
      <c r="E844" s="188" t="e">
        <f ca="1">VLOOKUP($D844,物料本月库存明細!$B:$J,2,0)</f>
        <v>#N/A</v>
      </c>
      <c r="F844" s="188" t="e">
        <f ca="1">VLOOKUP($D844,物料本月库存明細!$B:$J,5,0)</f>
        <v>#N/A</v>
      </c>
      <c r="J844" s="188" t="e">
        <f ca="1">VLOOKUP($D844,物料本月库存明細!$B:$J,9,0)</f>
        <v>#N/A</v>
      </c>
    </row>
    <row r="845" customHeight="1" spans="5:10">
      <c r="E845" s="188" t="e">
        <f ca="1">VLOOKUP($D845,物料本月库存明細!$B:$J,2,0)</f>
        <v>#N/A</v>
      </c>
      <c r="F845" s="188" t="e">
        <f ca="1">VLOOKUP($D845,物料本月库存明細!$B:$J,5,0)</f>
        <v>#N/A</v>
      </c>
      <c r="J845" s="188" t="e">
        <f ca="1">VLOOKUP($D845,物料本月库存明細!$B:$J,9,0)</f>
        <v>#N/A</v>
      </c>
    </row>
    <row r="846" customHeight="1" spans="5:10">
      <c r="E846" s="188" t="e">
        <f ca="1">VLOOKUP($D846,物料本月库存明細!$B:$J,2,0)</f>
        <v>#N/A</v>
      </c>
      <c r="F846" s="188" t="e">
        <f ca="1">VLOOKUP($D846,物料本月库存明細!$B:$J,5,0)</f>
        <v>#N/A</v>
      </c>
      <c r="J846" s="188" t="e">
        <f ca="1">VLOOKUP($D846,物料本月库存明細!$B:$J,9,0)</f>
        <v>#N/A</v>
      </c>
    </row>
    <row r="847" customHeight="1" spans="5:10">
      <c r="E847" s="188" t="e">
        <f ca="1">VLOOKUP($D847,物料本月库存明細!$B:$J,2,0)</f>
        <v>#N/A</v>
      </c>
      <c r="F847" s="188" t="e">
        <f ca="1">VLOOKUP($D847,物料本月库存明細!$B:$J,5,0)</f>
        <v>#N/A</v>
      </c>
      <c r="J847" s="188" t="e">
        <f ca="1">VLOOKUP($D847,物料本月库存明細!$B:$J,9,0)</f>
        <v>#N/A</v>
      </c>
    </row>
    <row r="848" customHeight="1" spans="5:10">
      <c r="E848" s="188" t="e">
        <f ca="1">VLOOKUP($D848,物料本月库存明細!$B:$J,2,0)</f>
        <v>#N/A</v>
      </c>
      <c r="F848" s="188" t="e">
        <f ca="1">VLOOKUP($D848,物料本月库存明細!$B:$J,5,0)</f>
        <v>#N/A</v>
      </c>
      <c r="J848" s="188" t="e">
        <f ca="1">VLOOKUP($D848,物料本月库存明細!$B:$J,9,0)</f>
        <v>#N/A</v>
      </c>
    </row>
    <row r="849" customHeight="1" spans="5:10">
      <c r="E849" s="188" t="e">
        <f ca="1">VLOOKUP($D849,物料本月库存明細!$B:$J,2,0)</f>
        <v>#N/A</v>
      </c>
      <c r="F849" s="188" t="e">
        <f ca="1">VLOOKUP($D849,物料本月库存明細!$B:$J,5,0)</f>
        <v>#N/A</v>
      </c>
      <c r="J849" s="188" t="e">
        <f ca="1">VLOOKUP($D849,物料本月库存明細!$B:$J,9,0)</f>
        <v>#N/A</v>
      </c>
    </row>
    <row r="850" customHeight="1" spans="5:10">
      <c r="E850" s="188" t="e">
        <f ca="1">VLOOKUP($D850,物料本月库存明細!$B:$J,2,0)</f>
        <v>#N/A</v>
      </c>
      <c r="F850" s="188" t="e">
        <f ca="1">VLOOKUP($D850,物料本月库存明細!$B:$J,5,0)</f>
        <v>#N/A</v>
      </c>
      <c r="J850" s="188" t="e">
        <f ca="1">VLOOKUP($D850,物料本月库存明細!$B:$J,9,0)</f>
        <v>#N/A</v>
      </c>
    </row>
    <row r="851" customHeight="1" spans="5:10">
      <c r="E851" s="188" t="e">
        <f ca="1">VLOOKUP($D851,物料本月库存明細!$B:$J,2,0)</f>
        <v>#N/A</v>
      </c>
      <c r="F851" s="188" t="e">
        <f ca="1">VLOOKUP($D851,物料本月库存明細!$B:$J,5,0)</f>
        <v>#N/A</v>
      </c>
      <c r="J851" s="188" t="e">
        <f ca="1">VLOOKUP($D851,物料本月库存明細!$B:$J,9,0)</f>
        <v>#N/A</v>
      </c>
    </row>
    <row r="852" customHeight="1" spans="5:10">
      <c r="E852" s="188" t="e">
        <f ca="1">VLOOKUP($D852,物料本月库存明細!$B:$J,2,0)</f>
        <v>#N/A</v>
      </c>
      <c r="F852" s="188" t="e">
        <f ca="1">VLOOKUP($D852,物料本月库存明細!$B:$J,5,0)</f>
        <v>#N/A</v>
      </c>
      <c r="J852" s="188" t="e">
        <f ca="1">VLOOKUP($D852,物料本月库存明細!$B:$J,9,0)</f>
        <v>#N/A</v>
      </c>
    </row>
    <row r="853" customHeight="1" spans="5:10">
      <c r="E853" s="188" t="e">
        <f ca="1">VLOOKUP($D853,物料本月库存明細!$B:$J,2,0)</f>
        <v>#N/A</v>
      </c>
      <c r="F853" s="188" t="e">
        <f ca="1">VLOOKUP($D853,物料本月库存明細!$B:$J,5,0)</f>
        <v>#N/A</v>
      </c>
      <c r="J853" s="188" t="e">
        <f ca="1">VLOOKUP($D853,物料本月库存明細!$B:$J,9,0)</f>
        <v>#N/A</v>
      </c>
    </row>
    <row r="854" customHeight="1" spans="5:10">
      <c r="E854" s="188" t="e">
        <f ca="1">VLOOKUP($D854,物料本月库存明細!$B:$J,2,0)</f>
        <v>#N/A</v>
      </c>
      <c r="F854" s="188" t="e">
        <f ca="1">VLOOKUP($D854,物料本月库存明細!$B:$J,5,0)</f>
        <v>#N/A</v>
      </c>
      <c r="J854" s="188" t="e">
        <f ca="1">VLOOKUP($D854,物料本月库存明細!$B:$J,9,0)</f>
        <v>#N/A</v>
      </c>
    </row>
    <row r="855" customHeight="1" spans="5:10">
      <c r="E855" s="188" t="e">
        <f ca="1">VLOOKUP($D855,物料本月库存明細!$B:$J,2,0)</f>
        <v>#N/A</v>
      </c>
      <c r="F855" s="188" t="e">
        <f ca="1">VLOOKUP($D855,物料本月库存明細!$B:$J,5,0)</f>
        <v>#N/A</v>
      </c>
      <c r="J855" s="188" t="e">
        <f ca="1">VLOOKUP($D855,物料本月库存明細!$B:$J,9,0)</f>
        <v>#N/A</v>
      </c>
    </row>
    <row r="856" customHeight="1" spans="5:10">
      <c r="E856" s="188" t="e">
        <f ca="1">VLOOKUP($D856,物料本月库存明細!$B:$J,2,0)</f>
        <v>#N/A</v>
      </c>
      <c r="F856" s="188" t="e">
        <f ca="1">VLOOKUP($D856,物料本月库存明細!$B:$J,5,0)</f>
        <v>#N/A</v>
      </c>
      <c r="J856" s="188" t="e">
        <f ca="1">VLOOKUP($D856,物料本月库存明細!$B:$J,9,0)</f>
        <v>#N/A</v>
      </c>
    </row>
    <row r="857" customHeight="1" spans="5:10">
      <c r="E857" s="188" t="e">
        <f ca="1">VLOOKUP($D857,物料本月库存明細!$B:$J,2,0)</f>
        <v>#N/A</v>
      </c>
      <c r="F857" s="188" t="e">
        <f ca="1">VLOOKUP($D857,物料本月库存明細!$B:$J,5,0)</f>
        <v>#N/A</v>
      </c>
      <c r="J857" s="188" t="e">
        <f ca="1">VLOOKUP($D857,物料本月库存明細!$B:$J,9,0)</f>
        <v>#N/A</v>
      </c>
    </row>
    <row r="858" customHeight="1" spans="5:10">
      <c r="E858" s="188" t="e">
        <f ca="1">VLOOKUP($D858,物料本月库存明細!$B:$J,2,0)</f>
        <v>#N/A</v>
      </c>
      <c r="F858" s="188" t="e">
        <f ca="1">VLOOKUP($D858,物料本月库存明細!$B:$J,5,0)</f>
        <v>#N/A</v>
      </c>
      <c r="J858" s="188" t="e">
        <f ca="1">VLOOKUP($D858,物料本月库存明細!$B:$J,9,0)</f>
        <v>#N/A</v>
      </c>
    </row>
    <row r="859" customHeight="1" spans="5:10">
      <c r="E859" s="188" t="e">
        <f ca="1">VLOOKUP($D859,物料本月库存明細!$B:$J,2,0)</f>
        <v>#N/A</v>
      </c>
      <c r="F859" s="188" t="e">
        <f ca="1">VLOOKUP($D859,物料本月库存明細!$B:$J,5,0)</f>
        <v>#N/A</v>
      </c>
      <c r="J859" s="188" t="e">
        <f ca="1">VLOOKUP($D859,物料本月库存明細!$B:$J,9,0)</f>
        <v>#N/A</v>
      </c>
    </row>
    <row r="860" customHeight="1" spans="5:10">
      <c r="E860" s="188" t="e">
        <f ca="1">VLOOKUP($D860,物料本月库存明細!$B:$J,2,0)</f>
        <v>#N/A</v>
      </c>
      <c r="F860" s="188" t="e">
        <f ca="1">VLOOKUP($D860,物料本月库存明細!$B:$J,5,0)</f>
        <v>#N/A</v>
      </c>
      <c r="J860" s="188" t="e">
        <f ca="1">VLOOKUP($D860,物料本月库存明細!$B:$J,9,0)</f>
        <v>#N/A</v>
      </c>
    </row>
    <row r="861" customHeight="1" spans="5:10">
      <c r="E861" s="188" t="e">
        <f ca="1">VLOOKUP($D861,物料本月库存明細!$B:$J,2,0)</f>
        <v>#N/A</v>
      </c>
      <c r="F861" s="188" t="e">
        <f ca="1">VLOOKUP($D861,物料本月库存明細!$B:$J,5,0)</f>
        <v>#N/A</v>
      </c>
      <c r="J861" s="188" t="e">
        <f ca="1">VLOOKUP($D861,物料本月库存明細!$B:$J,9,0)</f>
        <v>#N/A</v>
      </c>
    </row>
    <row r="862" customHeight="1" spans="5:10">
      <c r="E862" s="188" t="e">
        <f ca="1">VLOOKUP($D862,物料本月库存明細!$B:$J,2,0)</f>
        <v>#N/A</v>
      </c>
      <c r="F862" s="188" t="e">
        <f ca="1">VLOOKUP($D862,物料本月库存明細!$B:$J,5,0)</f>
        <v>#N/A</v>
      </c>
      <c r="J862" s="188" t="e">
        <f ca="1">VLOOKUP($D862,物料本月库存明細!$B:$J,9,0)</f>
        <v>#N/A</v>
      </c>
    </row>
    <row r="863" customHeight="1" spans="5:10">
      <c r="E863" s="188" t="e">
        <f ca="1">VLOOKUP($D863,物料本月库存明細!$B:$J,2,0)</f>
        <v>#N/A</v>
      </c>
      <c r="F863" s="188" t="e">
        <f ca="1">VLOOKUP($D863,物料本月库存明細!$B:$J,5,0)</f>
        <v>#N/A</v>
      </c>
      <c r="J863" s="188" t="e">
        <f ca="1">VLOOKUP($D863,物料本月库存明細!$B:$J,9,0)</f>
        <v>#N/A</v>
      </c>
    </row>
    <row r="864" customHeight="1" spans="5:10">
      <c r="E864" s="188" t="e">
        <f ca="1">VLOOKUP($D864,物料本月库存明細!$B:$J,2,0)</f>
        <v>#N/A</v>
      </c>
      <c r="F864" s="188" t="e">
        <f ca="1">VLOOKUP($D864,物料本月库存明細!$B:$J,5,0)</f>
        <v>#N/A</v>
      </c>
      <c r="J864" s="188" t="e">
        <f ca="1">VLOOKUP($D864,物料本月库存明細!$B:$J,9,0)</f>
        <v>#N/A</v>
      </c>
    </row>
    <row r="865" customHeight="1" spans="5:10">
      <c r="E865" s="188" t="e">
        <f ca="1">VLOOKUP($D865,物料本月库存明細!$B:$J,2,0)</f>
        <v>#N/A</v>
      </c>
      <c r="F865" s="188" t="e">
        <f ca="1">VLOOKUP($D865,物料本月库存明細!$B:$J,5,0)</f>
        <v>#N/A</v>
      </c>
      <c r="J865" s="188" t="e">
        <f ca="1">VLOOKUP($D865,物料本月库存明細!$B:$J,9,0)</f>
        <v>#N/A</v>
      </c>
    </row>
    <row r="866" customHeight="1" spans="5:10">
      <c r="E866" s="188" t="e">
        <f ca="1">VLOOKUP($D866,物料本月库存明細!$B:$J,2,0)</f>
        <v>#N/A</v>
      </c>
      <c r="F866" s="188" t="e">
        <f ca="1">VLOOKUP($D866,物料本月库存明細!$B:$J,5,0)</f>
        <v>#N/A</v>
      </c>
      <c r="J866" s="188" t="e">
        <f ca="1">VLOOKUP($D866,物料本月库存明細!$B:$J,9,0)</f>
        <v>#N/A</v>
      </c>
    </row>
    <row r="867" customHeight="1" spans="5:10">
      <c r="E867" s="188" t="e">
        <f ca="1">VLOOKUP($D867,物料本月库存明細!$B:$J,2,0)</f>
        <v>#N/A</v>
      </c>
      <c r="F867" s="188" t="e">
        <f ca="1">VLOOKUP($D867,物料本月库存明細!$B:$J,5,0)</f>
        <v>#N/A</v>
      </c>
      <c r="J867" s="188" t="e">
        <f ca="1">VLOOKUP($D867,物料本月库存明細!$B:$J,9,0)</f>
        <v>#N/A</v>
      </c>
    </row>
    <row r="868" customHeight="1" spans="5:10">
      <c r="E868" s="188" t="e">
        <f ca="1">VLOOKUP($D868,物料本月库存明細!$B:$J,2,0)</f>
        <v>#N/A</v>
      </c>
      <c r="F868" s="188" t="e">
        <f ca="1">VLOOKUP($D868,物料本月库存明細!$B:$J,5,0)</f>
        <v>#N/A</v>
      </c>
      <c r="J868" s="188" t="e">
        <f ca="1">VLOOKUP($D868,物料本月库存明細!$B:$J,9,0)</f>
        <v>#N/A</v>
      </c>
    </row>
    <row r="869" customHeight="1" spans="5:10">
      <c r="E869" s="188" t="e">
        <f ca="1">VLOOKUP($D869,物料本月库存明細!$B:$J,2,0)</f>
        <v>#N/A</v>
      </c>
      <c r="F869" s="188" t="e">
        <f ca="1">VLOOKUP($D869,物料本月库存明細!$B:$J,5,0)</f>
        <v>#N/A</v>
      </c>
      <c r="J869" s="188" t="e">
        <f ca="1">VLOOKUP($D869,物料本月库存明細!$B:$J,9,0)</f>
        <v>#N/A</v>
      </c>
    </row>
    <row r="870" customHeight="1" spans="5:10">
      <c r="E870" s="188" t="e">
        <f ca="1">VLOOKUP($D870,物料本月库存明細!$B:$J,2,0)</f>
        <v>#N/A</v>
      </c>
      <c r="F870" s="188" t="e">
        <f ca="1">VLOOKUP($D870,物料本月库存明細!$B:$J,5,0)</f>
        <v>#N/A</v>
      </c>
      <c r="J870" s="188" t="e">
        <f ca="1">VLOOKUP($D870,物料本月库存明細!$B:$J,9,0)</f>
        <v>#N/A</v>
      </c>
    </row>
    <row r="871" customHeight="1" spans="5:10">
      <c r="E871" s="188" t="e">
        <f ca="1">VLOOKUP($D871,物料本月库存明細!$B:$J,2,0)</f>
        <v>#N/A</v>
      </c>
      <c r="F871" s="188" t="e">
        <f ca="1">VLOOKUP($D871,物料本月库存明細!$B:$J,5,0)</f>
        <v>#N/A</v>
      </c>
      <c r="J871" s="188" t="e">
        <f ca="1">VLOOKUP($D871,物料本月库存明細!$B:$J,9,0)</f>
        <v>#N/A</v>
      </c>
    </row>
    <row r="872" customHeight="1" spans="5:10">
      <c r="E872" s="188" t="e">
        <f ca="1">VLOOKUP($D872,物料本月库存明細!$B:$J,2,0)</f>
        <v>#N/A</v>
      </c>
      <c r="F872" s="188" t="e">
        <f ca="1">VLOOKUP($D872,物料本月库存明細!$B:$J,5,0)</f>
        <v>#N/A</v>
      </c>
      <c r="J872" s="188" t="e">
        <f ca="1">VLOOKUP($D872,物料本月库存明細!$B:$J,9,0)</f>
        <v>#N/A</v>
      </c>
    </row>
    <row r="873" customHeight="1" spans="5:10">
      <c r="E873" s="188" t="e">
        <f ca="1">VLOOKUP($D873,物料本月库存明細!$B:$J,2,0)</f>
        <v>#N/A</v>
      </c>
      <c r="F873" s="188" t="e">
        <f ca="1">VLOOKUP($D873,物料本月库存明細!$B:$J,5,0)</f>
        <v>#N/A</v>
      </c>
      <c r="J873" s="188" t="e">
        <f ca="1">VLOOKUP($D873,物料本月库存明細!$B:$J,9,0)</f>
        <v>#N/A</v>
      </c>
    </row>
    <row r="874" customHeight="1" spans="5:10">
      <c r="E874" s="188" t="e">
        <f ca="1">VLOOKUP($D874,物料本月库存明細!$B:$J,2,0)</f>
        <v>#N/A</v>
      </c>
      <c r="F874" s="188" t="e">
        <f ca="1">VLOOKUP($D874,物料本月库存明細!$B:$J,5,0)</f>
        <v>#N/A</v>
      </c>
      <c r="J874" s="188" t="e">
        <f ca="1">VLOOKUP($D874,物料本月库存明細!$B:$J,9,0)</f>
        <v>#N/A</v>
      </c>
    </row>
    <row r="875" customHeight="1" spans="5:10">
      <c r="E875" s="188" t="e">
        <f ca="1">VLOOKUP($D875,物料本月库存明細!$B:$J,2,0)</f>
        <v>#N/A</v>
      </c>
      <c r="F875" s="188" t="e">
        <f ca="1">VLOOKUP($D875,物料本月库存明細!$B:$J,5,0)</f>
        <v>#N/A</v>
      </c>
      <c r="J875" s="188" t="e">
        <f ca="1">VLOOKUP($D875,物料本月库存明細!$B:$J,9,0)</f>
        <v>#N/A</v>
      </c>
    </row>
    <row r="876" customHeight="1" spans="5:10">
      <c r="E876" s="188" t="e">
        <f ca="1">VLOOKUP($D876,物料本月库存明細!$B:$J,2,0)</f>
        <v>#N/A</v>
      </c>
      <c r="F876" s="188" t="e">
        <f ca="1">VLOOKUP($D876,物料本月库存明細!$B:$J,5,0)</f>
        <v>#N/A</v>
      </c>
      <c r="J876" s="188" t="e">
        <f ca="1">VLOOKUP($D876,物料本月库存明細!$B:$J,9,0)</f>
        <v>#N/A</v>
      </c>
    </row>
    <row r="877" customHeight="1" spans="5:10">
      <c r="E877" s="188" t="e">
        <f ca="1">VLOOKUP($D877,物料本月库存明細!$B:$J,2,0)</f>
        <v>#N/A</v>
      </c>
      <c r="F877" s="188" t="e">
        <f ca="1">VLOOKUP($D877,物料本月库存明細!$B:$J,5,0)</f>
        <v>#N/A</v>
      </c>
      <c r="J877" s="188" t="e">
        <f ca="1">VLOOKUP($D877,物料本月库存明細!$B:$J,9,0)</f>
        <v>#N/A</v>
      </c>
    </row>
    <row r="878" customHeight="1" spans="5:10">
      <c r="E878" s="188" t="e">
        <f ca="1">VLOOKUP($D878,物料本月库存明細!$B:$J,2,0)</f>
        <v>#N/A</v>
      </c>
      <c r="F878" s="188" t="e">
        <f ca="1">VLOOKUP($D878,物料本月库存明細!$B:$J,5,0)</f>
        <v>#N/A</v>
      </c>
      <c r="J878" s="188" t="e">
        <f ca="1">VLOOKUP($D878,物料本月库存明細!$B:$J,9,0)</f>
        <v>#N/A</v>
      </c>
    </row>
    <row r="879" customHeight="1" spans="5:10">
      <c r="E879" s="188" t="e">
        <f ca="1">VLOOKUP($D879,物料本月库存明細!$B:$J,2,0)</f>
        <v>#N/A</v>
      </c>
      <c r="F879" s="188" t="e">
        <f ca="1">VLOOKUP($D879,物料本月库存明細!$B:$J,5,0)</f>
        <v>#N/A</v>
      </c>
      <c r="J879" s="188" t="e">
        <f ca="1">VLOOKUP($D879,物料本月库存明細!$B:$J,9,0)</f>
        <v>#N/A</v>
      </c>
    </row>
    <row r="880" customHeight="1" spans="5:10">
      <c r="E880" s="188" t="e">
        <f ca="1">VLOOKUP($D880,物料本月库存明細!$B:$J,2,0)</f>
        <v>#N/A</v>
      </c>
      <c r="F880" s="188" t="e">
        <f ca="1">VLOOKUP($D880,物料本月库存明細!$B:$J,5,0)</f>
        <v>#N/A</v>
      </c>
      <c r="J880" s="188" t="e">
        <f ca="1">VLOOKUP($D880,物料本月库存明細!$B:$J,9,0)</f>
        <v>#N/A</v>
      </c>
    </row>
    <row r="881" customHeight="1" spans="5:10">
      <c r="E881" s="188" t="e">
        <f ca="1">VLOOKUP($D881,物料本月库存明細!$B:$J,2,0)</f>
        <v>#N/A</v>
      </c>
      <c r="F881" s="188" t="e">
        <f ca="1">VLOOKUP($D881,物料本月库存明細!$B:$J,5,0)</f>
        <v>#N/A</v>
      </c>
      <c r="J881" s="188" t="e">
        <f ca="1">VLOOKUP($D881,物料本月库存明細!$B:$J,9,0)</f>
        <v>#N/A</v>
      </c>
    </row>
    <row r="882" customHeight="1" spans="5:10">
      <c r="E882" s="188" t="e">
        <f ca="1">VLOOKUP($D882,物料本月库存明細!$B:$J,2,0)</f>
        <v>#N/A</v>
      </c>
      <c r="F882" s="188" t="e">
        <f ca="1">VLOOKUP($D882,物料本月库存明細!$B:$J,5,0)</f>
        <v>#N/A</v>
      </c>
      <c r="J882" s="188" t="e">
        <f ca="1">VLOOKUP($D882,物料本月库存明細!$B:$J,9,0)</f>
        <v>#N/A</v>
      </c>
    </row>
    <row r="883" customHeight="1" spans="5:10">
      <c r="E883" s="188" t="e">
        <f ca="1">VLOOKUP($D883,物料本月库存明細!$B:$J,2,0)</f>
        <v>#N/A</v>
      </c>
      <c r="F883" s="188" t="e">
        <f ca="1">VLOOKUP($D883,物料本月库存明細!$B:$J,5,0)</f>
        <v>#N/A</v>
      </c>
      <c r="J883" s="188" t="e">
        <f ca="1">VLOOKUP($D883,物料本月库存明細!$B:$J,9,0)</f>
        <v>#N/A</v>
      </c>
    </row>
    <row r="884" customHeight="1" spans="5:10">
      <c r="E884" s="188" t="e">
        <f ca="1">VLOOKUP($D884,物料本月库存明細!$B:$J,2,0)</f>
        <v>#N/A</v>
      </c>
      <c r="F884" s="188" t="e">
        <f ca="1">VLOOKUP($D884,物料本月库存明細!$B:$J,5,0)</f>
        <v>#N/A</v>
      </c>
      <c r="J884" s="188" t="e">
        <f ca="1">VLOOKUP($D884,物料本月库存明細!$B:$J,9,0)</f>
        <v>#N/A</v>
      </c>
    </row>
    <row r="885" customHeight="1" spans="5:10">
      <c r="E885" s="188" t="e">
        <f ca="1">VLOOKUP($D885,物料本月库存明細!$B:$J,2,0)</f>
        <v>#N/A</v>
      </c>
      <c r="F885" s="188" t="e">
        <f ca="1">VLOOKUP($D885,物料本月库存明細!$B:$J,5,0)</f>
        <v>#N/A</v>
      </c>
      <c r="J885" s="188" t="e">
        <f ca="1">VLOOKUP($D885,物料本月库存明細!$B:$J,9,0)</f>
        <v>#N/A</v>
      </c>
    </row>
    <row r="886" customHeight="1" spans="5:10">
      <c r="E886" s="188" t="e">
        <f ca="1">VLOOKUP($D886,物料本月库存明細!$B:$J,2,0)</f>
        <v>#N/A</v>
      </c>
      <c r="F886" s="188" t="e">
        <f ca="1">VLOOKUP($D886,物料本月库存明細!$B:$J,5,0)</f>
        <v>#N/A</v>
      </c>
      <c r="J886" s="188" t="e">
        <f ca="1">VLOOKUP($D886,物料本月库存明細!$B:$J,9,0)</f>
        <v>#N/A</v>
      </c>
    </row>
    <row r="887" customHeight="1" spans="5:10">
      <c r="E887" s="188" t="e">
        <f ca="1">VLOOKUP($D887,物料本月库存明細!$B:$J,2,0)</f>
        <v>#N/A</v>
      </c>
      <c r="F887" s="188" t="e">
        <f ca="1">VLOOKUP($D887,物料本月库存明細!$B:$J,5,0)</f>
        <v>#N/A</v>
      </c>
      <c r="J887" s="188" t="e">
        <f ca="1">VLOOKUP($D887,物料本月库存明細!$B:$J,9,0)</f>
        <v>#N/A</v>
      </c>
    </row>
    <row r="888" customHeight="1" spans="5:10">
      <c r="E888" s="188" t="e">
        <f ca="1">VLOOKUP($D888,物料本月库存明細!$B:$J,2,0)</f>
        <v>#N/A</v>
      </c>
      <c r="F888" s="188" t="e">
        <f ca="1">VLOOKUP($D888,物料本月库存明細!$B:$J,5,0)</f>
        <v>#N/A</v>
      </c>
      <c r="J888" s="188" t="e">
        <f ca="1">VLOOKUP($D888,物料本月库存明細!$B:$J,9,0)</f>
        <v>#N/A</v>
      </c>
    </row>
    <row r="889" customHeight="1" spans="5:10">
      <c r="E889" s="188" t="e">
        <f ca="1">VLOOKUP($D889,物料本月库存明細!$B:$J,2,0)</f>
        <v>#N/A</v>
      </c>
      <c r="F889" s="188" t="e">
        <f ca="1">VLOOKUP($D889,物料本月库存明細!$B:$J,5,0)</f>
        <v>#N/A</v>
      </c>
      <c r="J889" s="188" t="e">
        <f ca="1">VLOOKUP($D889,物料本月库存明細!$B:$J,9,0)</f>
        <v>#N/A</v>
      </c>
    </row>
    <row r="890" customHeight="1" spans="5:10">
      <c r="E890" s="188" t="e">
        <f ca="1">VLOOKUP($D890,物料本月库存明細!$B:$J,2,0)</f>
        <v>#N/A</v>
      </c>
      <c r="F890" s="188" t="e">
        <f ca="1">VLOOKUP($D890,物料本月库存明細!$B:$J,5,0)</f>
        <v>#N/A</v>
      </c>
      <c r="J890" s="188" t="e">
        <f ca="1">VLOOKUP($D890,物料本月库存明細!$B:$J,9,0)</f>
        <v>#N/A</v>
      </c>
    </row>
    <row r="891" customHeight="1" spans="5:10">
      <c r="E891" s="188" t="e">
        <f ca="1">VLOOKUP($D891,物料本月库存明細!$B:$J,2,0)</f>
        <v>#N/A</v>
      </c>
      <c r="F891" s="188" t="e">
        <f ca="1">VLOOKUP($D891,物料本月库存明細!$B:$J,5,0)</f>
        <v>#N/A</v>
      </c>
      <c r="J891" s="188" t="e">
        <f ca="1">VLOOKUP($D891,物料本月库存明細!$B:$J,9,0)</f>
        <v>#N/A</v>
      </c>
    </row>
    <row r="892" customHeight="1" spans="5:10">
      <c r="E892" s="188" t="e">
        <f ca="1">VLOOKUP($D892,物料本月库存明細!$B:$J,2,0)</f>
        <v>#N/A</v>
      </c>
      <c r="F892" s="188" t="e">
        <f ca="1">VLOOKUP($D892,物料本月库存明細!$B:$J,5,0)</f>
        <v>#N/A</v>
      </c>
      <c r="J892" s="188" t="e">
        <f ca="1">VLOOKUP($D892,物料本月库存明細!$B:$J,9,0)</f>
        <v>#N/A</v>
      </c>
    </row>
    <row r="893" customHeight="1" spans="5:10">
      <c r="E893" s="188" t="e">
        <f ca="1">VLOOKUP($D893,物料本月库存明細!$B:$J,2,0)</f>
        <v>#N/A</v>
      </c>
      <c r="F893" s="188" t="e">
        <f ca="1">VLOOKUP($D893,物料本月库存明細!$B:$J,5,0)</f>
        <v>#N/A</v>
      </c>
      <c r="J893" s="188" t="e">
        <f ca="1">VLOOKUP($D893,物料本月库存明細!$B:$J,9,0)</f>
        <v>#N/A</v>
      </c>
    </row>
    <row r="894" customHeight="1" spans="5:10">
      <c r="E894" s="188" t="e">
        <f ca="1">VLOOKUP($D894,物料本月库存明細!$B:$J,2,0)</f>
        <v>#N/A</v>
      </c>
      <c r="F894" s="188" t="e">
        <f ca="1">VLOOKUP($D894,物料本月库存明細!$B:$J,5,0)</f>
        <v>#N/A</v>
      </c>
      <c r="J894" s="188" t="e">
        <f ca="1">VLOOKUP($D894,物料本月库存明細!$B:$J,9,0)</f>
        <v>#N/A</v>
      </c>
    </row>
    <row r="895" customHeight="1" spans="5:10">
      <c r="E895" s="188" t="e">
        <f ca="1">VLOOKUP($D895,物料本月库存明細!$B:$J,2,0)</f>
        <v>#N/A</v>
      </c>
      <c r="F895" s="188" t="e">
        <f ca="1">VLOOKUP($D895,物料本月库存明細!$B:$J,5,0)</f>
        <v>#N/A</v>
      </c>
      <c r="J895" s="188" t="e">
        <f ca="1">VLOOKUP($D895,物料本月库存明細!$B:$J,9,0)</f>
        <v>#N/A</v>
      </c>
    </row>
    <row r="896" customHeight="1" spans="5:10">
      <c r="E896" s="188" t="e">
        <f ca="1">VLOOKUP($D896,物料本月库存明細!$B:$J,2,0)</f>
        <v>#N/A</v>
      </c>
      <c r="F896" s="188" t="e">
        <f ca="1">VLOOKUP($D896,物料本月库存明細!$B:$J,5,0)</f>
        <v>#N/A</v>
      </c>
      <c r="J896" s="188" t="e">
        <f ca="1">VLOOKUP($D896,物料本月库存明細!$B:$J,9,0)</f>
        <v>#N/A</v>
      </c>
    </row>
    <row r="897" customHeight="1" spans="5:10">
      <c r="E897" s="188" t="e">
        <f ca="1">VLOOKUP($D897,物料本月库存明細!$B:$J,2,0)</f>
        <v>#N/A</v>
      </c>
      <c r="F897" s="188" t="e">
        <f ca="1">VLOOKUP($D897,物料本月库存明細!$B:$J,5,0)</f>
        <v>#N/A</v>
      </c>
      <c r="J897" s="188" t="e">
        <f ca="1">VLOOKUP($D897,物料本月库存明細!$B:$J,9,0)</f>
        <v>#N/A</v>
      </c>
    </row>
    <row r="898" customHeight="1" spans="5:10">
      <c r="E898" s="188" t="e">
        <f ca="1">VLOOKUP($D898,物料本月库存明細!$B:$J,2,0)</f>
        <v>#N/A</v>
      </c>
      <c r="F898" s="188" t="e">
        <f ca="1">VLOOKUP($D898,物料本月库存明細!$B:$J,5,0)</f>
        <v>#N/A</v>
      </c>
      <c r="J898" s="188" t="e">
        <f ca="1">VLOOKUP($D898,物料本月库存明細!$B:$J,9,0)</f>
        <v>#N/A</v>
      </c>
    </row>
    <row r="899" customHeight="1" spans="5:10">
      <c r="E899" s="188" t="e">
        <f ca="1">VLOOKUP($D899,物料本月库存明細!$B:$J,2,0)</f>
        <v>#N/A</v>
      </c>
      <c r="F899" s="188" t="e">
        <f ca="1">VLOOKUP($D899,物料本月库存明細!$B:$J,5,0)</f>
        <v>#N/A</v>
      </c>
      <c r="J899" s="188" t="e">
        <f ca="1">VLOOKUP($D899,物料本月库存明細!$B:$J,9,0)</f>
        <v>#N/A</v>
      </c>
    </row>
    <row r="900" customHeight="1" spans="5:10">
      <c r="E900" s="188" t="e">
        <f ca="1">VLOOKUP($D900,物料本月库存明細!$B:$J,2,0)</f>
        <v>#N/A</v>
      </c>
      <c r="F900" s="188" t="e">
        <f ca="1">VLOOKUP($D900,物料本月库存明細!$B:$J,5,0)</f>
        <v>#N/A</v>
      </c>
      <c r="J900" s="188" t="e">
        <f ca="1">VLOOKUP($D900,物料本月库存明細!$B:$J,9,0)</f>
        <v>#N/A</v>
      </c>
    </row>
    <row r="901" customHeight="1" spans="5:10">
      <c r="E901" s="188" t="e">
        <f ca="1">VLOOKUP($D901,物料本月库存明細!$B:$J,2,0)</f>
        <v>#N/A</v>
      </c>
      <c r="F901" s="188" t="e">
        <f ca="1">VLOOKUP($D901,物料本月库存明細!$B:$J,5,0)</f>
        <v>#N/A</v>
      </c>
      <c r="J901" s="188" t="e">
        <f ca="1">VLOOKUP($D901,物料本月库存明細!$B:$J,9,0)</f>
        <v>#N/A</v>
      </c>
    </row>
  </sheetData>
  <dataValidations count="1">
    <dataValidation type="list" allowBlank="1" showInputMessage="1" showErrorMessage="1" sqref="D652:D674 D678:D21239">
      <formula1>料號</formula1>
    </dataValidation>
  </dataValidations>
  <pageMargins left="0.75" right="0.75" top="1" bottom="1" header="0.5" footer="0.5"/>
  <pageSetup paperSize="9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0"/>
  <sheetViews>
    <sheetView showGridLines="0" tabSelected="1" workbookViewId="0">
      <pane ySplit="1" topLeftCell="A34" activePane="bottomLeft" state="frozen"/>
      <selection/>
      <selection pane="bottomLeft" activeCell="G52" sqref="G52"/>
    </sheetView>
  </sheetViews>
  <sheetFormatPr defaultColWidth="9" defaultRowHeight="20" customHeight="1"/>
  <cols>
    <col min="1" max="1" width="11.875" style="173" customWidth="1"/>
    <col min="2" max="2" width="10.875" style="174" customWidth="1"/>
    <col min="3" max="3" width="13.75" style="175" customWidth="1"/>
    <col min="4" max="4" width="11.625" style="176" customWidth="1"/>
    <col min="5" max="5" width="37.875" style="173" customWidth="1"/>
    <col min="6" max="6" width="5.875" style="173" customWidth="1"/>
    <col min="7" max="7" width="9.5" style="177" customWidth="1"/>
    <col min="8" max="8" width="31.25" style="177" customWidth="1"/>
    <col min="9" max="9" width="9.125" style="177" customWidth="1"/>
    <col min="10" max="10" width="12.25" style="178" customWidth="1"/>
    <col min="11" max="11" width="18.875" style="179" customWidth="1"/>
    <col min="12" max="16384" width="9" style="179"/>
  </cols>
  <sheetData>
    <row r="1" s="9" customFormat="1" customHeight="1" spans="1:10">
      <c r="A1" s="180" t="s">
        <v>73</v>
      </c>
      <c r="B1" s="181" t="s">
        <v>74</v>
      </c>
      <c r="C1" s="182" t="s">
        <v>75</v>
      </c>
      <c r="D1" s="183" t="s">
        <v>3</v>
      </c>
      <c r="E1" s="184" t="s">
        <v>153</v>
      </c>
      <c r="F1" s="182" t="s">
        <v>5</v>
      </c>
      <c r="G1" s="185" t="s">
        <v>6</v>
      </c>
      <c r="H1" s="185" t="s">
        <v>9</v>
      </c>
      <c r="I1" s="185"/>
      <c r="J1" s="186" t="s">
        <v>154</v>
      </c>
    </row>
    <row r="2" customHeight="1" spans="1:10">
      <c r="A2" s="175" t="s">
        <v>76</v>
      </c>
      <c r="B2" s="187">
        <v>46208</v>
      </c>
      <c r="C2" s="265" t="s">
        <v>155</v>
      </c>
      <c r="D2" s="25" t="s">
        <v>26</v>
      </c>
      <c r="E2" s="188" t="str">
        <f ca="1">VLOOKUP($D2,物料本月库存明細!$B:$J,2,0)</f>
        <v>扳手809轴套（500N轴套）</v>
      </c>
      <c r="F2" s="189" t="str">
        <f ca="1">VLOOKUP($D2,物料本月库存明細!$B:$J,5,0)</f>
        <v>PCS</v>
      </c>
      <c r="G2" s="190">
        <v>5250</v>
      </c>
      <c r="H2" s="191"/>
      <c r="I2" s="188"/>
      <c r="J2" s="190">
        <f ca="1">VLOOKUP($D2,物料本月库存明細!$B:$J,9,0)</f>
        <v>0</v>
      </c>
    </row>
    <row r="3" customHeight="1" spans="1:10">
      <c r="A3" s="175" t="s">
        <v>76</v>
      </c>
      <c r="B3" s="187">
        <v>46208</v>
      </c>
      <c r="C3" s="265" t="s">
        <v>155</v>
      </c>
      <c r="D3" s="192" t="s">
        <v>32</v>
      </c>
      <c r="E3" s="188" t="str">
        <f ca="1">VLOOKUP($D3,物料本月库存明細!$B:$J,2,0)</f>
        <v>819/826轴套</v>
      </c>
      <c r="F3" s="189" t="str">
        <f ca="1">VLOOKUP($D3,物料本月库存明細!$B:$J,5,0)</f>
        <v>PCS</v>
      </c>
      <c r="G3" s="190">
        <v>3780</v>
      </c>
      <c r="H3" s="191"/>
      <c r="I3" s="188"/>
      <c r="J3" s="190">
        <f ca="1">VLOOKUP($D3,物料本月库存明細!$B:$J,9,0)</f>
        <v>0</v>
      </c>
    </row>
    <row r="4" customHeight="1" spans="1:10">
      <c r="A4" s="175" t="s">
        <v>113</v>
      </c>
      <c r="B4" s="187">
        <v>46208</v>
      </c>
      <c r="C4" s="264" t="s">
        <v>156</v>
      </c>
      <c r="D4" s="143" t="s">
        <v>35</v>
      </c>
      <c r="E4" s="188" t="str">
        <f ca="1">VLOOKUP($D4,物料本月库存明細!$B:$J,2,0)</f>
        <v>扳手828头壳</v>
      </c>
      <c r="F4" s="189" t="str">
        <f ca="1">VLOOKUP($D4,物料本月库存明細!$B:$J,5,0)</f>
        <v>PCS</v>
      </c>
      <c r="G4" s="190">
        <v>210</v>
      </c>
      <c r="H4" s="191"/>
      <c r="I4" s="188"/>
      <c r="J4" s="190">
        <f ca="1">VLOOKUP($D4,物料本月库存明細!$B:$J,9,0)</f>
        <v>0</v>
      </c>
    </row>
    <row r="5" s="172" customFormat="1" customHeight="1" spans="1:10">
      <c r="A5" s="175" t="s">
        <v>76</v>
      </c>
      <c r="B5" s="187">
        <v>46209</v>
      </c>
      <c r="C5" s="265" t="s">
        <v>157</v>
      </c>
      <c r="D5" s="128" t="s">
        <v>54</v>
      </c>
      <c r="E5" s="188" t="str">
        <f ca="1">VLOOKUP($D5,物料本月库存明細!$B:$J,2,0)</f>
        <v>ADC12铝料</v>
      </c>
      <c r="F5" s="189" t="str">
        <f ca="1">VLOOKUP($D5,物料本月库存明細!$B:$J,5,0)</f>
        <v>KG</v>
      </c>
      <c r="G5" s="190">
        <f>834.5+811.5</f>
        <v>1646</v>
      </c>
      <c r="H5" s="191"/>
      <c r="I5" s="188"/>
      <c r="J5" s="190">
        <f ca="1">VLOOKUP($D5,物料本月库存明細!$B:$J,9,0)</f>
        <v>5820.5</v>
      </c>
    </row>
    <row r="6" customHeight="1" spans="1:10">
      <c r="A6" s="175" t="s">
        <v>84</v>
      </c>
      <c r="B6" s="187">
        <v>46209</v>
      </c>
      <c r="C6" s="265" t="s">
        <v>158</v>
      </c>
      <c r="D6" s="23" t="s">
        <v>94</v>
      </c>
      <c r="E6" s="188" t="str">
        <f ca="1">VLOOKUP($D6,物料本月库存明細!$B:$J,2,0)</f>
        <v>T93-20</v>
      </c>
      <c r="F6" s="189" t="str">
        <f ca="1">VLOOKUP($D6,物料本月库存明細!$B:$J,5,0)</f>
        <v>PCS</v>
      </c>
      <c r="G6" s="190">
        <v>14198</v>
      </c>
      <c r="H6" s="191"/>
      <c r="I6" s="188"/>
      <c r="J6" s="190">
        <f ca="1">VLOOKUP($D6,物料本月库存明細!$B:$J,9,0)</f>
        <v>12480</v>
      </c>
    </row>
    <row r="7" customHeight="1" spans="1:10">
      <c r="A7" s="175" t="s">
        <v>84</v>
      </c>
      <c r="B7" s="187">
        <v>46209</v>
      </c>
      <c r="C7" s="265" t="s">
        <v>158</v>
      </c>
      <c r="D7" s="143" t="s">
        <v>29</v>
      </c>
      <c r="E7" s="188" t="str">
        <f ca="1">VLOOKUP($D7,物料本月库存明細!$B:$J,2,0)</f>
        <v>扳手810头壳（无轴套）</v>
      </c>
      <c r="F7" s="189" t="str">
        <f ca="1">VLOOKUP($D7,物料本月库存明細!$B:$J,5,0)</f>
        <v>PCS</v>
      </c>
      <c r="G7" s="190">
        <v>1100</v>
      </c>
      <c r="H7" s="188"/>
      <c r="I7" s="188"/>
      <c r="J7" s="190">
        <f ca="1">VLOOKUP($D7,物料本月库存明細!$B:$J,9,0)</f>
        <v>2132</v>
      </c>
    </row>
    <row r="8" customHeight="1" spans="1:10">
      <c r="A8" s="175" t="s">
        <v>84</v>
      </c>
      <c r="B8" s="187">
        <v>46209</v>
      </c>
      <c r="C8" s="265" t="s">
        <v>158</v>
      </c>
      <c r="D8" s="143" t="s">
        <v>27</v>
      </c>
      <c r="E8" s="188" t="str">
        <f ca="1">VLOOKUP($D8,物料本月库存明細!$B:$J,2,0)</f>
        <v>扳手809端盖</v>
      </c>
      <c r="F8" s="189" t="str">
        <f ca="1">VLOOKUP($D8,物料本月库存明細!$B:$J,5,0)</f>
        <v>PCS</v>
      </c>
      <c r="G8" s="190">
        <v>10350</v>
      </c>
      <c r="H8" s="188"/>
      <c r="I8" s="188"/>
      <c r="J8" s="190">
        <f ca="1">VLOOKUP($D8,物料本月库存明細!$B:$J,9,0)</f>
        <v>0</v>
      </c>
    </row>
    <row r="9" customHeight="1" spans="1:10">
      <c r="A9" s="175" t="s">
        <v>146</v>
      </c>
      <c r="B9" s="187">
        <v>46209</v>
      </c>
      <c r="C9" s="265" t="s">
        <v>159</v>
      </c>
      <c r="D9" s="143" t="s">
        <v>71</v>
      </c>
      <c r="E9" s="188" t="str">
        <f ca="1">VLOOKUP($D9,物料本月库存明細!$B:$J,2,0)</f>
        <v>扳手810STK2头壳</v>
      </c>
      <c r="F9" s="189" t="str">
        <f ca="1">VLOOKUP($D9,物料本月库存明細!$B:$J,5,0)</f>
        <v>PCS</v>
      </c>
      <c r="G9" s="190">
        <v>712</v>
      </c>
      <c r="H9" s="188"/>
      <c r="I9" s="188"/>
      <c r="J9" s="190">
        <f ca="1">VLOOKUP($D9,物料本月库存明細!$B:$J,9,0)</f>
        <v>0</v>
      </c>
    </row>
    <row r="10" customHeight="1" spans="1:10">
      <c r="A10" s="175" t="s">
        <v>146</v>
      </c>
      <c r="B10" s="187">
        <v>46209</v>
      </c>
      <c r="C10" s="265" t="s">
        <v>159</v>
      </c>
      <c r="D10" s="23" t="s">
        <v>87</v>
      </c>
      <c r="E10" s="188" t="str">
        <f ca="1">VLOOKUP($D10,物料本月库存明細!$B:$J,2,0)</f>
        <v>HH8513传导片</v>
      </c>
      <c r="F10" s="189" t="str">
        <f ca="1">VLOOKUP($D10,物料本月库存明細!$B:$J,5,0)</f>
        <v>PCS</v>
      </c>
      <c r="G10" s="190">
        <v>6160</v>
      </c>
      <c r="H10" s="188"/>
      <c r="I10" s="188"/>
      <c r="J10" s="190">
        <f ca="1">VLOOKUP($D10,物料本月库存明細!$B:$J,9,0)</f>
        <v>0</v>
      </c>
    </row>
    <row r="11" customHeight="1" spans="1:10">
      <c r="A11" s="175" t="s">
        <v>146</v>
      </c>
      <c r="B11" s="187">
        <v>46209</v>
      </c>
      <c r="C11" s="265" t="s">
        <v>159</v>
      </c>
      <c r="D11" s="132" t="s">
        <v>17</v>
      </c>
      <c r="E11" s="188" t="str">
        <f ca="1">VLOOKUP($D11,物料本月库存明細!$B:$J,2,0)</f>
        <v>铝底座/8526</v>
      </c>
      <c r="F11" s="189" t="str">
        <f ca="1">VLOOKUP($D11,物料本月库存明細!$B:$J,5,0)</f>
        <v>PCS</v>
      </c>
      <c r="G11" s="190">
        <v>8110</v>
      </c>
      <c r="H11" s="188"/>
      <c r="I11" s="188"/>
      <c r="J11" s="190">
        <f ca="1">VLOOKUP($D11,物料本月库存明細!$B:$J,9,0)</f>
        <v>0</v>
      </c>
    </row>
    <row r="12" customHeight="1" spans="1:10">
      <c r="A12" s="175" t="s">
        <v>146</v>
      </c>
      <c r="B12" s="187">
        <v>46209</v>
      </c>
      <c r="C12" s="265" t="s">
        <v>159</v>
      </c>
      <c r="D12" s="23" t="s">
        <v>16</v>
      </c>
      <c r="E12" s="188" t="str">
        <f ca="1">VLOOKUP($D12,物料本月库存明細!$B:$J,2,0)</f>
        <v>小金童铝连杆</v>
      </c>
      <c r="F12" s="189" t="str">
        <f ca="1">VLOOKUP($D12,物料本月库存明細!$B:$J,5,0)</f>
        <v>PCS</v>
      </c>
      <c r="G12" s="190">
        <v>13300</v>
      </c>
      <c r="H12" s="188"/>
      <c r="I12" s="188"/>
      <c r="J12" s="190">
        <f ca="1">VLOOKUP($D12,物料本月库存明細!$B:$J,9,0)</f>
        <v>0</v>
      </c>
    </row>
    <row r="13" customHeight="1" spans="1:10">
      <c r="A13" s="187" t="s">
        <v>92</v>
      </c>
      <c r="B13" s="187">
        <v>46209</v>
      </c>
      <c r="C13" s="266" t="s">
        <v>160</v>
      </c>
      <c r="D13" s="23" t="s">
        <v>81</v>
      </c>
      <c r="E13" s="188" t="str">
        <f ca="1">VLOOKUP($D13,物料本月库存明細!$B:$J,2,0)</f>
        <v>T93-20</v>
      </c>
      <c r="F13" s="189" t="str">
        <f ca="1">VLOOKUP($D13,物料本月库存明細!$B:$J,5,0)</f>
        <v>PCS</v>
      </c>
      <c r="G13" s="190">
        <v>12480</v>
      </c>
      <c r="H13" s="188"/>
      <c r="I13" s="188"/>
      <c r="J13" s="190">
        <f ca="1">VLOOKUP($D13,物料本月库存明細!$B:$J,9,0)</f>
        <v>14400</v>
      </c>
    </row>
    <row r="14" customHeight="1" spans="1:10">
      <c r="A14" s="187" t="s">
        <v>92</v>
      </c>
      <c r="B14" s="187">
        <v>46209</v>
      </c>
      <c r="C14" s="266" t="s">
        <v>160</v>
      </c>
      <c r="D14" s="143" t="s">
        <v>78</v>
      </c>
      <c r="E14" s="188" t="str">
        <f ca="1">VLOOKUP($D14,物料本月库存明細!$B:$J,2,0)</f>
        <v>扳手828端盖</v>
      </c>
      <c r="F14" s="189" t="str">
        <f ca="1">VLOOKUP($D14,物料本月库存明細!$B:$J,5,0)</f>
        <v>PCS</v>
      </c>
      <c r="G14" s="190">
        <v>720</v>
      </c>
      <c r="H14" s="188"/>
      <c r="I14" s="188"/>
      <c r="J14" s="190">
        <f ca="1">VLOOKUP($D14,物料本月库存明細!$B:$J,9,0)</f>
        <v>0</v>
      </c>
    </row>
    <row r="15" customHeight="1" spans="1:10">
      <c r="A15" s="187" t="s">
        <v>92</v>
      </c>
      <c r="B15" s="187">
        <v>46209</v>
      </c>
      <c r="C15" s="266" t="s">
        <v>160</v>
      </c>
      <c r="D15" s="132" t="s">
        <v>86</v>
      </c>
      <c r="E15" s="188" t="str">
        <f ca="1">VLOOKUP($D15,物料本月库存明細!$B:$J,2,0)</f>
        <v>8527旋钮</v>
      </c>
      <c r="F15" s="189" t="str">
        <f ca="1">VLOOKUP($D15,物料本月库存明細!$B:$J,5,0)</f>
        <v>PCS</v>
      </c>
      <c r="G15" s="190">
        <v>1064</v>
      </c>
      <c r="H15" s="188"/>
      <c r="I15" s="188"/>
      <c r="J15" s="190">
        <f ca="1">VLOOKUP($D15,物料本月库存明細!$B:$J,9,0)</f>
        <v>0</v>
      </c>
    </row>
    <row r="16" customHeight="1" spans="1:10">
      <c r="A16" s="187" t="s">
        <v>161</v>
      </c>
      <c r="B16" s="187">
        <v>46209</v>
      </c>
      <c r="C16" s="266" t="s">
        <v>162</v>
      </c>
      <c r="D16" s="143" t="s">
        <v>88</v>
      </c>
      <c r="E16" s="188" t="str">
        <f ca="1">VLOOKUP($D16,物料本月库存明細!$B:$J,2,0)</f>
        <v>扳手810STK2头壳</v>
      </c>
      <c r="F16" s="189" t="str">
        <f ca="1">VLOOKUP($D16,物料本月库存明細!$B:$J,5,0)</f>
        <v>PCS</v>
      </c>
      <c r="G16" s="190">
        <v>15</v>
      </c>
      <c r="H16" s="188"/>
      <c r="I16" s="188"/>
      <c r="J16" s="190">
        <f ca="1">VLOOKUP($D16,物料本月库存明細!$B:$J,9,0)</f>
        <v>2215</v>
      </c>
    </row>
    <row r="17" customHeight="1" spans="1:10">
      <c r="A17" s="187" t="s">
        <v>107</v>
      </c>
      <c r="B17" s="187">
        <v>46210</v>
      </c>
      <c r="C17" s="266" t="s">
        <v>163</v>
      </c>
      <c r="D17" s="23" t="s">
        <v>164</v>
      </c>
      <c r="E17" s="188" t="str">
        <f ca="1">VLOOKUP($D17,物料本月库存明細!$B:$J,2,0)</f>
        <v>HH8513传导片</v>
      </c>
      <c r="F17" s="189" t="str">
        <f ca="1">VLOOKUP($D17,物料本月库存明細!$B:$J,5,0)</f>
        <v>PCS</v>
      </c>
      <c r="G17" s="190">
        <v>200</v>
      </c>
      <c r="H17" s="191"/>
      <c r="I17" s="188"/>
      <c r="J17" s="190">
        <f ca="1">VLOOKUP($D17,物料本月库存明細!$B:$J,9,0)</f>
        <v>-200</v>
      </c>
    </row>
    <row r="18" customHeight="1" spans="1:10">
      <c r="A18" s="187" t="s">
        <v>84</v>
      </c>
      <c r="B18" s="187">
        <v>46210</v>
      </c>
      <c r="C18" s="266" t="s">
        <v>165</v>
      </c>
      <c r="D18" s="143" t="s">
        <v>29</v>
      </c>
      <c r="E18" s="188" t="str">
        <f ca="1">VLOOKUP($D18,物料本月库存明細!$B:$J,2,0)</f>
        <v>扳手810头壳（无轴套）</v>
      </c>
      <c r="F18" s="189" t="str">
        <f ca="1">VLOOKUP($D18,物料本月库存明細!$B:$J,5,0)</f>
        <v>PCS</v>
      </c>
      <c r="G18" s="190">
        <v>1000</v>
      </c>
      <c r="H18" s="188"/>
      <c r="I18" s="188"/>
      <c r="J18" s="190">
        <f ca="1">VLOOKUP($D18,物料本月库存明細!$B:$J,9,0)</f>
        <v>2132</v>
      </c>
    </row>
    <row r="19" customHeight="1" spans="1:10">
      <c r="A19" s="187" t="s">
        <v>99</v>
      </c>
      <c r="B19" s="187">
        <v>46210</v>
      </c>
      <c r="C19" s="266" t="s">
        <v>166</v>
      </c>
      <c r="D19" s="6" t="s">
        <v>64</v>
      </c>
      <c r="E19" s="188" t="str">
        <f ca="1">VLOOKUP($D19,物料本月库存明細!$B:$J,2,0)</f>
        <v>W2808-1850N端盖</v>
      </c>
      <c r="F19" s="189" t="str">
        <f ca="1">VLOOKUP($D19,物料本月库存明細!$B:$J,5,0)</f>
        <v>KG</v>
      </c>
      <c r="G19" s="190">
        <v>1200</v>
      </c>
      <c r="H19" s="191"/>
      <c r="I19" s="188"/>
      <c r="J19" s="190">
        <f ca="1">VLOOKUP($D19,物料本月库存明細!$B:$J,9,0)</f>
        <v>2610</v>
      </c>
    </row>
    <row r="20" customHeight="1" spans="1:10">
      <c r="A20" s="187" t="s">
        <v>113</v>
      </c>
      <c r="B20" s="187">
        <v>46210</v>
      </c>
      <c r="C20" s="266" t="s">
        <v>167</v>
      </c>
      <c r="D20" s="143" t="s">
        <v>82</v>
      </c>
      <c r="E20" s="188" t="str">
        <f ca="1">VLOOKUP($D20,物料本月库存明細!$B:$J,2,0)</f>
        <v>起子机2108-W头壳（230N头壳无轴套）</v>
      </c>
      <c r="F20" s="189" t="str">
        <f ca="1">VLOOKUP($D20,物料本月库存明細!$B:$J,5,0)</f>
        <v>PCS</v>
      </c>
      <c r="G20" s="190">
        <v>3200</v>
      </c>
      <c r="H20" s="191"/>
      <c r="I20" s="188"/>
      <c r="J20" s="190">
        <f ca="1">VLOOKUP($D20,物料本月库存明細!$B:$J,9,0)</f>
        <v>0</v>
      </c>
    </row>
    <row r="21" customHeight="1" spans="1:10">
      <c r="A21" s="187" t="s">
        <v>113</v>
      </c>
      <c r="B21" s="187">
        <v>46210</v>
      </c>
      <c r="C21" s="266" t="s">
        <v>167</v>
      </c>
      <c r="D21" s="143" t="s">
        <v>35</v>
      </c>
      <c r="E21" s="188" t="str">
        <f ca="1">VLOOKUP($D21,物料本月库存明細!$B:$J,2,0)</f>
        <v>扳手828头壳</v>
      </c>
      <c r="F21" s="189" t="str">
        <f ca="1">VLOOKUP($D21,物料本月库存明細!$B:$J,5,0)</f>
        <v>PCS</v>
      </c>
      <c r="G21" s="190">
        <v>526</v>
      </c>
      <c r="H21" s="188"/>
      <c r="I21" s="188"/>
      <c r="J21" s="190">
        <f ca="1">VLOOKUP($D21,物料本月库存明細!$B:$J,9,0)</f>
        <v>0</v>
      </c>
    </row>
    <row r="22" customHeight="1" spans="1:10">
      <c r="A22" s="187" t="s">
        <v>113</v>
      </c>
      <c r="B22" s="187">
        <v>46210</v>
      </c>
      <c r="C22" s="266" t="s">
        <v>167</v>
      </c>
      <c r="D22" s="143" t="s">
        <v>34</v>
      </c>
      <c r="E22" s="188" t="str">
        <f ca="1">VLOOKUP($D22,物料本月库存明細!$B:$J,2,0)</f>
        <v>826头壳（含轴套）</v>
      </c>
      <c r="F22" s="189" t="str">
        <f ca="1">VLOOKUP($D22,物料本月库存明細!$B:$J,5,0)</f>
        <v>PCS</v>
      </c>
      <c r="G22" s="190">
        <v>1800</v>
      </c>
      <c r="H22" s="188"/>
      <c r="I22" s="188"/>
      <c r="J22" s="190">
        <f ca="1">VLOOKUP($D22,物料本月库存明細!$B:$J,9,0)</f>
        <v>0</v>
      </c>
    </row>
    <row r="23" customHeight="1" spans="1:10">
      <c r="A23" s="187" t="s">
        <v>168</v>
      </c>
      <c r="B23" s="187">
        <v>46210</v>
      </c>
      <c r="C23" s="264" t="s">
        <v>169</v>
      </c>
      <c r="D23" s="195" t="s">
        <v>102</v>
      </c>
      <c r="E23" s="188" t="str">
        <f ca="1">VLOOKUP($D23,物料本月库存明細!$B:$J,2,0)</f>
        <v>W2805-850N头壳</v>
      </c>
      <c r="F23" s="189" t="str">
        <f ca="1">VLOOKUP($D23,物料本月库存明細!$B:$J,5,0)</f>
        <v>KG</v>
      </c>
      <c r="G23" s="190">
        <v>50</v>
      </c>
      <c r="H23" s="191" t="s">
        <v>170</v>
      </c>
      <c r="I23" s="188"/>
      <c r="J23" s="190">
        <f ca="1">VLOOKUP($D23,物料本月库存明細!$B:$J,9,0)</f>
        <v>0</v>
      </c>
    </row>
    <row r="24" customHeight="1" spans="1:10">
      <c r="A24" s="187" t="s">
        <v>168</v>
      </c>
      <c r="B24" s="187">
        <v>46210</v>
      </c>
      <c r="C24" s="264" t="s">
        <v>169</v>
      </c>
      <c r="D24" s="195" t="s">
        <v>103</v>
      </c>
      <c r="E24" s="188" t="str">
        <f ca="1">VLOOKUP($D24,物料本月库存明細!$B:$J,2,0)</f>
        <v>W2805-850N端盖</v>
      </c>
      <c r="F24" s="189" t="str">
        <f ca="1">VLOOKUP($D24,物料本月库存明細!$B:$J,5,0)</f>
        <v>KG</v>
      </c>
      <c r="G24" s="190">
        <v>50</v>
      </c>
      <c r="H24" s="191" t="s">
        <v>170</v>
      </c>
      <c r="I24" s="188"/>
      <c r="J24" s="190">
        <f ca="1">VLOOKUP($D24,物料本月库存明細!$B:$J,9,0)</f>
        <v>0</v>
      </c>
    </row>
    <row r="25" customHeight="1" spans="1:10">
      <c r="A25" s="187" t="s">
        <v>92</v>
      </c>
      <c r="B25" s="187">
        <v>46210</v>
      </c>
      <c r="C25" s="264" t="s">
        <v>171</v>
      </c>
      <c r="D25" s="196" t="s">
        <v>81</v>
      </c>
      <c r="E25" s="188" t="str">
        <f ca="1">VLOOKUP($D25,物料本月库存明細!$B:$J,2,0)</f>
        <v>T93-20</v>
      </c>
      <c r="F25" s="189" t="str">
        <f ca="1">VLOOKUP($D25,物料本月库存明細!$B:$J,5,0)</f>
        <v>PCS</v>
      </c>
      <c r="G25" s="190">
        <v>9600</v>
      </c>
      <c r="H25" s="188"/>
      <c r="I25" s="188"/>
      <c r="J25" s="190">
        <f ca="1">VLOOKUP($D25,物料本月库存明細!$B:$J,9,0)</f>
        <v>14400</v>
      </c>
    </row>
    <row r="26" customHeight="1" spans="1:10">
      <c r="A26" s="187" t="s">
        <v>76</v>
      </c>
      <c r="B26" s="187">
        <v>46211</v>
      </c>
      <c r="C26" s="264" t="s">
        <v>172</v>
      </c>
      <c r="D26" s="196" t="s">
        <v>54</v>
      </c>
      <c r="E26" s="188" t="str">
        <f ca="1">VLOOKUP($D26,物料本月库存明細!$B:$J,2,0)</f>
        <v>ADC12铝料</v>
      </c>
      <c r="F26" s="189" t="str">
        <f ca="1">VLOOKUP($D26,物料本月库存明細!$B:$J,5,0)</f>
        <v>KG</v>
      </c>
      <c r="G26" s="190">
        <v>837</v>
      </c>
      <c r="H26" s="188"/>
      <c r="I26" s="188"/>
      <c r="J26" s="190">
        <f ca="1">VLOOKUP($D26,物料本月库存明細!$B:$J,9,0)</f>
        <v>5820.5</v>
      </c>
    </row>
    <row r="27" customHeight="1" spans="1:10">
      <c r="A27" s="187" t="s">
        <v>76</v>
      </c>
      <c r="B27" s="187">
        <v>46211</v>
      </c>
      <c r="C27" s="264" t="s">
        <v>172</v>
      </c>
      <c r="D27" s="196" t="s">
        <v>54</v>
      </c>
      <c r="E27" s="188" t="str">
        <f ca="1">VLOOKUP($D27,物料本月库存明細!$B:$J,2,0)</f>
        <v>ADC12铝料</v>
      </c>
      <c r="F27" s="189" t="str">
        <f ca="1">VLOOKUP($D27,物料本月库存明細!$B:$J,5,0)</f>
        <v>KG</v>
      </c>
      <c r="G27" s="190">
        <v>829.5</v>
      </c>
      <c r="H27" s="188"/>
      <c r="I27" s="188"/>
      <c r="J27" s="190">
        <f ca="1">VLOOKUP($D27,物料本月库存明細!$B:$J,9,0)</f>
        <v>5820.5</v>
      </c>
    </row>
    <row r="28" customHeight="1" spans="1:10">
      <c r="A28" s="187" t="s">
        <v>76</v>
      </c>
      <c r="B28" s="187">
        <v>46211</v>
      </c>
      <c r="C28" s="264" t="s">
        <v>172</v>
      </c>
      <c r="D28" s="196" t="s">
        <v>54</v>
      </c>
      <c r="E28" s="188" t="str">
        <f ca="1">VLOOKUP($D28,物料本月库存明細!$B:$J,2,0)</f>
        <v>ADC12铝料</v>
      </c>
      <c r="F28" s="189" t="str">
        <f ca="1">VLOOKUP($D28,物料本月库存明細!$B:$J,5,0)</f>
        <v>KG</v>
      </c>
      <c r="G28" s="190">
        <v>847</v>
      </c>
      <c r="H28" s="188"/>
      <c r="I28" s="188"/>
      <c r="J28" s="190">
        <f ca="1">VLOOKUP($D28,物料本月库存明細!$B:$J,9,0)</f>
        <v>5820.5</v>
      </c>
    </row>
    <row r="29" customHeight="1" spans="1:10">
      <c r="A29" s="187" t="s">
        <v>76</v>
      </c>
      <c r="B29" s="187">
        <v>46211</v>
      </c>
      <c r="C29" s="264" t="s">
        <v>172</v>
      </c>
      <c r="D29" s="196" t="s">
        <v>54</v>
      </c>
      <c r="E29" s="188" t="str">
        <f ca="1">VLOOKUP($D29,物料本月库存明細!$B:$J,2,0)</f>
        <v>ADC12铝料</v>
      </c>
      <c r="F29" s="189" t="str">
        <f ca="1">VLOOKUP($D29,物料本月库存明細!$B:$J,5,0)</f>
        <v>KG</v>
      </c>
      <c r="G29" s="190">
        <v>845</v>
      </c>
      <c r="H29" s="188"/>
      <c r="I29" s="188"/>
      <c r="J29" s="190">
        <f ca="1">VLOOKUP($D29,物料本月库存明細!$B:$J,9,0)</f>
        <v>5820.5</v>
      </c>
    </row>
    <row r="30" s="172" customFormat="1" customHeight="1" spans="1:10">
      <c r="A30" s="187" t="s">
        <v>173</v>
      </c>
      <c r="B30" s="187">
        <v>46211</v>
      </c>
      <c r="C30" s="264" t="s">
        <v>174</v>
      </c>
      <c r="D30" s="197" t="s">
        <v>148</v>
      </c>
      <c r="E30" s="188" t="str">
        <f ca="1">VLOOKUP($D30,物料本月库存明細!$B:$J,2,0)</f>
        <v>（YC013600303900）MS11前壳</v>
      </c>
      <c r="F30" s="189" t="str">
        <f ca="1">VLOOKUP($D30,物料本月库存明細!$B:$J,5,0)</f>
        <v>PCS</v>
      </c>
      <c r="G30" s="190">
        <v>13460</v>
      </c>
      <c r="H30" s="191"/>
      <c r="I30" s="188"/>
      <c r="J30" s="190">
        <f ca="1">VLOOKUP($D30,物料本月库存明細!$B:$J,9,0)</f>
        <v>0</v>
      </c>
    </row>
    <row r="31" customHeight="1" spans="1:10">
      <c r="A31" s="187" t="s">
        <v>113</v>
      </c>
      <c r="B31" s="187">
        <v>46211</v>
      </c>
      <c r="C31" s="264" t="s">
        <v>175</v>
      </c>
      <c r="D31" s="192" t="s">
        <v>43</v>
      </c>
      <c r="E31" s="188" t="str">
        <f ca="1">VLOOKUP($D31,物料本月库存明細!$B:$J,2,0)</f>
        <v>1A321W1M001-0A(EL-321W-GL04 铝壳）</v>
      </c>
      <c r="F31" s="189" t="str">
        <f ca="1">VLOOKUP($D31,物料本月库存明細!$B:$J,5,0)</f>
        <v>PCS</v>
      </c>
      <c r="G31" s="190">
        <v>1600</v>
      </c>
      <c r="H31" s="191" t="s">
        <v>176</v>
      </c>
      <c r="I31" s="188"/>
      <c r="J31" s="190">
        <f ca="1">VLOOKUP($D31,物料本月库存明細!$B:$J,9,0)</f>
        <v>2400</v>
      </c>
    </row>
    <row r="32" customHeight="1" spans="1:10">
      <c r="A32" s="187" t="s">
        <v>113</v>
      </c>
      <c r="B32" s="187">
        <v>46211</v>
      </c>
      <c r="C32" s="264" t="s">
        <v>177</v>
      </c>
      <c r="D32" s="192" t="s">
        <v>42</v>
      </c>
      <c r="E32" s="188" t="str">
        <f ca="1">VLOOKUP($D32,物料本月库存明細!$B:$J,2,0)</f>
        <v>1A321W1M001-0A(EL-321W-GL04 铝壳）</v>
      </c>
      <c r="F32" s="189" t="str">
        <f ca="1">VLOOKUP($D32,物料本月库存明細!$B:$J,5,0)</f>
        <v>PCS</v>
      </c>
      <c r="G32" s="190">
        <v>2400</v>
      </c>
      <c r="H32" s="191"/>
      <c r="I32" s="188"/>
      <c r="J32" s="190">
        <f ca="1">VLOOKUP($D32,物料本月库存明細!$B:$J,9,0)</f>
        <v>0</v>
      </c>
    </row>
    <row r="33" customHeight="1" spans="1:10">
      <c r="A33" s="187" t="s">
        <v>113</v>
      </c>
      <c r="B33" s="187">
        <v>46211</v>
      </c>
      <c r="C33" s="264" t="s">
        <v>177</v>
      </c>
      <c r="D33" s="192" t="s">
        <v>82</v>
      </c>
      <c r="E33" s="188" t="str">
        <f ca="1">VLOOKUP($D33,物料本月库存明細!$B:$J,2,0)</f>
        <v>起子机2108-W头壳（230N头壳无轴套）</v>
      </c>
      <c r="F33" s="189" t="str">
        <f ca="1">VLOOKUP($D33,物料本月库存明細!$B:$J,5,0)</f>
        <v>PCS</v>
      </c>
      <c r="G33" s="190">
        <v>2395</v>
      </c>
      <c r="H33" s="191" t="s">
        <v>118</v>
      </c>
      <c r="I33" s="188"/>
      <c r="J33" s="190">
        <f ca="1">VLOOKUP($D33,物料本月库存明細!$B:$J,9,0)</f>
        <v>0</v>
      </c>
    </row>
    <row r="34" customHeight="1" spans="1:10">
      <c r="A34" s="187" t="s">
        <v>136</v>
      </c>
      <c r="B34" s="187">
        <v>46211</v>
      </c>
      <c r="C34" s="264" t="s">
        <v>178</v>
      </c>
      <c r="D34" s="196" t="s">
        <v>127</v>
      </c>
      <c r="E34" s="188" t="str">
        <f ca="1">VLOOKUP($D34,物料本月库存明細!$B:$J,2,0)</f>
        <v>JK111-05机壳（无牙）</v>
      </c>
      <c r="F34" s="189" t="str">
        <f ca="1">VLOOKUP($D34,物料本月库存明細!$B:$J,5,0)</f>
        <v>PCS</v>
      </c>
      <c r="G34" s="190">
        <v>3076</v>
      </c>
      <c r="H34" s="188"/>
      <c r="I34" s="188"/>
      <c r="J34" s="190">
        <f ca="1">VLOOKUP($D34,物料本月库存明細!$B:$J,9,0)</f>
        <v>5</v>
      </c>
    </row>
    <row r="35" customHeight="1" spans="1:10">
      <c r="A35" s="187" t="s">
        <v>136</v>
      </c>
      <c r="B35" s="187">
        <v>46211</v>
      </c>
      <c r="C35" s="264" t="s">
        <v>178</v>
      </c>
      <c r="D35" s="198" t="s">
        <v>128</v>
      </c>
      <c r="E35" s="188" t="str">
        <f ca="1">VLOOKUP($D35,物料本月库存明細!$B:$J,2,0)</f>
        <v>T93-33</v>
      </c>
      <c r="F35" s="189" t="str">
        <f ca="1">VLOOKUP($D35,物料本月库存明細!$B:$J,5,0)</f>
        <v>PCS</v>
      </c>
      <c r="G35" s="190">
        <v>3276</v>
      </c>
      <c r="H35" s="188"/>
      <c r="I35" s="188"/>
      <c r="J35" s="190">
        <f ca="1">VLOOKUP($D35,物料本月库存明細!$B:$J,9,0)</f>
        <v>0</v>
      </c>
    </row>
    <row r="36" customHeight="1" spans="1:10">
      <c r="A36" s="187" t="s">
        <v>136</v>
      </c>
      <c r="B36" s="187">
        <v>46211</v>
      </c>
      <c r="C36" s="264" t="s">
        <v>178</v>
      </c>
      <c r="D36" s="196" t="s">
        <v>125</v>
      </c>
      <c r="E36" s="188" t="str">
        <f ca="1">VLOOKUP($D36,物料本月库存明細!$B:$J,2,0)</f>
        <v>T93-29</v>
      </c>
      <c r="F36" s="189" t="str">
        <f ca="1">VLOOKUP($D36,物料本月库存明細!$B:$J,5,0)</f>
        <v>PCS</v>
      </c>
      <c r="G36" s="190">
        <v>10117</v>
      </c>
      <c r="H36" s="188"/>
      <c r="I36" s="188"/>
      <c r="J36" s="190">
        <f ca="1">VLOOKUP($D36,物料本月库存明細!$B:$J,9,0)</f>
        <v>0</v>
      </c>
    </row>
    <row r="37" customHeight="1" spans="1:10">
      <c r="A37" s="187" t="s">
        <v>136</v>
      </c>
      <c r="B37" s="187">
        <v>46211</v>
      </c>
      <c r="C37" s="264" t="s">
        <v>178</v>
      </c>
      <c r="D37" s="196" t="s">
        <v>124</v>
      </c>
      <c r="E37" s="188" t="str">
        <f ca="1">VLOOKUP($D37,物料本月库存明細!$B:$J,2,0)</f>
        <v>JK111-03机壳(无牙）</v>
      </c>
      <c r="F37" s="189" t="str">
        <f ca="1">VLOOKUP($D37,物料本月库存明細!$B:$J,5,0)</f>
        <v>PCS</v>
      </c>
      <c r="G37" s="190">
        <v>3283</v>
      </c>
      <c r="H37" s="188"/>
      <c r="I37" s="188"/>
      <c r="J37" s="190">
        <f ca="1">VLOOKUP($D37,物料本月库存明細!$B:$J,9,0)</f>
        <v>0</v>
      </c>
    </row>
    <row r="38" customHeight="1" spans="1:10">
      <c r="A38" s="187" t="s">
        <v>140</v>
      </c>
      <c r="B38" s="187">
        <v>46211</v>
      </c>
      <c r="C38" s="264" t="s">
        <v>179</v>
      </c>
      <c r="D38" s="192" t="s">
        <v>43</v>
      </c>
      <c r="E38" s="188" t="str">
        <f ca="1">VLOOKUP($D38,物料本月库存明細!$B:$J,2,0)</f>
        <v>1A321W1M001-0A(EL-321W-GL04 铝壳）</v>
      </c>
      <c r="F38" s="189" t="str">
        <f ca="1">VLOOKUP($D38,物料本月库存明細!$B:$J,5,0)</f>
        <v>PCS</v>
      </c>
      <c r="G38" s="190">
        <v>1600</v>
      </c>
      <c r="H38" s="188"/>
      <c r="I38" s="188"/>
      <c r="J38" s="190">
        <f ca="1">VLOOKUP($D38,物料本月库存明細!$B:$J,9,0)</f>
        <v>2400</v>
      </c>
    </row>
    <row r="39" customHeight="1" spans="1:10">
      <c r="A39" s="187" t="s">
        <v>140</v>
      </c>
      <c r="B39" s="187">
        <v>46211</v>
      </c>
      <c r="C39" s="264" t="s">
        <v>179</v>
      </c>
      <c r="D39" s="196" t="s">
        <v>149</v>
      </c>
      <c r="E39" s="188" t="str">
        <f ca="1">VLOOKUP($D39,物料本月库存明細!$B:$J,2,0)</f>
        <v>小金童铝连杆</v>
      </c>
      <c r="F39" s="189" t="str">
        <f ca="1">VLOOKUP($D39,物料本月库存明細!$B:$J,5,0)</f>
        <v>PCS</v>
      </c>
      <c r="G39" s="190">
        <v>6600</v>
      </c>
      <c r="H39" s="188"/>
      <c r="I39" s="188"/>
      <c r="J39" s="190">
        <f ca="1">VLOOKUP($D39,物料本月库存明細!$B:$J,9,0)</f>
        <v>0</v>
      </c>
    </row>
    <row r="40" customHeight="1" spans="1:10">
      <c r="A40" s="187" t="s">
        <v>140</v>
      </c>
      <c r="B40" s="187">
        <v>46211</v>
      </c>
      <c r="C40" s="264" t="s">
        <v>179</v>
      </c>
      <c r="D40" s="192" t="s">
        <v>40</v>
      </c>
      <c r="E40" s="188" t="str">
        <f ca="1">VLOOKUP($D40,物料本月库存明細!$B:$J,2,0)</f>
        <v>黄油枪HY01A齿轮箱</v>
      </c>
      <c r="F40" s="189" t="str">
        <f ca="1">VLOOKUP($D40,物料本月库存明細!$B:$J,5,0)</f>
        <v>PCS</v>
      </c>
      <c r="G40" s="190">
        <v>147</v>
      </c>
      <c r="H40" s="188"/>
      <c r="I40" s="188"/>
      <c r="J40" s="190">
        <f ca="1">VLOOKUP($D40,物料本月库存明細!$B:$J,9,0)</f>
        <v>37</v>
      </c>
    </row>
    <row r="41" customHeight="1" spans="1:10">
      <c r="A41" s="187" t="s">
        <v>180</v>
      </c>
      <c r="B41" s="187">
        <v>46211</v>
      </c>
      <c r="C41" s="264" t="s">
        <v>181</v>
      </c>
      <c r="D41" s="196" t="s">
        <v>138</v>
      </c>
      <c r="E41" s="188" t="str">
        <f ca="1">VLOOKUP($D41,物料本月库存明細!$B:$J,2,0)</f>
        <v>T93-33</v>
      </c>
      <c r="F41" s="189" t="str">
        <f ca="1">VLOOKUP($D41,物料本月库存明細!$B:$J,5,0)</f>
        <v>PCS</v>
      </c>
      <c r="G41" s="190">
        <v>1080</v>
      </c>
      <c r="H41" s="188"/>
      <c r="I41" s="188"/>
      <c r="J41" s="190">
        <f ca="1">VLOOKUP($D41,物料本月库存明細!$B:$J,9,0)</f>
        <v>0</v>
      </c>
    </row>
    <row r="42" customHeight="1" spans="1:10">
      <c r="A42" s="187" t="s">
        <v>84</v>
      </c>
      <c r="B42" s="187">
        <v>46211</v>
      </c>
      <c r="C42" s="264" t="s">
        <v>182</v>
      </c>
      <c r="D42" s="192" t="s">
        <v>30</v>
      </c>
      <c r="E42" s="188" t="str">
        <f ca="1">VLOOKUP($D42,物料本月库存明細!$B:$J,2,0)</f>
        <v>扳手810端盖</v>
      </c>
      <c r="F42" s="189" t="str">
        <f ca="1">VLOOKUP($D42,物料本月库存明細!$B:$J,5,0)</f>
        <v>PCS</v>
      </c>
      <c r="G42" s="190">
        <v>2988</v>
      </c>
      <c r="H42" s="188"/>
      <c r="I42" s="188"/>
      <c r="J42" s="190">
        <f ca="1">VLOOKUP($D42,物料本月库存明細!$B:$J,9,0)</f>
        <v>3600</v>
      </c>
    </row>
    <row r="43" customHeight="1" spans="1:10">
      <c r="A43" s="187" t="s">
        <v>84</v>
      </c>
      <c r="B43" s="187">
        <v>46211</v>
      </c>
      <c r="C43" s="264" t="s">
        <v>182</v>
      </c>
      <c r="D43" s="192" t="s">
        <v>88</v>
      </c>
      <c r="E43" s="188" t="str">
        <f ca="1">VLOOKUP($D43,物料本月库存明細!$B:$J,2,0)</f>
        <v>扳手810STK2头壳</v>
      </c>
      <c r="F43" s="189" t="str">
        <f ca="1">VLOOKUP($D43,物料本月库存明細!$B:$J,5,0)</f>
        <v>PCS</v>
      </c>
      <c r="G43" s="190">
        <v>3013</v>
      </c>
      <c r="H43" s="188"/>
      <c r="I43" s="188"/>
      <c r="J43" s="190">
        <f ca="1">VLOOKUP($D43,物料本月库存明細!$B:$J,9,0)</f>
        <v>2215</v>
      </c>
    </row>
    <row r="44" customHeight="1" spans="1:10">
      <c r="A44" s="187" t="s">
        <v>183</v>
      </c>
      <c r="B44" s="187">
        <v>46211</v>
      </c>
      <c r="C44" s="264" t="s">
        <v>184</v>
      </c>
      <c r="D44" s="143" t="s">
        <v>142</v>
      </c>
      <c r="E44" s="188" t="str">
        <f ca="1">VLOOKUP($D44,物料本月库存明細!$B:$J,2,0)</f>
        <v>1A321W1M001-0A(EL-321W-GL04 铝壳）</v>
      </c>
      <c r="F44" s="189" t="str">
        <f ca="1">VLOOKUP($D44,物料本月库存明細!$B:$J,5,0)</f>
        <v>PCS</v>
      </c>
      <c r="G44" s="190">
        <v>1760</v>
      </c>
      <c r="H44" s="191"/>
      <c r="I44" s="188"/>
      <c r="J44" s="190">
        <f ca="1">VLOOKUP($D44,物料本月库存明細!$B:$J,9,0)</f>
        <v>0</v>
      </c>
    </row>
    <row r="45" customHeight="1" spans="1:10">
      <c r="A45" s="187" t="s">
        <v>183</v>
      </c>
      <c r="B45" s="187">
        <v>46211</v>
      </c>
      <c r="C45" s="264" t="s">
        <v>184</v>
      </c>
      <c r="D45" s="23" t="s">
        <v>72</v>
      </c>
      <c r="E45" s="188" t="str">
        <f ca="1">VLOOKUP($D45,物料本月库存明細!$B:$J,2,0)</f>
        <v>WL52-bottom(WL92)</v>
      </c>
      <c r="F45" s="189" t="str">
        <f ca="1">VLOOKUP($D45,物料本月库存明細!$B:$J,5,0)</f>
        <v>PCS</v>
      </c>
      <c r="G45" s="190">
        <v>9354</v>
      </c>
      <c r="H45" s="188"/>
      <c r="I45" s="188"/>
      <c r="J45" s="190">
        <f ca="1">VLOOKUP($D45,物料本月库存明細!$B:$J,9,0)</f>
        <v>251</v>
      </c>
    </row>
    <row r="46" customHeight="1" spans="1:10">
      <c r="A46" s="187" t="s">
        <v>183</v>
      </c>
      <c r="B46" s="187">
        <v>46211</v>
      </c>
      <c r="C46" s="264" t="s">
        <v>184</v>
      </c>
      <c r="D46" s="143" t="s">
        <v>135</v>
      </c>
      <c r="E46" s="188" t="str">
        <f ca="1">VLOOKUP($D46,物料本月库存明細!$B:$J,2,0)</f>
        <v>三孔连杆</v>
      </c>
      <c r="F46" s="189" t="str">
        <f ca="1">VLOOKUP($D46,物料本月库存明細!$B:$J,5,0)</f>
        <v>PCS</v>
      </c>
      <c r="G46" s="190">
        <v>640</v>
      </c>
      <c r="H46" s="191"/>
      <c r="I46" s="188"/>
      <c r="J46" s="190">
        <f ca="1">VLOOKUP($D46,物料本月库存明細!$B:$J,9,0)</f>
        <v>0</v>
      </c>
    </row>
    <row r="47" customHeight="1" spans="1:10">
      <c r="A47" s="187" t="s">
        <v>113</v>
      </c>
      <c r="B47" s="187">
        <v>46211</v>
      </c>
      <c r="C47" s="264" t="s">
        <v>185</v>
      </c>
      <c r="D47" s="143" t="s">
        <v>42</v>
      </c>
      <c r="E47" s="188" t="str">
        <f ca="1">VLOOKUP($D47,物料本月库存明細!$B:$J,2,0)</f>
        <v>1A321W1M001-0A(EL-321W-GL04 铝壳）</v>
      </c>
      <c r="F47" s="189" t="str">
        <f ca="1">VLOOKUP($D47,物料本月库存明細!$B:$J,5,0)</f>
        <v>PCS</v>
      </c>
      <c r="G47" s="190">
        <v>1760</v>
      </c>
      <c r="H47" s="191"/>
      <c r="I47" s="188"/>
      <c r="J47" s="190">
        <f ca="1">VLOOKUP($D47,物料本月库存明細!$B:$J,9,0)</f>
        <v>0</v>
      </c>
    </row>
    <row r="48" customHeight="1" spans="1:10">
      <c r="A48" s="187" t="s">
        <v>76</v>
      </c>
      <c r="B48" s="187">
        <v>46212</v>
      </c>
      <c r="C48" s="264" t="s">
        <v>186</v>
      </c>
      <c r="D48" s="197" t="s">
        <v>54</v>
      </c>
      <c r="E48" s="188" t="str">
        <f ca="1">VLOOKUP($D48,物料本月库存明細!$B:$J,2,0)</f>
        <v>ADC12铝料</v>
      </c>
      <c r="F48" s="189" t="str">
        <f ca="1">VLOOKUP($D48,物料本月库存明細!$B:$J,5,0)</f>
        <v>KG</v>
      </c>
      <c r="G48" s="190">
        <v>184.5</v>
      </c>
      <c r="H48" s="188"/>
      <c r="I48" s="188"/>
      <c r="J48" s="190">
        <f ca="1">VLOOKUP($D48,物料本月库存明細!$B:$J,9,0)</f>
        <v>5820.5</v>
      </c>
    </row>
    <row r="49" customHeight="1" spans="1:10">
      <c r="A49" s="187" t="s">
        <v>76</v>
      </c>
      <c r="B49" s="187">
        <v>46212</v>
      </c>
      <c r="C49" s="264" t="s">
        <v>186</v>
      </c>
      <c r="D49" s="197" t="s">
        <v>54</v>
      </c>
      <c r="E49" s="188" t="str">
        <f ca="1">VLOOKUP($D49,物料本月库存明細!$B:$J,2,0)</f>
        <v>ADC12铝料</v>
      </c>
      <c r="F49" s="189" t="str">
        <f ca="1">VLOOKUP($D49,物料本月库存明細!$B:$J,5,0)</f>
        <v>KG</v>
      </c>
      <c r="G49" s="190">
        <v>623</v>
      </c>
      <c r="H49" s="188"/>
      <c r="I49" s="188"/>
      <c r="J49" s="190">
        <f ca="1">VLOOKUP($D49,物料本月库存明細!$B:$J,9,0)</f>
        <v>5820.5</v>
      </c>
    </row>
    <row r="50" customHeight="1" spans="1:10">
      <c r="A50" s="187" t="s">
        <v>76</v>
      </c>
      <c r="B50" s="187">
        <v>46212</v>
      </c>
      <c r="C50" s="264" t="s">
        <v>186</v>
      </c>
      <c r="D50" s="197" t="s">
        <v>54</v>
      </c>
      <c r="E50" s="188" t="str">
        <f ca="1">VLOOKUP($D50,物料本月库存明細!$B:$J,2,0)</f>
        <v>ADC12铝料</v>
      </c>
      <c r="F50" s="189" t="str">
        <f ca="1">VLOOKUP($D50,物料本月库存明細!$B:$J,5,0)</f>
        <v>KG</v>
      </c>
      <c r="G50" s="190">
        <v>835</v>
      </c>
      <c r="H50" s="188"/>
      <c r="I50" s="188"/>
      <c r="J50" s="190">
        <f ca="1">VLOOKUP($D50,物料本月库存明細!$B:$J,9,0)</f>
        <v>5820.5</v>
      </c>
    </row>
    <row r="51" customHeight="1" spans="1:10">
      <c r="A51" s="187" t="s">
        <v>76</v>
      </c>
      <c r="B51" s="187">
        <v>46212</v>
      </c>
      <c r="C51" s="264" t="s">
        <v>186</v>
      </c>
      <c r="D51" s="197" t="s">
        <v>54</v>
      </c>
      <c r="E51" s="188" t="str">
        <f ca="1">VLOOKUP($D51,物料本月库存明細!$B:$J,2,0)</f>
        <v>ADC12铝料</v>
      </c>
      <c r="F51" s="189" t="str">
        <f ca="1">VLOOKUP($D51,物料本月库存明細!$B:$J,5,0)</f>
        <v>KG</v>
      </c>
      <c r="G51" s="190">
        <v>838.5</v>
      </c>
      <c r="H51" s="188"/>
      <c r="I51" s="188"/>
      <c r="J51" s="190">
        <f ca="1">VLOOKUP($D51,物料本月库存明細!$B:$J,9,0)</f>
        <v>5820.5</v>
      </c>
    </row>
    <row r="52" customHeight="1" spans="1:10">
      <c r="A52" s="187"/>
      <c r="B52" s="187"/>
      <c r="C52" s="193"/>
      <c r="D52" s="194"/>
      <c r="E52" s="188" t="e">
        <f ca="1">VLOOKUP($D52,物料本月库存明細!$B:$J,2,0)</f>
        <v>#N/A</v>
      </c>
      <c r="F52" s="189" t="e">
        <f ca="1">VLOOKUP($D52,物料本月库存明細!$B:$J,5,0)</f>
        <v>#N/A</v>
      </c>
      <c r="G52" s="190"/>
      <c r="H52" s="188"/>
      <c r="I52" s="188"/>
      <c r="J52" s="190" t="e">
        <f ca="1">VLOOKUP($D52,物料本月库存明細!$B:$J,9,0)</f>
        <v>#N/A</v>
      </c>
    </row>
    <row r="53" customHeight="1" spans="1:10">
      <c r="A53" s="187"/>
      <c r="B53" s="187"/>
      <c r="C53" s="193"/>
      <c r="D53" s="196"/>
      <c r="E53" s="188" t="e">
        <f ca="1">VLOOKUP($D53,物料本月库存明細!$B:$J,2,0)</f>
        <v>#N/A</v>
      </c>
      <c r="F53" s="189" t="e">
        <f ca="1">VLOOKUP($D53,物料本月库存明細!$B:$J,5,0)</f>
        <v>#N/A</v>
      </c>
      <c r="G53" s="190"/>
      <c r="H53" s="188"/>
      <c r="I53" s="188"/>
      <c r="J53" s="190" t="e">
        <f ca="1">VLOOKUP($D53,物料本月库存明細!$B:$J,9,0)</f>
        <v>#N/A</v>
      </c>
    </row>
    <row r="54" customHeight="1" spans="1:10">
      <c r="A54" s="187"/>
      <c r="B54" s="187"/>
      <c r="C54" s="193"/>
      <c r="D54" s="192"/>
      <c r="E54" s="188" t="e">
        <f ca="1">VLOOKUP($D54,物料本月库存明細!$B:$J,2,0)</f>
        <v>#N/A</v>
      </c>
      <c r="F54" s="189" t="e">
        <f ca="1">VLOOKUP($D54,物料本月库存明細!$B:$J,5,0)</f>
        <v>#N/A</v>
      </c>
      <c r="G54" s="190"/>
      <c r="H54" s="188"/>
      <c r="I54" s="188"/>
      <c r="J54" s="188" t="e">
        <f ca="1">VLOOKUP($D54,物料本月库存明細!$B:$J,9,0)</f>
        <v>#N/A</v>
      </c>
    </row>
    <row r="55" customHeight="1" spans="1:10">
      <c r="A55" s="187"/>
      <c r="B55" s="187"/>
      <c r="C55" s="193"/>
      <c r="D55" s="143"/>
      <c r="E55" s="188" t="e">
        <f ca="1">VLOOKUP($D55,物料本月库存明細!$B:$J,2,0)</f>
        <v>#N/A</v>
      </c>
      <c r="F55" s="189" t="e">
        <f ca="1">VLOOKUP($D55,物料本月库存明細!$B:$J,5,0)</f>
        <v>#N/A</v>
      </c>
      <c r="G55" s="190"/>
      <c r="H55" s="188"/>
      <c r="I55" s="188"/>
      <c r="J55" s="190" t="e">
        <f ca="1">VLOOKUP($D55,物料本月库存明細!$B:$J,9,0)</f>
        <v>#N/A</v>
      </c>
    </row>
    <row r="56" customHeight="1" spans="1:10">
      <c r="A56" s="187"/>
      <c r="B56" s="187"/>
      <c r="C56" s="193"/>
      <c r="D56" s="143"/>
      <c r="E56" s="188" t="e">
        <f ca="1">VLOOKUP($D56,物料本月库存明細!$B:$J,2,0)</f>
        <v>#N/A</v>
      </c>
      <c r="F56" s="189" t="e">
        <f ca="1">VLOOKUP($D56,物料本月库存明細!$B:$J,5,0)</f>
        <v>#N/A</v>
      </c>
      <c r="G56" s="190"/>
      <c r="H56" s="188"/>
      <c r="I56" s="188"/>
      <c r="J56" s="190" t="e">
        <f ca="1">VLOOKUP($D56,物料本月库存明細!$B:$J,9,0)</f>
        <v>#N/A</v>
      </c>
    </row>
    <row r="57" customHeight="1" spans="1:10">
      <c r="A57" s="187"/>
      <c r="B57" s="187"/>
      <c r="C57" s="193"/>
      <c r="D57" s="143"/>
      <c r="E57" s="188" t="e">
        <f ca="1">VLOOKUP($D57,物料本月库存明細!$B:$J,2,0)</f>
        <v>#N/A</v>
      </c>
      <c r="F57" s="189" t="e">
        <f ca="1">VLOOKUP($D57,物料本月库存明細!$B:$J,5,0)</f>
        <v>#N/A</v>
      </c>
      <c r="G57" s="190"/>
      <c r="H57" s="188"/>
      <c r="I57" s="188"/>
      <c r="J57" s="190" t="e">
        <f ca="1">VLOOKUP($D57,物料本月库存明細!$B:$J,9,0)</f>
        <v>#N/A</v>
      </c>
    </row>
    <row r="58" customHeight="1" spans="1:10">
      <c r="A58" s="187"/>
      <c r="B58" s="187"/>
      <c r="C58" s="193"/>
      <c r="D58" s="143"/>
      <c r="E58" s="188" t="e">
        <f ca="1">VLOOKUP($D58,物料本月库存明細!$B:$J,2,0)</f>
        <v>#N/A</v>
      </c>
      <c r="F58" s="189" t="e">
        <f ca="1">VLOOKUP($D58,物料本月库存明細!$B:$J,5,0)</f>
        <v>#N/A</v>
      </c>
      <c r="G58" s="190"/>
      <c r="H58" s="188"/>
      <c r="I58" s="188"/>
      <c r="J58" s="190" t="e">
        <f ca="1">VLOOKUP($D58,物料本月库存明細!$B:$J,9,0)</f>
        <v>#N/A</v>
      </c>
    </row>
    <row r="59" customHeight="1" spans="1:10">
      <c r="A59" s="187"/>
      <c r="B59" s="187"/>
      <c r="C59" s="193"/>
      <c r="D59" s="25"/>
      <c r="E59" s="188" t="e">
        <f ca="1">VLOOKUP($D59,物料本月库存明細!$B:$J,2,0)</f>
        <v>#N/A</v>
      </c>
      <c r="F59" s="189" t="e">
        <f ca="1">VLOOKUP($D59,物料本月库存明細!$B:$J,5,0)</f>
        <v>#N/A</v>
      </c>
      <c r="G59" s="190"/>
      <c r="H59" s="191"/>
      <c r="I59" s="188"/>
      <c r="J59" s="190" t="e">
        <f ca="1">VLOOKUP($D59,物料本月库存明細!$B:$J,9,0)</f>
        <v>#N/A</v>
      </c>
    </row>
    <row r="60" customHeight="1" spans="1:10">
      <c r="A60" s="187"/>
      <c r="B60" s="187"/>
      <c r="C60" s="193"/>
      <c r="D60" s="23"/>
      <c r="E60" s="188" t="e">
        <f ca="1">VLOOKUP($D60,物料本月库存明細!$B:$J,2,0)</f>
        <v>#N/A</v>
      </c>
      <c r="F60" s="189" t="e">
        <f ca="1">VLOOKUP($D60,物料本月库存明細!$B:$J,5,0)</f>
        <v>#N/A</v>
      </c>
      <c r="G60" s="190"/>
      <c r="H60" s="191"/>
      <c r="I60" s="188"/>
      <c r="J60" s="190" t="e">
        <f ca="1">VLOOKUP($D60,物料本月库存明細!$B:$J,9,0)</f>
        <v>#N/A</v>
      </c>
    </row>
    <row r="61" customHeight="1" spans="1:10">
      <c r="A61" s="187"/>
      <c r="B61" s="187"/>
      <c r="C61" s="193"/>
      <c r="D61" s="23"/>
      <c r="E61" s="188" t="e">
        <f ca="1">VLOOKUP($D61,物料本月库存明細!$B:$J,2,0)</f>
        <v>#N/A</v>
      </c>
      <c r="F61" s="189" t="e">
        <f ca="1">VLOOKUP($D61,物料本月库存明細!$B:$J,5,0)</f>
        <v>#N/A</v>
      </c>
      <c r="G61" s="190"/>
      <c r="H61" s="188"/>
      <c r="I61" s="188"/>
      <c r="J61" s="190" t="e">
        <f ca="1">VLOOKUP($D61,物料本月库存明細!$B:$J,9,0)</f>
        <v>#N/A</v>
      </c>
    </row>
    <row r="62" customHeight="1" spans="1:10">
      <c r="A62" s="187"/>
      <c r="B62" s="187"/>
      <c r="C62" s="193"/>
      <c r="D62" s="23"/>
      <c r="E62" s="188" t="e">
        <f ca="1">VLOOKUP($D62,物料本月库存明細!$B:$J,2,0)</f>
        <v>#N/A</v>
      </c>
      <c r="F62" s="189" t="e">
        <f ca="1">VLOOKUP($D62,物料本月库存明細!$B:$J,5,0)</f>
        <v>#N/A</v>
      </c>
      <c r="G62" s="188"/>
      <c r="H62" s="191"/>
      <c r="I62" s="188"/>
      <c r="J62" s="190" t="e">
        <f ca="1">VLOOKUP($D62,物料本月库存明細!$B:$J,9,0)</f>
        <v>#N/A</v>
      </c>
    </row>
    <row r="63" customHeight="1" spans="1:10">
      <c r="A63" s="191"/>
      <c r="B63" s="187"/>
      <c r="C63" s="193"/>
      <c r="D63" s="23"/>
      <c r="E63" s="188" t="e">
        <f ca="1">VLOOKUP($D63,物料本月库存明細!$B:$J,2,0)</f>
        <v>#N/A</v>
      </c>
      <c r="F63" s="189" t="e">
        <f ca="1">VLOOKUP($D63,物料本月库存明細!$B:$J,5,0)</f>
        <v>#N/A</v>
      </c>
      <c r="G63" s="190"/>
      <c r="H63" s="188"/>
      <c r="I63" s="188"/>
      <c r="J63" s="190" t="e">
        <f ca="1">VLOOKUP($D63,物料本月库存明細!$B:$J,9,0)</f>
        <v>#N/A</v>
      </c>
    </row>
    <row r="64" customHeight="1" spans="1:10">
      <c r="A64" s="191"/>
      <c r="B64" s="187"/>
      <c r="C64" s="193"/>
      <c r="D64" s="23"/>
      <c r="E64" s="188" t="e">
        <f ca="1">VLOOKUP($D64,物料本月库存明細!$B:$J,2,0)</f>
        <v>#N/A</v>
      </c>
      <c r="F64" s="189" t="e">
        <f ca="1">VLOOKUP($D64,物料本月库存明細!$B:$J,5,0)</f>
        <v>#N/A</v>
      </c>
      <c r="G64" s="190"/>
      <c r="H64" s="188"/>
      <c r="I64" s="188"/>
      <c r="J64" s="190" t="e">
        <f ca="1">VLOOKUP($D64,物料本月库存明細!$B:$J,9,0)</f>
        <v>#N/A</v>
      </c>
    </row>
    <row r="65" customHeight="1" spans="1:10">
      <c r="A65" s="187"/>
      <c r="B65" s="187"/>
      <c r="C65" s="193"/>
      <c r="D65" s="143"/>
      <c r="E65" s="188" t="e">
        <f ca="1">VLOOKUP($D65,物料本月库存明細!$B:$J,2,0)</f>
        <v>#N/A</v>
      </c>
      <c r="F65" s="189" t="e">
        <f ca="1">VLOOKUP($D65,物料本月库存明細!$B:$J,5,0)</f>
        <v>#N/A</v>
      </c>
      <c r="G65" s="190"/>
      <c r="H65" s="188"/>
      <c r="I65" s="188"/>
      <c r="J65" s="190" t="e">
        <f ca="1">VLOOKUP($D65,物料本月库存明細!$B:$J,9,0)</f>
        <v>#N/A</v>
      </c>
    </row>
    <row r="66" customHeight="1" spans="1:10">
      <c r="A66" s="187"/>
      <c r="B66" s="187"/>
      <c r="C66" s="193"/>
      <c r="D66" s="143"/>
      <c r="E66" s="188" t="e">
        <f ca="1">VLOOKUP($D66,物料本月库存明細!$B:$J,2,0)</f>
        <v>#N/A</v>
      </c>
      <c r="F66" s="189" t="e">
        <f ca="1">VLOOKUP($D66,物料本月库存明細!$B:$J,5,0)</f>
        <v>#N/A</v>
      </c>
      <c r="G66" s="190"/>
      <c r="H66" s="188"/>
      <c r="I66" s="188"/>
      <c r="J66" s="190" t="e">
        <f ca="1">VLOOKUP($D66,物料本月库存明細!$B:$J,9,0)</f>
        <v>#N/A</v>
      </c>
    </row>
    <row r="67" customHeight="1" spans="1:10">
      <c r="A67" s="187"/>
      <c r="B67" s="187"/>
      <c r="C67" s="193"/>
      <c r="D67" s="143"/>
      <c r="E67" s="188" t="e">
        <f ca="1">VLOOKUP($D67,物料本月库存明細!$B:$J,2,0)</f>
        <v>#N/A</v>
      </c>
      <c r="F67" s="189" t="e">
        <f ca="1">VLOOKUP($D67,物料本月库存明細!$B:$J,5,0)</f>
        <v>#N/A</v>
      </c>
      <c r="G67" s="190"/>
      <c r="H67" s="199"/>
      <c r="I67" s="188"/>
      <c r="J67" s="190" t="e">
        <f ca="1">VLOOKUP($D67,物料本月库存明細!$B:$J,9,0)</f>
        <v>#N/A</v>
      </c>
    </row>
    <row r="68" customHeight="1" spans="1:10">
      <c r="A68" s="187"/>
      <c r="B68" s="187"/>
      <c r="C68" s="193"/>
      <c r="D68" s="143"/>
      <c r="E68" s="188" t="e">
        <f ca="1">VLOOKUP($D68,物料本月库存明細!$B:$J,2,0)</f>
        <v>#N/A</v>
      </c>
      <c r="F68" s="189" t="e">
        <f ca="1">VLOOKUP($D68,物料本月库存明細!$B:$J,5,0)</f>
        <v>#N/A</v>
      </c>
      <c r="G68" s="190"/>
      <c r="H68" s="188"/>
      <c r="I68" s="188"/>
      <c r="J68" s="190" t="e">
        <f ca="1">VLOOKUP($D68,物料本月库存明細!$B:$J,9,0)</f>
        <v>#N/A</v>
      </c>
    </row>
    <row r="69" customHeight="1" spans="1:10">
      <c r="A69" s="187"/>
      <c r="B69" s="187"/>
      <c r="C69" s="193"/>
      <c r="D69" s="23"/>
      <c r="E69" s="188" t="e">
        <f ca="1">VLOOKUP($D69,物料本月库存明細!$B:$J,2,0)</f>
        <v>#N/A</v>
      </c>
      <c r="F69" s="189" t="e">
        <f ca="1">VLOOKUP($D69,物料本月库存明細!$B:$J,5,0)</f>
        <v>#N/A</v>
      </c>
      <c r="G69" s="190"/>
      <c r="H69" s="191"/>
      <c r="I69" s="188"/>
      <c r="J69" s="190" t="e">
        <f ca="1">VLOOKUP($D69,物料本月库存明細!$B:$J,9,0)</f>
        <v>#N/A</v>
      </c>
    </row>
    <row r="70" customHeight="1" spans="1:10">
      <c r="A70" s="187"/>
      <c r="B70" s="187"/>
      <c r="C70" s="193"/>
      <c r="D70" s="23"/>
      <c r="E70" s="188" t="e">
        <f ca="1">VLOOKUP($D70,物料本月库存明細!$B:$J,2,0)</f>
        <v>#N/A</v>
      </c>
      <c r="F70" s="189" t="e">
        <f ca="1">VLOOKUP($D70,物料本月库存明細!$B:$J,5,0)</f>
        <v>#N/A</v>
      </c>
      <c r="G70" s="190"/>
      <c r="H70" s="191"/>
      <c r="I70" s="188"/>
      <c r="J70" s="190" t="e">
        <f ca="1">VLOOKUP($D70,物料本月库存明細!$B:$J,9,0)</f>
        <v>#N/A</v>
      </c>
    </row>
    <row r="71" customHeight="1" spans="1:10">
      <c r="A71" s="187"/>
      <c r="B71" s="187"/>
      <c r="C71" s="193"/>
      <c r="D71" s="194"/>
      <c r="E71" s="188" t="e">
        <f ca="1">VLOOKUP($D71,物料本月库存明細!$B:$J,2,0)</f>
        <v>#N/A</v>
      </c>
      <c r="F71" s="189" t="e">
        <f ca="1">VLOOKUP($D71,物料本月库存明細!$B:$J,5,0)</f>
        <v>#N/A</v>
      </c>
      <c r="G71" s="190"/>
      <c r="H71" s="188"/>
      <c r="I71" s="188"/>
      <c r="J71" s="188" t="e">
        <f ca="1">VLOOKUP($D71,物料本月库存明細!$B:$J,9,0)</f>
        <v>#N/A</v>
      </c>
    </row>
    <row r="72" customHeight="1" spans="1:10">
      <c r="A72" s="187"/>
      <c r="B72" s="187"/>
      <c r="C72" s="193"/>
      <c r="D72" s="194"/>
      <c r="E72" s="188" t="e">
        <f ca="1">VLOOKUP($D72,物料本月库存明細!$B:$J,2,0)</f>
        <v>#N/A</v>
      </c>
      <c r="F72" s="189" t="e">
        <f ca="1">VLOOKUP($D72,物料本月库存明細!$B:$J,5,0)</f>
        <v>#N/A</v>
      </c>
      <c r="G72" s="190"/>
      <c r="H72" s="188"/>
      <c r="I72" s="188"/>
      <c r="J72" s="190" t="e">
        <f ca="1">VLOOKUP($D72,物料本月库存明細!$B:$J,9,0)</f>
        <v>#N/A</v>
      </c>
    </row>
    <row r="73" customHeight="1" spans="1:10">
      <c r="A73" s="187"/>
      <c r="B73" s="187"/>
      <c r="C73" s="193"/>
      <c r="D73" s="6"/>
      <c r="E73" s="188" t="e">
        <f ca="1">VLOOKUP($D73,物料本月库存明細!$B:$J,2,0)</f>
        <v>#N/A</v>
      </c>
      <c r="F73" s="189" t="e">
        <f ca="1">VLOOKUP($D73,物料本月库存明細!$B:$J,5,0)</f>
        <v>#N/A</v>
      </c>
      <c r="G73" s="190"/>
      <c r="H73" s="188"/>
      <c r="I73" s="188"/>
      <c r="J73" s="190" t="e">
        <f ca="1">VLOOKUP($D73,物料本月库存明細!$B:$J,9,0)</f>
        <v>#N/A</v>
      </c>
    </row>
    <row r="74" customHeight="1" spans="1:10">
      <c r="A74" s="187"/>
      <c r="B74" s="187"/>
      <c r="C74" s="193"/>
      <c r="D74" s="6"/>
      <c r="E74" s="188" t="e">
        <f ca="1">VLOOKUP($D74,物料本月库存明細!$B:$J,2,0)</f>
        <v>#N/A</v>
      </c>
      <c r="F74" s="189" t="e">
        <f ca="1">VLOOKUP($D74,物料本月库存明細!$B:$J,5,0)</f>
        <v>#N/A</v>
      </c>
      <c r="G74" s="190"/>
      <c r="H74" s="188"/>
      <c r="I74" s="188"/>
      <c r="J74" s="190" t="e">
        <f ca="1">VLOOKUP($D74,物料本月库存明細!$B:$J,9,0)</f>
        <v>#N/A</v>
      </c>
    </row>
    <row r="75" customHeight="1" spans="1:10">
      <c r="A75" s="187"/>
      <c r="B75" s="187"/>
      <c r="C75" s="193"/>
      <c r="D75" s="6"/>
      <c r="E75" s="188" t="e">
        <f ca="1">VLOOKUP($D75,物料本月库存明細!$B:$J,2,0)</f>
        <v>#N/A</v>
      </c>
      <c r="F75" s="189" t="e">
        <f ca="1">VLOOKUP($D75,物料本月库存明細!$B:$J,5,0)</f>
        <v>#N/A</v>
      </c>
      <c r="G75" s="190"/>
      <c r="H75" s="188"/>
      <c r="I75" s="188"/>
      <c r="J75" s="190" t="e">
        <f ca="1">VLOOKUP($D75,物料本月库存明細!$B:$J,9,0)</f>
        <v>#N/A</v>
      </c>
    </row>
    <row r="76" customHeight="1" spans="1:10">
      <c r="A76" s="187"/>
      <c r="B76" s="187"/>
      <c r="C76" s="193"/>
      <c r="D76" s="196"/>
      <c r="E76" s="188" t="e">
        <f ca="1">VLOOKUP($D76,物料本月库存明細!$B:$J,2,0)</f>
        <v>#N/A</v>
      </c>
      <c r="F76" s="189" t="e">
        <f ca="1">VLOOKUP($D76,物料本月库存明細!$B:$J,5,0)</f>
        <v>#N/A</v>
      </c>
      <c r="G76" s="132"/>
      <c r="H76" s="188"/>
      <c r="I76" s="188"/>
      <c r="J76" s="190" t="e">
        <f ca="1">VLOOKUP($D76,物料本月库存明細!$B:$J,9,0)</f>
        <v>#N/A</v>
      </c>
    </row>
    <row r="77" customHeight="1" spans="1:10">
      <c r="A77" s="187"/>
      <c r="B77" s="187"/>
      <c r="C77" s="193"/>
      <c r="D77" s="192"/>
      <c r="E77" s="188" t="e">
        <f ca="1">VLOOKUP($D77,物料本月库存明細!$B:$J,2,0)</f>
        <v>#N/A</v>
      </c>
      <c r="F77" s="189" t="e">
        <f ca="1">VLOOKUP($D77,物料本月库存明細!$B:$J,5,0)</f>
        <v>#N/A</v>
      </c>
      <c r="G77" s="190"/>
      <c r="H77" s="188"/>
      <c r="I77" s="188"/>
      <c r="J77" s="190" t="e">
        <f ca="1">VLOOKUP($D77,物料本月库存明細!$B:$J,9,0)</f>
        <v>#N/A</v>
      </c>
    </row>
    <row r="78" s="172" customFormat="1" customHeight="1" spans="1:10">
      <c r="A78" s="187"/>
      <c r="B78" s="187"/>
      <c r="C78" s="193"/>
      <c r="D78" s="200"/>
      <c r="E78" s="188" t="e">
        <f ca="1">VLOOKUP($D78,物料本月库存明細!$B:$J,2,0)</f>
        <v>#N/A</v>
      </c>
      <c r="F78" s="189" t="e">
        <f ca="1">VLOOKUP($D78,物料本月库存明細!$B:$J,5,0)</f>
        <v>#N/A</v>
      </c>
      <c r="G78" s="190"/>
      <c r="H78" s="188"/>
      <c r="I78" s="188"/>
      <c r="J78" s="190" t="e">
        <f ca="1">VLOOKUP($D78,物料本月库存明細!$B:$J,9,0)</f>
        <v>#N/A</v>
      </c>
    </row>
    <row r="79" s="172" customFormat="1" customHeight="1" spans="1:10">
      <c r="A79" s="187"/>
      <c r="B79" s="187"/>
      <c r="C79" s="193"/>
      <c r="D79" s="201"/>
      <c r="E79" s="188" t="e">
        <f ca="1">VLOOKUP($D79,物料本月库存明細!$B:$J,2,0)</f>
        <v>#N/A</v>
      </c>
      <c r="F79" s="189" t="e">
        <f ca="1">VLOOKUP($D79,物料本月库存明細!$B:$J,5,0)</f>
        <v>#N/A</v>
      </c>
      <c r="G79" s="190"/>
      <c r="H79" s="191"/>
      <c r="I79" s="188"/>
      <c r="J79" s="190" t="e">
        <f ca="1">VLOOKUP($D79,物料本月库存明細!$B:$J,9,0)</f>
        <v>#N/A</v>
      </c>
    </row>
    <row r="80" customHeight="1" spans="1:10">
      <c r="A80" s="187"/>
      <c r="B80" s="187"/>
      <c r="C80" s="193"/>
      <c r="D80" s="201"/>
      <c r="E80" s="188" t="e">
        <f ca="1">VLOOKUP($D80,物料本月库存明細!$B:$J,2,0)</f>
        <v>#N/A</v>
      </c>
      <c r="F80" s="189" t="e">
        <f ca="1">VLOOKUP($D80,物料本月库存明細!$B:$J,5,0)</f>
        <v>#N/A</v>
      </c>
      <c r="G80" s="190"/>
      <c r="H80" s="188"/>
      <c r="I80" s="188"/>
      <c r="J80" s="190" t="e">
        <f ca="1">VLOOKUP($D80,物料本月库存明細!$B:$J,9,0)</f>
        <v>#N/A</v>
      </c>
    </row>
    <row r="81" customHeight="1" spans="1:10">
      <c r="A81" s="187"/>
      <c r="B81" s="187"/>
      <c r="C81" s="193"/>
      <c r="D81" s="201"/>
      <c r="E81" s="188" t="e">
        <f ca="1">VLOOKUP($D81,物料本月库存明細!$B:$J,2,0)</f>
        <v>#N/A</v>
      </c>
      <c r="F81" s="189" t="e">
        <f ca="1">VLOOKUP($D81,物料本月库存明細!$B:$J,5,0)</f>
        <v>#N/A</v>
      </c>
      <c r="G81" s="190"/>
      <c r="H81" s="188"/>
      <c r="I81" s="188"/>
      <c r="J81" s="190" t="e">
        <f ca="1">VLOOKUP($D81,物料本月库存明細!$B:$J,9,0)</f>
        <v>#N/A</v>
      </c>
    </row>
    <row r="82" customHeight="1" spans="1:10">
      <c r="A82" s="187"/>
      <c r="B82" s="187"/>
      <c r="C82" s="193"/>
      <c r="D82" s="196"/>
      <c r="E82" s="188" t="e">
        <f ca="1">VLOOKUP($D82,物料本月库存明細!$B:$J,2,0)</f>
        <v>#N/A</v>
      </c>
      <c r="F82" s="189" t="e">
        <f ca="1">VLOOKUP($D82,物料本月库存明細!$B:$J,5,0)</f>
        <v>#N/A</v>
      </c>
      <c r="G82" s="190"/>
      <c r="H82" s="199"/>
      <c r="I82" s="188"/>
      <c r="J82" s="190" t="e">
        <f ca="1">VLOOKUP($D82,物料本月库存明細!$B:$J,9,0)</f>
        <v>#N/A</v>
      </c>
    </row>
    <row r="83" customHeight="1" spans="1:10">
      <c r="A83" s="187"/>
      <c r="B83" s="187"/>
      <c r="C83" s="193"/>
      <c r="D83" s="194"/>
      <c r="E83" s="188" t="e">
        <f ca="1">VLOOKUP($D83,物料本月库存明細!$B:$J,2,0)</f>
        <v>#N/A</v>
      </c>
      <c r="F83" s="189" t="e">
        <f ca="1">VLOOKUP($D83,物料本月库存明細!$B:$J,5,0)</f>
        <v>#N/A</v>
      </c>
      <c r="G83" s="190"/>
      <c r="H83" s="199"/>
      <c r="I83" s="188"/>
      <c r="J83" s="190" t="e">
        <f ca="1">VLOOKUP($D83,物料本月库存明細!$B:$J,9,0)</f>
        <v>#N/A</v>
      </c>
    </row>
    <row r="84" customHeight="1" spans="1:10">
      <c r="A84" s="187"/>
      <c r="B84" s="187"/>
      <c r="C84" s="193"/>
      <c r="D84" s="192"/>
      <c r="E84" s="188" t="e">
        <f ca="1">VLOOKUP($D84,物料本月库存明細!$B:$J,2,0)</f>
        <v>#N/A</v>
      </c>
      <c r="F84" s="189" t="e">
        <f ca="1">VLOOKUP($D84,物料本月库存明細!$B:$J,5,0)</f>
        <v>#N/A</v>
      </c>
      <c r="G84" s="190"/>
      <c r="H84" s="191"/>
      <c r="I84" s="188"/>
      <c r="J84" s="190" t="e">
        <f ca="1">VLOOKUP($D84,物料本月库存明細!$B:$J,9,0)</f>
        <v>#N/A</v>
      </c>
    </row>
    <row r="85" customHeight="1" spans="1:10">
      <c r="A85" s="187"/>
      <c r="B85" s="187"/>
      <c r="C85" s="193"/>
      <c r="D85" s="192"/>
      <c r="E85" s="188" t="e">
        <f ca="1">VLOOKUP($D85,物料本月库存明細!$B:$J,2,0)</f>
        <v>#N/A</v>
      </c>
      <c r="F85" s="189" t="e">
        <f ca="1">VLOOKUP($D85,物料本月库存明細!$B:$J,5,0)</f>
        <v>#N/A</v>
      </c>
      <c r="G85" s="190"/>
      <c r="H85" s="188"/>
      <c r="I85" s="188"/>
      <c r="J85" s="190" t="e">
        <f ca="1">VLOOKUP($D85,物料本月库存明細!$B:$J,9,0)</f>
        <v>#N/A</v>
      </c>
    </row>
    <row r="86" customHeight="1" spans="1:10">
      <c r="A86" s="187"/>
      <c r="B86" s="187"/>
      <c r="C86" s="193"/>
      <c r="D86" s="192"/>
      <c r="E86" s="188" t="e">
        <f ca="1">VLOOKUP($D86,物料本月库存明細!$B:$J,2,0)</f>
        <v>#N/A</v>
      </c>
      <c r="F86" s="189" t="e">
        <f ca="1">VLOOKUP($D86,物料本月库存明細!$B:$J,5,0)</f>
        <v>#N/A</v>
      </c>
      <c r="G86" s="190"/>
      <c r="H86" s="188"/>
      <c r="I86" s="188"/>
      <c r="J86" s="190" t="e">
        <f ca="1">VLOOKUP($D86,物料本月库存明細!$B:$J,9,0)</f>
        <v>#N/A</v>
      </c>
    </row>
    <row r="87" s="172" customFormat="1" customHeight="1" spans="1:10">
      <c r="A87" s="187"/>
      <c r="B87" s="187"/>
      <c r="C87" s="193"/>
      <c r="D87" s="192"/>
      <c r="E87" s="188" t="e">
        <f ca="1">VLOOKUP($D87,物料本月库存明細!$B:$J,2,0)</f>
        <v>#N/A</v>
      </c>
      <c r="F87" s="189" t="e">
        <f ca="1">VLOOKUP($D87,物料本月库存明細!$B:$J,5,0)</f>
        <v>#N/A</v>
      </c>
      <c r="G87" s="190"/>
      <c r="H87" s="188"/>
      <c r="I87" s="188"/>
      <c r="J87" s="190" t="e">
        <f ca="1">VLOOKUP($D87,物料本月库存明細!$B:$J,9,0)</f>
        <v>#N/A</v>
      </c>
    </row>
    <row r="88" customHeight="1" spans="1:10">
      <c r="A88" s="187"/>
      <c r="B88" s="187"/>
      <c r="C88" s="193"/>
      <c r="D88" s="192"/>
      <c r="E88" s="188" t="e">
        <f ca="1">VLOOKUP($D88,物料本月库存明細!$B:$J,2,0)</f>
        <v>#N/A</v>
      </c>
      <c r="F88" s="189" t="e">
        <f ca="1">VLOOKUP($D88,物料本月库存明細!$B:$J,5,0)</f>
        <v>#N/A</v>
      </c>
      <c r="G88" s="190"/>
      <c r="H88" s="188"/>
      <c r="I88" s="188"/>
      <c r="J88" s="190" t="e">
        <f ca="1">VLOOKUP($D88,物料本月库存明細!$B:$J,9,0)</f>
        <v>#N/A</v>
      </c>
    </row>
    <row r="89" s="172" customFormat="1" customHeight="1" spans="1:10">
      <c r="A89" s="187"/>
      <c r="B89" s="187"/>
      <c r="C89" s="193"/>
      <c r="D89" s="192"/>
      <c r="E89" s="188" t="e">
        <f ca="1">VLOOKUP($D89,物料本月库存明細!$B:$J,2,0)</f>
        <v>#N/A</v>
      </c>
      <c r="F89" s="189" t="e">
        <f ca="1">VLOOKUP($D89,物料本月库存明細!$B:$J,5,0)</f>
        <v>#N/A</v>
      </c>
      <c r="G89" s="190"/>
      <c r="H89" s="191"/>
      <c r="I89" s="188"/>
      <c r="J89" s="190" t="e">
        <f ca="1">VLOOKUP($D89,物料本月库存明細!$B:$J,9,0)</f>
        <v>#N/A</v>
      </c>
    </row>
    <row r="90" customHeight="1" spans="1:10">
      <c r="A90" s="187"/>
      <c r="B90" s="187"/>
      <c r="C90" s="193"/>
      <c r="D90" s="192"/>
      <c r="E90" s="188" t="e">
        <f ca="1">VLOOKUP($D90,物料本月库存明細!$B:$J,2,0)</f>
        <v>#N/A</v>
      </c>
      <c r="F90" s="189" t="e">
        <f ca="1">VLOOKUP($D90,物料本月库存明細!$B:$J,5,0)</f>
        <v>#N/A</v>
      </c>
      <c r="G90" s="190"/>
      <c r="H90" s="188"/>
      <c r="I90" s="188"/>
      <c r="J90" s="190" t="e">
        <f ca="1">VLOOKUP($D90,物料本月库存明細!$B:$J,9,0)</f>
        <v>#N/A</v>
      </c>
    </row>
    <row r="91" customHeight="1" spans="1:10">
      <c r="A91" s="187"/>
      <c r="B91" s="187"/>
      <c r="C91" s="193"/>
      <c r="D91" s="196"/>
      <c r="E91" s="188" t="e">
        <f ca="1">VLOOKUP($D91,物料本月库存明細!$B:$J,2,0)</f>
        <v>#N/A</v>
      </c>
      <c r="F91" s="189" t="e">
        <f ca="1">VLOOKUP($D91,物料本月库存明細!$B:$J,5,0)</f>
        <v>#N/A</v>
      </c>
      <c r="G91" s="190"/>
      <c r="H91" s="188"/>
      <c r="I91" s="188"/>
      <c r="J91" s="190" t="e">
        <f ca="1">VLOOKUP($D91,物料本月库存明細!$B:$J,9,0)</f>
        <v>#N/A</v>
      </c>
    </row>
    <row r="92" customHeight="1" spans="1:10">
      <c r="A92" s="187"/>
      <c r="B92" s="187"/>
      <c r="C92" s="193"/>
      <c r="D92" s="192"/>
      <c r="E92" s="188" t="e">
        <f ca="1">VLOOKUP($D92,物料本月库存明細!$B:$J,2,0)</f>
        <v>#N/A</v>
      </c>
      <c r="F92" s="189" t="e">
        <f ca="1">VLOOKUP($D92,物料本月库存明細!$B:$J,5,0)</f>
        <v>#N/A</v>
      </c>
      <c r="G92" s="190"/>
      <c r="H92" s="188"/>
      <c r="I92" s="188"/>
      <c r="J92" s="190" t="e">
        <f ca="1">VLOOKUP($D92,物料本月库存明細!$B:$J,9,0)</f>
        <v>#N/A</v>
      </c>
    </row>
    <row r="93" customHeight="1" spans="1:10">
      <c r="A93" s="187"/>
      <c r="B93" s="187"/>
      <c r="C93" s="193"/>
      <c r="D93" s="192"/>
      <c r="E93" s="188" t="e">
        <f ca="1">VLOOKUP($D93,物料本月库存明細!$B:$J,2,0)</f>
        <v>#N/A</v>
      </c>
      <c r="F93" s="189" t="e">
        <f ca="1">VLOOKUP($D93,物料本月库存明細!$B:$J,5,0)</f>
        <v>#N/A</v>
      </c>
      <c r="G93" s="190"/>
      <c r="H93" s="191"/>
      <c r="I93" s="188"/>
      <c r="J93" s="190" t="e">
        <f ca="1">VLOOKUP($D93,物料本月库存明細!$B:$J,9,0)</f>
        <v>#N/A</v>
      </c>
    </row>
    <row r="94" customHeight="1" spans="1:10">
      <c r="A94" s="187"/>
      <c r="B94" s="187"/>
      <c r="C94" s="193"/>
      <c r="D94" s="196"/>
      <c r="E94" s="188" t="e">
        <f ca="1">VLOOKUP($D94,物料本月库存明細!$B:$J,2,0)</f>
        <v>#N/A</v>
      </c>
      <c r="F94" s="189" t="e">
        <f ca="1">VLOOKUP($D94,物料本月库存明細!$B:$J,5,0)</f>
        <v>#N/A</v>
      </c>
      <c r="G94" s="190"/>
      <c r="H94" s="188"/>
      <c r="I94" s="188"/>
      <c r="J94" s="190" t="e">
        <f ca="1">VLOOKUP($D94,物料本月库存明細!$B:$J,9,0)</f>
        <v>#N/A</v>
      </c>
    </row>
    <row r="95" customHeight="1" spans="1:10">
      <c r="A95" s="187"/>
      <c r="B95" s="187"/>
      <c r="C95" s="193"/>
      <c r="D95" s="196"/>
      <c r="E95" s="188" t="e">
        <f ca="1">VLOOKUP($D95,物料本月库存明細!$B:$J,2,0)</f>
        <v>#N/A</v>
      </c>
      <c r="F95" s="189" t="e">
        <f ca="1">VLOOKUP($D95,物料本月库存明細!$B:$J,5,0)</f>
        <v>#N/A</v>
      </c>
      <c r="G95" s="190"/>
      <c r="H95" s="188"/>
      <c r="I95" s="188"/>
      <c r="J95" s="190" t="e">
        <f ca="1">VLOOKUP($D95,物料本月库存明細!$B:$J,9,0)</f>
        <v>#N/A</v>
      </c>
    </row>
    <row r="96" customHeight="1" spans="1:10">
      <c r="A96" s="187"/>
      <c r="B96" s="187"/>
      <c r="C96" s="193"/>
      <c r="D96" s="192"/>
      <c r="E96" s="188" t="e">
        <f ca="1">VLOOKUP($D96,物料本月库存明細!$B:$J,2,0)</f>
        <v>#N/A</v>
      </c>
      <c r="F96" s="189" t="e">
        <f ca="1">VLOOKUP($D96,物料本月库存明細!$B:$J,5,0)</f>
        <v>#N/A</v>
      </c>
      <c r="G96" s="190"/>
      <c r="H96" s="188"/>
      <c r="I96" s="188"/>
      <c r="J96" s="190" t="e">
        <f ca="1">VLOOKUP($D96,物料本月库存明細!$B:$J,9,0)</f>
        <v>#N/A</v>
      </c>
    </row>
    <row r="97" customHeight="1" spans="1:10">
      <c r="A97" s="187"/>
      <c r="B97" s="187"/>
      <c r="C97" s="193"/>
      <c r="D97" s="192"/>
      <c r="E97" s="188" t="e">
        <f ca="1">VLOOKUP($D97,物料本月库存明細!$B:$J,2,0)</f>
        <v>#N/A</v>
      </c>
      <c r="F97" s="189" t="e">
        <f ca="1">VLOOKUP($D97,物料本月库存明細!$B:$J,5,0)</f>
        <v>#N/A</v>
      </c>
      <c r="G97" s="190"/>
      <c r="H97" s="188"/>
      <c r="I97" s="188"/>
      <c r="J97" s="190" t="e">
        <f ca="1">VLOOKUP($D97,物料本月库存明細!$B:$J,9,0)</f>
        <v>#N/A</v>
      </c>
    </row>
    <row r="98" customHeight="1" spans="1:10">
      <c r="A98" s="187"/>
      <c r="B98" s="187"/>
      <c r="C98" s="193"/>
      <c r="D98" s="192"/>
      <c r="E98" s="188" t="e">
        <f ca="1">VLOOKUP($D98,物料本月库存明細!$B:$J,2,0)</f>
        <v>#N/A</v>
      </c>
      <c r="F98" s="189" t="e">
        <f ca="1">VLOOKUP($D98,物料本月库存明細!$B:$J,5,0)</f>
        <v>#N/A</v>
      </c>
      <c r="G98" s="190"/>
      <c r="H98" s="188"/>
      <c r="I98" s="188"/>
      <c r="J98" s="190" t="e">
        <f ca="1">VLOOKUP($D98,物料本月库存明細!$B:$J,9,0)</f>
        <v>#N/A</v>
      </c>
    </row>
    <row r="99" customHeight="1" spans="1:10">
      <c r="A99" s="187"/>
      <c r="B99" s="187"/>
      <c r="C99" s="193"/>
      <c r="D99" s="192"/>
      <c r="E99" s="188" t="e">
        <f ca="1">VLOOKUP($D99,物料本月库存明細!$B:$J,2,0)</f>
        <v>#N/A</v>
      </c>
      <c r="F99" s="189" t="e">
        <f ca="1">VLOOKUP($D99,物料本月库存明細!$B:$J,5,0)</f>
        <v>#N/A</v>
      </c>
      <c r="G99" s="190"/>
      <c r="H99" s="188"/>
      <c r="I99" s="188"/>
      <c r="J99" s="190" t="e">
        <f ca="1">VLOOKUP($D99,物料本月库存明細!$B:$J,9,0)</f>
        <v>#N/A</v>
      </c>
    </row>
    <row r="100" customHeight="1" spans="1:10">
      <c r="A100" s="187"/>
      <c r="B100" s="187"/>
      <c r="C100" s="193"/>
      <c r="D100" s="192"/>
      <c r="E100" s="188" t="e">
        <f ca="1">VLOOKUP($D100,物料本月库存明細!$B:$J,2,0)</f>
        <v>#N/A</v>
      </c>
      <c r="F100" s="189" t="e">
        <f ca="1">VLOOKUP($D100,物料本月库存明細!$B:$J,5,0)</f>
        <v>#N/A</v>
      </c>
      <c r="G100" s="190"/>
      <c r="H100" s="188"/>
      <c r="I100" s="188"/>
      <c r="J100" s="190" t="e">
        <f ca="1">VLOOKUP($D100,物料本月库存明細!$B:$J,9,0)</f>
        <v>#N/A</v>
      </c>
    </row>
    <row r="101" customHeight="1" spans="1:10">
      <c r="A101" s="187"/>
      <c r="B101" s="187"/>
      <c r="C101" s="193"/>
      <c r="D101" s="194"/>
      <c r="E101" s="188" t="e">
        <f ca="1">VLOOKUP($D101,物料本月库存明細!$B:$J,2,0)</f>
        <v>#N/A</v>
      </c>
      <c r="F101" s="189" t="e">
        <f ca="1">VLOOKUP($D101,物料本月库存明細!$B:$J,5,0)</f>
        <v>#N/A</v>
      </c>
      <c r="G101" s="190"/>
      <c r="H101" s="191"/>
      <c r="I101" s="188"/>
      <c r="J101" s="190" t="e">
        <f ca="1">VLOOKUP($D101,物料本月库存明細!$B:$J,9,0)</f>
        <v>#N/A</v>
      </c>
    </row>
    <row r="102" customHeight="1" spans="1:10">
      <c r="A102" s="187"/>
      <c r="B102" s="187"/>
      <c r="C102" s="193"/>
      <c r="D102" s="196"/>
      <c r="E102" s="188" t="e">
        <f ca="1">VLOOKUP($D102,物料本月库存明細!$B:$J,2,0)</f>
        <v>#N/A</v>
      </c>
      <c r="F102" s="189" t="e">
        <f ca="1">VLOOKUP($D102,物料本月库存明細!$B:$J,5,0)</f>
        <v>#N/A</v>
      </c>
      <c r="G102" s="190"/>
      <c r="H102" s="199"/>
      <c r="I102" s="188"/>
      <c r="J102" s="190" t="e">
        <f ca="1">VLOOKUP($D102,物料本月库存明細!$B:$J,9,0)</f>
        <v>#N/A</v>
      </c>
    </row>
    <row r="103" customHeight="1" spans="1:10">
      <c r="A103" s="187"/>
      <c r="B103" s="187"/>
      <c r="C103" s="193"/>
      <c r="D103" s="196"/>
      <c r="E103" s="188" t="e">
        <f ca="1">VLOOKUP($D103,物料本月库存明細!$B:$J,2,0)</f>
        <v>#N/A</v>
      </c>
      <c r="F103" s="189" t="e">
        <f ca="1">VLOOKUP($D103,物料本月库存明細!$B:$J,5,0)</f>
        <v>#N/A</v>
      </c>
      <c r="G103" s="190"/>
      <c r="H103" s="188"/>
      <c r="I103" s="188"/>
      <c r="J103" s="190" t="e">
        <f ca="1">VLOOKUP($D103,物料本月库存明細!$B:$J,9,0)</f>
        <v>#N/A</v>
      </c>
    </row>
    <row r="104" customHeight="1" spans="1:10">
      <c r="A104" s="187"/>
      <c r="B104" s="187"/>
      <c r="C104" s="193"/>
      <c r="D104" s="192"/>
      <c r="E104" s="188" t="e">
        <f ca="1">VLOOKUP($D104,物料本月库存明細!$B:$J,2,0)</f>
        <v>#N/A</v>
      </c>
      <c r="F104" s="189" t="e">
        <f ca="1">VLOOKUP($D104,物料本月库存明細!$B:$J,5,0)</f>
        <v>#N/A</v>
      </c>
      <c r="G104" s="190"/>
      <c r="H104" s="188"/>
      <c r="I104" s="188"/>
      <c r="J104" s="190" t="e">
        <f ca="1">VLOOKUP($D104,物料本月库存明細!$B:$J,9,0)</f>
        <v>#N/A</v>
      </c>
    </row>
    <row r="105" customHeight="1" spans="1:10">
      <c r="A105" s="187"/>
      <c r="B105" s="187"/>
      <c r="C105" s="193"/>
      <c r="D105" s="194"/>
      <c r="E105" s="188" t="e">
        <f ca="1">VLOOKUP($D105,物料本月库存明細!$B:$J,2,0)</f>
        <v>#N/A</v>
      </c>
      <c r="F105" s="189" t="e">
        <f ca="1">VLOOKUP($D105,物料本月库存明細!$B:$J,5,0)</f>
        <v>#N/A</v>
      </c>
      <c r="G105" s="190"/>
      <c r="H105" s="188"/>
      <c r="I105" s="188"/>
      <c r="J105" s="190" t="e">
        <f ca="1">VLOOKUP($D105,物料本月库存明細!$B:$J,9,0)</f>
        <v>#N/A</v>
      </c>
    </row>
    <row r="106" customHeight="1" spans="1:10">
      <c r="A106" s="187"/>
      <c r="B106" s="187"/>
      <c r="C106" s="193"/>
      <c r="D106" s="192"/>
      <c r="E106" s="188" t="e">
        <f ca="1">VLOOKUP($D106,物料本月库存明細!$B:$J,2,0)</f>
        <v>#N/A</v>
      </c>
      <c r="F106" s="189" t="e">
        <f ca="1">VLOOKUP($D106,物料本月库存明細!$B:$J,5,0)</f>
        <v>#N/A</v>
      </c>
      <c r="G106" s="190"/>
      <c r="H106" s="188"/>
      <c r="I106" s="188"/>
      <c r="J106" s="190" t="e">
        <f ca="1">VLOOKUP($D106,物料本月库存明細!$B:$J,9,0)</f>
        <v>#N/A</v>
      </c>
    </row>
    <row r="107" customHeight="1" spans="1:10">
      <c r="A107" s="187"/>
      <c r="B107" s="187"/>
      <c r="C107" s="193"/>
      <c r="D107" s="192"/>
      <c r="E107" s="188" t="e">
        <f ca="1">VLOOKUP($D107,物料本月库存明細!$B:$J,2,0)</f>
        <v>#N/A</v>
      </c>
      <c r="F107" s="189" t="e">
        <f ca="1">VLOOKUP($D107,物料本月库存明細!$B:$J,5,0)</f>
        <v>#N/A</v>
      </c>
      <c r="G107" s="190"/>
      <c r="H107" s="188"/>
      <c r="I107" s="188"/>
      <c r="J107" s="190" t="e">
        <f ca="1">VLOOKUP($D107,物料本月库存明細!$B:$J,9,0)</f>
        <v>#N/A</v>
      </c>
    </row>
    <row r="108" customHeight="1" spans="1:10">
      <c r="A108" s="187"/>
      <c r="B108" s="187"/>
      <c r="C108" s="193"/>
      <c r="D108" s="196"/>
      <c r="E108" s="188" t="e">
        <f ca="1">VLOOKUP($D108,物料本月库存明細!$B:$J,2,0)</f>
        <v>#N/A</v>
      </c>
      <c r="F108" s="189" t="e">
        <f ca="1">VLOOKUP($D108,物料本月库存明細!$B:$J,5,0)</f>
        <v>#N/A</v>
      </c>
      <c r="G108" s="190"/>
      <c r="H108" s="188"/>
      <c r="I108" s="188"/>
      <c r="J108" s="190" t="e">
        <f ca="1">VLOOKUP($D108,物料本月库存明細!$B:$J,9,0)</f>
        <v>#N/A</v>
      </c>
    </row>
    <row r="109" customHeight="1" spans="1:10">
      <c r="A109" s="187"/>
      <c r="B109" s="187"/>
      <c r="C109" s="193"/>
      <c r="D109" s="192"/>
      <c r="E109" s="188" t="e">
        <f ca="1">VLOOKUP($D109,物料本月库存明細!$B:$J,2,0)</f>
        <v>#N/A</v>
      </c>
      <c r="F109" s="189" t="e">
        <f ca="1">VLOOKUP($D109,物料本月库存明細!$B:$J,5,0)</f>
        <v>#N/A</v>
      </c>
      <c r="G109" s="190"/>
      <c r="H109" s="188"/>
      <c r="I109" s="188"/>
      <c r="J109" s="190" t="e">
        <f ca="1">VLOOKUP($D109,物料本月库存明細!$B:$J,9,0)</f>
        <v>#N/A</v>
      </c>
    </row>
    <row r="110" customHeight="1" spans="1:10">
      <c r="A110" s="187"/>
      <c r="B110" s="187"/>
      <c r="C110" s="193"/>
      <c r="D110" s="194"/>
      <c r="E110" s="188" t="e">
        <f ca="1">VLOOKUP($D110,物料本月库存明細!$B:$J,2,0)</f>
        <v>#N/A</v>
      </c>
      <c r="F110" s="189" t="e">
        <f ca="1">VLOOKUP($D110,物料本月库存明細!$B:$J,5,0)</f>
        <v>#N/A</v>
      </c>
      <c r="G110" s="190"/>
      <c r="H110" s="188"/>
      <c r="I110" s="188"/>
      <c r="J110" s="190" t="e">
        <f ca="1">VLOOKUP($D110,物料本月库存明細!$B:$J,9,0)</f>
        <v>#N/A</v>
      </c>
    </row>
    <row r="111" customHeight="1" spans="1:10">
      <c r="A111" s="187"/>
      <c r="B111" s="187"/>
      <c r="C111" s="193"/>
      <c r="D111" s="196"/>
      <c r="E111" s="188" t="e">
        <f ca="1">VLOOKUP($D111,物料本月库存明細!$B:$J,2,0)</f>
        <v>#N/A</v>
      </c>
      <c r="F111" s="189" t="e">
        <f ca="1">VLOOKUP($D111,物料本月库存明細!$B:$J,5,0)</f>
        <v>#N/A</v>
      </c>
      <c r="G111" s="190"/>
      <c r="H111" s="191"/>
      <c r="I111" s="188"/>
      <c r="J111" s="190" t="e">
        <f ca="1">VLOOKUP($D111,物料本月库存明細!$B:$J,9,0)</f>
        <v>#N/A</v>
      </c>
    </row>
    <row r="112" customHeight="1" spans="1:10">
      <c r="A112" s="187"/>
      <c r="B112" s="187"/>
      <c r="C112" s="193"/>
      <c r="D112" s="192"/>
      <c r="E112" s="188" t="e">
        <f ca="1">VLOOKUP($D112,物料本月库存明細!$B:$J,2,0)</f>
        <v>#N/A</v>
      </c>
      <c r="F112" s="189" t="e">
        <f ca="1">VLOOKUP($D112,物料本月库存明細!$B:$J,5,0)</f>
        <v>#N/A</v>
      </c>
      <c r="G112" s="190"/>
      <c r="H112" s="188"/>
      <c r="I112" s="188"/>
      <c r="J112" s="190" t="e">
        <f ca="1">VLOOKUP($D112,物料本月库存明細!$B:$J,9,0)</f>
        <v>#N/A</v>
      </c>
    </row>
    <row r="113" customHeight="1" spans="1:10">
      <c r="A113" s="187"/>
      <c r="B113" s="187"/>
      <c r="C113" s="193"/>
      <c r="D113" s="192"/>
      <c r="E113" s="188" t="e">
        <f ca="1">VLOOKUP($D113,物料本月库存明細!$B:$J,2,0)</f>
        <v>#N/A</v>
      </c>
      <c r="F113" s="189" t="e">
        <f ca="1">VLOOKUP($D113,物料本月库存明細!$B:$J,5,0)</f>
        <v>#N/A</v>
      </c>
      <c r="G113" s="190"/>
      <c r="H113" s="188"/>
      <c r="I113" s="188"/>
      <c r="J113" s="190" t="e">
        <f ca="1">VLOOKUP($D113,物料本月库存明細!$B:$J,9,0)</f>
        <v>#N/A</v>
      </c>
    </row>
    <row r="114" customHeight="1" spans="1:10">
      <c r="A114" s="187"/>
      <c r="B114" s="187"/>
      <c r="C114" s="193"/>
      <c r="D114" s="196"/>
      <c r="E114" s="188" t="e">
        <f ca="1">VLOOKUP($D114,物料本月库存明細!$B:$J,2,0)</f>
        <v>#N/A</v>
      </c>
      <c r="F114" s="189" t="e">
        <f ca="1">VLOOKUP($D114,物料本月库存明細!$B:$J,5,0)</f>
        <v>#N/A</v>
      </c>
      <c r="G114" s="190"/>
      <c r="H114" s="188"/>
      <c r="I114" s="188"/>
      <c r="J114" s="190" t="e">
        <f ca="1">VLOOKUP($D114,物料本月库存明細!$B:$J,9,0)</f>
        <v>#N/A</v>
      </c>
    </row>
    <row r="115" s="172" customFormat="1" customHeight="1" spans="1:10">
      <c r="A115" s="187"/>
      <c r="B115" s="187"/>
      <c r="C115" s="193"/>
      <c r="D115" s="192"/>
      <c r="E115" s="188" t="e">
        <f ca="1">VLOOKUP($D115,物料本月库存明細!$B:$J,2,0)</f>
        <v>#N/A</v>
      </c>
      <c r="F115" s="189" t="e">
        <f ca="1">VLOOKUP($D115,物料本月库存明細!$B:$J,5,0)</f>
        <v>#N/A</v>
      </c>
      <c r="G115" s="190"/>
      <c r="H115" s="188"/>
      <c r="I115" s="188"/>
      <c r="J115" s="190" t="e">
        <f ca="1">VLOOKUP($D115,物料本月库存明細!$B:$J,9,0)</f>
        <v>#N/A</v>
      </c>
    </row>
    <row r="116" customHeight="1" spans="1:10">
      <c r="A116" s="187"/>
      <c r="B116" s="187"/>
      <c r="C116" s="193"/>
      <c r="D116" s="197"/>
      <c r="E116" s="188" t="e">
        <f ca="1">VLOOKUP($D116,物料本月库存明細!$B:$J,2,0)</f>
        <v>#N/A</v>
      </c>
      <c r="F116" s="189" t="e">
        <f ca="1">VLOOKUP($D116,物料本月库存明細!$B:$J,5,0)</f>
        <v>#N/A</v>
      </c>
      <c r="G116" s="190"/>
      <c r="H116" s="188"/>
      <c r="I116" s="188"/>
      <c r="J116" s="190" t="e">
        <f ca="1">VLOOKUP($D116,物料本月库存明細!$B:$J,9,0)</f>
        <v>#N/A</v>
      </c>
    </row>
    <row r="117" customHeight="1" spans="1:10">
      <c r="A117" s="187"/>
      <c r="B117" s="187"/>
      <c r="C117" s="193"/>
      <c r="D117" s="196"/>
      <c r="E117" s="188" t="e">
        <f ca="1">VLOOKUP($D117,物料本月库存明細!$B:$J,2,0)</f>
        <v>#N/A</v>
      </c>
      <c r="F117" s="189" t="e">
        <f ca="1">VLOOKUP($D117,物料本月库存明細!$B:$J,5,0)</f>
        <v>#N/A</v>
      </c>
      <c r="G117" s="190"/>
      <c r="H117" s="188"/>
      <c r="I117" s="188"/>
      <c r="J117" s="190" t="e">
        <f ca="1">VLOOKUP($D117,物料本月库存明細!$B:$J,9,0)</f>
        <v>#N/A</v>
      </c>
    </row>
    <row r="118" customHeight="1" spans="1:10">
      <c r="A118" s="187"/>
      <c r="B118" s="187"/>
      <c r="C118" s="193"/>
      <c r="D118" s="196"/>
      <c r="E118" s="188" t="e">
        <f ca="1">VLOOKUP($D118,物料本月库存明細!$B:$J,2,0)</f>
        <v>#N/A</v>
      </c>
      <c r="F118" s="189" t="e">
        <f ca="1">VLOOKUP($D118,物料本月库存明細!$B:$J,5,0)</f>
        <v>#N/A</v>
      </c>
      <c r="G118" s="190"/>
      <c r="H118" s="188"/>
      <c r="I118" s="188"/>
      <c r="J118" s="190" t="e">
        <f ca="1">VLOOKUP($D118,物料本月库存明細!$B:$J,9,0)</f>
        <v>#N/A</v>
      </c>
    </row>
    <row r="119" customHeight="1" spans="1:10">
      <c r="A119" s="187"/>
      <c r="B119" s="187"/>
      <c r="C119" s="193"/>
      <c r="D119" s="196"/>
      <c r="E119" s="188" t="e">
        <f ca="1">VLOOKUP($D119,物料本月库存明細!$B:$J,2,0)</f>
        <v>#N/A</v>
      </c>
      <c r="F119" s="189" t="e">
        <f ca="1">VLOOKUP($D119,物料本月库存明細!$B:$J,5,0)</f>
        <v>#N/A</v>
      </c>
      <c r="G119" s="190"/>
      <c r="H119" s="188"/>
      <c r="I119" s="188"/>
      <c r="J119" s="190" t="e">
        <f ca="1">VLOOKUP($D119,物料本月库存明細!$B:$J,9,0)</f>
        <v>#N/A</v>
      </c>
    </row>
    <row r="120" customHeight="1" spans="1:10">
      <c r="A120" s="187"/>
      <c r="B120" s="187"/>
      <c r="C120" s="193"/>
      <c r="D120" s="192"/>
      <c r="E120" s="188" t="e">
        <f ca="1">VLOOKUP($D120,物料本月库存明細!$B:$J,2,0)</f>
        <v>#N/A</v>
      </c>
      <c r="F120" s="189" t="e">
        <f ca="1">VLOOKUP($D120,物料本月库存明細!$B:$J,5,0)</f>
        <v>#N/A</v>
      </c>
      <c r="G120" s="190"/>
      <c r="H120" s="188"/>
      <c r="I120" s="188"/>
      <c r="J120" s="190" t="e">
        <f ca="1">VLOOKUP($D120,物料本月库存明細!$B:$J,9,0)</f>
        <v>#N/A</v>
      </c>
    </row>
    <row r="121" customHeight="1" spans="1:10">
      <c r="A121" s="187"/>
      <c r="B121" s="187"/>
      <c r="C121" s="193"/>
      <c r="D121" s="192"/>
      <c r="E121" s="188" t="e">
        <f ca="1">VLOOKUP($D121,物料本月库存明細!$B:$J,2,0)</f>
        <v>#N/A</v>
      </c>
      <c r="F121" s="189" t="e">
        <f ca="1">VLOOKUP($D121,物料本月库存明細!$B:$J,5,0)</f>
        <v>#N/A</v>
      </c>
      <c r="G121" s="190"/>
      <c r="H121" s="199"/>
      <c r="I121" s="188"/>
      <c r="J121" s="190" t="e">
        <f ca="1">VLOOKUP($D121,物料本月库存明細!$B:$J,9,0)</f>
        <v>#N/A</v>
      </c>
    </row>
    <row r="122" customHeight="1" spans="1:10">
      <c r="A122" s="187"/>
      <c r="B122" s="187"/>
      <c r="C122" s="193"/>
      <c r="D122" s="194"/>
      <c r="E122" s="188" t="e">
        <f ca="1">VLOOKUP($D122,物料本月库存明細!$B:$J,2,0)</f>
        <v>#N/A</v>
      </c>
      <c r="F122" s="189" t="e">
        <f ca="1">VLOOKUP($D122,物料本月库存明細!$B:$J,5,0)</f>
        <v>#N/A</v>
      </c>
      <c r="G122" s="190"/>
      <c r="H122" s="188"/>
      <c r="I122" s="188"/>
      <c r="J122" s="190" t="e">
        <f ca="1">VLOOKUP($D122,物料本月库存明細!$B:$J,9,0)</f>
        <v>#N/A</v>
      </c>
    </row>
    <row r="123" customHeight="1" spans="1:10">
      <c r="A123" s="187"/>
      <c r="B123" s="187"/>
      <c r="C123" s="193"/>
      <c r="D123" s="192"/>
      <c r="E123" s="188" t="e">
        <f ca="1">VLOOKUP($D123,物料本月库存明細!$B:$J,2,0)</f>
        <v>#N/A</v>
      </c>
      <c r="F123" s="189" t="e">
        <f ca="1">VLOOKUP($D123,物料本月库存明細!$B:$J,5,0)</f>
        <v>#N/A</v>
      </c>
      <c r="G123" s="190"/>
      <c r="H123" s="188"/>
      <c r="I123" s="188"/>
      <c r="J123" s="190" t="e">
        <f ca="1">VLOOKUP($D123,物料本月库存明細!$B:$J,9,0)</f>
        <v>#N/A</v>
      </c>
    </row>
    <row r="124" customHeight="1" spans="1:10">
      <c r="A124" s="187"/>
      <c r="B124" s="187"/>
      <c r="C124" s="193"/>
      <c r="D124" s="192"/>
      <c r="E124" s="188" t="e">
        <f ca="1">VLOOKUP($D124,物料本月库存明細!$B:$J,2,0)</f>
        <v>#N/A</v>
      </c>
      <c r="F124" s="189" t="e">
        <f ca="1">VLOOKUP($D124,物料本月库存明細!$B:$J,5,0)</f>
        <v>#N/A</v>
      </c>
      <c r="G124" s="190"/>
      <c r="H124" s="188"/>
      <c r="I124" s="188"/>
      <c r="J124" s="190" t="e">
        <f ca="1">VLOOKUP($D124,物料本月库存明細!$B:$J,9,0)</f>
        <v>#N/A</v>
      </c>
    </row>
    <row r="125" customHeight="1" spans="1:10">
      <c r="A125" s="187"/>
      <c r="B125" s="187"/>
      <c r="C125" s="193"/>
      <c r="D125" s="196"/>
      <c r="E125" s="188" t="e">
        <f ca="1">VLOOKUP($D125,物料本月库存明細!$B:$J,2,0)</f>
        <v>#N/A</v>
      </c>
      <c r="F125" s="189" t="e">
        <f ca="1">VLOOKUP($D125,物料本月库存明細!$B:$J,5,0)</f>
        <v>#N/A</v>
      </c>
      <c r="G125" s="190"/>
      <c r="H125" s="188"/>
      <c r="I125" s="188"/>
      <c r="J125" s="190" t="e">
        <f ca="1">VLOOKUP($D125,物料本月库存明細!$B:$J,9,0)</f>
        <v>#N/A</v>
      </c>
    </row>
    <row r="126" customHeight="1" spans="1:10">
      <c r="A126" s="187"/>
      <c r="B126" s="187"/>
      <c r="C126" s="193"/>
      <c r="D126" s="201"/>
      <c r="E126" s="188" t="e">
        <f ca="1">VLOOKUP($D126,物料本月库存明細!$B:$J,2,0)</f>
        <v>#N/A</v>
      </c>
      <c r="F126" s="189" t="e">
        <f ca="1">VLOOKUP($D126,物料本月库存明細!$B:$J,5,0)</f>
        <v>#N/A</v>
      </c>
      <c r="G126" s="190"/>
      <c r="H126" s="188"/>
      <c r="I126" s="188"/>
      <c r="J126" s="190" t="e">
        <f ca="1">VLOOKUP($D126,物料本月库存明細!$B:$J,9,0)</f>
        <v>#N/A</v>
      </c>
    </row>
    <row r="127" customHeight="1" spans="1:10">
      <c r="A127" s="187"/>
      <c r="B127" s="187"/>
      <c r="C127" s="193"/>
      <c r="D127" s="201"/>
      <c r="E127" s="188" t="e">
        <f ca="1">VLOOKUP($D127,物料本月库存明細!$B:$J,2,0)</f>
        <v>#N/A</v>
      </c>
      <c r="F127" s="189" t="e">
        <f ca="1">VLOOKUP($D127,物料本月库存明細!$B:$J,5,0)</f>
        <v>#N/A</v>
      </c>
      <c r="G127" s="190"/>
      <c r="H127" s="188"/>
      <c r="I127" s="188"/>
      <c r="J127" s="190" t="e">
        <f ca="1">VLOOKUP($D127,物料本月库存明細!$B:$J,9,0)</f>
        <v>#N/A</v>
      </c>
    </row>
    <row r="128" customHeight="1" spans="1:10">
      <c r="A128" s="187"/>
      <c r="B128" s="187"/>
      <c r="C128" s="193"/>
      <c r="D128" s="201"/>
      <c r="E128" s="188" t="e">
        <f ca="1">VLOOKUP($D128,物料本月库存明細!$B:$J,2,0)</f>
        <v>#N/A</v>
      </c>
      <c r="F128" s="189" t="e">
        <f ca="1">VLOOKUP($D128,物料本月库存明細!$B:$J,5,0)</f>
        <v>#N/A</v>
      </c>
      <c r="G128" s="190"/>
      <c r="H128" s="188"/>
      <c r="I128" s="188"/>
      <c r="J128" s="190" t="e">
        <f ca="1">VLOOKUP($D128,物料本月库存明細!$B:$J,9,0)</f>
        <v>#N/A</v>
      </c>
    </row>
    <row r="129" customHeight="1" spans="1:10">
      <c r="A129" s="187"/>
      <c r="B129" s="187"/>
      <c r="C129" s="193"/>
      <c r="D129" s="196"/>
      <c r="E129" s="188" t="e">
        <f ca="1">VLOOKUP($D129,物料本月库存明細!$B:$J,2,0)</f>
        <v>#N/A</v>
      </c>
      <c r="F129" s="189" t="e">
        <f ca="1">VLOOKUP($D129,物料本月库存明細!$B:$J,5,0)</f>
        <v>#N/A</v>
      </c>
      <c r="G129" s="190"/>
      <c r="H129" s="188"/>
      <c r="I129" s="188"/>
      <c r="J129" s="190" t="e">
        <f ca="1">VLOOKUP($D129,物料本月库存明細!$B:$J,9,0)</f>
        <v>#N/A</v>
      </c>
    </row>
    <row r="130" customHeight="1" spans="1:10">
      <c r="A130" s="187"/>
      <c r="B130" s="187"/>
      <c r="C130" s="193"/>
      <c r="D130" s="196"/>
      <c r="E130" s="188" t="e">
        <f ca="1">VLOOKUP($D130,物料本月库存明細!$B:$J,2,0)</f>
        <v>#N/A</v>
      </c>
      <c r="F130" s="189" t="e">
        <f ca="1">VLOOKUP($D130,物料本月库存明細!$B:$J,5,0)</f>
        <v>#N/A</v>
      </c>
      <c r="G130" s="190"/>
      <c r="H130" s="188"/>
      <c r="I130" s="188"/>
      <c r="J130" s="190" t="e">
        <f ca="1">VLOOKUP($D130,物料本月库存明細!$B:$J,9,0)</f>
        <v>#N/A</v>
      </c>
    </row>
    <row r="131" customHeight="1" spans="1:10">
      <c r="A131" s="187"/>
      <c r="B131" s="187"/>
      <c r="C131" s="193"/>
      <c r="D131" s="196"/>
      <c r="E131" s="188" t="e">
        <f ca="1">VLOOKUP($D131,物料本月库存明細!$B:$J,2,0)</f>
        <v>#N/A</v>
      </c>
      <c r="F131" s="189" t="e">
        <f ca="1">VLOOKUP($D131,物料本月库存明細!$B:$J,5,0)</f>
        <v>#N/A</v>
      </c>
      <c r="G131" s="190"/>
      <c r="H131" s="188"/>
      <c r="I131" s="188"/>
      <c r="J131" s="190" t="e">
        <f ca="1">VLOOKUP($D131,物料本月库存明細!$B:$J,9,0)</f>
        <v>#N/A</v>
      </c>
    </row>
    <row r="132" customHeight="1" spans="1:10">
      <c r="A132" s="187"/>
      <c r="B132" s="187"/>
      <c r="C132" s="193"/>
      <c r="D132" s="196"/>
      <c r="E132" s="188" t="e">
        <f ca="1">VLOOKUP($D132,物料本月库存明細!$B:$J,2,0)</f>
        <v>#N/A</v>
      </c>
      <c r="F132" s="189" t="e">
        <f ca="1">VLOOKUP($D132,物料本月库存明細!$B:$J,5,0)</f>
        <v>#N/A</v>
      </c>
      <c r="G132" s="190"/>
      <c r="H132" s="188"/>
      <c r="I132" s="188"/>
      <c r="J132" s="190" t="e">
        <f ca="1">VLOOKUP($D132,物料本月库存明細!$B:$J,9,0)</f>
        <v>#N/A</v>
      </c>
    </row>
    <row r="133" customHeight="1" spans="1:10">
      <c r="A133" s="187"/>
      <c r="B133" s="187"/>
      <c r="C133" s="193"/>
      <c r="D133" s="202"/>
      <c r="E133" s="188" t="e">
        <f ca="1">VLOOKUP($D133,物料本月库存明細!$B:$J,2,0)</f>
        <v>#N/A</v>
      </c>
      <c r="F133" s="189" t="e">
        <f ca="1">VLOOKUP($D133,物料本月库存明細!$B:$J,5,0)</f>
        <v>#N/A</v>
      </c>
      <c r="G133" s="190"/>
      <c r="H133" s="188"/>
      <c r="I133" s="188"/>
      <c r="J133" s="190" t="e">
        <f ca="1">VLOOKUP($D133,物料本月库存明細!$B:$J,9,0)</f>
        <v>#N/A</v>
      </c>
    </row>
    <row r="134" customHeight="1" spans="1:10">
      <c r="A134" s="187"/>
      <c r="B134" s="187"/>
      <c r="C134" s="193"/>
      <c r="D134" s="196"/>
      <c r="E134" s="188" t="e">
        <f ca="1">VLOOKUP($D134,物料本月库存明細!$B:$J,2,0)</f>
        <v>#N/A</v>
      </c>
      <c r="F134" s="189" t="e">
        <f ca="1">VLOOKUP($D134,物料本月库存明細!$B:$J,5,0)</f>
        <v>#N/A</v>
      </c>
      <c r="G134" s="190"/>
      <c r="H134" s="188"/>
      <c r="I134" s="188"/>
      <c r="J134" s="190" t="e">
        <f ca="1">VLOOKUP($D134,物料本月库存明細!$B:$J,9,0)</f>
        <v>#N/A</v>
      </c>
    </row>
    <row r="135" customHeight="1" spans="1:10">
      <c r="A135" s="187"/>
      <c r="B135" s="187"/>
      <c r="C135" s="193"/>
      <c r="D135" s="201"/>
      <c r="E135" s="188" t="e">
        <f ca="1">VLOOKUP($D135,物料本月库存明細!$B:$J,2,0)</f>
        <v>#N/A</v>
      </c>
      <c r="F135" s="189" t="e">
        <f ca="1">VLOOKUP($D135,物料本月库存明細!$B:$J,5,0)</f>
        <v>#N/A</v>
      </c>
      <c r="G135" s="190"/>
      <c r="H135" s="188"/>
      <c r="I135" s="188"/>
      <c r="J135" s="190" t="e">
        <f ca="1">VLOOKUP($D135,物料本月库存明細!$B:$J,9,0)</f>
        <v>#N/A</v>
      </c>
    </row>
    <row r="136" customHeight="1" spans="1:10">
      <c r="A136" s="187"/>
      <c r="B136" s="187"/>
      <c r="C136" s="193"/>
      <c r="D136" s="192"/>
      <c r="E136" s="188" t="e">
        <f ca="1">VLOOKUP($D136,物料本月库存明細!$B:$J,2,0)</f>
        <v>#N/A</v>
      </c>
      <c r="F136" s="189" t="e">
        <f ca="1">VLOOKUP($D136,物料本月库存明細!$B:$J,5,0)</f>
        <v>#N/A</v>
      </c>
      <c r="G136" s="190"/>
      <c r="H136" s="188"/>
      <c r="I136" s="188"/>
      <c r="J136" s="190" t="e">
        <f ca="1">VLOOKUP($D136,物料本月库存明細!$B:$J,9,0)</f>
        <v>#N/A</v>
      </c>
    </row>
    <row r="137" customHeight="1" spans="1:10">
      <c r="A137" s="187"/>
      <c r="B137" s="187"/>
      <c r="C137" s="193"/>
      <c r="D137" s="201"/>
      <c r="E137" s="188" t="e">
        <f ca="1">VLOOKUP($D137,物料本月库存明細!$B:$J,2,0)</f>
        <v>#N/A</v>
      </c>
      <c r="F137" s="189" t="e">
        <f ca="1">VLOOKUP($D137,物料本月库存明細!$B:$J,5,0)</f>
        <v>#N/A</v>
      </c>
      <c r="G137" s="190"/>
      <c r="H137" s="191"/>
      <c r="I137" s="188"/>
      <c r="J137" s="190" t="e">
        <f ca="1">VLOOKUP($D137,物料本月库存明細!$B:$J,9,0)</f>
        <v>#N/A</v>
      </c>
    </row>
    <row r="138" s="172" customFormat="1" customHeight="1" spans="1:10">
      <c r="A138" s="187"/>
      <c r="B138" s="187"/>
      <c r="C138" s="193"/>
      <c r="D138" s="192"/>
      <c r="E138" s="188" t="e">
        <f ca="1">VLOOKUP($D138,物料本月库存明細!$B:$J,2,0)</f>
        <v>#N/A</v>
      </c>
      <c r="F138" s="189" t="e">
        <f ca="1">VLOOKUP($D138,物料本月库存明細!$B:$J,5,0)</f>
        <v>#N/A</v>
      </c>
      <c r="G138" s="190"/>
      <c r="H138" s="188"/>
      <c r="I138" s="188"/>
      <c r="J138" s="190" t="e">
        <f ca="1">VLOOKUP($D138,物料本月库存明細!$B:$J,9,0)</f>
        <v>#N/A</v>
      </c>
    </row>
    <row r="139" customHeight="1" spans="1:10">
      <c r="A139" s="187"/>
      <c r="B139" s="187"/>
      <c r="C139" s="193"/>
      <c r="D139" s="197"/>
      <c r="E139" s="188" t="e">
        <f ca="1">VLOOKUP($D139,物料本月库存明細!$B:$J,2,0)</f>
        <v>#N/A</v>
      </c>
      <c r="F139" s="189" t="e">
        <f ca="1">VLOOKUP($D139,物料本月库存明細!$B:$J,5,0)</f>
        <v>#N/A</v>
      </c>
      <c r="G139" s="190"/>
      <c r="H139" s="188"/>
      <c r="I139" s="188"/>
      <c r="J139" s="190" t="e">
        <f ca="1">VLOOKUP($D139,物料本月库存明細!$B:$J,9,0)</f>
        <v>#N/A</v>
      </c>
    </row>
    <row r="140" customHeight="1" spans="1:10">
      <c r="A140" s="187"/>
      <c r="B140" s="187"/>
      <c r="C140" s="193"/>
      <c r="D140" s="192"/>
      <c r="E140" s="188" t="e">
        <f ca="1">VLOOKUP($D140,物料本月库存明細!$B:$J,2,0)</f>
        <v>#N/A</v>
      </c>
      <c r="F140" s="189" t="e">
        <f ca="1">VLOOKUP($D140,物料本月库存明細!$B:$J,5,0)</f>
        <v>#N/A</v>
      </c>
      <c r="G140" s="190"/>
      <c r="H140" s="188"/>
      <c r="I140" s="188"/>
      <c r="J140" s="190" t="e">
        <f ca="1">VLOOKUP($D140,物料本月库存明細!$B:$J,9,0)</f>
        <v>#N/A</v>
      </c>
    </row>
    <row r="141" customHeight="1" spans="1:10">
      <c r="A141" s="187"/>
      <c r="B141" s="187"/>
      <c r="C141" s="193"/>
      <c r="D141" s="192"/>
      <c r="E141" s="188" t="e">
        <f ca="1">VLOOKUP($D141,物料本月库存明細!$B:$J,2,0)</f>
        <v>#N/A</v>
      </c>
      <c r="F141" s="189" t="e">
        <f ca="1">VLOOKUP($D141,物料本月库存明細!$B:$J,5,0)</f>
        <v>#N/A</v>
      </c>
      <c r="G141" s="190"/>
      <c r="H141" s="191"/>
      <c r="I141" s="188"/>
      <c r="J141" s="190" t="e">
        <f ca="1">VLOOKUP($D141,物料本月库存明細!$B:$J,9,0)</f>
        <v>#N/A</v>
      </c>
    </row>
    <row r="142" customHeight="1" spans="1:10">
      <c r="A142" s="187"/>
      <c r="B142" s="187"/>
      <c r="C142" s="193"/>
      <c r="D142" s="192"/>
      <c r="E142" s="188" t="e">
        <f ca="1">VLOOKUP($D142,物料本月库存明細!$B:$J,2,0)</f>
        <v>#N/A</v>
      </c>
      <c r="F142" s="189" t="e">
        <f ca="1">VLOOKUP($D142,物料本月库存明細!$B:$J,5,0)</f>
        <v>#N/A</v>
      </c>
      <c r="G142" s="190"/>
      <c r="H142" s="191"/>
      <c r="I142" s="188"/>
      <c r="J142" s="190" t="e">
        <f ca="1">VLOOKUP($D142,物料本月库存明細!$B:$J,9,0)</f>
        <v>#N/A</v>
      </c>
    </row>
    <row r="143" customHeight="1" spans="1:10">
      <c r="A143" s="187"/>
      <c r="B143" s="187"/>
      <c r="C143" s="193"/>
      <c r="D143" s="192"/>
      <c r="E143" s="188" t="e">
        <f ca="1">VLOOKUP($D143,物料本月库存明細!$B:$J,2,0)</f>
        <v>#N/A</v>
      </c>
      <c r="F143" s="189" t="e">
        <f ca="1">VLOOKUP($D143,物料本月库存明細!$B:$J,5,0)</f>
        <v>#N/A</v>
      </c>
      <c r="G143" s="190"/>
      <c r="H143" s="188"/>
      <c r="I143" s="188"/>
      <c r="J143" s="190" t="e">
        <f ca="1">VLOOKUP($D143,物料本月库存明細!$B:$J,9,0)</f>
        <v>#N/A</v>
      </c>
    </row>
    <row r="144" customHeight="1" spans="1:10">
      <c r="A144" s="187"/>
      <c r="B144" s="187"/>
      <c r="C144" s="193"/>
      <c r="D144" s="192"/>
      <c r="E144" s="188" t="e">
        <f ca="1">VLOOKUP($D144,物料本月库存明細!$B:$J,2,0)</f>
        <v>#N/A</v>
      </c>
      <c r="F144" s="189" t="e">
        <f ca="1">VLOOKUP($D144,物料本月库存明細!$B:$J,5,0)</f>
        <v>#N/A</v>
      </c>
      <c r="G144" s="190"/>
      <c r="H144" s="188"/>
      <c r="I144" s="188"/>
      <c r="J144" s="190" t="e">
        <f ca="1">VLOOKUP($D144,物料本月库存明細!$B:$J,9,0)</f>
        <v>#N/A</v>
      </c>
    </row>
    <row r="145" s="172" customFormat="1" customHeight="1" spans="1:10">
      <c r="A145" s="187"/>
      <c r="B145" s="187"/>
      <c r="C145" s="193"/>
      <c r="D145" s="196"/>
      <c r="E145" s="188" t="e">
        <f ca="1">VLOOKUP($D145,物料本月库存明細!$B:$J,2,0)</f>
        <v>#N/A</v>
      </c>
      <c r="F145" s="189" t="e">
        <f ca="1">VLOOKUP($D145,物料本月库存明細!$B:$J,5,0)</f>
        <v>#N/A</v>
      </c>
      <c r="G145" s="190"/>
      <c r="H145" s="188"/>
      <c r="I145" s="188"/>
      <c r="J145" s="190" t="e">
        <f ca="1">VLOOKUP($D145,物料本月库存明細!$B:$J,9,0)</f>
        <v>#N/A</v>
      </c>
    </row>
    <row r="146" customHeight="1" spans="1:10">
      <c r="A146" s="187"/>
      <c r="B146" s="187"/>
      <c r="C146" s="193"/>
      <c r="D146" s="202"/>
      <c r="E146" s="188" t="e">
        <f ca="1">VLOOKUP($D146,物料本月库存明細!$B:$J,2,0)</f>
        <v>#N/A</v>
      </c>
      <c r="F146" s="189" t="e">
        <f ca="1">VLOOKUP($D146,物料本月库存明細!$B:$J,5,0)</f>
        <v>#N/A</v>
      </c>
      <c r="G146" s="190"/>
      <c r="H146" s="188"/>
      <c r="I146" s="188"/>
      <c r="J146" s="190" t="e">
        <f ca="1">VLOOKUP($D146,物料本月库存明細!$B:$J,9,0)</f>
        <v>#N/A</v>
      </c>
    </row>
    <row r="147" customHeight="1" spans="1:10">
      <c r="A147" s="187"/>
      <c r="B147" s="187"/>
      <c r="C147" s="193"/>
      <c r="D147" s="200"/>
      <c r="E147" s="188" t="e">
        <f ca="1">VLOOKUP($D147,物料本月库存明細!$B:$J,2,0)</f>
        <v>#N/A</v>
      </c>
      <c r="F147" s="189" t="e">
        <f ca="1">VLOOKUP($D147,物料本月库存明細!$B:$J,5,0)</f>
        <v>#N/A</v>
      </c>
      <c r="G147" s="190"/>
      <c r="H147" s="188"/>
      <c r="I147" s="188"/>
      <c r="J147" s="190" t="e">
        <f ca="1">VLOOKUP($D147,物料本月库存明細!$B:$J,9,0)</f>
        <v>#N/A</v>
      </c>
    </row>
    <row r="148" customHeight="1" spans="1:10">
      <c r="A148" s="187"/>
      <c r="B148" s="187"/>
      <c r="C148" s="193"/>
      <c r="D148" s="192"/>
      <c r="E148" s="188" t="e">
        <f ca="1">VLOOKUP($D148,物料本月库存明細!$B:$J,2,0)</f>
        <v>#N/A</v>
      </c>
      <c r="F148" s="189" t="e">
        <f ca="1">VLOOKUP($D148,物料本月库存明細!$B:$J,5,0)</f>
        <v>#N/A</v>
      </c>
      <c r="G148" s="190"/>
      <c r="H148" s="188"/>
      <c r="I148" s="188"/>
      <c r="J148" s="190" t="e">
        <f ca="1">VLOOKUP($D148,物料本月库存明細!$B:$J,9,0)</f>
        <v>#N/A</v>
      </c>
    </row>
    <row r="149" customHeight="1" spans="1:10">
      <c r="A149" s="187"/>
      <c r="B149" s="187"/>
      <c r="C149" s="193"/>
      <c r="D149" s="196"/>
      <c r="E149" s="188" t="e">
        <f ca="1">VLOOKUP($D149,物料本月库存明細!$B:$J,2,0)</f>
        <v>#N/A</v>
      </c>
      <c r="F149" s="189" t="e">
        <f ca="1">VLOOKUP($D149,物料本月库存明細!$B:$J,5,0)</f>
        <v>#N/A</v>
      </c>
      <c r="G149" s="190"/>
      <c r="H149" s="203"/>
      <c r="I149" s="188"/>
      <c r="J149" s="190" t="e">
        <f ca="1">VLOOKUP($D149,物料本月库存明細!$B:$J,9,0)</f>
        <v>#N/A</v>
      </c>
    </row>
    <row r="150" customHeight="1" spans="1:10">
      <c r="A150" s="187"/>
      <c r="B150" s="187"/>
      <c r="C150" s="193"/>
      <c r="D150" s="194"/>
      <c r="E150" s="188" t="e">
        <f ca="1">VLOOKUP($D150,物料本月库存明細!$B:$J,2,0)</f>
        <v>#N/A</v>
      </c>
      <c r="F150" s="189" t="e">
        <f ca="1">VLOOKUP($D150,物料本月库存明細!$B:$J,5,0)</f>
        <v>#N/A</v>
      </c>
      <c r="G150" s="190"/>
      <c r="H150" s="203"/>
      <c r="I150" s="188"/>
      <c r="J150" s="190" t="e">
        <f ca="1">VLOOKUP($D150,物料本月库存明細!$B:$J,9,0)</f>
        <v>#N/A</v>
      </c>
    </row>
    <row r="151" customHeight="1" spans="1:10">
      <c r="A151" s="187"/>
      <c r="B151" s="187"/>
      <c r="C151" s="193"/>
      <c r="D151" s="201"/>
      <c r="E151" s="188" t="e">
        <f ca="1">VLOOKUP($D151,物料本月库存明細!$B:$J,2,0)</f>
        <v>#N/A</v>
      </c>
      <c r="F151" s="189" t="e">
        <f ca="1">VLOOKUP($D151,物料本月库存明細!$B:$J,5,0)</f>
        <v>#N/A</v>
      </c>
      <c r="G151" s="190"/>
      <c r="H151" s="203"/>
      <c r="I151" s="188"/>
      <c r="J151" s="190" t="e">
        <f ca="1">VLOOKUP($D151,物料本月库存明細!$B:$J,9,0)</f>
        <v>#N/A</v>
      </c>
    </row>
    <row r="152" customHeight="1" spans="1:10">
      <c r="A152" s="187"/>
      <c r="B152" s="187"/>
      <c r="C152" s="193"/>
      <c r="D152" s="192"/>
      <c r="E152" s="188" t="e">
        <f ca="1">VLOOKUP($D152,物料本月库存明細!$B:$J,2,0)</f>
        <v>#N/A</v>
      </c>
      <c r="F152" s="189" t="e">
        <f ca="1">VLOOKUP($D152,物料本月库存明細!$B:$J,5,0)</f>
        <v>#N/A</v>
      </c>
      <c r="G152" s="190"/>
      <c r="H152" s="203"/>
      <c r="I152" s="188"/>
      <c r="J152" s="190" t="e">
        <f ca="1">VLOOKUP($D152,物料本月库存明細!$B:$J,9,0)</f>
        <v>#N/A</v>
      </c>
    </row>
    <row r="153" customHeight="1" spans="1:10">
      <c r="A153" s="187"/>
      <c r="B153" s="187"/>
      <c r="C153" s="193"/>
      <c r="D153" s="192"/>
      <c r="E153" s="188" t="e">
        <f ca="1">VLOOKUP($D153,物料本月库存明細!$B:$J,2,0)</f>
        <v>#N/A</v>
      </c>
      <c r="F153" s="189" t="e">
        <f ca="1">VLOOKUP($D153,物料本月库存明細!$B:$J,5,0)</f>
        <v>#N/A</v>
      </c>
      <c r="G153" s="190"/>
      <c r="H153" s="203"/>
      <c r="I153" s="188"/>
      <c r="J153" s="190" t="e">
        <f ca="1">VLOOKUP($D153,物料本月库存明細!$B:$J,9,0)</f>
        <v>#N/A</v>
      </c>
    </row>
    <row r="154" customHeight="1" spans="1:10">
      <c r="A154" s="187"/>
      <c r="B154" s="187"/>
      <c r="C154" s="193"/>
      <c r="D154" s="192"/>
      <c r="E154" s="188" t="e">
        <f ca="1">VLOOKUP($D154,物料本月库存明細!$B:$J,2,0)</f>
        <v>#N/A</v>
      </c>
      <c r="F154" s="189" t="e">
        <f ca="1">VLOOKUP($D154,物料本月库存明細!$B:$J,5,0)</f>
        <v>#N/A</v>
      </c>
      <c r="G154" s="190"/>
      <c r="H154" s="203"/>
      <c r="I154" s="188"/>
      <c r="J154" s="190" t="e">
        <f ca="1">VLOOKUP($D154,物料本月库存明細!$B:$J,9,0)</f>
        <v>#N/A</v>
      </c>
    </row>
    <row r="155" customHeight="1" spans="1:10">
      <c r="A155" s="187"/>
      <c r="B155" s="187"/>
      <c r="C155" s="193"/>
      <c r="D155" s="192"/>
      <c r="E155" s="188" t="e">
        <f ca="1">VLOOKUP($D155,物料本月库存明細!$B:$J,2,0)</f>
        <v>#N/A</v>
      </c>
      <c r="F155" s="189" t="e">
        <f ca="1">VLOOKUP($D155,物料本月库存明細!$B:$J,5,0)</f>
        <v>#N/A</v>
      </c>
      <c r="G155" s="190"/>
      <c r="H155" s="203"/>
      <c r="I155" s="188"/>
      <c r="J155" s="190" t="e">
        <f ca="1">VLOOKUP($D155,物料本月库存明細!$B:$J,9,0)</f>
        <v>#N/A</v>
      </c>
    </row>
    <row r="156" customHeight="1" spans="1:10">
      <c r="A156" s="187"/>
      <c r="B156" s="187"/>
      <c r="C156" s="193"/>
      <c r="D156" s="196"/>
      <c r="E156" s="188" t="e">
        <f ca="1">VLOOKUP($D156,物料本月库存明細!$B:$J,2,0)</f>
        <v>#N/A</v>
      </c>
      <c r="F156" s="189" t="e">
        <f ca="1">VLOOKUP($D156,物料本月库存明細!$B:$J,5,0)</f>
        <v>#N/A</v>
      </c>
      <c r="G156" s="190"/>
      <c r="H156" s="203"/>
      <c r="I156" s="188"/>
      <c r="J156" s="190" t="e">
        <f ca="1">VLOOKUP($D156,物料本月库存明細!$B:$J,9,0)</f>
        <v>#N/A</v>
      </c>
    </row>
    <row r="157" customHeight="1" spans="1:10">
      <c r="A157" s="187"/>
      <c r="B157" s="187"/>
      <c r="C157" s="193"/>
      <c r="D157" s="196"/>
      <c r="E157" s="188" t="e">
        <f ca="1">VLOOKUP($D157,物料本月库存明細!$B:$J,2,0)</f>
        <v>#N/A</v>
      </c>
      <c r="F157" s="189" t="e">
        <f ca="1">VLOOKUP($D157,物料本月库存明細!$B:$J,5,0)</f>
        <v>#N/A</v>
      </c>
      <c r="G157" s="190"/>
      <c r="H157" s="203"/>
      <c r="I157" s="188"/>
      <c r="J157" s="190" t="e">
        <f ca="1">VLOOKUP($D157,物料本月库存明細!$B:$J,9,0)</f>
        <v>#N/A</v>
      </c>
    </row>
    <row r="158" customHeight="1" spans="1:10">
      <c r="A158" s="187"/>
      <c r="B158" s="187"/>
      <c r="C158" s="193"/>
      <c r="D158" s="196"/>
      <c r="E158" s="188" t="e">
        <f ca="1">VLOOKUP($D158,物料本月库存明細!$B:$J,2,0)</f>
        <v>#N/A</v>
      </c>
      <c r="F158" s="189" t="e">
        <f ca="1">VLOOKUP($D158,物料本月库存明細!$B:$J,5,0)</f>
        <v>#N/A</v>
      </c>
      <c r="G158" s="190"/>
      <c r="H158" s="203"/>
      <c r="I158" s="188"/>
      <c r="J158" s="190" t="e">
        <f ca="1">VLOOKUP($D158,物料本月库存明細!$B:$J,9,0)</f>
        <v>#N/A</v>
      </c>
    </row>
    <row r="159" customHeight="1" spans="1:10">
      <c r="A159" s="187"/>
      <c r="B159" s="187"/>
      <c r="C159" s="193"/>
      <c r="D159" s="201"/>
      <c r="E159" s="188" t="e">
        <f ca="1">VLOOKUP($D159,物料本月库存明細!$B:$J,2,0)</f>
        <v>#N/A</v>
      </c>
      <c r="F159" s="189" t="e">
        <f ca="1">VLOOKUP($D159,物料本月库存明細!$B:$J,5,0)</f>
        <v>#N/A</v>
      </c>
      <c r="G159" s="190"/>
      <c r="H159" s="203"/>
      <c r="I159" s="188"/>
      <c r="J159" s="190" t="e">
        <f ca="1">VLOOKUP($D159,物料本月库存明細!$B:$J,9,0)</f>
        <v>#N/A</v>
      </c>
    </row>
    <row r="160" customHeight="1" spans="1:10">
      <c r="A160" s="187"/>
      <c r="B160" s="187"/>
      <c r="C160" s="193"/>
      <c r="D160" s="200"/>
      <c r="E160" s="188" t="e">
        <f ca="1">VLOOKUP($D160,物料本月库存明細!$B:$J,2,0)</f>
        <v>#N/A</v>
      </c>
      <c r="F160" s="189" t="e">
        <f ca="1">VLOOKUP($D160,物料本月库存明細!$B:$J,5,0)</f>
        <v>#N/A</v>
      </c>
      <c r="G160" s="190"/>
      <c r="H160" s="188"/>
      <c r="I160" s="188"/>
      <c r="J160" s="190" t="e">
        <f ca="1">VLOOKUP($D160,物料本月库存明細!$B:$J,9,0)</f>
        <v>#N/A</v>
      </c>
    </row>
    <row r="161" customHeight="1" spans="1:10">
      <c r="A161" s="187"/>
      <c r="B161" s="187"/>
      <c r="C161" s="193"/>
      <c r="D161" s="196"/>
      <c r="E161" s="188" t="e">
        <f ca="1">VLOOKUP($D161,物料本月库存明細!$B:$J,2,0)</f>
        <v>#N/A</v>
      </c>
      <c r="F161" s="189" t="e">
        <f ca="1">VLOOKUP($D161,物料本月库存明細!$B:$J,5,0)</f>
        <v>#N/A</v>
      </c>
      <c r="G161" s="190"/>
      <c r="H161" s="188"/>
      <c r="I161" s="188"/>
      <c r="J161" s="190" t="e">
        <f ca="1">VLOOKUP($D161,物料本月库存明細!$B:$J,9,0)</f>
        <v>#N/A</v>
      </c>
    </row>
    <row r="162" customHeight="1" spans="1:10">
      <c r="A162" s="187"/>
      <c r="B162" s="187"/>
      <c r="C162" s="193"/>
      <c r="D162" s="196"/>
      <c r="E162" s="188" t="e">
        <f ca="1">VLOOKUP($D162,物料本月库存明細!$B:$J,2,0)</f>
        <v>#N/A</v>
      </c>
      <c r="F162" s="189" t="e">
        <f ca="1">VLOOKUP($D162,物料本月库存明細!$B:$J,5,0)</f>
        <v>#N/A</v>
      </c>
      <c r="G162" s="190"/>
      <c r="H162" s="188"/>
      <c r="I162" s="188"/>
      <c r="J162" s="190" t="e">
        <f ca="1">VLOOKUP($D162,物料本月库存明細!$B:$J,9,0)</f>
        <v>#N/A</v>
      </c>
    </row>
    <row r="163" customHeight="1" spans="1:10">
      <c r="A163" s="187"/>
      <c r="B163" s="187"/>
      <c r="C163" s="193"/>
      <c r="D163" s="196"/>
      <c r="E163" s="188" t="e">
        <f ca="1">VLOOKUP($D163,物料本月库存明細!$B:$J,2,0)</f>
        <v>#N/A</v>
      </c>
      <c r="F163" s="189" t="e">
        <f ca="1">VLOOKUP($D163,物料本月库存明細!$B:$J,5,0)</f>
        <v>#N/A</v>
      </c>
      <c r="G163" s="190"/>
      <c r="H163" s="188"/>
      <c r="I163" s="188"/>
      <c r="J163" s="190" t="e">
        <f ca="1">VLOOKUP($D163,物料本月库存明細!$B:$J,9,0)</f>
        <v>#N/A</v>
      </c>
    </row>
    <row r="164" customHeight="1" spans="1:10">
      <c r="A164" s="187"/>
      <c r="B164" s="187"/>
      <c r="C164" s="193"/>
      <c r="D164" s="194"/>
      <c r="E164" s="188" t="e">
        <f ca="1">VLOOKUP($D164,物料本月库存明細!$B:$J,2,0)</f>
        <v>#N/A</v>
      </c>
      <c r="F164" s="189" t="e">
        <f ca="1">VLOOKUP($D164,物料本月库存明細!$B:$J,5,0)</f>
        <v>#N/A</v>
      </c>
      <c r="G164" s="190"/>
      <c r="H164" s="188"/>
      <c r="I164" s="188"/>
      <c r="J164" s="190" t="e">
        <f ca="1">VLOOKUP($D164,物料本月库存明細!$B:$J,9,0)</f>
        <v>#N/A</v>
      </c>
    </row>
    <row r="165" customHeight="1" spans="1:10">
      <c r="A165" s="187"/>
      <c r="B165" s="187"/>
      <c r="C165" s="193"/>
      <c r="D165" s="192"/>
      <c r="E165" s="188" t="e">
        <f ca="1">VLOOKUP($D165,物料本月库存明細!$B:$J,2,0)</f>
        <v>#N/A</v>
      </c>
      <c r="F165" s="189" t="e">
        <f ca="1">VLOOKUP($D165,物料本月库存明細!$B:$J,5,0)</f>
        <v>#N/A</v>
      </c>
      <c r="G165" s="190"/>
      <c r="H165" s="188"/>
      <c r="I165" s="188"/>
      <c r="J165" s="190" t="e">
        <f ca="1">VLOOKUP($D165,物料本月库存明細!$B:$J,9,0)</f>
        <v>#N/A</v>
      </c>
    </row>
    <row r="166" customHeight="1" spans="1:10">
      <c r="A166" s="187"/>
      <c r="B166" s="187"/>
      <c r="C166" s="193"/>
      <c r="D166" s="192"/>
      <c r="E166" s="188" t="e">
        <f ca="1">VLOOKUP($D166,物料本月库存明細!$B:$J,2,0)</f>
        <v>#N/A</v>
      </c>
      <c r="F166" s="189" t="e">
        <f ca="1">VLOOKUP($D166,物料本月库存明細!$B:$J,5,0)</f>
        <v>#N/A</v>
      </c>
      <c r="G166" s="190"/>
      <c r="H166" s="188"/>
      <c r="I166" s="188"/>
      <c r="J166" s="190" t="e">
        <f ca="1">VLOOKUP($D166,物料本月库存明細!$B:$J,9,0)</f>
        <v>#N/A</v>
      </c>
    </row>
    <row r="167" customHeight="1" spans="1:10">
      <c r="A167" s="187"/>
      <c r="B167" s="187"/>
      <c r="C167" s="193"/>
      <c r="D167" s="194"/>
      <c r="E167" s="188" t="e">
        <f ca="1">VLOOKUP($D167,物料本月库存明細!$B:$J,2,0)</f>
        <v>#N/A</v>
      </c>
      <c r="F167" s="189" t="e">
        <f ca="1">VLOOKUP($D167,物料本月库存明細!$B:$J,5,0)</f>
        <v>#N/A</v>
      </c>
      <c r="G167" s="190"/>
      <c r="H167" s="188"/>
      <c r="I167" s="188"/>
      <c r="J167" s="190" t="e">
        <f ca="1">VLOOKUP($D167,物料本月库存明細!$B:$J,9,0)</f>
        <v>#N/A</v>
      </c>
    </row>
    <row r="168" customHeight="1" spans="1:10">
      <c r="A168" s="187"/>
      <c r="B168" s="187"/>
      <c r="C168" s="193"/>
      <c r="D168" s="192"/>
      <c r="E168" s="188" t="e">
        <f ca="1">VLOOKUP($D168,物料本月库存明細!$B:$J,2,0)</f>
        <v>#N/A</v>
      </c>
      <c r="F168" s="189" t="e">
        <f ca="1">VLOOKUP($D168,物料本月库存明細!$B:$J,5,0)</f>
        <v>#N/A</v>
      </c>
      <c r="G168" s="190"/>
      <c r="H168" s="188"/>
      <c r="I168" s="188"/>
      <c r="J168" s="190" t="e">
        <f ca="1">VLOOKUP($D168,物料本月库存明細!$B:$J,9,0)</f>
        <v>#N/A</v>
      </c>
    </row>
    <row r="169" customHeight="1" spans="1:10">
      <c r="A169" s="187"/>
      <c r="B169" s="187"/>
      <c r="C169" s="193"/>
      <c r="D169" s="196"/>
      <c r="E169" s="188" t="e">
        <f ca="1">VLOOKUP($D169,物料本月库存明細!$B:$J,2,0)</f>
        <v>#N/A</v>
      </c>
      <c r="F169" s="189" t="e">
        <f ca="1">VLOOKUP($D169,物料本月库存明細!$B:$J,5,0)</f>
        <v>#N/A</v>
      </c>
      <c r="G169" s="190"/>
      <c r="H169" s="188"/>
      <c r="I169" s="188"/>
      <c r="J169" s="190" t="e">
        <f ca="1">VLOOKUP($D169,物料本月库存明細!$B:$J,9,0)</f>
        <v>#N/A</v>
      </c>
    </row>
    <row r="170" customHeight="1" spans="1:10">
      <c r="A170" s="187"/>
      <c r="B170" s="187"/>
      <c r="C170" s="193"/>
      <c r="D170" s="202"/>
      <c r="E170" s="188" t="e">
        <f ca="1">VLOOKUP($D170,物料本月库存明細!$B:$J,2,0)</f>
        <v>#N/A</v>
      </c>
      <c r="F170" s="189" t="e">
        <f ca="1">VLOOKUP($D170,物料本月库存明細!$B:$J,5,0)</f>
        <v>#N/A</v>
      </c>
      <c r="G170" s="190"/>
      <c r="H170" s="188"/>
      <c r="I170" s="188"/>
      <c r="J170" s="190" t="e">
        <f ca="1">VLOOKUP($D170,物料本月库存明細!$B:$J,9,0)</f>
        <v>#N/A</v>
      </c>
    </row>
    <row r="171" customHeight="1" spans="1:10">
      <c r="A171" s="187"/>
      <c r="B171" s="187"/>
      <c r="C171" s="193"/>
      <c r="D171" s="204"/>
      <c r="E171" s="188" t="e">
        <f ca="1">VLOOKUP($D171,物料本月库存明細!$B:$J,2,0)</f>
        <v>#N/A</v>
      </c>
      <c r="F171" s="189" t="e">
        <f ca="1">VLOOKUP($D171,物料本月库存明細!$B:$J,5,0)</f>
        <v>#N/A</v>
      </c>
      <c r="G171" s="190"/>
      <c r="H171" s="188"/>
      <c r="I171" s="188"/>
      <c r="J171" s="188" t="e">
        <f ca="1">VLOOKUP($D171,物料本月库存明細!$B:$J,9,0)</f>
        <v>#N/A</v>
      </c>
    </row>
    <row r="172" customHeight="1" spans="1:10">
      <c r="A172" s="187"/>
      <c r="B172" s="187"/>
      <c r="C172" s="193"/>
      <c r="D172" s="192"/>
      <c r="E172" s="188" t="e">
        <f ca="1">VLOOKUP($D172,物料本月库存明細!$B:$J,2,0)</f>
        <v>#N/A</v>
      </c>
      <c r="F172" s="189" t="e">
        <f ca="1">VLOOKUP($D172,物料本月库存明細!$B:$J,5,0)</f>
        <v>#N/A</v>
      </c>
      <c r="G172" s="190"/>
      <c r="H172" s="199"/>
      <c r="I172" s="188"/>
      <c r="J172" s="190" t="e">
        <f ca="1">VLOOKUP($D172,物料本月库存明細!$B:$J,9,0)</f>
        <v>#N/A</v>
      </c>
    </row>
    <row r="173" s="172" customFormat="1" customHeight="1" spans="1:10">
      <c r="A173" s="187"/>
      <c r="B173" s="187"/>
      <c r="C173" s="193"/>
      <c r="D173" s="201"/>
      <c r="E173" s="188" t="e">
        <f ca="1">VLOOKUP($D173,物料本月库存明細!$B:$J,2,0)</f>
        <v>#N/A</v>
      </c>
      <c r="F173" s="189" t="e">
        <f ca="1">VLOOKUP($D173,物料本月库存明細!$B:$J,5,0)</f>
        <v>#N/A</v>
      </c>
      <c r="G173" s="190"/>
      <c r="H173" s="188"/>
      <c r="I173" s="188"/>
      <c r="J173" s="190" t="e">
        <f ca="1">VLOOKUP($D173,物料本月库存明細!$B:$J,9,0)</f>
        <v>#N/A</v>
      </c>
    </row>
    <row r="174" s="172" customFormat="1" customHeight="1" spans="1:10">
      <c r="A174" s="187"/>
      <c r="B174" s="187"/>
      <c r="C174" s="193"/>
      <c r="D174" s="194"/>
      <c r="E174" s="188" t="e">
        <f ca="1">VLOOKUP($D174,物料本月库存明細!$B:$J,2,0)</f>
        <v>#N/A</v>
      </c>
      <c r="F174" s="189" t="e">
        <f ca="1">VLOOKUP($D174,物料本月库存明細!$B:$J,5,0)</f>
        <v>#N/A</v>
      </c>
      <c r="G174" s="190"/>
      <c r="H174" s="191"/>
      <c r="I174" s="188"/>
      <c r="J174" s="190" t="e">
        <f ca="1">VLOOKUP($D174,物料本月库存明細!$B:$J,9,0)</f>
        <v>#N/A</v>
      </c>
    </row>
    <row r="175" customHeight="1" spans="1:10">
      <c r="A175" s="187"/>
      <c r="B175" s="187"/>
      <c r="C175" s="193"/>
      <c r="D175" s="194"/>
      <c r="E175" s="188" t="e">
        <f ca="1">VLOOKUP($D175,物料本月库存明細!$B:$J,2,0)</f>
        <v>#N/A</v>
      </c>
      <c r="F175" s="189" t="e">
        <f ca="1">VLOOKUP($D175,物料本月库存明細!$B:$J,5,0)</f>
        <v>#N/A</v>
      </c>
      <c r="G175" s="190"/>
      <c r="H175" s="188"/>
      <c r="I175" s="188"/>
      <c r="J175" s="190" t="e">
        <f ca="1">VLOOKUP($D175,物料本月库存明細!$B:$J,9,0)</f>
        <v>#N/A</v>
      </c>
    </row>
    <row r="176" customHeight="1" spans="1:10">
      <c r="A176" s="187"/>
      <c r="B176" s="187"/>
      <c r="C176" s="193"/>
      <c r="D176" s="192"/>
      <c r="E176" s="188" t="e">
        <f ca="1">VLOOKUP($D176,物料本月库存明細!$B:$J,2,0)</f>
        <v>#N/A</v>
      </c>
      <c r="F176" s="189" t="e">
        <f ca="1">VLOOKUP($D176,物料本月库存明細!$B:$J,5,0)</f>
        <v>#N/A</v>
      </c>
      <c r="G176" s="190"/>
      <c r="H176" s="188"/>
      <c r="I176" s="188"/>
      <c r="J176" s="190" t="e">
        <f ca="1">VLOOKUP($D176,物料本月库存明細!$B:$J,9,0)</f>
        <v>#N/A</v>
      </c>
    </row>
    <row r="177" customHeight="1" spans="1:10">
      <c r="A177" s="187"/>
      <c r="B177" s="187"/>
      <c r="C177" s="193"/>
      <c r="D177" s="192"/>
      <c r="E177" s="188" t="e">
        <f ca="1">VLOOKUP($D177,物料本月库存明細!$B:$J,2,0)</f>
        <v>#N/A</v>
      </c>
      <c r="F177" s="189" t="e">
        <f ca="1">VLOOKUP($D177,物料本月库存明細!$B:$J,5,0)</f>
        <v>#N/A</v>
      </c>
      <c r="G177" s="190"/>
      <c r="H177" s="188"/>
      <c r="I177" s="188"/>
      <c r="J177" s="190" t="e">
        <f ca="1">VLOOKUP($D177,物料本月库存明細!$B:$J,9,0)</f>
        <v>#N/A</v>
      </c>
    </row>
    <row r="178" customHeight="1" spans="1:10">
      <c r="A178" s="187"/>
      <c r="B178" s="187"/>
      <c r="C178" s="193"/>
      <c r="D178" s="192"/>
      <c r="E178" s="188" t="e">
        <f ca="1">VLOOKUP($D178,物料本月库存明細!$B:$J,2,0)</f>
        <v>#N/A</v>
      </c>
      <c r="F178" s="189" t="e">
        <f ca="1">VLOOKUP($D178,物料本月库存明細!$B:$J,5,0)</f>
        <v>#N/A</v>
      </c>
      <c r="G178" s="190"/>
      <c r="H178" s="188"/>
      <c r="I178" s="188"/>
      <c r="J178" s="190" t="e">
        <f ca="1">VLOOKUP($D178,物料本月库存明細!$B:$J,9,0)</f>
        <v>#N/A</v>
      </c>
    </row>
    <row r="179" customHeight="1" spans="1:10">
      <c r="A179" s="187"/>
      <c r="B179" s="187"/>
      <c r="C179" s="193"/>
      <c r="D179" s="192"/>
      <c r="E179" s="188" t="e">
        <f ca="1">VLOOKUP($D179,物料本月库存明細!$B:$J,2,0)</f>
        <v>#N/A</v>
      </c>
      <c r="F179" s="189" t="e">
        <f ca="1">VLOOKUP($D179,物料本月库存明細!$B:$J,5,0)</f>
        <v>#N/A</v>
      </c>
      <c r="G179" s="190"/>
      <c r="H179" s="188"/>
      <c r="I179" s="188"/>
      <c r="J179" s="190" t="e">
        <f ca="1">VLOOKUP($D179,物料本月库存明細!$B:$J,9,0)</f>
        <v>#N/A</v>
      </c>
    </row>
    <row r="180" customHeight="1" spans="1:10">
      <c r="A180" s="187"/>
      <c r="B180" s="187"/>
      <c r="C180" s="193"/>
      <c r="D180" s="192"/>
      <c r="E180" s="188" t="e">
        <f ca="1">VLOOKUP($D180,物料本月库存明細!$B:$J,2,0)</f>
        <v>#N/A</v>
      </c>
      <c r="F180" s="189" t="e">
        <f ca="1">VLOOKUP($D180,物料本月库存明細!$B:$J,5,0)</f>
        <v>#N/A</v>
      </c>
      <c r="G180" s="190"/>
      <c r="H180" s="188"/>
      <c r="I180" s="188"/>
      <c r="J180" s="190" t="e">
        <f ca="1">VLOOKUP($D180,物料本月库存明細!$B:$J,9,0)</f>
        <v>#N/A</v>
      </c>
    </row>
    <row r="181" s="172" customFormat="1" customHeight="1" spans="1:10">
      <c r="A181" s="187"/>
      <c r="B181" s="187"/>
      <c r="C181" s="193"/>
      <c r="D181" s="192"/>
      <c r="E181" s="188" t="e">
        <f ca="1">VLOOKUP($D181,物料本月库存明細!$B:$J,2,0)</f>
        <v>#N/A</v>
      </c>
      <c r="F181" s="189" t="e">
        <f ca="1">VLOOKUP($D181,物料本月库存明細!$B:$J,5,0)</f>
        <v>#N/A</v>
      </c>
      <c r="G181" s="190"/>
      <c r="H181" s="188"/>
      <c r="I181" s="188"/>
      <c r="J181" s="190" t="e">
        <f ca="1">VLOOKUP($D181,物料本月库存明細!$B:$J,9,0)</f>
        <v>#N/A</v>
      </c>
    </row>
    <row r="182" customHeight="1" spans="1:10">
      <c r="A182" s="187"/>
      <c r="B182" s="187"/>
      <c r="C182" s="193"/>
      <c r="D182" s="192"/>
      <c r="E182" s="188" t="e">
        <f ca="1">VLOOKUP($D182,物料本月库存明細!$B:$J,2,0)</f>
        <v>#N/A</v>
      </c>
      <c r="F182" s="189" t="e">
        <f ca="1">VLOOKUP($D182,物料本月库存明細!$B:$J,5,0)</f>
        <v>#N/A</v>
      </c>
      <c r="G182" s="190"/>
      <c r="H182" s="188"/>
      <c r="I182" s="188"/>
      <c r="J182" s="190" t="e">
        <f ca="1">VLOOKUP($D182,物料本月库存明細!$B:$J,9,0)</f>
        <v>#N/A</v>
      </c>
    </row>
    <row r="183" customHeight="1" spans="1:10">
      <c r="A183" s="187"/>
      <c r="B183" s="187"/>
      <c r="C183" s="193"/>
      <c r="D183" s="192"/>
      <c r="E183" s="188" t="e">
        <f ca="1">VLOOKUP($D183,物料本月库存明細!$B:$J,2,0)</f>
        <v>#N/A</v>
      </c>
      <c r="F183" s="189" t="e">
        <f ca="1">VLOOKUP($D183,物料本月库存明細!$B:$J,5,0)</f>
        <v>#N/A</v>
      </c>
      <c r="G183" s="190"/>
      <c r="H183" s="188"/>
      <c r="I183" s="188"/>
      <c r="J183" s="190" t="e">
        <f ca="1">VLOOKUP($D183,物料本月库存明細!$B:$J,9,0)</f>
        <v>#N/A</v>
      </c>
    </row>
    <row r="184" customHeight="1" spans="1:10">
      <c r="A184" s="187"/>
      <c r="B184" s="187"/>
      <c r="C184" s="193"/>
      <c r="D184" s="201"/>
      <c r="E184" s="188" t="e">
        <f ca="1">VLOOKUP($D184,物料本月库存明細!$B:$J,2,0)</f>
        <v>#N/A</v>
      </c>
      <c r="F184" s="189" t="e">
        <f ca="1">VLOOKUP($D184,物料本月库存明細!$B:$J,5,0)</f>
        <v>#N/A</v>
      </c>
      <c r="G184" s="190"/>
      <c r="H184" s="188"/>
      <c r="I184" s="188"/>
      <c r="J184" s="190" t="e">
        <f ca="1">VLOOKUP($D184,物料本月库存明細!$B:$J,9,0)</f>
        <v>#N/A</v>
      </c>
    </row>
    <row r="185" customHeight="1" spans="1:10">
      <c r="A185" s="187"/>
      <c r="B185" s="187"/>
      <c r="C185" s="193"/>
      <c r="D185" s="201"/>
      <c r="E185" s="188" t="e">
        <f ca="1">VLOOKUP($D185,物料本月库存明細!$B:$J,2,0)</f>
        <v>#N/A</v>
      </c>
      <c r="F185" s="189" t="e">
        <f ca="1">VLOOKUP($D185,物料本月库存明細!$B:$J,5,0)</f>
        <v>#N/A</v>
      </c>
      <c r="G185" s="190"/>
      <c r="H185" s="188"/>
      <c r="I185" s="188"/>
      <c r="J185" s="190" t="e">
        <f ca="1">VLOOKUP($D185,物料本月库存明細!$B:$J,9,0)</f>
        <v>#N/A</v>
      </c>
    </row>
    <row r="186" customHeight="1" spans="1:10">
      <c r="A186" s="187"/>
      <c r="B186" s="187"/>
      <c r="C186" s="193"/>
      <c r="D186" s="196"/>
      <c r="E186" s="188" t="e">
        <f ca="1">VLOOKUP($D186,物料本月库存明細!$B:$J,2,0)</f>
        <v>#N/A</v>
      </c>
      <c r="F186" s="189" t="e">
        <f ca="1">VLOOKUP($D186,物料本月库存明細!$B:$J,5,0)</f>
        <v>#N/A</v>
      </c>
      <c r="G186" s="190"/>
      <c r="H186" s="188"/>
      <c r="I186" s="188"/>
      <c r="J186" s="190" t="e">
        <f ca="1">VLOOKUP($D186,物料本月库存明細!$B:$J,9,0)</f>
        <v>#N/A</v>
      </c>
    </row>
    <row r="187" customHeight="1" spans="1:10">
      <c r="A187" s="187"/>
      <c r="B187" s="187"/>
      <c r="C187" s="193"/>
      <c r="D187" s="192"/>
      <c r="E187" s="188" t="e">
        <f ca="1">VLOOKUP($D187,物料本月库存明細!$B:$J,2,0)</f>
        <v>#N/A</v>
      </c>
      <c r="F187" s="189" t="e">
        <f ca="1">VLOOKUP($D187,物料本月库存明細!$B:$J,5,0)</f>
        <v>#N/A</v>
      </c>
      <c r="G187" s="190"/>
      <c r="H187" s="188"/>
      <c r="I187" s="188"/>
      <c r="J187" s="190" t="e">
        <f ca="1">VLOOKUP($D187,物料本月库存明細!$B:$J,9,0)</f>
        <v>#N/A</v>
      </c>
    </row>
    <row r="188" customHeight="1" spans="1:10">
      <c r="A188" s="187"/>
      <c r="B188" s="187"/>
      <c r="C188" s="193"/>
      <c r="D188" s="192"/>
      <c r="E188" s="188" t="e">
        <f ca="1">VLOOKUP($D188,物料本月库存明細!$B:$J,2,0)</f>
        <v>#N/A</v>
      </c>
      <c r="F188" s="189" t="e">
        <f ca="1">VLOOKUP($D188,物料本月库存明細!$B:$J,5,0)</f>
        <v>#N/A</v>
      </c>
      <c r="G188" s="190"/>
      <c r="H188" s="188"/>
      <c r="I188" s="188"/>
      <c r="J188" s="190" t="e">
        <f ca="1">VLOOKUP($D188,物料本月库存明細!$B:$J,9,0)</f>
        <v>#N/A</v>
      </c>
    </row>
    <row r="189" customHeight="1" spans="1:10">
      <c r="A189" s="187"/>
      <c r="B189" s="187"/>
      <c r="C189" s="193"/>
      <c r="D189" s="192"/>
      <c r="E189" s="188" t="e">
        <f ca="1">VLOOKUP($D189,物料本月库存明細!$B:$J,2,0)</f>
        <v>#N/A</v>
      </c>
      <c r="F189" s="189" t="e">
        <f ca="1">VLOOKUP($D189,物料本月库存明細!$B:$J,5,0)</f>
        <v>#N/A</v>
      </c>
      <c r="G189" s="190"/>
      <c r="H189" s="188"/>
      <c r="I189" s="188"/>
      <c r="J189" s="190" t="e">
        <f ca="1">VLOOKUP($D189,物料本月库存明細!$B:$J,9,0)</f>
        <v>#N/A</v>
      </c>
    </row>
    <row r="190" customHeight="1" spans="1:10">
      <c r="A190" s="187"/>
      <c r="B190" s="187"/>
      <c r="C190" s="193"/>
      <c r="D190" s="192"/>
      <c r="E190" s="188" t="e">
        <f ca="1">VLOOKUP($D190,物料本月库存明細!$B:$J,2,0)</f>
        <v>#N/A</v>
      </c>
      <c r="F190" s="189" t="e">
        <f ca="1">VLOOKUP($D190,物料本月库存明細!$B:$J,5,0)</f>
        <v>#N/A</v>
      </c>
      <c r="G190" s="190"/>
      <c r="H190" s="188"/>
      <c r="I190" s="188"/>
      <c r="J190" s="190" t="e">
        <f ca="1">VLOOKUP($D190,物料本月库存明細!$B:$J,9,0)</f>
        <v>#N/A</v>
      </c>
    </row>
    <row r="191" customHeight="1" spans="1:10">
      <c r="A191" s="187"/>
      <c r="B191" s="187"/>
      <c r="C191" s="193"/>
      <c r="D191" s="192"/>
      <c r="E191" s="188" t="e">
        <f ca="1">VLOOKUP($D191,物料本月库存明細!$B:$J,2,0)</f>
        <v>#N/A</v>
      </c>
      <c r="F191" s="189" t="e">
        <f ca="1">VLOOKUP($D191,物料本月库存明細!$B:$J,5,0)</f>
        <v>#N/A</v>
      </c>
      <c r="G191" s="190"/>
      <c r="H191" s="188"/>
      <c r="I191" s="188"/>
      <c r="J191" s="188" t="e">
        <f ca="1">VLOOKUP($D191,物料本月库存明細!$B:$J,9,0)</f>
        <v>#N/A</v>
      </c>
    </row>
    <row r="192" customHeight="1" spans="1:10">
      <c r="A192" s="187"/>
      <c r="B192" s="187"/>
      <c r="C192" s="193"/>
      <c r="D192" s="194"/>
      <c r="E192" s="188" t="e">
        <f ca="1">VLOOKUP($D192,物料本月库存明細!$B:$J,2,0)</f>
        <v>#N/A</v>
      </c>
      <c r="F192" s="189" t="e">
        <f ca="1">VLOOKUP($D192,物料本月库存明細!$B:$J,5,0)</f>
        <v>#N/A</v>
      </c>
      <c r="G192" s="190"/>
      <c r="H192" s="188"/>
      <c r="I192" s="188"/>
      <c r="J192" s="190" t="e">
        <f ca="1">VLOOKUP($D192,物料本月库存明細!$B:$J,9,0)</f>
        <v>#N/A</v>
      </c>
    </row>
    <row r="193" customHeight="1" spans="1:10">
      <c r="A193" s="187"/>
      <c r="B193" s="187"/>
      <c r="C193" s="193"/>
      <c r="D193" s="197"/>
      <c r="E193" s="188" t="e">
        <f ca="1">VLOOKUP($D193,物料本月库存明細!$B:$J,2,0)</f>
        <v>#N/A</v>
      </c>
      <c r="F193" s="189" t="e">
        <f ca="1">VLOOKUP($D193,物料本月库存明細!$B:$J,5,0)</f>
        <v>#N/A</v>
      </c>
      <c r="G193" s="190"/>
      <c r="H193" s="188"/>
      <c r="I193" s="188"/>
      <c r="J193" s="190" t="e">
        <f ca="1">VLOOKUP($D193,物料本月库存明細!$B:$J,9,0)</f>
        <v>#N/A</v>
      </c>
    </row>
    <row r="194" customHeight="1" spans="1:10">
      <c r="A194" s="187"/>
      <c r="B194" s="187"/>
      <c r="C194" s="193"/>
      <c r="D194" s="196"/>
      <c r="E194" s="188" t="e">
        <f ca="1">VLOOKUP($D194,物料本月库存明細!$B:$J,2,0)</f>
        <v>#N/A</v>
      </c>
      <c r="F194" s="189" t="e">
        <f ca="1">VLOOKUP($D194,物料本月库存明細!$B:$J,5,0)</f>
        <v>#N/A</v>
      </c>
      <c r="G194" s="190"/>
      <c r="H194" s="188"/>
      <c r="I194" s="188"/>
      <c r="J194" s="190" t="e">
        <f ca="1">VLOOKUP($D194,物料本月库存明細!$B:$J,9,0)</f>
        <v>#N/A</v>
      </c>
    </row>
    <row r="195" customHeight="1" spans="1:10">
      <c r="A195" s="187"/>
      <c r="B195" s="187"/>
      <c r="C195" s="193"/>
      <c r="D195" s="192"/>
      <c r="E195" s="188" t="e">
        <f ca="1">VLOOKUP($D195,物料本月库存明細!$B:$J,2,0)</f>
        <v>#N/A</v>
      </c>
      <c r="F195" s="189" t="e">
        <f ca="1">VLOOKUP($D195,物料本月库存明細!$B:$J,5,0)</f>
        <v>#N/A</v>
      </c>
      <c r="G195" s="190"/>
      <c r="H195" s="188"/>
      <c r="I195" s="188"/>
      <c r="J195" s="190" t="e">
        <f ca="1">VLOOKUP($D195,物料本月库存明細!$B:$J,9,0)</f>
        <v>#N/A</v>
      </c>
    </row>
    <row r="196" customHeight="1" spans="1:10">
      <c r="A196" s="187"/>
      <c r="B196" s="187"/>
      <c r="C196" s="193"/>
      <c r="D196" s="192"/>
      <c r="E196" s="188" t="e">
        <f ca="1">VLOOKUP($D196,物料本月库存明細!$B:$J,2,0)</f>
        <v>#N/A</v>
      </c>
      <c r="F196" s="189" t="e">
        <f ca="1">VLOOKUP($D196,物料本月库存明細!$B:$J,5,0)</f>
        <v>#N/A</v>
      </c>
      <c r="G196" s="190"/>
      <c r="H196" s="188"/>
      <c r="I196" s="188"/>
      <c r="J196" s="190" t="e">
        <f ca="1">VLOOKUP($D196,物料本月库存明細!$B:$J,9,0)</f>
        <v>#N/A</v>
      </c>
    </row>
    <row r="197" customHeight="1" spans="1:10">
      <c r="A197" s="187"/>
      <c r="B197" s="187"/>
      <c r="C197" s="193"/>
      <c r="D197" s="192"/>
      <c r="E197" s="188" t="e">
        <f ca="1">VLOOKUP($D197,物料本月库存明細!$B:$J,2,0)</f>
        <v>#N/A</v>
      </c>
      <c r="F197" s="189" t="e">
        <f ca="1">VLOOKUP($D197,物料本月库存明細!$B:$J,5,0)</f>
        <v>#N/A</v>
      </c>
      <c r="G197" s="190"/>
      <c r="H197" s="188"/>
      <c r="I197" s="188"/>
      <c r="J197" s="190" t="e">
        <f ca="1">VLOOKUP($D197,物料本月库存明細!$B:$J,9,0)</f>
        <v>#N/A</v>
      </c>
    </row>
    <row r="198" customHeight="1" spans="1:10">
      <c r="A198" s="187"/>
      <c r="B198" s="187"/>
      <c r="C198" s="193"/>
      <c r="D198" s="192"/>
      <c r="E198" s="188" t="e">
        <f ca="1">VLOOKUP($D198,物料本月库存明細!$B:$J,2,0)</f>
        <v>#N/A</v>
      </c>
      <c r="F198" s="189" t="e">
        <f ca="1">VLOOKUP($D198,物料本月库存明細!$B:$J,5,0)</f>
        <v>#N/A</v>
      </c>
      <c r="G198" s="190"/>
      <c r="H198" s="188"/>
      <c r="I198" s="188"/>
      <c r="J198" s="190" t="e">
        <f ca="1">VLOOKUP($D198,物料本月库存明細!$B:$J,9,0)</f>
        <v>#N/A</v>
      </c>
    </row>
    <row r="199" customHeight="1" spans="1:10">
      <c r="A199" s="187"/>
      <c r="B199" s="187"/>
      <c r="C199" s="193"/>
      <c r="D199" s="192"/>
      <c r="E199" s="188" t="e">
        <f ca="1">VLOOKUP($D199,物料本月库存明細!$B:$J,2,0)</f>
        <v>#N/A</v>
      </c>
      <c r="F199" s="189" t="e">
        <f ca="1">VLOOKUP($D199,物料本月库存明細!$B:$J,5,0)</f>
        <v>#N/A</v>
      </c>
      <c r="G199" s="190"/>
      <c r="H199" s="188"/>
      <c r="I199" s="188"/>
      <c r="J199" s="190" t="e">
        <f ca="1">VLOOKUP($D199,物料本月库存明細!$B:$J,9,0)</f>
        <v>#N/A</v>
      </c>
    </row>
    <row r="200" customHeight="1" spans="1:10">
      <c r="A200" s="187"/>
      <c r="B200" s="187"/>
      <c r="C200" s="193"/>
      <c r="D200" s="192"/>
      <c r="E200" s="188" t="e">
        <f ca="1">VLOOKUP($D200,物料本月库存明細!$B:$J,2,0)</f>
        <v>#N/A</v>
      </c>
      <c r="F200" s="189" t="e">
        <f ca="1">VLOOKUP($D200,物料本月库存明細!$B:$J,5,0)</f>
        <v>#N/A</v>
      </c>
      <c r="G200" s="190"/>
      <c r="H200" s="188"/>
      <c r="I200" s="188"/>
      <c r="J200" s="190" t="e">
        <f ca="1">VLOOKUP($D200,物料本月库存明細!$B:$J,9,0)</f>
        <v>#N/A</v>
      </c>
    </row>
    <row r="201" customHeight="1" spans="1:10">
      <c r="A201" s="187"/>
      <c r="B201" s="187"/>
      <c r="C201" s="193"/>
      <c r="D201" s="196"/>
      <c r="E201" s="188" t="e">
        <f ca="1">VLOOKUP($D201,物料本月库存明細!$B:$J,2,0)</f>
        <v>#N/A</v>
      </c>
      <c r="F201" s="189" t="e">
        <f ca="1">VLOOKUP($D201,物料本月库存明細!$B:$J,5,0)</f>
        <v>#N/A</v>
      </c>
      <c r="G201" s="190"/>
      <c r="H201" s="188"/>
      <c r="I201" s="188"/>
      <c r="J201" s="190" t="e">
        <f ca="1">VLOOKUP($D201,物料本月库存明細!$B:$J,9,0)</f>
        <v>#N/A</v>
      </c>
    </row>
    <row r="202" customHeight="1" spans="1:10">
      <c r="A202" s="187"/>
      <c r="B202" s="187"/>
      <c r="C202" s="193"/>
      <c r="D202" s="201"/>
      <c r="E202" s="188" t="e">
        <f ca="1">VLOOKUP($D202,物料本月库存明細!$B:$J,2,0)</f>
        <v>#N/A</v>
      </c>
      <c r="F202" s="189" t="e">
        <f ca="1">VLOOKUP($D202,物料本月库存明細!$B:$J,5,0)</f>
        <v>#N/A</v>
      </c>
      <c r="G202" s="190"/>
      <c r="H202" s="191"/>
      <c r="I202" s="188"/>
      <c r="J202" s="190" t="e">
        <f ca="1">VLOOKUP($D202,物料本月库存明細!$B:$J,9,0)</f>
        <v>#N/A</v>
      </c>
    </row>
    <row r="203" customHeight="1" spans="1:10">
      <c r="A203" s="187"/>
      <c r="B203" s="187"/>
      <c r="C203" s="193"/>
      <c r="D203" s="196"/>
      <c r="E203" s="188" t="e">
        <f ca="1">VLOOKUP($D203,物料本月库存明細!$B:$J,2,0)</f>
        <v>#N/A</v>
      </c>
      <c r="F203" s="189" t="e">
        <f ca="1">VLOOKUP($D203,物料本月库存明細!$B:$J,5,0)</f>
        <v>#N/A</v>
      </c>
      <c r="G203" s="190"/>
      <c r="H203" s="188"/>
      <c r="I203" s="188"/>
      <c r="J203" s="190" t="e">
        <f ca="1">VLOOKUP($D203,物料本月库存明細!$B:$J,9,0)</f>
        <v>#N/A</v>
      </c>
    </row>
    <row r="204" customHeight="1" spans="1:10">
      <c r="A204" s="187"/>
      <c r="B204" s="187"/>
      <c r="C204" s="193"/>
      <c r="D204" s="196"/>
      <c r="E204" s="188" t="e">
        <f ca="1">VLOOKUP($D204,物料本月库存明細!$B:$J,2,0)</f>
        <v>#N/A</v>
      </c>
      <c r="F204" s="189" t="e">
        <f ca="1">VLOOKUP($D204,物料本月库存明細!$B:$J,5,0)</f>
        <v>#N/A</v>
      </c>
      <c r="G204" s="190"/>
      <c r="H204" s="188"/>
      <c r="I204" s="188"/>
      <c r="J204" s="190" t="e">
        <f ca="1">VLOOKUP($D204,物料本月库存明細!$B:$J,9,0)</f>
        <v>#N/A</v>
      </c>
    </row>
    <row r="205" customHeight="1" spans="1:10">
      <c r="A205" s="187"/>
      <c r="B205" s="187"/>
      <c r="C205" s="193"/>
      <c r="D205" s="192"/>
      <c r="E205" s="188" t="e">
        <f ca="1">VLOOKUP($D205,物料本月库存明細!$B:$J,2,0)</f>
        <v>#N/A</v>
      </c>
      <c r="F205" s="189" t="e">
        <f ca="1">VLOOKUP($D205,物料本月库存明細!$B:$J,5,0)</f>
        <v>#N/A</v>
      </c>
      <c r="G205" s="190"/>
      <c r="H205" s="188"/>
      <c r="I205" s="188"/>
      <c r="J205" s="190" t="e">
        <f ca="1">VLOOKUP($D205,物料本月库存明細!$B:$J,9,0)</f>
        <v>#N/A</v>
      </c>
    </row>
    <row r="206" customHeight="1" spans="1:10">
      <c r="A206" s="187"/>
      <c r="B206" s="187"/>
      <c r="C206" s="193"/>
      <c r="D206" s="201"/>
      <c r="E206" s="188" t="e">
        <f ca="1">VLOOKUP($D206,物料本月库存明細!$B:$J,2,0)</f>
        <v>#N/A</v>
      </c>
      <c r="F206" s="189" t="e">
        <f ca="1">VLOOKUP($D206,物料本月库存明細!$B:$J,5,0)</f>
        <v>#N/A</v>
      </c>
      <c r="G206" s="190"/>
      <c r="H206" s="188"/>
      <c r="I206" s="188"/>
      <c r="J206" s="190" t="e">
        <f ca="1">VLOOKUP($D206,物料本月库存明細!$B:$J,9,0)</f>
        <v>#N/A</v>
      </c>
    </row>
    <row r="207" customHeight="1" spans="1:10">
      <c r="A207" s="187"/>
      <c r="B207" s="187"/>
      <c r="C207" s="193"/>
      <c r="D207" s="192"/>
      <c r="E207" s="188" t="e">
        <f ca="1">VLOOKUP($D207,物料本月库存明細!$B:$J,2,0)</f>
        <v>#N/A</v>
      </c>
      <c r="F207" s="189" t="e">
        <f ca="1">VLOOKUP($D207,物料本月库存明細!$B:$J,5,0)</f>
        <v>#N/A</v>
      </c>
      <c r="G207" s="190"/>
      <c r="H207" s="188"/>
      <c r="I207" s="188"/>
      <c r="J207" s="190" t="e">
        <f ca="1">VLOOKUP($D207,物料本月库存明細!$B:$J,9,0)</f>
        <v>#N/A</v>
      </c>
    </row>
    <row r="208" customHeight="1" spans="1:10">
      <c r="A208" s="187"/>
      <c r="B208" s="187"/>
      <c r="C208" s="193"/>
      <c r="D208" s="194"/>
      <c r="E208" s="188" t="e">
        <f ca="1">VLOOKUP($D208,物料本月库存明細!$B:$J,2,0)</f>
        <v>#N/A</v>
      </c>
      <c r="F208" s="189" t="e">
        <f ca="1">VLOOKUP($D208,物料本月库存明細!$B:$J,5,0)</f>
        <v>#N/A</v>
      </c>
      <c r="G208" s="190"/>
      <c r="H208" s="188"/>
      <c r="I208" s="188"/>
      <c r="J208" s="190" t="e">
        <f ca="1">VLOOKUP($D208,物料本月库存明細!$B:$J,9,0)</f>
        <v>#N/A</v>
      </c>
    </row>
    <row r="209" customHeight="1" spans="1:10">
      <c r="A209" s="187"/>
      <c r="B209" s="187"/>
      <c r="C209" s="193"/>
      <c r="D209" s="196"/>
      <c r="E209" s="188" t="e">
        <f ca="1">VLOOKUP($D209,物料本月库存明細!$B:$J,2,0)</f>
        <v>#N/A</v>
      </c>
      <c r="F209" s="189" t="e">
        <f ca="1">VLOOKUP($D209,物料本月库存明細!$B:$J,5,0)</f>
        <v>#N/A</v>
      </c>
      <c r="G209" s="190"/>
      <c r="H209" s="188"/>
      <c r="I209" s="188"/>
      <c r="J209" s="190" t="e">
        <f ca="1">VLOOKUP($D209,物料本月库存明細!$B:$J,9,0)</f>
        <v>#N/A</v>
      </c>
    </row>
    <row r="210" customHeight="1" spans="1:10">
      <c r="A210" s="187"/>
      <c r="B210" s="187"/>
      <c r="C210" s="193"/>
      <c r="D210" s="196"/>
      <c r="E210" s="188" t="e">
        <f ca="1">VLOOKUP($D210,物料本月库存明細!$B:$J,2,0)</f>
        <v>#N/A</v>
      </c>
      <c r="F210" s="189" t="e">
        <f ca="1">VLOOKUP($D210,物料本月库存明細!$B:$J,5,0)</f>
        <v>#N/A</v>
      </c>
      <c r="G210" s="190"/>
      <c r="H210" s="188"/>
      <c r="I210" s="188"/>
      <c r="J210" s="190" t="e">
        <f ca="1">VLOOKUP($D210,物料本月库存明細!$B:$J,9,0)</f>
        <v>#N/A</v>
      </c>
    </row>
    <row r="211" customHeight="1" spans="1:10">
      <c r="A211" s="187"/>
      <c r="B211" s="187"/>
      <c r="C211" s="193"/>
      <c r="D211" s="200"/>
      <c r="E211" s="188" t="e">
        <f ca="1">VLOOKUP($D211,物料本月库存明細!$B:$J,2,0)</f>
        <v>#N/A</v>
      </c>
      <c r="F211" s="189" t="e">
        <f ca="1">VLOOKUP($D211,物料本月库存明細!$B:$J,5,0)</f>
        <v>#N/A</v>
      </c>
      <c r="G211" s="190"/>
      <c r="H211" s="188"/>
      <c r="I211" s="188"/>
      <c r="J211" s="190" t="e">
        <f ca="1">VLOOKUP($D211,物料本月库存明細!$B:$J,9,0)</f>
        <v>#N/A</v>
      </c>
    </row>
    <row r="212" customHeight="1" spans="1:10">
      <c r="A212" s="187"/>
      <c r="B212" s="187"/>
      <c r="C212" s="193"/>
      <c r="D212" s="192"/>
      <c r="E212" s="188" t="e">
        <f ca="1">VLOOKUP($D212,物料本月库存明細!$B:$J,2,0)</f>
        <v>#N/A</v>
      </c>
      <c r="F212" s="189" t="e">
        <f ca="1">VLOOKUP($D212,物料本月库存明細!$B:$J,5,0)</f>
        <v>#N/A</v>
      </c>
      <c r="G212" s="190"/>
      <c r="H212" s="188"/>
      <c r="I212" s="188"/>
      <c r="J212" s="190" t="e">
        <f ca="1">VLOOKUP($D212,物料本月库存明細!$B:$J,9,0)</f>
        <v>#N/A</v>
      </c>
    </row>
    <row r="213" customHeight="1" spans="1:10">
      <c r="A213" s="187"/>
      <c r="B213" s="187"/>
      <c r="C213" s="193"/>
      <c r="D213" s="192"/>
      <c r="E213" s="188" t="e">
        <f ca="1">VLOOKUP($D213,物料本月库存明細!$B:$J,2,0)</f>
        <v>#N/A</v>
      </c>
      <c r="F213" s="189" t="e">
        <f ca="1">VLOOKUP($D213,物料本月库存明細!$B:$J,5,0)</f>
        <v>#N/A</v>
      </c>
      <c r="G213" s="190"/>
      <c r="H213" s="188"/>
      <c r="I213" s="188"/>
      <c r="J213" s="190" t="e">
        <f ca="1">VLOOKUP($D213,物料本月库存明細!$B:$J,9,0)</f>
        <v>#N/A</v>
      </c>
    </row>
    <row r="214" customHeight="1" spans="1:10">
      <c r="A214" s="187"/>
      <c r="B214" s="187"/>
      <c r="C214" s="193"/>
      <c r="D214" s="192"/>
      <c r="E214" s="188" t="e">
        <f ca="1">VLOOKUP($D214,物料本月库存明細!$B:$J,2,0)</f>
        <v>#N/A</v>
      </c>
      <c r="F214" s="189" t="e">
        <f ca="1">VLOOKUP($D214,物料本月库存明細!$B:$J,5,0)</f>
        <v>#N/A</v>
      </c>
      <c r="G214" s="190"/>
      <c r="H214" s="188"/>
      <c r="I214" s="188"/>
      <c r="J214" s="190" t="e">
        <f ca="1">VLOOKUP($D214,物料本月库存明細!$B:$J,9,0)</f>
        <v>#N/A</v>
      </c>
    </row>
    <row r="215" customHeight="1" spans="1:10">
      <c r="A215" s="187"/>
      <c r="B215" s="187"/>
      <c r="C215" s="193"/>
      <c r="D215" s="196"/>
      <c r="E215" s="188" t="e">
        <f ca="1">VLOOKUP($D215,物料本月库存明細!$B:$J,2,0)</f>
        <v>#N/A</v>
      </c>
      <c r="F215" s="189" t="e">
        <f ca="1">VLOOKUP($D215,物料本月库存明細!$B:$J,5,0)</f>
        <v>#N/A</v>
      </c>
      <c r="G215" s="190"/>
      <c r="H215" s="188"/>
      <c r="I215" s="188"/>
      <c r="J215" s="190" t="e">
        <f ca="1">VLOOKUP($D215,物料本月库存明細!$B:$J,9,0)</f>
        <v>#N/A</v>
      </c>
    </row>
    <row r="216" customHeight="1" spans="1:10">
      <c r="A216" s="187"/>
      <c r="B216" s="187"/>
      <c r="C216" s="193"/>
      <c r="D216" s="196"/>
      <c r="E216" s="188" t="e">
        <f ca="1">VLOOKUP($D216,物料本月库存明細!$B:$J,2,0)</f>
        <v>#N/A</v>
      </c>
      <c r="F216" s="189" t="e">
        <f ca="1">VLOOKUP($D216,物料本月库存明細!$B:$J,5,0)</f>
        <v>#N/A</v>
      </c>
      <c r="G216" s="190"/>
      <c r="H216" s="188"/>
      <c r="I216" s="188"/>
      <c r="J216" s="190" t="e">
        <f ca="1">VLOOKUP($D216,物料本月库存明細!$B:$J,9,0)</f>
        <v>#N/A</v>
      </c>
    </row>
    <row r="217" customHeight="1" spans="1:10">
      <c r="A217" s="187"/>
      <c r="B217" s="187"/>
      <c r="C217" s="193"/>
      <c r="D217" s="201"/>
      <c r="E217" s="188" t="e">
        <f ca="1">VLOOKUP($D217,物料本月库存明細!$B:$J,2,0)</f>
        <v>#N/A</v>
      </c>
      <c r="F217" s="189" t="e">
        <f ca="1">VLOOKUP($D217,物料本月库存明細!$B:$J,5,0)</f>
        <v>#N/A</v>
      </c>
      <c r="G217" s="190"/>
      <c r="H217" s="188"/>
      <c r="I217" s="188"/>
      <c r="J217" s="190" t="e">
        <f ca="1">VLOOKUP($D217,物料本月库存明細!$B:$J,9,0)</f>
        <v>#N/A</v>
      </c>
    </row>
    <row r="218" customHeight="1" spans="1:10">
      <c r="A218" s="187"/>
      <c r="B218" s="187"/>
      <c r="C218" s="193"/>
      <c r="D218" s="196"/>
      <c r="E218" s="188" t="e">
        <f ca="1">VLOOKUP($D218,物料本月库存明細!$B:$J,2,0)</f>
        <v>#N/A</v>
      </c>
      <c r="F218" s="189" t="e">
        <f ca="1">VLOOKUP($D218,物料本月库存明細!$B:$J,5,0)</f>
        <v>#N/A</v>
      </c>
      <c r="G218" s="190"/>
      <c r="H218" s="188"/>
      <c r="I218" s="188"/>
      <c r="J218" s="190" t="e">
        <f ca="1">VLOOKUP($D218,物料本月库存明細!$B:$J,9,0)</f>
        <v>#N/A</v>
      </c>
    </row>
    <row r="219" customHeight="1" spans="1:10">
      <c r="A219" s="187"/>
      <c r="B219" s="187"/>
      <c r="C219" s="193"/>
      <c r="D219" s="201"/>
      <c r="E219" s="188" t="e">
        <f ca="1">VLOOKUP($D219,物料本月库存明細!$B:$J,2,0)</f>
        <v>#N/A</v>
      </c>
      <c r="F219" s="189" t="e">
        <f ca="1">VLOOKUP($D219,物料本月库存明細!$B:$J,5,0)</f>
        <v>#N/A</v>
      </c>
      <c r="G219" s="190"/>
      <c r="H219" s="188"/>
      <c r="I219" s="188"/>
      <c r="J219" s="190" t="e">
        <f ca="1">VLOOKUP($D219,物料本月库存明細!$B:$J,9,0)</f>
        <v>#N/A</v>
      </c>
    </row>
    <row r="220" customHeight="1" spans="1:10">
      <c r="A220" s="187"/>
      <c r="B220" s="187"/>
      <c r="C220" s="193"/>
      <c r="D220" s="192"/>
      <c r="E220" s="188" t="e">
        <f ca="1">VLOOKUP($D220,物料本月库存明細!$B:$J,2,0)</f>
        <v>#N/A</v>
      </c>
      <c r="F220" s="189" t="e">
        <f ca="1">VLOOKUP($D220,物料本月库存明細!$B:$J,5,0)</f>
        <v>#N/A</v>
      </c>
      <c r="G220" s="190"/>
      <c r="H220" s="188"/>
      <c r="I220" s="188"/>
      <c r="J220" s="190" t="e">
        <f ca="1">VLOOKUP($D220,物料本月库存明細!$B:$J,9,0)</f>
        <v>#N/A</v>
      </c>
    </row>
    <row r="221" customHeight="1" spans="1:10">
      <c r="A221" s="187"/>
      <c r="B221" s="187"/>
      <c r="C221" s="193"/>
      <c r="D221" s="201"/>
      <c r="E221" s="188" t="e">
        <f ca="1">VLOOKUP($D221,物料本月库存明細!$B:$J,2,0)</f>
        <v>#N/A</v>
      </c>
      <c r="F221" s="189" t="e">
        <f ca="1">VLOOKUP($D221,物料本月库存明細!$B:$J,5,0)</f>
        <v>#N/A</v>
      </c>
      <c r="G221" s="190"/>
      <c r="H221" s="188"/>
      <c r="I221" s="188"/>
      <c r="J221" s="190" t="e">
        <f ca="1">VLOOKUP($D221,物料本月库存明細!$B:$J,9,0)</f>
        <v>#N/A</v>
      </c>
    </row>
    <row r="222" customHeight="1" spans="1:10">
      <c r="A222" s="187"/>
      <c r="B222" s="187"/>
      <c r="C222" s="193"/>
      <c r="D222" s="202"/>
      <c r="E222" s="188" t="e">
        <f ca="1">VLOOKUP($D222,物料本月库存明細!$B:$J,2,0)</f>
        <v>#N/A</v>
      </c>
      <c r="F222" s="189" t="e">
        <f ca="1">VLOOKUP($D222,物料本月库存明細!$B:$J,5,0)</f>
        <v>#N/A</v>
      </c>
      <c r="G222" s="190"/>
      <c r="H222" s="188"/>
      <c r="I222" s="188"/>
      <c r="J222" s="190" t="e">
        <f ca="1">VLOOKUP($D222,物料本月库存明細!$B:$J,9,0)</f>
        <v>#N/A</v>
      </c>
    </row>
    <row r="223" customHeight="1" spans="1:10">
      <c r="A223" s="187"/>
      <c r="B223" s="187"/>
      <c r="C223" s="193"/>
      <c r="D223" s="192"/>
      <c r="E223" s="188" t="e">
        <f ca="1">VLOOKUP($D223,物料本月库存明細!$B:$J,2,0)</f>
        <v>#N/A</v>
      </c>
      <c r="F223" s="189" t="e">
        <f ca="1">VLOOKUP($D223,物料本月库存明細!$B:$J,5,0)</f>
        <v>#N/A</v>
      </c>
      <c r="G223" s="190"/>
      <c r="H223" s="188"/>
      <c r="I223" s="188"/>
      <c r="J223" s="190" t="e">
        <f ca="1">VLOOKUP($D223,物料本月库存明細!$B:$J,9,0)</f>
        <v>#N/A</v>
      </c>
    </row>
    <row r="224" customHeight="1" spans="1:10">
      <c r="A224" s="187"/>
      <c r="B224" s="187"/>
      <c r="C224" s="193"/>
      <c r="D224" s="192"/>
      <c r="E224" s="188" t="e">
        <f ca="1">VLOOKUP($D224,物料本月库存明細!$B:$J,2,0)</f>
        <v>#N/A</v>
      </c>
      <c r="F224" s="189" t="e">
        <f ca="1">VLOOKUP($D224,物料本月库存明細!$B:$J,5,0)</f>
        <v>#N/A</v>
      </c>
      <c r="G224" s="190"/>
      <c r="H224" s="188"/>
      <c r="I224" s="188"/>
      <c r="J224" s="190" t="e">
        <f ca="1">VLOOKUP($D224,物料本月库存明細!$B:$J,9,0)</f>
        <v>#N/A</v>
      </c>
    </row>
    <row r="225" customHeight="1" spans="1:10">
      <c r="A225" s="187"/>
      <c r="B225" s="187"/>
      <c r="C225" s="193"/>
      <c r="D225" s="192"/>
      <c r="E225" s="188" t="e">
        <f ca="1">VLOOKUP($D225,物料本月库存明細!$B:$J,2,0)</f>
        <v>#N/A</v>
      </c>
      <c r="F225" s="189" t="e">
        <f ca="1">VLOOKUP($D225,物料本月库存明細!$B:$J,5,0)</f>
        <v>#N/A</v>
      </c>
      <c r="G225" s="190"/>
      <c r="H225" s="188"/>
      <c r="I225" s="188"/>
      <c r="J225" s="190" t="e">
        <f ca="1">VLOOKUP($D225,物料本月库存明細!$B:$J,9,0)</f>
        <v>#N/A</v>
      </c>
    </row>
    <row r="226" customHeight="1" spans="1:10">
      <c r="A226" s="187"/>
      <c r="B226" s="187"/>
      <c r="C226" s="193"/>
      <c r="D226" s="192"/>
      <c r="E226" s="188" t="e">
        <f ca="1">VLOOKUP($D226,物料本月库存明細!$B:$J,2,0)</f>
        <v>#N/A</v>
      </c>
      <c r="F226" s="189" t="e">
        <f ca="1">VLOOKUP($D226,物料本月库存明細!$B:$J,5,0)</f>
        <v>#N/A</v>
      </c>
      <c r="G226" s="190"/>
      <c r="H226" s="188"/>
      <c r="I226" s="188"/>
      <c r="J226" s="190" t="e">
        <f ca="1">VLOOKUP($D226,物料本月库存明細!$B:$J,9,0)</f>
        <v>#N/A</v>
      </c>
    </row>
    <row r="227" customHeight="1" spans="1:10">
      <c r="A227" s="187"/>
      <c r="B227" s="187"/>
      <c r="C227" s="193"/>
      <c r="D227" s="192"/>
      <c r="E227" s="188" t="e">
        <f ca="1">VLOOKUP($D227,物料本月库存明細!$B:$J,2,0)</f>
        <v>#N/A</v>
      </c>
      <c r="F227" s="189" t="e">
        <f ca="1">VLOOKUP($D227,物料本月库存明細!$B:$J,5,0)</f>
        <v>#N/A</v>
      </c>
      <c r="G227" s="190"/>
      <c r="H227" s="188"/>
      <c r="I227" s="188"/>
      <c r="J227" s="190" t="e">
        <f ca="1">VLOOKUP($D227,物料本月库存明細!$B:$J,9,0)</f>
        <v>#N/A</v>
      </c>
    </row>
    <row r="228" customHeight="1" spans="1:10">
      <c r="A228" s="187"/>
      <c r="B228" s="187"/>
      <c r="C228" s="193"/>
      <c r="D228" s="192"/>
      <c r="E228" s="188" t="e">
        <f ca="1">VLOOKUP($D228,物料本月库存明細!$B:$J,2,0)</f>
        <v>#N/A</v>
      </c>
      <c r="F228" s="189" t="e">
        <f ca="1">VLOOKUP($D228,物料本月库存明細!$B:$J,5,0)</f>
        <v>#N/A</v>
      </c>
      <c r="G228" s="190"/>
      <c r="H228" s="188"/>
      <c r="I228" s="188"/>
      <c r="J228" s="190" t="e">
        <f ca="1">VLOOKUP($D228,物料本月库存明細!$B:$J,9,0)</f>
        <v>#N/A</v>
      </c>
    </row>
    <row r="229" customHeight="1" spans="1:10">
      <c r="A229" s="187"/>
      <c r="B229" s="187"/>
      <c r="C229" s="193"/>
      <c r="D229" s="197"/>
      <c r="E229" s="188" t="e">
        <f ca="1">VLOOKUP($D229,物料本月库存明細!$B:$J,2,0)</f>
        <v>#N/A</v>
      </c>
      <c r="F229" s="189" t="e">
        <f ca="1">VLOOKUP($D229,物料本月库存明細!$B:$J,5,0)</f>
        <v>#N/A</v>
      </c>
      <c r="G229" s="190"/>
      <c r="H229" s="188"/>
      <c r="I229" s="188"/>
      <c r="J229" s="190" t="e">
        <f ca="1">VLOOKUP($D229,物料本月库存明細!$B:$J,9,0)</f>
        <v>#N/A</v>
      </c>
    </row>
    <row r="230" customHeight="1" spans="1:10">
      <c r="A230" s="187"/>
      <c r="B230" s="187"/>
      <c r="C230" s="193"/>
      <c r="D230" s="192"/>
      <c r="E230" s="188" t="e">
        <f ca="1">VLOOKUP($D230,物料本月库存明細!$B:$J,2,0)</f>
        <v>#N/A</v>
      </c>
      <c r="F230" s="189" t="e">
        <f ca="1">VLOOKUP($D230,物料本月库存明細!$B:$J,5,0)</f>
        <v>#N/A</v>
      </c>
      <c r="G230" s="190"/>
      <c r="H230" s="191"/>
      <c r="I230" s="188"/>
      <c r="J230" s="190" t="e">
        <f ca="1">VLOOKUP($D230,物料本月库存明細!$B:$J,9,0)</f>
        <v>#N/A</v>
      </c>
    </row>
    <row r="231" customHeight="1" spans="1:10">
      <c r="A231" s="187"/>
      <c r="B231" s="187"/>
      <c r="C231" s="193"/>
      <c r="D231" s="201"/>
      <c r="E231" s="188" t="e">
        <f ca="1">VLOOKUP($D231,物料本月库存明細!$B:$J,2,0)</f>
        <v>#N/A</v>
      </c>
      <c r="F231" s="189" t="e">
        <f ca="1">VLOOKUP($D231,物料本月库存明細!$B:$J,5,0)</f>
        <v>#N/A</v>
      </c>
      <c r="G231" s="190"/>
      <c r="H231" s="188"/>
      <c r="I231" s="188"/>
      <c r="J231" s="190" t="e">
        <f ca="1">VLOOKUP($D231,物料本月库存明細!$B:$J,9,0)</f>
        <v>#N/A</v>
      </c>
    </row>
    <row r="232" customHeight="1" spans="1:10">
      <c r="A232" s="187"/>
      <c r="B232" s="187"/>
      <c r="C232" s="193"/>
      <c r="D232" s="201"/>
      <c r="E232" s="188" t="e">
        <f ca="1">VLOOKUP($D232,物料本月库存明細!$B:$J,2,0)</f>
        <v>#N/A</v>
      </c>
      <c r="F232" s="189" t="e">
        <f ca="1">VLOOKUP($D232,物料本月库存明細!$B:$J,5,0)</f>
        <v>#N/A</v>
      </c>
      <c r="G232" s="190"/>
      <c r="H232" s="191"/>
      <c r="I232" s="188"/>
      <c r="J232" s="190" t="e">
        <f ca="1">VLOOKUP($D232,物料本月库存明細!$B:$J,9,0)</f>
        <v>#N/A</v>
      </c>
    </row>
    <row r="233" customHeight="1" spans="1:10">
      <c r="A233" s="187"/>
      <c r="B233" s="187"/>
      <c r="C233" s="193"/>
      <c r="D233" s="204"/>
      <c r="E233" s="188" t="e">
        <f ca="1">VLOOKUP($D233,物料本月库存明細!$B:$J,2,0)</f>
        <v>#N/A</v>
      </c>
      <c r="F233" s="189" t="e">
        <f ca="1">VLOOKUP($D233,物料本月库存明細!$B:$J,5,0)</f>
        <v>#N/A</v>
      </c>
      <c r="G233" s="190"/>
      <c r="H233" s="188"/>
      <c r="I233" s="188"/>
      <c r="J233" s="190" t="e">
        <f ca="1">VLOOKUP($D233,物料本月库存明細!$B:$J,9,0)</f>
        <v>#N/A</v>
      </c>
    </row>
    <row r="234" customHeight="1" spans="1:10">
      <c r="A234" s="187"/>
      <c r="B234" s="187"/>
      <c r="C234" s="193"/>
      <c r="D234" s="204"/>
      <c r="E234" s="188" t="e">
        <f ca="1">VLOOKUP($D234,物料本月库存明細!$B:$J,2,0)</f>
        <v>#N/A</v>
      </c>
      <c r="F234" s="189" t="e">
        <f ca="1">VLOOKUP($D234,物料本月库存明細!$B:$J,5,0)</f>
        <v>#N/A</v>
      </c>
      <c r="G234" s="190"/>
      <c r="H234" s="188"/>
      <c r="I234" s="188"/>
      <c r="J234" s="190" t="e">
        <f ca="1">VLOOKUP($D234,物料本月库存明細!$B:$J,9,0)</f>
        <v>#N/A</v>
      </c>
    </row>
    <row r="235" customHeight="1" spans="1:10">
      <c r="A235" s="187"/>
      <c r="B235" s="187"/>
      <c r="C235" s="193"/>
      <c r="D235" s="202"/>
      <c r="E235" s="188" t="e">
        <f ca="1">VLOOKUP($D235,物料本月库存明細!$B:$J,2,0)</f>
        <v>#N/A</v>
      </c>
      <c r="F235" s="189" t="e">
        <f ca="1">VLOOKUP($D235,物料本月库存明細!$B:$J,5,0)</f>
        <v>#N/A</v>
      </c>
      <c r="G235" s="190"/>
      <c r="H235" s="188"/>
      <c r="I235" s="188"/>
      <c r="J235" s="190" t="e">
        <f ca="1">VLOOKUP($D235,物料本月库存明細!$B:$J,9,0)</f>
        <v>#N/A</v>
      </c>
    </row>
    <row r="236" customHeight="1" spans="1:10">
      <c r="A236" s="187"/>
      <c r="B236" s="187"/>
      <c r="C236" s="193"/>
      <c r="D236" s="192"/>
      <c r="E236" s="188" t="e">
        <f ca="1">VLOOKUP($D236,物料本月库存明細!$B:$J,2,0)</f>
        <v>#N/A</v>
      </c>
      <c r="F236" s="189" t="e">
        <f ca="1">VLOOKUP($D236,物料本月库存明細!$B:$J,5,0)</f>
        <v>#N/A</v>
      </c>
      <c r="G236" s="190"/>
      <c r="H236" s="188"/>
      <c r="I236" s="188"/>
      <c r="J236" s="190" t="e">
        <f ca="1">VLOOKUP($D236,物料本月库存明細!$B:$J,9,0)</f>
        <v>#N/A</v>
      </c>
    </row>
    <row r="237" customHeight="1" spans="1:10">
      <c r="A237" s="187"/>
      <c r="B237" s="187"/>
      <c r="C237" s="193"/>
      <c r="D237" s="196"/>
      <c r="E237" s="188" t="e">
        <f ca="1">VLOOKUP($D237,物料本月库存明細!$B:$J,2,0)</f>
        <v>#N/A</v>
      </c>
      <c r="F237" s="189" t="e">
        <f ca="1">VLOOKUP($D237,物料本月库存明細!$B:$J,5,0)</f>
        <v>#N/A</v>
      </c>
      <c r="G237" s="190"/>
      <c r="H237" s="188"/>
      <c r="I237" s="188"/>
      <c r="J237" s="190" t="e">
        <f ca="1">VLOOKUP($D237,物料本月库存明細!$B:$J,9,0)</f>
        <v>#N/A</v>
      </c>
    </row>
    <row r="238" customHeight="1" spans="1:10">
      <c r="A238" s="187"/>
      <c r="B238" s="187"/>
      <c r="C238" s="193"/>
      <c r="D238" s="192"/>
      <c r="E238" s="188" t="e">
        <f ca="1">VLOOKUP($D238,物料本月库存明細!$B:$J,2,0)</f>
        <v>#N/A</v>
      </c>
      <c r="F238" s="189" t="e">
        <f ca="1">VLOOKUP($D238,物料本月库存明細!$B:$J,5,0)</f>
        <v>#N/A</v>
      </c>
      <c r="G238" s="190"/>
      <c r="H238" s="188"/>
      <c r="I238" s="188"/>
      <c r="J238" s="190" t="e">
        <f ca="1">VLOOKUP($D238,物料本月库存明細!$B:$J,9,0)</f>
        <v>#N/A</v>
      </c>
    </row>
    <row r="239" customHeight="1" spans="1:10">
      <c r="A239" s="187"/>
      <c r="B239" s="187"/>
      <c r="C239" s="193"/>
      <c r="D239" s="196"/>
      <c r="E239" s="188" t="e">
        <f ca="1">VLOOKUP($D239,物料本月库存明細!$B:$J,2,0)</f>
        <v>#N/A</v>
      </c>
      <c r="F239" s="189" t="e">
        <f ca="1">VLOOKUP($D239,物料本月库存明細!$B:$J,5,0)</f>
        <v>#N/A</v>
      </c>
      <c r="G239" s="190"/>
      <c r="H239" s="188"/>
      <c r="I239" s="188"/>
      <c r="J239" s="190" t="e">
        <f ca="1">VLOOKUP($D239,物料本月库存明細!$B:$J,9,0)</f>
        <v>#N/A</v>
      </c>
    </row>
    <row r="240" customHeight="1" spans="1:10">
      <c r="A240" s="187"/>
      <c r="B240" s="187"/>
      <c r="C240" s="193"/>
      <c r="D240" s="197"/>
      <c r="E240" s="188" t="e">
        <f ca="1">VLOOKUP($D240,物料本月库存明細!$B:$J,2,0)</f>
        <v>#N/A</v>
      </c>
      <c r="F240" s="189" t="e">
        <f ca="1">VLOOKUP($D240,物料本月库存明細!$B:$J,5,0)</f>
        <v>#N/A</v>
      </c>
      <c r="G240" s="190"/>
      <c r="H240" s="188"/>
      <c r="I240" s="188"/>
      <c r="J240" s="190" t="e">
        <f ca="1">VLOOKUP($D240,物料本月库存明細!$B:$J,9,0)</f>
        <v>#N/A</v>
      </c>
    </row>
    <row r="241" customHeight="1" spans="1:10">
      <c r="A241" s="187"/>
      <c r="B241" s="187"/>
      <c r="C241" s="193"/>
      <c r="D241" s="196"/>
      <c r="E241" s="188" t="e">
        <f ca="1">VLOOKUP($D241,物料本月库存明細!$B:$J,2,0)</f>
        <v>#N/A</v>
      </c>
      <c r="F241" s="189" t="e">
        <f ca="1">VLOOKUP($D241,物料本月库存明細!$B:$J,5,0)</f>
        <v>#N/A</v>
      </c>
      <c r="G241" s="190"/>
      <c r="H241" s="188"/>
      <c r="I241" s="188"/>
      <c r="J241" s="190" t="e">
        <f ca="1">VLOOKUP($D241,物料本月库存明細!$B:$J,9,0)</f>
        <v>#N/A</v>
      </c>
    </row>
    <row r="242" customHeight="1" spans="1:10">
      <c r="A242" s="187"/>
      <c r="B242" s="187"/>
      <c r="C242" s="193"/>
      <c r="D242" s="192"/>
      <c r="E242" s="188" t="e">
        <f ca="1">VLOOKUP($D242,物料本月库存明細!$B:$J,2,0)</f>
        <v>#N/A</v>
      </c>
      <c r="F242" s="189" t="e">
        <f ca="1">VLOOKUP($D242,物料本月库存明細!$B:$J,5,0)</f>
        <v>#N/A</v>
      </c>
      <c r="G242" s="190"/>
      <c r="H242" s="188"/>
      <c r="I242" s="188"/>
      <c r="J242" s="190" t="e">
        <f ca="1">VLOOKUP($D242,物料本月库存明細!$B:$J,9,0)</f>
        <v>#N/A</v>
      </c>
    </row>
    <row r="243" customHeight="1" spans="1:10">
      <c r="A243" s="187"/>
      <c r="B243" s="187"/>
      <c r="C243" s="193"/>
      <c r="D243" s="192"/>
      <c r="E243" s="188" t="e">
        <f ca="1">VLOOKUP($D243,物料本月库存明細!$B:$J,2,0)</f>
        <v>#N/A</v>
      </c>
      <c r="F243" s="189" t="e">
        <f ca="1">VLOOKUP($D243,物料本月库存明細!$B:$J,5,0)</f>
        <v>#N/A</v>
      </c>
      <c r="G243" s="190"/>
      <c r="H243" s="191"/>
      <c r="I243" s="188"/>
      <c r="J243" s="190" t="e">
        <f ca="1">VLOOKUP($D243,物料本月库存明細!$B:$J,9,0)</f>
        <v>#N/A</v>
      </c>
    </row>
    <row r="244" customHeight="1" spans="1:10">
      <c r="A244" s="187"/>
      <c r="B244" s="187"/>
      <c r="C244" s="193"/>
      <c r="D244" s="196"/>
      <c r="E244" s="188" t="e">
        <f ca="1">VLOOKUP($D244,物料本月库存明細!$B:$J,2,0)</f>
        <v>#N/A</v>
      </c>
      <c r="F244" s="189" t="e">
        <f ca="1">VLOOKUP($D244,物料本月库存明細!$B:$J,5,0)</f>
        <v>#N/A</v>
      </c>
      <c r="G244" s="190"/>
      <c r="H244" s="199"/>
      <c r="I244" s="188"/>
      <c r="J244" s="190" t="e">
        <f ca="1">VLOOKUP($D244,物料本月库存明細!$B:$J,9,0)</f>
        <v>#N/A</v>
      </c>
    </row>
    <row r="245" customHeight="1" spans="1:10">
      <c r="A245" s="187"/>
      <c r="B245" s="187"/>
      <c r="C245" s="193"/>
      <c r="D245" s="192"/>
      <c r="E245" s="188" t="e">
        <f ca="1">VLOOKUP($D245,物料本月库存明細!$B:$J,2,0)</f>
        <v>#N/A</v>
      </c>
      <c r="F245" s="189" t="e">
        <f ca="1">VLOOKUP($D245,物料本月库存明細!$B:$J,5,0)</f>
        <v>#N/A</v>
      </c>
      <c r="G245" s="190"/>
      <c r="H245" s="199"/>
      <c r="I245" s="188"/>
      <c r="J245" s="190" t="e">
        <f ca="1">VLOOKUP($D245,物料本月库存明細!$B:$J,9,0)</f>
        <v>#N/A</v>
      </c>
    </row>
    <row r="246" customHeight="1" spans="1:10">
      <c r="A246" s="187"/>
      <c r="B246" s="187"/>
      <c r="C246" s="193"/>
      <c r="D246" s="192"/>
      <c r="E246" s="188" t="e">
        <f ca="1">VLOOKUP($D246,物料本月库存明細!$B:$J,2,0)</f>
        <v>#N/A</v>
      </c>
      <c r="F246" s="189" t="e">
        <f ca="1">VLOOKUP($D246,物料本月库存明細!$B:$J,5,0)</f>
        <v>#N/A</v>
      </c>
      <c r="G246" s="190"/>
      <c r="H246" s="191"/>
      <c r="I246" s="188"/>
      <c r="J246" s="190" t="e">
        <f ca="1">VLOOKUP($D246,物料本月库存明細!$B:$J,9,0)</f>
        <v>#N/A</v>
      </c>
    </row>
    <row r="247" customHeight="1" spans="1:10">
      <c r="A247" s="187"/>
      <c r="B247" s="187"/>
      <c r="C247" s="193"/>
      <c r="D247" s="196"/>
      <c r="E247" s="188" t="e">
        <f ca="1">VLOOKUP($D247,物料本月库存明細!$B:$J,2,0)</f>
        <v>#N/A</v>
      </c>
      <c r="F247" s="189" t="e">
        <f ca="1">VLOOKUP($D247,物料本月库存明細!$B:$J,5,0)</f>
        <v>#N/A</v>
      </c>
      <c r="G247" s="190"/>
      <c r="H247" s="191"/>
      <c r="I247" s="188"/>
      <c r="J247" s="190" t="e">
        <f ca="1">VLOOKUP($D247,物料本月库存明細!$B:$J,9,0)</f>
        <v>#N/A</v>
      </c>
    </row>
    <row r="248" customHeight="1" spans="1:10">
      <c r="A248" s="187"/>
      <c r="B248" s="187"/>
      <c r="C248" s="193"/>
      <c r="D248" s="196"/>
      <c r="E248" s="188" t="e">
        <f ca="1">VLOOKUP($D248,物料本月库存明細!$B:$J,2,0)</f>
        <v>#N/A</v>
      </c>
      <c r="F248" s="189" t="e">
        <f ca="1">VLOOKUP($D248,物料本月库存明細!$B:$J,5,0)</f>
        <v>#N/A</v>
      </c>
      <c r="G248" s="190"/>
      <c r="H248" s="191"/>
      <c r="I248" s="188"/>
      <c r="J248" s="190" t="e">
        <f ca="1">VLOOKUP($D248,物料本月库存明細!$B:$J,9,0)</f>
        <v>#N/A</v>
      </c>
    </row>
    <row r="249" customHeight="1" spans="1:10">
      <c r="A249" s="187"/>
      <c r="B249" s="187"/>
      <c r="C249" s="193"/>
      <c r="D249" s="192"/>
      <c r="E249" s="188" t="e">
        <f ca="1">VLOOKUP($D249,物料本月库存明細!$B:$J,2,0)</f>
        <v>#N/A</v>
      </c>
      <c r="F249" s="189" t="e">
        <f ca="1">VLOOKUP($D249,物料本月库存明細!$B:$J,5,0)</f>
        <v>#N/A</v>
      </c>
      <c r="G249" s="190"/>
      <c r="H249" s="191"/>
      <c r="I249" s="188"/>
      <c r="J249" s="190" t="e">
        <f ca="1">VLOOKUP($D249,物料本月库存明細!$B:$J,9,0)</f>
        <v>#N/A</v>
      </c>
    </row>
    <row r="250" customHeight="1" spans="1:10">
      <c r="A250" s="187"/>
      <c r="B250" s="187"/>
      <c r="C250" s="193"/>
      <c r="D250" s="192"/>
      <c r="E250" s="188" t="e">
        <f ca="1">VLOOKUP($D250,物料本月库存明細!$B:$J,2,0)</f>
        <v>#N/A</v>
      </c>
      <c r="F250" s="189" t="e">
        <f ca="1">VLOOKUP($D250,物料本月库存明細!$B:$J,5,0)</f>
        <v>#N/A</v>
      </c>
      <c r="G250" s="190"/>
      <c r="H250" s="191"/>
      <c r="I250" s="188"/>
      <c r="J250" s="190" t="e">
        <f ca="1">VLOOKUP($D250,物料本月库存明細!$B:$J,9,0)</f>
        <v>#N/A</v>
      </c>
    </row>
    <row r="251" customHeight="1" spans="1:10">
      <c r="A251" s="187"/>
      <c r="B251" s="187"/>
      <c r="C251" s="193"/>
      <c r="D251" s="192"/>
      <c r="E251" s="188" t="e">
        <f ca="1">VLOOKUP($D251,物料本月库存明細!$B:$J,2,0)</f>
        <v>#N/A</v>
      </c>
      <c r="F251" s="189" t="e">
        <f ca="1">VLOOKUP($D251,物料本月库存明細!$B:$J,5,0)</f>
        <v>#N/A</v>
      </c>
      <c r="G251" s="190"/>
      <c r="H251" s="188"/>
      <c r="I251" s="188"/>
      <c r="J251" s="190" t="e">
        <f ca="1">VLOOKUP($D251,物料本月库存明細!$B:$J,9,0)</f>
        <v>#N/A</v>
      </c>
    </row>
    <row r="252" customHeight="1" spans="1:10">
      <c r="A252" s="187"/>
      <c r="B252" s="187"/>
      <c r="C252" s="193"/>
      <c r="D252" s="192"/>
      <c r="E252" s="188" t="e">
        <f ca="1">VLOOKUP($D252,物料本月库存明細!$B:$J,2,0)</f>
        <v>#N/A</v>
      </c>
      <c r="F252" s="189" t="e">
        <f ca="1">VLOOKUP($D252,物料本月库存明細!$B:$J,5,0)</f>
        <v>#N/A</v>
      </c>
      <c r="G252" s="190"/>
      <c r="H252" s="188"/>
      <c r="I252" s="188"/>
      <c r="J252" s="190" t="e">
        <f ca="1">VLOOKUP($D252,物料本月库存明細!$B:$J,9,0)</f>
        <v>#N/A</v>
      </c>
    </row>
    <row r="253" customHeight="1" spans="1:10">
      <c r="A253" s="187"/>
      <c r="B253" s="187"/>
      <c r="C253" s="193"/>
      <c r="D253" s="196"/>
      <c r="E253" s="188" t="e">
        <f ca="1">VLOOKUP($D253,物料本月库存明細!$B:$J,2,0)</f>
        <v>#N/A</v>
      </c>
      <c r="F253" s="189" t="e">
        <f ca="1">VLOOKUP($D253,物料本月库存明細!$B:$J,5,0)</f>
        <v>#N/A</v>
      </c>
      <c r="G253" s="190"/>
      <c r="H253" s="188"/>
      <c r="I253" s="188"/>
      <c r="J253" s="190" t="e">
        <f ca="1">VLOOKUP($D253,物料本月库存明細!$B:$J,9,0)</f>
        <v>#N/A</v>
      </c>
    </row>
    <row r="254" customHeight="1" spans="1:10">
      <c r="A254" s="187"/>
      <c r="B254" s="187"/>
      <c r="C254" s="193"/>
      <c r="D254" s="194"/>
      <c r="E254" s="188" t="e">
        <f ca="1">VLOOKUP($D254,物料本月库存明細!$B:$J,2,0)</f>
        <v>#N/A</v>
      </c>
      <c r="F254" s="189" t="e">
        <f ca="1">VLOOKUP($D254,物料本月库存明細!$B:$J,5,0)</f>
        <v>#N/A</v>
      </c>
      <c r="G254" s="190"/>
      <c r="H254" s="188"/>
      <c r="I254" s="188"/>
      <c r="J254" s="190" t="e">
        <f ca="1">VLOOKUP($D254,物料本月库存明細!$B:$J,9,0)</f>
        <v>#N/A</v>
      </c>
    </row>
    <row r="255" customHeight="1" spans="1:10">
      <c r="A255" s="187"/>
      <c r="B255" s="187"/>
      <c r="C255" s="193"/>
      <c r="D255" s="194"/>
      <c r="E255" s="188" t="e">
        <f ca="1">VLOOKUP($D255,物料本月库存明細!$B:$J,2,0)</f>
        <v>#N/A</v>
      </c>
      <c r="F255" s="189" t="e">
        <f ca="1">VLOOKUP($D255,物料本月库存明細!$B:$J,5,0)</f>
        <v>#N/A</v>
      </c>
      <c r="G255" s="190"/>
      <c r="H255" s="188"/>
      <c r="I255" s="188"/>
      <c r="J255" s="190" t="e">
        <f ca="1">VLOOKUP($D255,物料本月库存明細!$B:$J,9,0)</f>
        <v>#N/A</v>
      </c>
    </row>
    <row r="256" customHeight="1" spans="1:10">
      <c r="A256" s="187"/>
      <c r="B256" s="187"/>
      <c r="C256" s="193"/>
      <c r="D256" s="201"/>
      <c r="E256" s="188" t="e">
        <f ca="1">VLOOKUP($D256,物料本月库存明細!$B:$J,2,0)</f>
        <v>#N/A</v>
      </c>
      <c r="F256" s="189" t="e">
        <f ca="1">VLOOKUP($D256,物料本月库存明細!$B:$J,5,0)</f>
        <v>#N/A</v>
      </c>
      <c r="G256" s="190"/>
      <c r="H256" s="188"/>
      <c r="I256" s="188"/>
      <c r="J256" s="190" t="e">
        <f ca="1">VLOOKUP($D256,物料本月库存明細!$B:$J,9,0)</f>
        <v>#N/A</v>
      </c>
    </row>
    <row r="257" customHeight="1" spans="1:10">
      <c r="A257" s="187"/>
      <c r="B257" s="187"/>
      <c r="C257" s="193"/>
      <c r="D257" s="192"/>
      <c r="E257" s="188" t="e">
        <f ca="1">VLOOKUP($D257,物料本月库存明細!$B:$J,2,0)</f>
        <v>#N/A</v>
      </c>
      <c r="F257" s="189" t="e">
        <f ca="1">VLOOKUP($D257,物料本月库存明細!$B:$J,5,0)</f>
        <v>#N/A</v>
      </c>
      <c r="G257" s="190"/>
      <c r="H257" s="191"/>
      <c r="I257" s="188"/>
      <c r="J257" s="190" t="e">
        <f ca="1">VLOOKUP($D257,物料本月库存明細!$B:$J,9,0)</f>
        <v>#N/A</v>
      </c>
    </row>
    <row r="258" customHeight="1" spans="1:10">
      <c r="A258" s="187"/>
      <c r="B258" s="187"/>
      <c r="C258" s="193"/>
      <c r="D258" s="201"/>
      <c r="E258" s="188" t="e">
        <f ca="1">VLOOKUP($D258,物料本月库存明細!$B:$J,2,0)</f>
        <v>#N/A</v>
      </c>
      <c r="F258" s="189" t="e">
        <f ca="1">VLOOKUP($D258,物料本月库存明細!$B:$J,5,0)</f>
        <v>#N/A</v>
      </c>
      <c r="G258" s="190"/>
      <c r="H258" s="188"/>
      <c r="I258" s="188"/>
      <c r="J258" s="190" t="e">
        <f ca="1">VLOOKUP($D258,物料本月库存明細!$B:$J,9,0)</f>
        <v>#N/A</v>
      </c>
    </row>
    <row r="259" customHeight="1" spans="1:10">
      <c r="A259" s="187"/>
      <c r="B259" s="187"/>
      <c r="C259" s="193"/>
      <c r="D259" s="197"/>
      <c r="E259" s="188" t="e">
        <f ca="1">VLOOKUP($D259,物料本月库存明細!$B:$J,2,0)</f>
        <v>#N/A</v>
      </c>
      <c r="F259" s="189" t="e">
        <f ca="1">VLOOKUP($D259,物料本月库存明細!$B:$J,5,0)</f>
        <v>#N/A</v>
      </c>
      <c r="G259" s="190"/>
      <c r="H259" s="188"/>
      <c r="I259" s="188"/>
      <c r="J259" s="190" t="e">
        <f ca="1">VLOOKUP($D259,物料本月库存明細!$B:$J,9,0)</f>
        <v>#N/A</v>
      </c>
    </row>
    <row r="260" customHeight="1" spans="1:10">
      <c r="A260" s="187"/>
      <c r="B260" s="187"/>
      <c r="C260" s="193"/>
      <c r="D260" s="192"/>
      <c r="E260" s="188" t="e">
        <f ca="1">VLOOKUP($D260,物料本月库存明細!$B:$J,2,0)</f>
        <v>#N/A</v>
      </c>
      <c r="F260" s="189" t="e">
        <f ca="1">VLOOKUP($D260,物料本月库存明細!$B:$J,5,0)</f>
        <v>#N/A</v>
      </c>
      <c r="G260" s="190"/>
      <c r="H260" s="188"/>
      <c r="I260" s="188"/>
      <c r="J260" s="190" t="e">
        <f ca="1">VLOOKUP($D260,物料本月库存明細!$B:$J,9,0)</f>
        <v>#N/A</v>
      </c>
    </row>
    <row r="261" customHeight="1" spans="1:10">
      <c r="A261" s="187"/>
      <c r="B261" s="187"/>
      <c r="C261" s="193"/>
      <c r="D261" s="196"/>
      <c r="E261" s="188" t="e">
        <f ca="1">VLOOKUP($D261,物料本月库存明細!$B:$J,2,0)</f>
        <v>#N/A</v>
      </c>
      <c r="F261" s="189" t="e">
        <f ca="1">VLOOKUP($D261,物料本月库存明細!$B:$J,5,0)</f>
        <v>#N/A</v>
      </c>
      <c r="G261" s="190"/>
      <c r="H261" s="188"/>
      <c r="I261" s="188"/>
      <c r="J261" s="190" t="e">
        <f ca="1">VLOOKUP($D261,物料本月库存明細!$B:$J,9,0)</f>
        <v>#N/A</v>
      </c>
    </row>
    <row r="262" customHeight="1" spans="1:10">
      <c r="A262" s="187"/>
      <c r="B262" s="187"/>
      <c r="C262" s="193"/>
      <c r="D262" s="192"/>
      <c r="E262" s="188" t="e">
        <f ca="1">VLOOKUP($D262,物料本月库存明細!$B:$J,2,0)</f>
        <v>#N/A</v>
      </c>
      <c r="F262" s="189" t="e">
        <f ca="1">VLOOKUP($D262,物料本月库存明細!$B:$J,5,0)</f>
        <v>#N/A</v>
      </c>
      <c r="G262" s="190"/>
      <c r="H262" s="188"/>
      <c r="I262" s="188"/>
      <c r="J262" s="190" t="e">
        <f ca="1">VLOOKUP($D262,物料本月库存明細!$B:$J,9,0)</f>
        <v>#N/A</v>
      </c>
    </row>
    <row r="263" customHeight="1" spans="1:10">
      <c r="A263" s="187"/>
      <c r="B263" s="187"/>
      <c r="C263" s="193"/>
      <c r="D263" s="192"/>
      <c r="E263" s="188" t="e">
        <f ca="1">VLOOKUP($D263,物料本月库存明細!$B:$J,2,0)</f>
        <v>#N/A</v>
      </c>
      <c r="F263" s="189" t="e">
        <f ca="1">VLOOKUP($D263,物料本月库存明細!$B:$J,5,0)</f>
        <v>#N/A</v>
      </c>
      <c r="G263" s="190"/>
      <c r="H263" s="188"/>
      <c r="I263" s="188"/>
      <c r="J263" s="190" t="e">
        <f ca="1">VLOOKUP($D263,物料本月库存明細!$B:$J,9,0)</f>
        <v>#N/A</v>
      </c>
    </row>
    <row r="264" customHeight="1" spans="1:10">
      <c r="A264" s="187"/>
      <c r="B264" s="187"/>
      <c r="C264" s="193"/>
      <c r="D264" s="192"/>
      <c r="E264" s="188" t="e">
        <f ca="1">VLOOKUP($D264,物料本月库存明細!$B:$J,2,0)</f>
        <v>#N/A</v>
      </c>
      <c r="F264" s="189" t="e">
        <f ca="1">VLOOKUP($D264,物料本月库存明細!$B:$J,5,0)</f>
        <v>#N/A</v>
      </c>
      <c r="G264" s="190"/>
      <c r="H264" s="188"/>
      <c r="I264" s="188"/>
      <c r="J264" s="190" t="e">
        <f ca="1">VLOOKUP($D264,物料本月库存明細!$B:$J,9,0)</f>
        <v>#N/A</v>
      </c>
    </row>
    <row r="265" customHeight="1" spans="1:10">
      <c r="A265" s="187"/>
      <c r="B265" s="187"/>
      <c r="C265" s="193"/>
      <c r="D265" s="196"/>
      <c r="E265" s="188" t="e">
        <f ca="1">VLOOKUP($D265,物料本月库存明細!$B:$J,2,0)</f>
        <v>#N/A</v>
      </c>
      <c r="F265" s="189" t="e">
        <f ca="1">VLOOKUP($D265,物料本月库存明細!$B:$J,5,0)</f>
        <v>#N/A</v>
      </c>
      <c r="G265" s="190"/>
      <c r="H265" s="188"/>
      <c r="I265" s="188"/>
      <c r="J265" s="190" t="e">
        <f ca="1">VLOOKUP($D265,物料本月库存明細!$B:$J,9,0)</f>
        <v>#N/A</v>
      </c>
    </row>
    <row r="266" customHeight="1" spans="1:10">
      <c r="A266" s="187"/>
      <c r="B266" s="187"/>
      <c r="C266" s="193"/>
      <c r="D266" s="196"/>
      <c r="E266" s="188" t="e">
        <f ca="1">VLOOKUP($D266,物料本月库存明細!$B:$J,2,0)</f>
        <v>#N/A</v>
      </c>
      <c r="F266" s="189" t="e">
        <f ca="1">VLOOKUP($D266,物料本月库存明細!$B:$J,5,0)</f>
        <v>#N/A</v>
      </c>
      <c r="G266" s="190"/>
      <c r="H266" s="188"/>
      <c r="I266" s="188"/>
      <c r="J266" s="190" t="e">
        <f ca="1">VLOOKUP($D266,物料本月库存明細!$B:$J,9,0)</f>
        <v>#N/A</v>
      </c>
    </row>
    <row r="267" customHeight="1" spans="1:10">
      <c r="A267" s="187"/>
      <c r="B267" s="187"/>
      <c r="C267" s="193"/>
      <c r="D267" s="194"/>
      <c r="E267" s="188" t="e">
        <f ca="1">VLOOKUP($D267,物料本月库存明細!$B:$J,2,0)</f>
        <v>#N/A</v>
      </c>
      <c r="F267" s="189" t="e">
        <f ca="1">VLOOKUP($D267,物料本月库存明細!$B:$J,5,0)</f>
        <v>#N/A</v>
      </c>
      <c r="G267" s="190"/>
      <c r="H267" s="188"/>
      <c r="I267" s="188"/>
      <c r="J267" s="190" t="e">
        <f ca="1">VLOOKUP($D267,物料本月库存明細!$B:$J,9,0)</f>
        <v>#N/A</v>
      </c>
    </row>
    <row r="268" customHeight="1" spans="1:10">
      <c r="A268" s="187"/>
      <c r="B268" s="187"/>
      <c r="C268" s="193"/>
      <c r="D268" s="192"/>
      <c r="E268" s="188" t="e">
        <f ca="1">VLOOKUP($D268,物料本月库存明細!$B:$J,2,0)</f>
        <v>#N/A</v>
      </c>
      <c r="F268" s="189" t="e">
        <f ca="1">VLOOKUP($D268,物料本月库存明細!$B:$J,5,0)</f>
        <v>#N/A</v>
      </c>
      <c r="G268" s="190"/>
      <c r="H268" s="188"/>
      <c r="I268" s="188"/>
      <c r="J268" s="190" t="e">
        <f ca="1">VLOOKUP($D268,物料本月库存明細!$B:$J,9,0)</f>
        <v>#N/A</v>
      </c>
    </row>
    <row r="269" customHeight="1" spans="1:10">
      <c r="A269" s="187"/>
      <c r="B269" s="187"/>
      <c r="C269" s="193"/>
      <c r="D269" s="192"/>
      <c r="E269" s="188" t="e">
        <f ca="1">VLOOKUP($D269,物料本月库存明細!$B:$J,2,0)</f>
        <v>#N/A</v>
      </c>
      <c r="F269" s="189" t="e">
        <f ca="1">VLOOKUP($D269,物料本月库存明細!$B:$J,5,0)</f>
        <v>#N/A</v>
      </c>
      <c r="G269" s="190"/>
      <c r="H269" s="188"/>
      <c r="I269" s="188"/>
      <c r="J269" s="190" t="e">
        <f ca="1">VLOOKUP($D269,物料本月库存明細!$B:$J,9,0)</f>
        <v>#N/A</v>
      </c>
    </row>
    <row r="270" customHeight="1" spans="1:10">
      <c r="A270" s="187"/>
      <c r="B270" s="187"/>
      <c r="C270" s="193"/>
      <c r="D270" s="197"/>
      <c r="E270" s="188" t="e">
        <f ca="1">VLOOKUP($D270,物料本月库存明細!$B:$J,2,0)</f>
        <v>#N/A</v>
      </c>
      <c r="F270" s="189" t="e">
        <f ca="1">VLOOKUP($D270,物料本月库存明細!$B:$J,5,0)</f>
        <v>#N/A</v>
      </c>
      <c r="G270" s="190"/>
      <c r="H270" s="188"/>
      <c r="I270" s="188"/>
      <c r="J270" s="190" t="e">
        <f ca="1">VLOOKUP($D270,物料本月库存明細!$B:$J,9,0)</f>
        <v>#N/A</v>
      </c>
    </row>
    <row r="271" customHeight="1" spans="1:10">
      <c r="A271" s="187"/>
      <c r="B271" s="187"/>
      <c r="C271" s="193"/>
      <c r="D271" s="194"/>
      <c r="E271" s="188" t="e">
        <f ca="1">VLOOKUP($D271,物料本月库存明細!$B:$J,2,0)</f>
        <v>#N/A</v>
      </c>
      <c r="F271" s="189" t="e">
        <f ca="1">VLOOKUP($D271,物料本月库存明細!$B:$J,5,0)</f>
        <v>#N/A</v>
      </c>
      <c r="G271" s="190"/>
      <c r="H271" s="188"/>
      <c r="I271" s="188"/>
      <c r="J271" s="190" t="e">
        <f ca="1">VLOOKUP($D271,物料本月库存明細!$B:$J,9,0)</f>
        <v>#N/A</v>
      </c>
    </row>
    <row r="272" customHeight="1" spans="1:10">
      <c r="A272" s="187"/>
      <c r="B272" s="187"/>
      <c r="C272" s="193"/>
      <c r="D272" s="196"/>
      <c r="E272" s="188" t="e">
        <f ca="1">VLOOKUP($D272,物料本月库存明細!$B:$J,2,0)</f>
        <v>#N/A</v>
      </c>
      <c r="F272" s="189" t="e">
        <f ca="1">VLOOKUP($D272,物料本月库存明細!$B:$J,5,0)</f>
        <v>#N/A</v>
      </c>
      <c r="G272" s="190"/>
      <c r="H272" s="188"/>
      <c r="I272" s="188"/>
      <c r="J272" s="190" t="e">
        <f ca="1">VLOOKUP($D272,物料本月库存明細!$B:$J,9,0)</f>
        <v>#N/A</v>
      </c>
    </row>
    <row r="273" customHeight="1" spans="1:10">
      <c r="A273" s="187"/>
      <c r="B273" s="187"/>
      <c r="C273" s="193"/>
      <c r="D273" s="201"/>
      <c r="E273" s="188" t="e">
        <f ca="1">VLOOKUP($D273,物料本月库存明細!$B:$J,2,0)</f>
        <v>#N/A</v>
      </c>
      <c r="F273" s="189" t="e">
        <f ca="1">VLOOKUP($D273,物料本月库存明細!$B:$J,5,0)</f>
        <v>#N/A</v>
      </c>
      <c r="G273" s="190"/>
      <c r="H273" s="188"/>
      <c r="I273" s="188"/>
      <c r="J273" s="190" t="e">
        <f ca="1">VLOOKUP($D273,物料本月库存明細!$B:$J,9,0)</f>
        <v>#N/A</v>
      </c>
    </row>
    <row r="274" customHeight="1" spans="1:10">
      <c r="A274" s="187"/>
      <c r="B274" s="187"/>
      <c r="C274" s="193"/>
      <c r="D274" s="192"/>
      <c r="E274" s="188" t="e">
        <f ca="1">VLOOKUP($D274,物料本月库存明細!$B:$J,2,0)</f>
        <v>#N/A</v>
      </c>
      <c r="F274" s="189" t="e">
        <f ca="1">VLOOKUP($D274,物料本月库存明細!$B:$J,5,0)</f>
        <v>#N/A</v>
      </c>
      <c r="G274" s="190"/>
      <c r="H274" s="188"/>
      <c r="I274" s="188"/>
      <c r="J274" s="190" t="e">
        <f ca="1">VLOOKUP($D274,物料本月库存明細!$B:$J,9,0)</f>
        <v>#N/A</v>
      </c>
    </row>
    <row r="275" customHeight="1" spans="1:10">
      <c r="A275" s="187"/>
      <c r="B275" s="187"/>
      <c r="C275" s="193"/>
      <c r="D275" s="192"/>
      <c r="E275" s="188" t="e">
        <f ca="1">VLOOKUP($D275,物料本月库存明細!$B:$J,2,0)</f>
        <v>#N/A</v>
      </c>
      <c r="F275" s="189" t="e">
        <f ca="1">VLOOKUP($D275,物料本月库存明細!$B:$J,5,0)</f>
        <v>#N/A</v>
      </c>
      <c r="G275" s="190"/>
      <c r="H275" s="188"/>
      <c r="I275" s="188"/>
      <c r="J275" s="190" t="e">
        <f ca="1">VLOOKUP($D275,物料本月库存明細!$B:$J,9,0)</f>
        <v>#N/A</v>
      </c>
    </row>
    <row r="276" customHeight="1" spans="1:10">
      <c r="A276" s="187"/>
      <c r="B276" s="187"/>
      <c r="C276" s="193"/>
      <c r="D276" s="192"/>
      <c r="E276" s="188" t="e">
        <f ca="1">VLOOKUP($D276,物料本月库存明細!$B:$J,2,0)</f>
        <v>#N/A</v>
      </c>
      <c r="F276" s="189" t="e">
        <f ca="1">VLOOKUP($D276,物料本月库存明細!$B:$J,5,0)</f>
        <v>#N/A</v>
      </c>
      <c r="G276" s="190"/>
      <c r="H276" s="188"/>
      <c r="I276" s="188"/>
      <c r="J276" s="190" t="e">
        <f ca="1">VLOOKUP($D276,物料本月库存明細!$B:$J,9,0)</f>
        <v>#N/A</v>
      </c>
    </row>
    <row r="277" customHeight="1" spans="1:10">
      <c r="A277" s="187"/>
      <c r="B277" s="187"/>
      <c r="C277" s="193"/>
      <c r="D277" s="192"/>
      <c r="E277" s="188" t="e">
        <f ca="1">VLOOKUP($D277,物料本月库存明細!$B:$J,2,0)</f>
        <v>#N/A</v>
      </c>
      <c r="F277" s="189" t="e">
        <f ca="1">VLOOKUP($D277,物料本月库存明細!$B:$J,5,0)</f>
        <v>#N/A</v>
      </c>
      <c r="G277" s="190"/>
      <c r="H277" s="188"/>
      <c r="I277" s="188"/>
      <c r="J277" s="190" t="e">
        <f ca="1">VLOOKUP($D277,物料本月库存明細!$B:$J,9,0)</f>
        <v>#N/A</v>
      </c>
    </row>
    <row r="278" customHeight="1" spans="1:10">
      <c r="A278" s="187"/>
      <c r="B278" s="187"/>
      <c r="C278" s="193"/>
      <c r="D278" s="196"/>
      <c r="E278" s="188" t="e">
        <f ca="1">VLOOKUP($D278,物料本月库存明細!$B:$J,2,0)</f>
        <v>#N/A</v>
      </c>
      <c r="F278" s="189" t="e">
        <f ca="1">VLOOKUP($D278,物料本月库存明細!$B:$J,5,0)</f>
        <v>#N/A</v>
      </c>
      <c r="G278" s="190"/>
      <c r="H278" s="188"/>
      <c r="I278" s="188"/>
      <c r="J278" s="190" t="e">
        <f ca="1">VLOOKUP($D278,物料本月库存明細!$B:$J,9,0)</f>
        <v>#N/A</v>
      </c>
    </row>
    <row r="279" customHeight="1" spans="1:10">
      <c r="A279" s="187"/>
      <c r="B279" s="187"/>
      <c r="C279" s="193"/>
      <c r="D279" s="196"/>
      <c r="E279" s="188" t="e">
        <f ca="1">VLOOKUP($D279,物料本月库存明細!$B:$J,2,0)</f>
        <v>#N/A</v>
      </c>
      <c r="F279" s="189" t="e">
        <f ca="1">VLOOKUP($D279,物料本月库存明細!$B:$J,5,0)</f>
        <v>#N/A</v>
      </c>
      <c r="G279" s="190"/>
      <c r="H279" s="188"/>
      <c r="I279" s="188"/>
      <c r="J279" s="190" t="e">
        <f ca="1">VLOOKUP($D279,物料本月库存明細!$B:$J,9,0)</f>
        <v>#N/A</v>
      </c>
    </row>
    <row r="280" customHeight="1" spans="1:10">
      <c r="A280" s="187"/>
      <c r="B280" s="187"/>
      <c r="C280" s="193"/>
      <c r="D280" s="196"/>
      <c r="E280" s="188" t="e">
        <f ca="1">VLOOKUP($D280,物料本月库存明細!$B:$J,2,0)</f>
        <v>#N/A</v>
      </c>
      <c r="F280" s="189" t="e">
        <f ca="1">VLOOKUP($D280,物料本月库存明細!$B:$J,5,0)</f>
        <v>#N/A</v>
      </c>
      <c r="G280" s="190"/>
      <c r="H280" s="188"/>
      <c r="I280" s="188"/>
      <c r="J280" s="190" t="e">
        <f ca="1">VLOOKUP($D280,物料本月库存明細!$B:$J,9,0)</f>
        <v>#N/A</v>
      </c>
    </row>
    <row r="281" customHeight="1" spans="1:10">
      <c r="A281" s="187"/>
      <c r="B281" s="187"/>
      <c r="C281" s="193"/>
      <c r="D281" s="204"/>
      <c r="E281" s="188" t="e">
        <f ca="1">VLOOKUP($D281,物料本月库存明細!$B:$J,2,0)</f>
        <v>#N/A</v>
      </c>
      <c r="F281" s="189" t="e">
        <f ca="1">VLOOKUP($D281,物料本月库存明細!$B:$J,5,0)</f>
        <v>#N/A</v>
      </c>
      <c r="G281" s="190"/>
      <c r="H281" s="188"/>
      <c r="I281" s="188"/>
      <c r="J281" s="190" t="e">
        <f ca="1">VLOOKUP($D281,物料本月库存明細!$B:$J,9,0)</f>
        <v>#N/A</v>
      </c>
    </row>
    <row r="282" customHeight="1" spans="1:10">
      <c r="A282" s="187"/>
      <c r="B282" s="187"/>
      <c r="C282" s="193"/>
      <c r="D282" s="196"/>
      <c r="E282" s="188" t="e">
        <f ca="1">VLOOKUP($D282,物料本月库存明細!$B:$J,2,0)</f>
        <v>#N/A</v>
      </c>
      <c r="F282" s="189" t="e">
        <f ca="1">VLOOKUP($D282,物料本月库存明細!$B:$J,5,0)</f>
        <v>#N/A</v>
      </c>
      <c r="G282" s="190"/>
      <c r="H282" s="188"/>
      <c r="I282" s="188"/>
      <c r="J282" s="190" t="e">
        <f ca="1">VLOOKUP($D282,物料本月库存明細!$B:$J,9,0)</f>
        <v>#N/A</v>
      </c>
    </row>
    <row r="283" customHeight="1" spans="1:10">
      <c r="A283" s="187"/>
      <c r="B283" s="187"/>
      <c r="C283" s="193"/>
      <c r="D283" s="194"/>
      <c r="E283" s="188" t="e">
        <f ca="1">VLOOKUP($D283,物料本月库存明細!$B:$J,2,0)</f>
        <v>#N/A</v>
      </c>
      <c r="F283" s="189" t="e">
        <f ca="1">VLOOKUP($D283,物料本月库存明細!$B:$J,5,0)</f>
        <v>#N/A</v>
      </c>
      <c r="G283" s="190"/>
      <c r="H283" s="188"/>
      <c r="I283" s="188"/>
      <c r="J283" s="190" t="e">
        <f ca="1">VLOOKUP($D283,物料本月库存明細!$B:$J,9,0)</f>
        <v>#N/A</v>
      </c>
    </row>
    <row r="284" customHeight="1" spans="1:10">
      <c r="A284" s="187"/>
      <c r="B284" s="187"/>
      <c r="C284" s="193"/>
      <c r="D284" s="192"/>
      <c r="E284" s="188" t="e">
        <f ca="1">VLOOKUP($D284,物料本月库存明細!$B:$J,2,0)</f>
        <v>#N/A</v>
      </c>
      <c r="F284" s="189" t="e">
        <f ca="1">VLOOKUP($D284,物料本月库存明細!$B:$J,5,0)</f>
        <v>#N/A</v>
      </c>
      <c r="G284" s="190"/>
      <c r="H284" s="188"/>
      <c r="I284" s="188"/>
      <c r="J284" s="190" t="e">
        <f ca="1">VLOOKUP($D284,物料本月库存明細!$B:$J,9,0)</f>
        <v>#N/A</v>
      </c>
    </row>
    <row r="285" customHeight="1" spans="1:10">
      <c r="A285" s="187"/>
      <c r="B285" s="187"/>
      <c r="C285" s="193"/>
      <c r="D285" s="192"/>
      <c r="E285" s="188" t="e">
        <f ca="1">VLOOKUP($D285,物料本月库存明細!$B:$J,2,0)</f>
        <v>#N/A</v>
      </c>
      <c r="F285" s="189" t="e">
        <f ca="1">VLOOKUP($D285,物料本月库存明細!$B:$J,5,0)</f>
        <v>#N/A</v>
      </c>
      <c r="G285" s="190"/>
      <c r="H285" s="188"/>
      <c r="I285" s="188"/>
      <c r="J285" s="190" t="e">
        <f ca="1">VLOOKUP($D285,物料本月库存明細!$B:$J,9,0)</f>
        <v>#N/A</v>
      </c>
    </row>
    <row r="286" customHeight="1" spans="1:10">
      <c r="A286" s="187"/>
      <c r="B286" s="187"/>
      <c r="C286" s="193"/>
      <c r="D286" s="192"/>
      <c r="E286" s="188" t="e">
        <f ca="1">VLOOKUP($D286,物料本月库存明細!$B:$J,2,0)</f>
        <v>#N/A</v>
      </c>
      <c r="F286" s="189" t="e">
        <f ca="1">VLOOKUP($D286,物料本月库存明細!$B:$J,5,0)</f>
        <v>#N/A</v>
      </c>
      <c r="G286" s="190"/>
      <c r="H286" s="191"/>
      <c r="I286" s="188"/>
      <c r="J286" s="190" t="e">
        <f ca="1">VLOOKUP($D286,物料本月库存明細!$B:$J,9,0)</f>
        <v>#N/A</v>
      </c>
    </row>
    <row r="287" customHeight="1" spans="1:10">
      <c r="A287" s="187"/>
      <c r="B287" s="187"/>
      <c r="C287" s="193"/>
      <c r="D287" s="196"/>
      <c r="E287" s="188" t="e">
        <f ca="1">VLOOKUP($D287,物料本月库存明細!$B:$J,2,0)</f>
        <v>#N/A</v>
      </c>
      <c r="F287" s="189" t="e">
        <f ca="1">VLOOKUP($D287,物料本月库存明細!$B:$J,5,0)</f>
        <v>#N/A</v>
      </c>
      <c r="G287" s="190"/>
      <c r="H287" s="188"/>
      <c r="I287" s="188"/>
      <c r="J287" s="190" t="e">
        <f ca="1">VLOOKUP($D287,物料本月库存明細!$B:$J,9,0)</f>
        <v>#N/A</v>
      </c>
    </row>
    <row r="288" customHeight="1" spans="1:10">
      <c r="A288" s="187"/>
      <c r="B288" s="187"/>
      <c r="C288" s="193"/>
      <c r="D288" s="196"/>
      <c r="E288" s="188" t="e">
        <f ca="1">VLOOKUP($D288,物料本月库存明細!$B:$J,2,0)</f>
        <v>#N/A</v>
      </c>
      <c r="F288" s="189" t="e">
        <f ca="1">VLOOKUP($D288,物料本月库存明細!$B:$J,5,0)</f>
        <v>#N/A</v>
      </c>
      <c r="G288" s="190"/>
      <c r="H288" s="188"/>
      <c r="I288" s="188"/>
      <c r="J288" s="190" t="e">
        <f ca="1">VLOOKUP($D288,物料本月库存明細!$B:$J,9,0)</f>
        <v>#N/A</v>
      </c>
    </row>
    <row r="289" customHeight="1" spans="1:10">
      <c r="A289" s="187"/>
      <c r="B289" s="187"/>
      <c r="C289" s="193"/>
      <c r="D289" s="192"/>
      <c r="E289" s="188" t="e">
        <f ca="1">VLOOKUP($D289,物料本月库存明細!$B:$J,2,0)</f>
        <v>#N/A</v>
      </c>
      <c r="F289" s="189" t="e">
        <f ca="1">VLOOKUP($D289,物料本月库存明細!$B:$J,5,0)</f>
        <v>#N/A</v>
      </c>
      <c r="G289" s="190"/>
      <c r="H289" s="188"/>
      <c r="I289" s="188"/>
      <c r="J289" s="190" t="e">
        <f ca="1">VLOOKUP($D289,物料本月库存明細!$B:$J,9,0)</f>
        <v>#N/A</v>
      </c>
    </row>
    <row r="290" customHeight="1" spans="1:10">
      <c r="A290" s="187"/>
      <c r="B290" s="187"/>
      <c r="C290" s="193"/>
      <c r="D290" s="192"/>
      <c r="E290" s="188" t="e">
        <f ca="1">VLOOKUP($D290,物料本月库存明細!$B:$J,2,0)</f>
        <v>#N/A</v>
      </c>
      <c r="F290" s="189" t="e">
        <f ca="1">VLOOKUP($D290,物料本月库存明細!$B:$J,5,0)</f>
        <v>#N/A</v>
      </c>
      <c r="G290" s="190"/>
      <c r="H290" s="188"/>
      <c r="I290" s="188"/>
      <c r="J290" s="190" t="e">
        <f ca="1">VLOOKUP($D290,物料本月库存明細!$B:$J,9,0)</f>
        <v>#N/A</v>
      </c>
    </row>
    <row r="291" customHeight="1" spans="1:10">
      <c r="A291" s="187"/>
      <c r="B291" s="187"/>
      <c r="C291" s="193"/>
      <c r="D291" s="197"/>
      <c r="E291" s="188" t="e">
        <f ca="1">VLOOKUP($D291,物料本月库存明細!$B:$J,2,0)</f>
        <v>#N/A</v>
      </c>
      <c r="F291" s="189" t="e">
        <f ca="1">VLOOKUP($D291,物料本月库存明細!$B:$J,5,0)</f>
        <v>#N/A</v>
      </c>
      <c r="G291" s="190"/>
      <c r="H291" s="188"/>
      <c r="I291" s="188"/>
      <c r="J291" s="190" t="e">
        <f ca="1">VLOOKUP($D291,物料本月库存明細!$B:$J,9,0)</f>
        <v>#N/A</v>
      </c>
    </row>
    <row r="292" customHeight="1" spans="1:10">
      <c r="A292" s="187"/>
      <c r="B292" s="187"/>
      <c r="C292" s="193"/>
      <c r="D292" s="196"/>
      <c r="E292" s="188" t="e">
        <f ca="1">VLOOKUP($D292,物料本月库存明細!$B:$J,2,0)</f>
        <v>#N/A</v>
      </c>
      <c r="F292" s="189" t="e">
        <f ca="1">VLOOKUP($D292,物料本月库存明細!$B:$J,5,0)</f>
        <v>#N/A</v>
      </c>
      <c r="G292" s="190"/>
      <c r="H292" s="191"/>
      <c r="I292" s="188"/>
      <c r="J292" s="190" t="e">
        <f ca="1">VLOOKUP($D292,物料本月库存明細!$B:$J,9,0)</f>
        <v>#N/A</v>
      </c>
    </row>
    <row r="293" customHeight="1" spans="1:10">
      <c r="A293" s="187"/>
      <c r="B293" s="187"/>
      <c r="C293" s="193"/>
      <c r="D293" s="196"/>
      <c r="E293" s="188" t="e">
        <f ca="1">VLOOKUP($D293,物料本月库存明細!$B:$J,2,0)</f>
        <v>#N/A</v>
      </c>
      <c r="F293" s="189" t="e">
        <f ca="1">VLOOKUP($D293,物料本月库存明細!$B:$J,5,0)</f>
        <v>#N/A</v>
      </c>
      <c r="G293" s="190"/>
      <c r="H293" s="188"/>
      <c r="I293" s="188"/>
      <c r="J293" s="190" t="e">
        <f ca="1">VLOOKUP($D293,物料本月库存明細!$B:$J,9,0)</f>
        <v>#N/A</v>
      </c>
    </row>
    <row r="294" customHeight="1" spans="1:10">
      <c r="A294" s="187"/>
      <c r="B294" s="187"/>
      <c r="C294" s="193"/>
      <c r="D294" s="196"/>
      <c r="E294" s="188" t="e">
        <f ca="1">VLOOKUP($D294,物料本月库存明細!$B:$J,2,0)</f>
        <v>#N/A</v>
      </c>
      <c r="F294" s="189" t="e">
        <f ca="1">VLOOKUP($D294,物料本月库存明細!$B:$J,5,0)</f>
        <v>#N/A</v>
      </c>
      <c r="G294" s="190"/>
      <c r="H294" s="188"/>
      <c r="I294" s="188"/>
      <c r="J294" s="190" t="e">
        <f ca="1">VLOOKUP($D294,物料本月库存明細!$B:$J,9,0)</f>
        <v>#N/A</v>
      </c>
    </row>
    <row r="295" customHeight="1" spans="1:10">
      <c r="A295" s="187"/>
      <c r="B295" s="187"/>
      <c r="C295" s="193"/>
      <c r="D295" s="192"/>
      <c r="E295" s="188" t="e">
        <f ca="1">VLOOKUP($D295,物料本月库存明細!$B:$J,2,0)</f>
        <v>#N/A</v>
      </c>
      <c r="F295" s="189" t="e">
        <f ca="1">VLOOKUP($D295,物料本月库存明細!$B:$J,5,0)</f>
        <v>#N/A</v>
      </c>
      <c r="G295" s="190"/>
      <c r="H295" s="188"/>
      <c r="I295" s="188"/>
      <c r="J295" s="190" t="e">
        <f ca="1">VLOOKUP($D295,物料本月库存明細!$B:$J,9,0)</f>
        <v>#N/A</v>
      </c>
    </row>
    <row r="296" customHeight="1" spans="1:10">
      <c r="A296" s="187"/>
      <c r="B296" s="187"/>
      <c r="C296" s="193"/>
      <c r="D296" s="192"/>
      <c r="E296" s="188" t="e">
        <f ca="1">VLOOKUP($D296,物料本月库存明細!$B:$J,2,0)</f>
        <v>#N/A</v>
      </c>
      <c r="F296" s="189" t="e">
        <f ca="1">VLOOKUP($D296,物料本月库存明細!$B:$J,5,0)</f>
        <v>#N/A</v>
      </c>
      <c r="G296" s="190"/>
      <c r="H296" s="188"/>
      <c r="I296" s="188"/>
      <c r="J296" s="190" t="e">
        <f ca="1">VLOOKUP($D296,物料本月库存明細!$B:$J,9,0)</f>
        <v>#N/A</v>
      </c>
    </row>
    <row r="297" customHeight="1" spans="1:10">
      <c r="A297" s="187"/>
      <c r="B297" s="187"/>
      <c r="C297" s="193"/>
      <c r="D297" s="196"/>
      <c r="E297" s="188" t="e">
        <f ca="1">VLOOKUP($D297,物料本月库存明細!$B:$J,2,0)</f>
        <v>#N/A</v>
      </c>
      <c r="F297" s="189" t="e">
        <f ca="1">VLOOKUP($D297,物料本月库存明細!$B:$J,5,0)</f>
        <v>#N/A</v>
      </c>
      <c r="G297" s="190"/>
      <c r="H297" s="191"/>
      <c r="I297" s="188"/>
      <c r="J297" s="190" t="e">
        <f ca="1">VLOOKUP($D297,物料本月库存明細!$B:$J,9,0)</f>
        <v>#N/A</v>
      </c>
    </row>
    <row r="298" customHeight="1" spans="1:10">
      <c r="A298" s="187"/>
      <c r="B298" s="187"/>
      <c r="C298" s="193"/>
      <c r="D298" s="192"/>
      <c r="E298" s="188" t="e">
        <f ca="1">VLOOKUP($D298,物料本月库存明細!$B:$J,2,0)</f>
        <v>#N/A</v>
      </c>
      <c r="F298" s="189" t="e">
        <f ca="1">VLOOKUP($D298,物料本月库存明細!$B:$J,5,0)</f>
        <v>#N/A</v>
      </c>
      <c r="G298" s="190"/>
      <c r="H298" s="191"/>
      <c r="I298" s="188"/>
      <c r="J298" s="190" t="e">
        <f ca="1">VLOOKUP($D298,物料本月库存明細!$B:$J,9,0)</f>
        <v>#N/A</v>
      </c>
    </row>
    <row r="299" customHeight="1" spans="1:10">
      <c r="A299" s="187"/>
      <c r="B299" s="187"/>
      <c r="C299" s="193"/>
      <c r="D299" s="196"/>
      <c r="E299" s="188" t="e">
        <f ca="1">VLOOKUP($D299,物料本月库存明細!$B:$J,2,0)</f>
        <v>#N/A</v>
      </c>
      <c r="F299" s="189" t="e">
        <f ca="1">VLOOKUP($D299,物料本月库存明細!$B:$J,5,0)</f>
        <v>#N/A</v>
      </c>
      <c r="G299" s="190"/>
      <c r="H299" s="191"/>
      <c r="I299" s="188"/>
      <c r="J299" s="190" t="e">
        <f ca="1">VLOOKUP($D299,物料本月库存明細!$B:$J,9,0)</f>
        <v>#N/A</v>
      </c>
    </row>
    <row r="300" customHeight="1" spans="1:10">
      <c r="A300" s="187"/>
      <c r="B300" s="187"/>
      <c r="C300" s="193"/>
      <c r="D300" s="196"/>
      <c r="E300" s="188" t="e">
        <f ca="1">VLOOKUP($D300,物料本月库存明細!$B:$J,2,0)</f>
        <v>#N/A</v>
      </c>
      <c r="F300" s="189" t="e">
        <f ca="1">VLOOKUP($D300,物料本月库存明細!$B:$J,5,0)</f>
        <v>#N/A</v>
      </c>
      <c r="G300" s="190"/>
      <c r="H300" s="191"/>
      <c r="I300" s="188"/>
      <c r="J300" s="190" t="e">
        <f ca="1">VLOOKUP($D300,物料本月库存明細!$B:$J,9,0)</f>
        <v>#N/A</v>
      </c>
    </row>
    <row r="301" customHeight="1" spans="1:10">
      <c r="A301" s="187"/>
      <c r="B301" s="187"/>
      <c r="C301" s="193"/>
      <c r="D301" s="204"/>
      <c r="E301" s="188" t="e">
        <f ca="1">VLOOKUP($D301,物料本月库存明細!$B:$J,2,0)</f>
        <v>#N/A</v>
      </c>
      <c r="F301" s="189" t="e">
        <f ca="1">VLOOKUP($D301,物料本月库存明細!$B:$J,5,0)</f>
        <v>#N/A</v>
      </c>
      <c r="G301" s="190"/>
      <c r="H301" s="191"/>
      <c r="I301" s="188"/>
      <c r="J301" s="190" t="e">
        <f ca="1">VLOOKUP($D301,物料本月库存明細!$B:$J,9,0)</f>
        <v>#N/A</v>
      </c>
    </row>
    <row r="302" customHeight="1" spans="1:10">
      <c r="A302" s="187"/>
      <c r="B302" s="187"/>
      <c r="C302" s="193"/>
      <c r="D302" s="201"/>
      <c r="E302" s="188" t="e">
        <f ca="1">VLOOKUP($D302,物料本月库存明細!$B:$J,2,0)</f>
        <v>#N/A</v>
      </c>
      <c r="F302" s="189" t="e">
        <f ca="1">VLOOKUP($D302,物料本月库存明細!$B:$J,5,0)</f>
        <v>#N/A</v>
      </c>
      <c r="G302" s="190"/>
      <c r="H302" s="191"/>
      <c r="I302" s="188"/>
      <c r="J302" s="190" t="e">
        <f ca="1">VLOOKUP($D302,物料本月库存明細!$B:$J,9,0)</f>
        <v>#N/A</v>
      </c>
    </row>
    <row r="303" customHeight="1" spans="1:10">
      <c r="A303" s="187"/>
      <c r="B303" s="187"/>
      <c r="C303" s="193"/>
      <c r="D303" s="201"/>
      <c r="E303" s="188" t="e">
        <f ca="1">VLOOKUP($D303,物料本月库存明細!$B:$J,2,0)</f>
        <v>#N/A</v>
      </c>
      <c r="F303" s="189" t="e">
        <f ca="1">VLOOKUP($D303,物料本月库存明細!$B:$J,5,0)</f>
        <v>#N/A</v>
      </c>
      <c r="G303" s="190"/>
      <c r="H303" s="191"/>
      <c r="I303" s="188"/>
      <c r="J303" s="190" t="e">
        <f ca="1">VLOOKUP($D303,物料本月库存明細!$B:$J,9,0)</f>
        <v>#N/A</v>
      </c>
    </row>
    <row r="304" customHeight="1" spans="1:10">
      <c r="A304" s="187"/>
      <c r="B304" s="187"/>
      <c r="C304" s="193"/>
      <c r="D304" s="192"/>
      <c r="E304" s="188" t="e">
        <f ca="1">VLOOKUP($D304,物料本月库存明細!$B:$J,2,0)</f>
        <v>#N/A</v>
      </c>
      <c r="F304" s="189" t="e">
        <f ca="1">VLOOKUP($D304,物料本月库存明細!$B:$J,5,0)</f>
        <v>#N/A</v>
      </c>
      <c r="G304" s="190"/>
      <c r="H304" s="191"/>
      <c r="I304" s="188"/>
      <c r="J304" s="190" t="e">
        <f ca="1">VLOOKUP($D304,物料本月库存明細!$B:$J,9,0)</f>
        <v>#N/A</v>
      </c>
    </row>
    <row r="305" customHeight="1" spans="1:10">
      <c r="A305" s="187"/>
      <c r="B305" s="187"/>
      <c r="C305" s="193"/>
      <c r="D305" s="196"/>
      <c r="E305" s="188" t="e">
        <f ca="1">VLOOKUP($D305,物料本月库存明細!$B:$J,2,0)</f>
        <v>#N/A</v>
      </c>
      <c r="F305" s="189" t="e">
        <f ca="1">VLOOKUP($D305,物料本月库存明細!$B:$J,5,0)</f>
        <v>#N/A</v>
      </c>
      <c r="G305" s="190"/>
      <c r="H305" s="191"/>
      <c r="I305" s="188"/>
      <c r="J305" s="190" t="e">
        <f ca="1">VLOOKUP($D305,物料本月库存明細!$B:$J,9,0)</f>
        <v>#N/A</v>
      </c>
    </row>
    <row r="306" customHeight="1" spans="1:10">
      <c r="A306" s="187"/>
      <c r="B306" s="187"/>
      <c r="C306" s="193"/>
      <c r="D306" s="192"/>
      <c r="E306" s="188" t="e">
        <f ca="1">VLOOKUP($D306,物料本月库存明細!$B:$J,2,0)</f>
        <v>#N/A</v>
      </c>
      <c r="F306" s="189" t="e">
        <f ca="1">VLOOKUP($D306,物料本月库存明細!$B:$J,5,0)</f>
        <v>#N/A</v>
      </c>
      <c r="G306" s="190"/>
      <c r="H306" s="191"/>
      <c r="I306" s="188"/>
      <c r="J306" s="190" t="e">
        <f ca="1">VLOOKUP($D306,物料本月库存明細!$B:$J,9,0)</f>
        <v>#N/A</v>
      </c>
    </row>
    <row r="307" customHeight="1" spans="1:10">
      <c r="A307" s="187"/>
      <c r="B307" s="187"/>
      <c r="C307" s="193"/>
      <c r="D307" s="194"/>
      <c r="E307" s="188" t="e">
        <f ca="1">VLOOKUP($D307,物料本月库存明細!$B:$J,2,0)</f>
        <v>#N/A</v>
      </c>
      <c r="F307" s="189" t="e">
        <f ca="1">VLOOKUP($D307,物料本月库存明細!$B:$J,5,0)</f>
        <v>#N/A</v>
      </c>
      <c r="G307" s="190"/>
      <c r="H307" s="191"/>
      <c r="I307" s="188"/>
      <c r="J307" s="190" t="e">
        <f ca="1">VLOOKUP($D307,物料本月库存明細!$B:$J,9,0)</f>
        <v>#N/A</v>
      </c>
    </row>
    <row r="308" customHeight="1" spans="1:10">
      <c r="A308" s="187"/>
      <c r="B308" s="187"/>
      <c r="C308" s="193"/>
      <c r="D308" s="194"/>
      <c r="E308" s="188" t="e">
        <f ca="1">VLOOKUP($D308,物料本月库存明細!$B:$J,2,0)</f>
        <v>#N/A</v>
      </c>
      <c r="F308" s="189" t="e">
        <f ca="1">VLOOKUP($D308,物料本月库存明細!$B:$J,5,0)</f>
        <v>#N/A</v>
      </c>
      <c r="G308" s="190"/>
      <c r="H308" s="191"/>
      <c r="I308" s="188"/>
      <c r="J308" s="190" t="e">
        <f ca="1">VLOOKUP($D308,物料本月库存明細!$B:$J,9,0)</f>
        <v>#N/A</v>
      </c>
    </row>
    <row r="309" customHeight="1" spans="1:10">
      <c r="A309" s="187"/>
      <c r="B309" s="187"/>
      <c r="C309" s="193"/>
      <c r="D309" s="192"/>
      <c r="E309" s="188" t="e">
        <f ca="1">VLOOKUP($D309,物料本月库存明細!$B:$J,2,0)</f>
        <v>#N/A</v>
      </c>
      <c r="F309" s="189" t="e">
        <f ca="1">VLOOKUP($D309,物料本月库存明細!$B:$J,5,0)</f>
        <v>#N/A</v>
      </c>
      <c r="G309" s="190"/>
      <c r="H309" s="191"/>
      <c r="I309" s="188"/>
      <c r="J309" s="190" t="e">
        <f ca="1">VLOOKUP($D309,物料本月库存明細!$B:$J,9,0)</f>
        <v>#N/A</v>
      </c>
    </row>
    <row r="310" customHeight="1" spans="1:10">
      <c r="A310" s="187"/>
      <c r="B310" s="187"/>
      <c r="C310" s="193"/>
      <c r="D310" s="192"/>
      <c r="E310" s="188" t="e">
        <f ca="1">VLOOKUP($D310,物料本月库存明細!$B:$J,2,0)</f>
        <v>#N/A</v>
      </c>
      <c r="F310" s="189" t="e">
        <f ca="1">VLOOKUP($D310,物料本月库存明細!$B:$J,5,0)</f>
        <v>#N/A</v>
      </c>
      <c r="G310" s="190"/>
      <c r="H310" s="191"/>
      <c r="I310" s="188"/>
      <c r="J310" s="190" t="e">
        <f ca="1">VLOOKUP($D310,物料本月库存明細!$B:$J,9,0)</f>
        <v>#N/A</v>
      </c>
    </row>
    <row r="311" customHeight="1" spans="1:10">
      <c r="A311" s="187"/>
      <c r="B311" s="187"/>
      <c r="C311" s="193"/>
      <c r="D311" s="192"/>
      <c r="E311" s="188" t="e">
        <f ca="1">VLOOKUP($D311,物料本月库存明細!$B:$J,2,0)</f>
        <v>#N/A</v>
      </c>
      <c r="F311" s="189" t="e">
        <f ca="1">VLOOKUP($D311,物料本月库存明細!$B:$J,5,0)</f>
        <v>#N/A</v>
      </c>
      <c r="G311" s="190"/>
      <c r="H311" s="191"/>
      <c r="I311" s="188"/>
      <c r="J311" s="190" t="e">
        <f ca="1">VLOOKUP($D311,物料本月库存明細!$B:$J,9,0)</f>
        <v>#N/A</v>
      </c>
    </row>
    <row r="312" customHeight="1" spans="1:10">
      <c r="A312" s="187"/>
      <c r="B312" s="187"/>
      <c r="C312" s="193"/>
      <c r="D312" s="192"/>
      <c r="E312" s="188" t="e">
        <f ca="1">VLOOKUP($D312,物料本月库存明細!$B:$J,2,0)</f>
        <v>#N/A</v>
      </c>
      <c r="F312" s="189" t="e">
        <f ca="1">VLOOKUP($D312,物料本月库存明細!$B:$J,5,0)</f>
        <v>#N/A</v>
      </c>
      <c r="G312" s="190"/>
      <c r="H312" s="191"/>
      <c r="I312" s="188"/>
      <c r="J312" s="190" t="e">
        <f ca="1">VLOOKUP($D312,物料本月库存明細!$B:$J,9,0)</f>
        <v>#N/A</v>
      </c>
    </row>
    <row r="313" customHeight="1" spans="1:10">
      <c r="A313" s="187"/>
      <c r="B313" s="187"/>
      <c r="C313" s="193"/>
      <c r="D313" s="192"/>
      <c r="E313" s="188" t="e">
        <f ca="1">VLOOKUP($D313,物料本月库存明細!$B:$J,2,0)</f>
        <v>#N/A</v>
      </c>
      <c r="F313" s="189" t="e">
        <f ca="1">VLOOKUP($D313,物料本月库存明細!$B:$J,5,0)</f>
        <v>#N/A</v>
      </c>
      <c r="G313" s="190"/>
      <c r="H313" s="191"/>
      <c r="I313" s="188"/>
      <c r="J313" s="190" t="e">
        <f ca="1">VLOOKUP($D313,物料本月库存明細!$B:$J,9,0)</f>
        <v>#N/A</v>
      </c>
    </row>
    <row r="314" customHeight="1" spans="1:10">
      <c r="A314" s="187"/>
      <c r="B314" s="187"/>
      <c r="C314" s="193"/>
      <c r="D314" s="192"/>
      <c r="E314" s="188" t="e">
        <f ca="1">VLOOKUP($D314,物料本月库存明細!$B:$J,2,0)</f>
        <v>#N/A</v>
      </c>
      <c r="F314" s="189" t="e">
        <f ca="1">VLOOKUP($D314,物料本月库存明細!$B:$J,5,0)</f>
        <v>#N/A</v>
      </c>
      <c r="G314" s="190"/>
      <c r="H314" s="191"/>
      <c r="I314" s="188"/>
      <c r="J314" s="190" t="e">
        <f ca="1">VLOOKUP($D314,物料本月库存明細!$B:$J,9,0)</f>
        <v>#N/A</v>
      </c>
    </row>
    <row r="315" customHeight="1" spans="1:10">
      <c r="A315" s="187"/>
      <c r="B315" s="187"/>
      <c r="C315" s="193"/>
      <c r="D315" s="192"/>
      <c r="E315" s="188" t="e">
        <f ca="1">VLOOKUP($D315,物料本月库存明細!$B:$J,2,0)</f>
        <v>#N/A</v>
      </c>
      <c r="F315" s="189" t="e">
        <f ca="1">VLOOKUP($D315,物料本月库存明細!$B:$J,5,0)</f>
        <v>#N/A</v>
      </c>
      <c r="G315" s="190"/>
      <c r="H315" s="191"/>
      <c r="I315" s="188"/>
      <c r="J315" s="190" t="e">
        <f ca="1">VLOOKUP($D315,物料本月库存明細!$B:$J,9,0)</f>
        <v>#N/A</v>
      </c>
    </row>
    <row r="316" customHeight="1" spans="1:10">
      <c r="A316" s="187"/>
      <c r="B316" s="187"/>
      <c r="C316" s="193"/>
      <c r="D316" s="192"/>
      <c r="E316" s="188" t="e">
        <f ca="1">VLOOKUP($D316,物料本月库存明細!$B:$J,2,0)</f>
        <v>#N/A</v>
      </c>
      <c r="F316" s="189" t="e">
        <f ca="1">VLOOKUP($D316,物料本月库存明細!$B:$J,5,0)</f>
        <v>#N/A</v>
      </c>
      <c r="G316" s="190"/>
      <c r="H316" s="191"/>
      <c r="I316" s="188"/>
      <c r="J316" s="190" t="e">
        <f ca="1">VLOOKUP($D316,物料本月库存明細!$B:$J,9,0)</f>
        <v>#N/A</v>
      </c>
    </row>
    <row r="317" customHeight="1" spans="1:10">
      <c r="A317" s="187"/>
      <c r="B317" s="187"/>
      <c r="C317" s="193"/>
      <c r="D317" s="197"/>
      <c r="E317" s="188" t="e">
        <f ca="1">VLOOKUP($D317,物料本月库存明細!$B:$J,2,0)</f>
        <v>#N/A</v>
      </c>
      <c r="F317" s="189" t="e">
        <f ca="1">VLOOKUP($D317,物料本月库存明細!$B:$J,5,0)</f>
        <v>#N/A</v>
      </c>
      <c r="G317" s="190"/>
      <c r="H317" s="191"/>
      <c r="I317" s="188"/>
      <c r="J317" s="190" t="e">
        <f ca="1">VLOOKUP($D317,物料本月库存明細!$B:$J,9,0)</f>
        <v>#N/A</v>
      </c>
    </row>
    <row r="318" customHeight="1" spans="1:10">
      <c r="A318" s="187"/>
      <c r="B318" s="187"/>
      <c r="C318" s="193"/>
      <c r="D318" s="196"/>
      <c r="E318" s="188" t="e">
        <f ca="1">VLOOKUP($D318,物料本月库存明細!$B:$J,2,0)</f>
        <v>#N/A</v>
      </c>
      <c r="F318" s="189" t="e">
        <f ca="1">VLOOKUP($D318,物料本月库存明細!$B:$J,5,0)</f>
        <v>#N/A</v>
      </c>
      <c r="G318" s="190"/>
      <c r="H318" s="191"/>
      <c r="I318" s="188"/>
      <c r="J318" s="190" t="e">
        <f ca="1">VLOOKUP($D318,物料本月库存明細!$B:$J,9,0)</f>
        <v>#N/A</v>
      </c>
    </row>
    <row r="319" customHeight="1" spans="1:10">
      <c r="A319" s="187"/>
      <c r="B319" s="187"/>
      <c r="C319" s="193"/>
      <c r="D319" s="192"/>
      <c r="E319" s="188" t="e">
        <f ca="1">VLOOKUP($D319,物料本月库存明細!$B:$J,2,0)</f>
        <v>#N/A</v>
      </c>
      <c r="F319" s="189" t="e">
        <f ca="1">VLOOKUP($D319,物料本月库存明細!$B:$J,5,0)</f>
        <v>#N/A</v>
      </c>
      <c r="G319" s="190"/>
      <c r="H319" s="191"/>
      <c r="I319" s="188"/>
      <c r="J319" s="190" t="e">
        <f ca="1">VLOOKUP($D319,物料本月库存明細!$B:$J,9,0)</f>
        <v>#N/A</v>
      </c>
    </row>
    <row r="320" customHeight="1" spans="1:10">
      <c r="A320" s="187"/>
      <c r="B320" s="187"/>
      <c r="C320" s="193"/>
      <c r="D320" s="196"/>
      <c r="E320" s="188" t="e">
        <f ca="1">VLOOKUP($D320,物料本月库存明細!$B:$J,2,0)</f>
        <v>#N/A</v>
      </c>
      <c r="F320" s="189" t="e">
        <f ca="1">VLOOKUP($D320,物料本月库存明細!$B:$J,5,0)</f>
        <v>#N/A</v>
      </c>
      <c r="G320" s="190"/>
      <c r="H320" s="191"/>
      <c r="I320" s="188"/>
      <c r="J320" s="190" t="e">
        <f ca="1">VLOOKUP($D320,物料本月库存明細!$B:$J,9,0)</f>
        <v>#N/A</v>
      </c>
    </row>
    <row r="321" customHeight="1" spans="1:10">
      <c r="A321" s="187"/>
      <c r="B321" s="187"/>
      <c r="C321" s="193"/>
      <c r="D321" s="196"/>
      <c r="E321" s="188" t="e">
        <f ca="1">VLOOKUP($D321,物料本月库存明細!$B:$J,2,0)</f>
        <v>#N/A</v>
      </c>
      <c r="F321" s="189" t="e">
        <f ca="1">VLOOKUP($D321,物料本月库存明細!$B:$J,5,0)</f>
        <v>#N/A</v>
      </c>
      <c r="G321" s="190"/>
      <c r="H321" s="191"/>
      <c r="I321" s="188"/>
      <c r="J321" s="190" t="e">
        <f ca="1">VLOOKUP($D321,物料本月库存明細!$B:$J,9,0)</f>
        <v>#N/A</v>
      </c>
    </row>
    <row r="322" customHeight="1" spans="1:10">
      <c r="A322" s="187"/>
      <c r="B322" s="187"/>
      <c r="C322" s="193"/>
      <c r="D322" s="192"/>
      <c r="E322" s="188" t="e">
        <f ca="1">VLOOKUP($D322,物料本月库存明細!$B:$J,2,0)</f>
        <v>#N/A</v>
      </c>
      <c r="F322" s="189" t="e">
        <f ca="1">VLOOKUP($D322,物料本月库存明細!$B:$J,5,0)</f>
        <v>#N/A</v>
      </c>
      <c r="G322" s="190"/>
      <c r="H322" s="191"/>
      <c r="I322" s="188"/>
      <c r="J322" s="190" t="e">
        <f ca="1">VLOOKUP($D322,物料本月库存明細!$B:$J,9,0)</f>
        <v>#N/A</v>
      </c>
    </row>
    <row r="323" customHeight="1" spans="1:10">
      <c r="A323" s="187"/>
      <c r="B323" s="187"/>
      <c r="C323" s="193"/>
      <c r="D323" s="201"/>
      <c r="E323" s="188" t="e">
        <f ca="1">VLOOKUP($D323,物料本月库存明細!$B:$J,2,0)</f>
        <v>#N/A</v>
      </c>
      <c r="F323" s="189" t="e">
        <f ca="1">VLOOKUP($D323,物料本月库存明細!$B:$J,5,0)</f>
        <v>#N/A</v>
      </c>
      <c r="G323" s="190"/>
      <c r="H323" s="191"/>
      <c r="I323" s="188"/>
      <c r="J323" s="190" t="e">
        <f ca="1">VLOOKUP($D323,物料本月库存明細!$B:$J,9,0)</f>
        <v>#N/A</v>
      </c>
    </row>
    <row r="324" customHeight="1" spans="1:10">
      <c r="A324" s="187"/>
      <c r="B324" s="187"/>
      <c r="C324" s="193"/>
      <c r="D324" s="197"/>
      <c r="E324" s="188" t="e">
        <f ca="1">VLOOKUP($D324,物料本月库存明細!$B:$J,2,0)</f>
        <v>#N/A</v>
      </c>
      <c r="F324" s="189" t="e">
        <f ca="1">VLOOKUP($D324,物料本月库存明細!$B:$J,5,0)</f>
        <v>#N/A</v>
      </c>
      <c r="G324" s="190"/>
      <c r="H324" s="191"/>
      <c r="I324" s="188"/>
      <c r="J324" s="190" t="e">
        <f ca="1">VLOOKUP($D324,物料本月库存明細!$B:$J,9,0)</f>
        <v>#N/A</v>
      </c>
    </row>
    <row r="325" customHeight="1" spans="1:10">
      <c r="A325" s="187"/>
      <c r="B325" s="187"/>
      <c r="C325" s="193"/>
      <c r="D325" s="194"/>
      <c r="E325" s="188" t="e">
        <f ca="1">VLOOKUP($D325,物料本月库存明細!$B:$J,2,0)</f>
        <v>#N/A</v>
      </c>
      <c r="F325" s="189" t="e">
        <f ca="1">VLOOKUP($D325,物料本月库存明細!$B:$J,5,0)</f>
        <v>#N/A</v>
      </c>
      <c r="G325" s="190"/>
      <c r="H325" s="191"/>
      <c r="I325" s="188"/>
      <c r="J325" s="190" t="e">
        <f ca="1">VLOOKUP($D325,物料本月库存明細!$B:$J,9,0)</f>
        <v>#N/A</v>
      </c>
    </row>
    <row r="326" customHeight="1" spans="1:10">
      <c r="A326" s="187"/>
      <c r="B326" s="187"/>
      <c r="C326" s="193"/>
      <c r="D326" s="192"/>
      <c r="E326" s="188" t="e">
        <f ca="1">VLOOKUP($D326,物料本月库存明細!$B:$J,2,0)</f>
        <v>#N/A</v>
      </c>
      <c r="F326" s="189" t="e">
        <f ca="1">VLOOKUP($D326,物料本月库存明細!$B:$J,5,0)</f>
        <v>#N/A</v>
      </c>
      <c r="G326" s="190"/>
      <c r="H326" s="191"/>
      <c r="I326" s="188"/>
      <c r="J326" s="190" t="e">
        <f ca="1">VLOOKUP($D326,物料本月库存明細!$B:$J,9,0)</f>
        <v>#N/A</v>
      </c>
    </row>
    <row r="327" customHeight="1" spans="1:10">
      <c r="A327" s="187"/>
      <c r="B327" s="187"/>
      <c r="C327" s="193"/>
      <c r="D327" s="192"/>
      <c r="E327" s="188" t="e">
        <f ca="1">VLOOKUP($D327,物料本月库存明細!$B:$J,2,0)</f>
        <v>#N/A</v>
      </c>
      <c r="F327" s="189" t="e">
        <f ca="1">VLOOKUP($D327,物料本月库存明細!$B:$J,5,0)</f>
        <v>#N/A</v>
      </c>
      <c r="G327" s="190"/>
      <c r="H327" s="191"/>
      <c r="I327" s="188"/>
      <c r="J327" s="190" t="e">
        <f ca="1">VLOOKUP($D327,物料本月库存明細!$B:$J,9,0)</f>
        <v>#N/A</v>
      </c>
    </row>
    <row r="328" customHeight="1" spans="1:10">
      <c r="A328" s="187"/>
      <c r="B328" s="187"/>
      <c r="C328" s="193"/>
      <c r="D328" s="196"/>
      <c r="E328" s="188" t="e">
        <f ca="1">VLOOKUP($D328,物料本月库存明細!$B:$J,2,0)</f>
        <v>#N/A</v>
      </c>
      <c r="F328" s="189" t="e">
        <f ca="1">VLOOKUP($D328,物料本月库存明細!$B:$J,5,0)</f>
        <v>#N/A</v>
      </c>
      <c r="G328" s="190"/>
      <c r="H328" s="191"/>
      <c r="I328" s="188"/>
      <c r="J328" s="190" t="e">
        <f ca="1">VLOOKUP($D328,物料本月库存明細!$B:$J,9,0)</f>
        <v>#N/A</v>
      </c>
    </row>
    <row r="329" customHeight="1" spans="1:10">
      <c r="A329" s="187"/>
      <c r="B329" s="187"/>
      <c r="C329" s="193"/>
      <c r="D329" s="196"/>
      <c r="E329" s="188" t="e">
        <f ca="1">VLOOKUP($D329,物料本月库存明細!$B:$J,2,0)</f>
        <v>#N/A</v>
      </c>
      <c r="F329" s="189" t="e">
        <f ca="1">VLOOKUP($D329,物料本月库存明細!$B:$J,5,0)</f>
        <v>#N/A</v>
      </c>
      <c r="G329" s="190"/>
      <c r="H329" s="191"/>
      <c r="I329" s="188"/>
      <c r="J329" s="190" t="e">
        <f ca="1">VLOOKUP($D329,物料本月库存明細!$B:$J,9,0)</f>
        <v>#N/A</v>
      </c>
    </row>
    <row r="330" customHeight="1" spans="1:10">
      <c r="A330" s="187"/>
      <c r="B330" s="187"/>
      <c r="C330" s="193"/>
      <c r="D330" s="192"/>
      <c r="E330" s="188" t="e">
        <f ca="1">VLOOKUP($D330,物料本月库存明細!$B:$J,2,0)</f>
        <v>#N/A</v>
      </c>
      <c r="F330" s="189" t="e">
        <f ca="1">VLOOKUP($D330,物料本月库存明細!$B:$J,5,0)</f>
        <v>#N/A</v>
      </c>
      <c r="G330" s="190"/>
      <c r="H330" s="191"/>
      <c r="I330" s="188"/>
      <c r="J330" s="190" t="e">
        <f ca="1">VLOOKUP($D330,物料本月库存明細!$B:$J,9,0)</f>
        <v>#N/A</v>
      </c>
    </row>
    <row r="331" customHeight="1" spans="1:10">
      <c r="A331" s="187"/>
      <c r="B331" s="187"/>
      <c r="C331" s="193"/>
      <c r="D331" s="192"/>
      <c r="E331" s="188" t="e">
        <f ca="1">VLOOKUP($D331,物料本月库存明細!$B:$J,2,0)</f>
        <v>#N/A</v>
      </c>
      <c r="F331" s="189" t="e">
        <f ca="1">VLOOKUP($D331,物料本月库存明細!$B:$J,5,0)</f>
        <v>#N/A</v>
      </c>
      <c r="G331" s="190"/>
      <c r="H331" s="191"/>
      <c r="I331" s="188"/>
      <c r="J331" s="190" t="e">
        <f ca="1">VLOOKUP($D331,物料本月库存明細!$B:$J,9,0)</f>
        <v>#N/A</v>
      </c>
    </row>
    <row r="332" customHeight="1" spans="1:10">
      <c r="A332" s="187"/>
      <c r="B332" s="187"/>
      <c r="C332" s="193"/>
      <c r="D332" s="192"/>
      <c r="E332" s="188" t="e">
        <f ca="1">VLOOKUP($D332,物料本月库存明細!$B:$J,2,0)</f>
        <v>#N/A</v>
      </c>
      <c r="F332" s="189" t="e">
        <f ca="1">VLOOKUP($D332,物料本月库存明細!$B:$J,5,0)</f>
        <v>#N/A</v>
      </c>
      <c r="G332" s="190"/>
      <c r="H332" s="191"/>
      <c r="I332" s="188"/>
      <c r="J332" s="190" t="e">
        <f ca="1">VLOOKUP($D332,物料本月库存明細!$B:$J,9,0)</f>
        <v>#N/A</v>
      </c>
    </row>
    <row r="333" customHeight="1" spans="1:10">
      <c r="A333" s="187"/>
      <c r="B333" s="187"/>
      <c r="C333" s="193"/>
      <c r="D333" s="196"/>
      <c r="E333" s="188" t="e">
        <f ca="1">VLOOKUP($D333,物料本月库存明細!$B:$J,2,0)</f>
        <v>#N/A</v>
      </c>
      <c r="F333" s="189" t="e">
        <f ca="1">VLOOKUP($D333,物料本月库存明細!$B:$J,5,0)</f>
        <v>#N/A</v>
      </c>
      <c r="G333" s="190"/>
      <c r="H333" s="191"/>
      <c r="I333" s="188"/>
      <c r="J333" s="190" t="e">
        <f ca="1">VLOOKUP($D333,物料本月库存明細!$B:$J,9,0)</f>
        <v>#N/A</v>
      </c>
    </row>
    <row r="334" customHeight="1" spans="1:10">
      <c r="A334" s="187"/>
      <c r="B334" s="187"/>
      <c r="C334" s="193"/>
      <c r="D334" s="196"/>
      <c r="E334" s="188" t="e">
        <f ca="1">VLOOKUP($D334,物料本月库存明細!$B:$J,2,0)</f>
        <v>#N/A</v>
      </c>
      <c r="F334" s="189" t="e">
        <f ca="1">VLOOKUP($D334,物料本月库存明細!$B:$J,5,0)</f>
        <v>#N/A</v>
      </c>
      <c r="G334" s="190"/>
      <c r="H334" s="191"/>
      <c r="I334" s="188"/>
      <c r="J334" s="190" t="e">
        <f ca="1">VLOOKUP($D334,物料本月库存明細!$B:$J,9,0)</f>
        <v>#N/A</v>
      </c>
    </row>
    <row r="335" customHeight="1" spans="1:10">
      <c r="A335" s="187"/>
      <c r="B335" s="187"/>
      <c r="C335" s="193"/>
      <c r="D335" s="196"/>
      <c r="E335" s="188" t="e">
        <f ca="1">VLOOKUP($D335,物料本月库存明細!$B:$J,2,0)</f>
        <v>#N/A</v>
      </c>
      <c r="F335" s="189" t="e">
        <f ca="1">VLOOKUP($D335,物料本月库存明細!$B:$J,5,0)</f>
        <v>#N/A</v>
      </c>
      <c r="G335" s="190"/>
      <c r="H335" s="191"/>
      <c r="I335" s="188"/>
      <c r="J335" s="190" t="e">
        <f ca="1">VLOOKUP($D335,物料本月库存明細!$B:$J,9,0)</f>
        <v>#N/A</v>
      </c>
    </row>
    <row r="336" customHeight="1" spans="1:10">
      <c r="A336" s="187"/>
      <c r="B336" s="187"/>
      <c r="C336" s="193"/>
      <c r="D336" s="196"/>
      <c r="E336" s="188" t="e">
        <f ca="1">VLOOKUP($D336,物料本月库存明細!$B:$J,2,0)</f>
        <v>#N/A</v>
      </c>
      <c r="F336" s="189" t="e">
        <f ca="1">VLOOKUP($D336,物料本月库存明細!$B:$J,5,0)</f>
        <v>#N/A</v>
      </c>
      <c r="G336" s="190"/>
      <c r="H336" s="191"/>
      <c r="I336" s="188"/>
      <c r="J336" s="190" t="e">
        <f ca="1">VLOOKUP($D336,物料本月库存明細!$B:$J,9,0)</f>
        <v>#N/A</v>
      </c>
    </row>
    <row r="337" customHeight="1" spans="1:10">
      <c r="A337" s="187"/>
      <c r="B337" s="187"/>
      <c r="C337" s="193"/>
      <c r="D337" s="196"/>
      <c r="E337" s="188" t="e">
        <f ca="1">VLOOKUP($D337,物料本月库存明細!$B:$J,2,0)</f>
        <v>#N/A</v>
      </c>
      <c r="F337" s="189" t="e">
        <f ca="1">VLOOKUP($D337,物料本月库存明細!$B:$J,5,0)</f>
        <v>#N/A</v>
      </c>
      <c r="G337" s="190"/>
      <c r="H337" s="191"/>
      <c r="I337" s="188"/>
      <c r="J337" s="190" t="e">
        <f ca="1">VLOOKUP($D337,物料本月库存明細!$B:$J,9,0)</f>
        <v>#N/A</v>
      </c>
    </row>
    <row r="338" customHeight="1" spans="1:10">
      <c r="A338" s="187"/>
      <c r="B338" s="187"/>
      <c r="C338" s="193"/>
      <c r="D338" s="197"/>
      <c r="E338" s="188" t="e">
        <f ca="1">VLOOKUP($D338,物料本月库存明細!$B:$J,2,0)</f>
        <v>#N/A</v>
      </c>
      <c r="F338" s="189" t="e">
        <f ca="1">VLOOKUP($D338,物料本月库存明細!$B:$J,5,0)</f>
        <v>#N/A</v>
      </c>
      <c r="G338" s="190"/>
      <c r="H338" s="191"/>
      <c r="I338" s="188"/>
      <c r="J338" s="190" t="e">
        <f ca="1">VLOOKUP($D338,物料本月库存明細!$B:$J,9,0)</f>
        <v>#N/A</v>
      </c>
    </row>
    <row r="339" customHeight="1" spans="1:10">
      <c r="A339" s="187"/>
      <c r="B339" s="187"/>
      <c r="C339" s="193"/>
      <c r="D339" s="192"/>
      <c r="E339" s="188" t="e">
        <f ca="1">VLOOKUP($D339,物料本月库存明細!$B:$J,2,0)</f>
        <v>#N/A</v>
      </c>
      <c r="F339" s="189" t="e">
        <f ca="1">VLOOKUP($D339,物料本月库存明細!$B:$J,5,0)</f>
        <v>#N/A</v>
      </c>
      <c r="G339" s="190"/>
      <c r="H339" s="191"/>
      <c r="I339" s="188"/>
      <c r="J339" s="190" t="e">
        <f ca="1">VLOOKUP($D339,物料本月库存明細!$B:$J,9,0)</f>
        <v>#N/A</v>
      </c>
    </row>
    <row r="340" customHeight="1" spans="1:10">
      <c r="A340" s="187"/>
      <c r="B340" s="187"/>
      <c r="C340" s="193"/>
      <c r="D340" s="196"/>
      <c r="E340" s="188" t="e">
        <f ca="1">VLOOKUP($D340,物料本月库存明細!$B:$J,2,0)</f>
        <v>#N/A</v>
      </c>
      <c r="F340" s="189" t="e">
        <f ca="1">VLOOKUP($D340,物料本月库存明細!$B:$J,5,0)</f>
        <v>#N/A</v>
      </c>
      <c r="G340" s="190"/>
      <c r="H340" s="191"/>
      <c r="I340" s="188"/>
      <c r="J340" s="190" t="e">
        <f ca="1">VLOOKUP($D340,物料本月库存明細!$B:$J,9,0)</f>
        <v>#N/A</v>
      </c>
    </row>
    <row r="341" customHeight="1" spans="1:10">
      <c r="A341" s="187"/>
      <c r="B341" s="187"/>
      <c r="C341" s="193"/>
      <c r="D341" s="197"/>
      <c r="E341" s="188" t="e">
        <f ca="1">VLOOKUP($D341,物料本月库存明細!$B:$J,2,0)</f>
        <v>#N/A</v>
      </c>
      <c r="F341" s="189" t="e">
        <f ca="1">VLOOKUP($D341,物料本月库存明細!$B:$J,5,0)</f>
        <v>#N/A</v>
      </c>
      <c r="G341" s="190"/>
      <c r="H341" s="191"/>
      <c r="I341" s="188"/>
      <c r="J341" s="190" t="e">
        <f ca="1">VLOOKUP($D341,物料本月库存明細!$B:$J,9,0)</f>
        <v>#N/A</v>
      </c>
    </row>
    <row r="342" customHeight="1" spans="1:10">
      <c r="A342" s="187"/>
      <c r="B342" s="187"/>
      <c r="C342" s="193"/>
      <c r="D342" s="194"/>
      <c r="E342" s="188" t="e">
        <f ca="1">VLOOKUP($D342,物料本月库存明細!$B:$J,2,0)</f>
        <v>#N/A</v>
      </c>
      <c r="F342" s="189" t="e">
        <f ca="1">VLOOKUP($D342,物料本月库存明細!$B:$J,5,0)</f>
        <v>#N/A</v>
      </c>
      <c r="G342" s="190"/>
      <c r="H342" s="191"/>
      <c r="I342" s="188"/>
      <c r="J342" s="190" t="e">
        <f ca="1">VLOOKUP($D342,物料本月库存明細!$B:$J,9,0)</f>
        <v>#N/A</v>
      </c>
    </row>
    <row r="343" customHeight="1" spans="1:10">
      <c r="A343" s="187"/>
      <c r="B343" s="187"/>
      <c r="C343" s="193"/>
      <c r="D343" s="194"/>
      <c r="E343" s="188" t="e">
        <f ca="1">VLOOKUP($D343,物料本月库存明細!$B:$J,2,0)</f>
        <v>#N/A</v>
      </c>
      <c r="F343" s="189" t="e">
        <f ca="1">VLOOKUP($D343,物料本月库存明細!$B:$J,5,0)</f>
        <v>#N/A</v>
      </c>
      <c r="G343" s="190"/>
      <c r="H343" s="191"/>
      <c r="I343" s="188"/>
      <c r="J343" s="190" t="e">
        <f ca="1">VLOOKUP($D343,物料本月库存明細!$B:$J,9,0)</f>
        <v>#N/A</v>
      </c>
    </row>
    <row r="344" customHeight="1" spans="1:10">
      <c r="A344" s="187"/>
      <c r="B344" s="187"/>
      <c r="C344" s="193"/>
      <c r="D344" s="192"/>
      <c r="E344" s="188" t="e">
        <f ca="1">VLOOKUP($D344,物料本月库存明細!$B:$J,2,0)</f>
        <v>#N/A</v>
      </c>
      <c r="F344" s="189" t="e">
        <f ca="1">VLOOKUP($D344,物料本月库存明細!$B:$J,5,0)</f>
        <v>#N/A</v>
      </c>
      <c r="G344" s="190"/>
      <c r="H344" s="191"/>
      <c r="I344" s="188"/>
      <c r="J344" s="190" t="e">
        <f ca="1">VLOOKUP($D344,物料本月库存明細!$B:$J,9,0)</f>
        <v>#N/A</v>
      </c>
    </row>
    <row r="345" customHeight="1" spans="1:10">
      <c r="A345" s="187"/>
      <c r="B345" s="187"/>
      <c r="C345" s="193"/>
      <c r="D345" s="192"/>
      <c r="E345" s="188" t="e">
        <f ca="1">VLOOKUP($D345,物料本月库存明細!$B:$J,2,0)</f>
        <v>#N/A</v>
      </c>
      <c r="F345" s="189" t="e">
        <f ca="1">VLOOKUP($D345,物料本月库存明細!$B:$J,5,0)</f>
        <v>#N/A</v>
      </c>
      <c r="G345" s="190"/>
      <c r="H345" s="191"/>
      <c r="I345" s="188"/>
      <c r="J345" s="190" t="e">
        <f ca="1">VLOOKUP($D345,物料本月库存明細!$B:$J,9,0)</f>
        <v>#N/A</v>
      </c>
    </row>
    <row r="346" customHeight="1" spans="1:10">
      <c r="A346" s="187"/>
      <c r="B346" s="187"/>
      <c r="C346" s="193"/>
      <c r="D346" s="192"/>
      <c r="E346" s="188" t="e">
        <f ca="1">VLOOKUP($D346,物料本月库存明細!$B:$J,2,0)</f>
        <v>#N/A</v>
      </c>
      <c r="F346" s="189" t="e">
        <f ca="1">VLOOKUP($D346,物料本月库存明細!$B:$J,5,0)</f>
        <v>#N/A</v>
      </c>
      <c r="G346" s="190"/>
      <c r="H346" s="191"/>
      <c r="I346" s="188"/>
      <c r="J346" s="190" t="e">
        <f ca="1">VLOOKUP($D346,物料本月库存明細!$B:$J,9,0)</f>
        <v>#N/A</v>
      </c>
    </row>
    <row r="347" customHeight="1" spans="1:10">
      <c r="A347" s="187"/>
      <c r="B347" s="187"/>
      <c r="C347" s="193"/>
      <c r="D347" s="196"/>
      <c r="E347" s="188" t="e">
        <f ca="1">VLOOKUP($D347,物料本月库存明細!$B:$J,2,0)</f>
        <v>#N/A</v>
      </c>
      <c r="F347" s="189" t="e">
        <f ca="1">VLOOKUP($D347,物料本月库存明細!$B:$J,5,0)</f>
        <v>#N/A</v>
      </c>
      <c r="G347" s="190"/>
      <c r="H347" s="191"/>
      <c r="I347" s="188"/>
      <c r="J347" s="190" t="e">
        <f ca="1">VLOOKUP($D347,物料本月库存明細!$B:$J,9,0)</f>
        <v>#N/A</v>
      </c>
    </row>
    <row r="348" customHeight="1" spans="1:10">
      <c r="A348" s="187"/>
      <c r="B348" s="187"/>
      <c r="C348" s="193"/>
      <c r="D348" s="192"/>
      <c r="E348" s="188" t="e">
        <f ca="1">VLOOKUP($D348,物料本月库存明細!$B:$J,2,0)</f>
        <v>#N/A</v>
      </c>
      <c r="F348" s="189" t="e">
        <f ca="1">VLOOKUP($D348,物料本月库存明細!$B:$J,5,0)</f>
        <v>#N/A</v>
      </c>
      <c r="G348" s="190"/>
      <c r="H348" s="191"/>
      <c r="I348" s="188"/>
      <c r="J348" s="190" t="e">
        <f ca="1">VLOOKUP($D348,物料本月库存明細!$B:$J,9,0)</f>
        <v>#N/A</v>
      </c>
    </row>
    <row r="349" customHeight="1" spans="1:10">
      <c r="A349" s="187"/>
      <c r="B349" s="187"/>
      <c r="C349" s="193"/>
      <c r="D349" s="192"/>
      <c r="E349" s="188" t="e">
        <f ca="1">VLOOKUP($D349,物料本月库存明細!$B:$J,2,0)</f>
        <v>#N/A</v>
      </c>
      <c r="F349" s="189" t="e">
        <f ca="1">VLOOKUP($D349,物料本月库存明細!$B:$J,5,0)</f>
        <v>#N/A</v>
      </c>
      <c r="G349" s="190"/>
      <c r="H349" s="191"/>
      <c r="I349" s="188"/>
      <c r="J349" s="190" t="e">
        <f ca="1">VLOOKUP($D349,物料本月库存明細!$B:$J,9,0)</f>
        <v>#N/A</v>
      </c>
    </row>
    <row r="350" customHeight="1" spans="1:10">
      <c r="A350" s="187"/>
      <c r="B350" s="187"/>
      <c r="C350" s="193"/>
      <c r="D350" s="196"/>
      <c r="E350" s="188" t="e">
        <f ca="1">VLOOKUP($D350,物料本月库存明細!$B:$J,2,0)</f>
        <v>#N/A</v>
      </c>
      <c r="F350" s="189" t="e">
        <f ca="1">VLOOKUP($D350,物料本月库存明細!$B:$J,5,0)</f>
        <v>#N/A</v>
      </c>
      <c r="G350" s="190"/>
      <c r="H350" s="191"/>
      <c r="I350" s="188"/>
      <c r="J350" s="190" t="e">
        <f ca="1">VLOOKUP($D350,物料本月库存明細!$B:$J,9,0)</f>
        <v>#N/A</v>
      </c>
    </row>
    <row r="351" customHeight="1" spans="1:10">
      <c r="A351" s="187"/>
      <c r="B351" s="187"/>
      <c r="C351" s="193"/>
      <c r="D351" s="196"/>
      <c r="E351" s="188" t="e">
        <f ca="1">VLOOKUP($D351,物料本月库存明細!$B:$J,2,0)</f>
        <v>#N/A</v>
      </c>
      <c r="F351" s="189" t="e">
        <f ca="1">VLOOKUP($D351,物料本月库存明細!$B:$J,5,0)</f>
        <v>#N/A</v>
      </c>
      <c r="G351" s="190"/>
      <c r="H351" s="191"/>
      <c r="I351" s="188"/>
      <c r="J351" s="190" t="e">
        <f ca="1">VLOOKUP($D351,物料本月库存明細!$B:$J,9,0)</f>
        <v>#N/A</v>
      </c>
    </row>
    <row r="352" customHeight="1" spans="1:10">
      <c r="A352" s="187"/>
      <c r="B352" s="187"/>
      <c r="C352" s="193"/>
      <c r="D352" s="192"/>
      <c r="E352" s="188" t="e">
        <f ca="1">VLOOKUP($D352,物料本月库存明細!$B:$J,2,0)</f>
        <v>#N/A</v>
      </c>
      <c r="F352" s="189" t="e">
        <f ca="1">VLOOKUP($D352,物料本月库存明細!$B:$J,5,0)</f>
        <v>#N/A</v>
      </c>
      <c r="G352" s="190"/>
      <c r="H352" s="191"/>
      <c r="I352" s="188"/>
      <c r="J352" s="190" t="e">
        <f ca="1">VLOOKUP($D352,物料本月库存明細!$B:$J,9,0)</f>
        <v>#N/A</v>
      </c>
    </row>
    <row r="353" customHeight="1" spans="1:10">
      <c r="A353" s="187"/>
      <c r="B353" s="187"/>
      <c r="C353" s="193"/>
      <c r="D353" s="192"/>
      <c r="E353" s="188" t="e">
        <f ca="1">VLOOKUP($D353,物料本月库存明細!$B:$J,2,0)</f>
        <v>#N/A</v>
      </c>
      <c r="F353" s="189" t="e">
        <f ca="1">VLOOKUP($D353,物料本月库存明細!$B:$J,5,0)</f>
        <v>#N/A</v>
      </c>
      <c r="G353" s="190"/>
      <c r="H353" s="191"/>
      <c r="I353" s="188"/>
      <c r="J353" s="190" t="e">
        <f ca="1">VLOOKUP($D353,物料本月库存明細!$B:$J,9,0)</f>
        <v>#N/A</v>
      </c>
    </row>
    <row r="354" customHeight="1" spans="1:10">
      <c r="A354" s="187"/>
      <c r="B354" s="187"/>
      <c r="C354" s="193"/>
      <c r="D354" s="192"/>
      <c r="E354" s="188" t="e">
        <f ca="1">VLOOKUP($D354,物料本月库存明細!$B:$J,2,0)</f>
        <v>#N/A</v>
      </c>
      <c r="F354" s="189" t="e">
        <f ca="1">VLOOKUP($D354,物料本月库存明細!$B:$J,5,0)</f>
        <v>#N/A</v>
      </c>
      <c r="G354" s="190"/>
      <c r="H354" s="191"/>
      <c r="I354" s="188"/>
      <c r="J354" s="190" t="e">
        <f ca="1">VLOOKUP($D354,物料本月库存明細!$B:$J,9,0)</f>
        <v>#N/A</v>
      </c>
    </row>
    <row r="355" customHeight="1" spans="1:10">
      <c r="A355" s="187"/>
      <c r="B355" s="187"/>
      <c r="C355" s="193"/>
      <c r="D355" s="192"/>
      <c r="E355" s="188" t="e">
        <f ca="1">VLOOKUP($D355,物料本月库存明細!$B:$J,2,0)</f>
        <v>#N/A</v>
      </c>
      <c r="F355" s="189" t="e">
        <f ca="1">VLOOKUP($D355,物料本月库存明細!$B:$J,5,0)</f>
        <v>#N/A</v>
      </c>
      <c r="G355" s="190"/>
      <c r="H355" s="191"/>
      <c r="I355" s="188"/>
      <c r="J355" s="190" t="e">
        <f ca="1">VLOOKUP($D355,物料本月库存明細!$B:$J,9,0)</f>
        <v>#N/A</v>
      </c>
    </row>
    <row r="356" customHeight="1" spans="1:10">
      <c r="A356" s="187"/>
      <c r="B356" s="187"/>
      <c r="C356" s="193"/>
      <c r="D356" s="197"/>
      <c r="E356" s="188" t="e">
        <f ca="1">VLOOKUP($D356,物料本月库存明細!$B:$J,2,0)</f>
        <v>#N/A</v>
      </c>
      <c r="F356" s="189" t="e">
        <f ca="1">VLOOKUP($D356,物料本月库存明細!$B:$J,5,0)</f>
        <v>#N/A</v>
      </c>
      <c r="G356" s="190"/>
      <c r="H356" s="191"/>
      <c r="I356" s="188"/>
      <c r="J356" s="190" t="e">
        <f ca="1">VLOOKUP($D356,物料本月库存明細!$B:$J,9,0)</f>
        <v>#N/A</v>
      </c>
    </row>
    <row r="357" customHeight="1" spans="1:10">
      <c r="A357" s="187"/>
      <c r="B357" s="187"/>
      <c r="C357" s="193"/>
      <c r="D357" s="192"/>
      <c r="E357" s="188" t="e">
        <f ca="1">VLOOKUP($D357,物料本月库存明細!$B:$J,2,0)</f>
        <v>#N/A</v>
      </c>
      <c r="F357" s="189" t="e">
        <f ca="1">VLOOKUP($D357,物料本月库存明細!$B:$J,5,0)</f>
        <v>#N/A</v>
      </c>
      <c r="G357" s="190"/>
      <c r="H357" s="191"/>
      <c r="I357" s="188"/>
      <c r="J357" s="190" t="e">
        <f ca="1">VLOOKUP($D357,物料本月库存明細!$B:$J,9,0)</f>
        <v>#N/A</v>
      </c>
    </row>
    <row r="358" customHeight="1" spans="1:10">
      <c r="A358" s="187"/>
      <c r="B358" s="187"/>
      <c r="C358" s="193"/>
      <c r="D358" s="192"/>
      <c r="E358" s="188" t="e">
        <f ca="1">VLOOKUP($D358,物料本月库存明細!$B:$J,2,0)</f>
        <v>#N/A</v>
      </c>
      <c r="F358" s="189" t="e">
        <f ca="1">VLOOKUP($D358,物料本月库存明細!$B:$J,5,0)</f>
        <v>#N/A</v>
      </c>
      <c r="G358" s="190"/>
      <c r="H358" s="191"/>
      <c r="I358" s="188"/>
      <c r="J358" s="190" t="e">
        <f ca="1">VLOOKUP($D358,物料本月库存明細!$B:$J,9,0)</f>
        <v>#N/A</v>
      </c>
    </row>
    <row r="359" customHeight="1" spans="1:10">
      <c r="A359" s="187"/>
      <c r="B359" s="187"/>
      <c r="C359" s="193"/>
      <c r="D359" s="196"/>
      <c r="E359" s="188" t="e">
        <f ca="1">VLOOKUP($D359,物料本月库存明細!$B:$J,2,0)</f>
        <v>#N/A</v>
      </c>
      <c r="F359" s="189" t="e">
        <f ca="1">VLOOKUP($D359,物料本月库存明細!$B:$J,5,0)</f>
        <v>#N/A</v>
      </c>
      <c r="G359" s="190"/>
      <c r="H359" s="191"/>
      <c r="I359" s="188"/>
      <c r="J359" s="190" t="e">
        <f ca="1">VLOOKUP($D359,物料本月库存明細!$B:$J,9,0)</f>
        <v>#N/A</v>
      </c>
    </row>
    <row r="360" customHeight="1" spans="1:10">
      <c r="A360" s="187"/>
      <c r="B360" s="187"/>
      <c r="C360" s="193"/>
      <c r="D360" s="192"/>
      <c r="E360" s="188" t="e">
        <f ca="1">VLOOKUP($D360,物料本月库存明細!$B:$J,2,0)</f>
        <v>#N/A</v>
      </c>
      <c r="F360" s="189" t="e">
        <f ca="1">VLOOKUP($D360,物料本月库存明細!$B:$J,5,0)</f>
        <v>#N/A</v>
      </c>
      <c r="G360" s="190"/>
      <c r="H360" s="191"/>
      <c r="I360" s="188"/>
      <c r="J360" s="190" t="e">
        <f ca="1">VLOOKUP($D360,物料本月库存明細!$B:$J,9,0)</f>
        <v>#N/A</v>
      </c>
    </row>
    <row r="361" customHeight="1" spans="1:10">
      <c r="A361" s="187"/>
      <c r="B361" s="187"/>
      <c r="C361" s="193"/>
      <c r="D361" s="196"/>
      <c r="E361" s="188" t="e">
        <f ca="1">VLOOKUP($D361,物料本月库存明細!$B:$J,2,0)</f>
        <v>#N/A</v>
      </c>
      <c r="F361" s="189" t="e">
        <f ca="1">VLOOKUP($D361,物料本月库存明細!$B:$J,5,0)</f>
        <v>#N/A</v>
      </c>
      <c r="G361" s="190"/>
      <c r="H361" s="191"/>
      <c r="I361" s="188"/>
      <c r="J361" s="190" t="e">
        <f ca="1">VLOOKUP($D361,物料本月库存明細!$B:$J,9,0)</f>
        <v>#N/A</v>
      </c>
    </row>
    <row r="362" customHeight="1" spans="1:10">
      <c r="A362" s="187"/>
      <c r="B362" s="187"/>
      <c r="C362" s="193"/>
      <c r="D362" s="196"/>
      <c r="E362" s="188" t="e">
        <f ca="1">VLOOKUP($D362,物料本月库存明細!$B:$J,2,0)</f>
        <v>#N/A</v>
      </c>
      <c r="F362" s="189" t="e">
        <f ca="1">VLOOKUP($D362,物料本月库存明細!$B:$J,5,0)</f>
        <v>#N/A</v>
      </c>
      <c r="G362" s="190"/>
      <c r="H362" s="191"/>
      <c r="I362" s="188"/>
      <c r="J362" s="190" t="e">
        <f ca="1">VLOOKUP($D362,物料本月库存明細!$B:$J,9,0)</f>
        <v>#N/A</v>
      </c>
    </row>
    <row r="363" customHeight="1" spans="1:10">
      <c r="A363" s="187"/>
      <c r="B363" s="187"/>
      <c r="C363" s="193"/>
      <c r="D363" s="192"/>
      <c r="E363" s="188" t="e">
        <f ca="1">VLOOKUP($D363,物料本月库存明細!$B:$J,2,0)</f>
        <v>#N/A</v>
      </c>
      <c r="F363" s="189" t="e">
        <f ca="1">VLOOKUP($D363,物料本月库存明細!$B:$J,5,0)</f>
        <v>#N/A</v>
      </c>
      <c r="G363" s="190"/>
      <c r="H363" s="191"/>
      <c r="I363" s="188"/>
      <c r="J363" s="190" t="e">
        <f ca="1">VLOOKUP($D363,物料本月库存明細!$B:$J,9,0)</f>
        <v>#N/A</v>
      </c>
    </row>
    <row r="364" customHeight="1" spans="1:10">
      <c r="A364" s="187"/>
      <c r="B364" s="187"/>
      <c r="C364" s="193"/>
      <c r="D364" s="192"/>
      <c r="E364" s="188" t="e">
        <f ca="1">VLOOKUP($D364,物料本月库存明細!$B:$J,2,0)</f>
        <v>#N/A</v>
      </c>
      <c r="F364" s="189" t="e">
        <f ca="1">VLOOKUP($D364,物料本月库存明細!$B:$J,5,0)</f>
        <v>#N/A</v>
      </c>
      <c r="G364" s="190"/>
      <c r="H364" s="191"/>
      <c r="I364" s="188"/>
      <c r="J364" s="190" t="e">
        <f ca="1">VLOOKUP($D364,物料本月库存明細!$B:$J,9,0)</f>
        <v>#N/A</v>
      </c>
    </row>
    <row r="365" customHeight="1" spans="1:10">
      <c r="B365" s="187"/>
      <c r="D365" s="196"/>
      <c r="E365" s="188" t="e">
        <f ca="1">VLOOKUP($D365,物料本月库存明細!$B:$J,2,0)</f>
        <v>#N/A</v>
      </c>
      <c r="F365" s="189" t="e">
        <f ca="1">VLOOKUP($D365,物料本月库存明細!$B:$J,5,0)</f>
        <v>#N/A</v>
      </c>
      <c r="G365" s="190"/>
      <c r="H365" s="191"/>
      <c r="I365" s="188"/>
      <c r="J365" s="190" t="e">
        <f ca="1">VLOOKUP($D365,物料本月库存明細!$B:$J,9,0)</f>
        <v>#N/A</v>
      </c>
    </row>
    <row r="366" customHeight="1" spans="1:10">
      <c r="A366" s="187"/>
      <c r="B366" s="187"/>
      <c r="C366" s="193"/>
      <c r="D366" s="196"/>
      <c r="E366" s="188" t="e">
        <f ca="1">VLOOKUP($D366,物料本月库存明細!$B:$J,2,0)</f>
        <v>#N/A</v>
      </c>
      <c r="F366" s="189" t="e">
        <f ca="1">VLOOKUP($D366,物料本月库存明細!$B:$J,5,0)</f>
        <v>#N/A</v>
      </c>
      <c r="G366" s="190"/>
      <c r="H366" s="191"/>
      <c r="I366" s="188"/>
      <c r="J366" s="190" t="e">
        <f ca="1">VLOOKUP($D366,物料本月库存明細!$B:$J,9,0)</f>
        <v>#N/A</v>
      </c>
    </row>
    <row r="367" customHeight="1" spans="1:10">
      <c r="A367" s="187"/>
      <c r="B367" s="187"/>
      <c r="C367" s="193"/>
      <c r="D367" s="196"/>
      <c r="E367" s="188" t="e">
        <f ca="1">VLOOKUP($D367,物料本月库存明細!$B:$J,2,0)</f>
        <v>#N/A</v>
      </c>
      <c r="F367" s="189" t="e">
        <f ca="1">VLOOKUP($D367,物料本月库存明細!$B:$J,5,0)</f>
        <v>#N/A</v>
      </c>
      <c r="G367" s="190"/>
      <c r="H367" s="191"/>
      <c r="I367" s="188"/>
      <c r="J367" s="190" t="e">
        <f ca="1">VLOOKUP($D367,物料本月库存明細!$B:$J,9,0)</f>
        <v>#N/A</v>
      </c>
    </row>
    <row r="368" customHeight="1" spans="1:10">
      <c r="A368" s="187"/>
      <c r="B368" s="187"/>
      <c r="C368" s="193"/>
      <c r="D368" s="196"/>
      <c r="E368" s="188" t="e">
        <f ca="1">VLOOKUP($D368,物料本月库存明細!$B:$J,2,0)</f>
        <v>#N/A</v>
      </c>
      <c r="F368" s="189" t="e">
        <f ca="1">VLOOKUP($D368,物料本月库存明細!$B:$J,5,0)</f>
        <v>#N/A</v>
      </c>
      <c r="G368" s="190"/>
      <c r="H368" s="191"/>
      <c r="I368" s="188"/>
      <c r="J368" s="190" t="e">
        <f ca="1">VLOOKUP($D368,物料本月库存明細!$B:$J,9,0)</f>
        <v>#N/A</v>
      </c>
    </row>
    <row r="369" customHeight="1" spans="1:10">
      <c r="A369" s="187"/>
      <c r="B369" s="187"/>
      <c r="C369" s="193"/>
      <c r="D369" s="194"/>
      <c r="E369" s="188" t="e">
        <f ca="1">VLOOKUP($D369,物料本月库存明細!$B:$J,2,0)</f>
        <v>#N/A</v>
      </c>
      <c r="F369" s="189" t="e">
        <f ca="1">VLOOKUP($D369,物料本月库存明細!$B:$J,5,0)</f>
        <v>#N/A</v>
      </c>
      <c r="G369" s="190"/>
      <c r="H369" s="191"/>
      <c r="I369" s="188"/>
      <c r="J369" s="190" t="e">
        <f ca="1">VLOOKUP($D369,物料本月库存明細!$B:$J,9,0)</f>
        <v>#N/A</v>
      </c>
    </row>
    <row r="370" customHeight="1" spans="1:10">
      <c r="B370" s="187"/>
      <c r="D370" s="196"/>
      <c r="E370" s="188" t="e">
        <f ca="1">VLOOKUP($D370,物料本月库存明細!$B:$J,2,0)</f>
        <v>#N/A</v>
      </c>
      <c r="F370" s="189" t="e">
        <f ca="1">VLOOKUP($D370,物料本月库存明細!$B:$J,5,0)</f>
        <v>#N/A</v>
      </c>
      <c r="G370" s="190"/>
      <c r="H370" s="191"/>
      <c r="I370" s="188"/>
      <c r="J370" s="190" t="e">
        <f ca="1">VLOOKUP($D370,物料本月库存明細!$B:$J,9,0)</f>
        <v>#N/A</v>
      </c>
    </row>
    <row r="371" customHeight="1" spans="1:10">
      <c r="B371" s="187"/>
      <c r="D371" s="194"/>
      <c r="E371" s="188" t="e">
        <f ca="1">VLOOKUP($D371,物料本月库存明細!$B:$J,2,0)</f>
        <v>#N/A</v>
      </c>
      <c r="F371" s="189" t="e">
        <f ca="1">VLOOKUP($D371,物料本月库存明細!$B:$J,5,0)</f>
        <v>#N/A</v>
      </c>
      <c r="G371" s="190"/>
      <c r="H371" s="191"/>
      <c r="I371" s="188"/>
      <c r="J371" s="190" t="e">
        <f ca="1">VLOOKUP($D371,物料本月库存明細!$B:$J,9,0)</f>
        <v>#N/A</v>
      </c>
    </row>
    <row r="372" customHeight="1" spans="1:10">
      <c r="B372" s="187"/>
      <c r="D372" s="196"/>
      <c r="E372" s="188" t="e">
        <f ca="1">VLOOKUP($D372,物料本月库存明細!$B:$J,2,0)</f>
        <v>#N/A</v>
      </c>
      <c r="F372" s="189" t="e">
        <f ca="1">VLOOKUP($D372,物料本月库存明細!$B:$J,5,0)</f>
        <v>#N/A</v>
      </c>
      <c r="G372" s="190"/>
      <c r="H372" s="191"/>
      <c r="I372" s="188"/>
      <c r="J372" s="190" t="e">
        <f ca="1">VLOOKUP($D372,物料本月库存明細!$B:$J,9,0)</f>
        <v>#N/A</v>
      </c>
    </row>
    <row r="373" customHeight="1" spans="1:10">
      <c r="B373" s="187"/>
      <c r="D373" s="192"/>
      <c r="E373" s="188" t="e">
        <f ca="1">VLOOKUP($D373,物料本月库存明細!$B:$J,2,0)</f>
        <v>#N/A</v>
      </c>
      <c r="F373" s="189" t="e">
        <f ca="1">VLOOKUP($D373,物料本月库存明細!$B:$J,5,0)</f>
        <v>#N/A</v>
      </c>
      <c r="G373" s="190"/>
      <c r="H373" s="191"/>
      <c r="I373" s="188"/>
      <c r="J373" s="190" t="e">
        <f ca="1">VLOOKUP($D373,物料本月库存明細!$B:$J,9,0)</f>
        <v>#N/A</v>
      </c>
    </row>
    <row r="374" customHeight="1" spans="1:10">
      <c r="B374" s="187"/>
      <c r="D374" s="192"/>
      <c r="E374" s="188" t="e">
        <f ca="1">VLOOKUP($D374,物料本月库存明細!$B:$J,2,0)</f>
        <v>#N/A</v>
      </c>
      <c r="F374" s="189" t="e">
        <f ca="1">VLOOKUP($D374,物料本月库存明細!$B:$J,5,0)</f>
        <v>#N/A</v>
      </c>
      <c r="G374" s="190"/>
      <c r="H374" s="191"/>
      <c r="I374" s="188"/>
      <c r="J374" s="190" t="e">
        <f ca="1">VLOOKUP($D374,物料本月库存明細!$B:$J,9,0)</f>
        <v>#N/A</v>
      </c>
    </row>
    <row r="375" customHeight="1" spans="1:10">
      <c r="B375" s="187"/>
      <c r="D375" s="192"/>
      <c r="E375" s="188" t="e">
        <f ca="1">VLOOKUP($D375,物料本月库存明細!$B:$J,2,0)</f>
        <v>#N/A</v>
      </c>
      <c r="F375" s="189" t="e">
        <f ca="1">VLOOKUP($D375,物料本月库存明細!$B:$J,5,0)</f>
        <v>#N/A</v>
      </c>
      <c r="G375" s="190"/>
      <c r="H375" s="191"/>
      <c r="I375" s="188"/>
      <c r="J375" s="190" t="e">
        <f ca="1">VLOOKUP($D375,物料本月库存明細!$B:$J,9,0)</f>
        <v>#N/A</v>
      </c>
    </row>
    <row r="376" customHeight="1" spans="1:10">
      <c r="A376" s="175"/>
      <c r="B376" s="187"/>
      <c r="D376" s="204"/>
      <c r="E376" s="188" t="e">
        <f ca="1">VLOOKUP($D376,物料本月库存明細!$B:$J,2,0)</f>
        <v>#N/A</v>
      </c>
      <c r="F376" s="189" t="e">
        <f ca="1">VLOOKUP($D376,物料本月库存明細!$B:$J,5,0)</f>
        <v>#N/A</v>
      </c>
      <c r="G376" s="190"/>
      <c r="H376" s="191"/>
      <c r="I376" s="188"/>
      <c r="J376" s="190" t="e">
        <f ca="1">VLOOKUP($D376,物料本月库存明細!$B:$J,9,0)</f>
        <v>#N/A</v>
      </c>
    </row>
    <row r="377" customHeight="1" spans="1:10">
      <c r="A377" s="175"/>
      <c r="B377" s="187"/>
      <c r="D377" s="196"/>
      <c r="E377" s="188" t="e">
        <f ca="1">VLOOKUP($D377,物料本月库存明細!$B:$J,2,0)</f>
        <v>#N/A</v>
      </c>
      <c r="F377" s="189" t="e">
        <f ca="1">VLOOKUP($D377,物料本月库存明細!$B:$J,5,0)</f>
        <v>#N/A</v>
      </c>
      <c r="G377" s="190"/>
      <c r="H377" s="191"/>
      <c r="I377" s="188"/>
      <c r="J377" s="190" t="e">
        <f ca="1">VLOOKUP($D377,物料本月库存明細!$B:$J,9,0)</f>
        <v>#N/A</v>
      </c>
    </row>
    <row r="378" customHeight="1" spans="1:10">
      <c r="A378" s="175"/>
      <c r="B378" s="187"/>
      <c r="D378" s="192"/>
      <c r="E378" s="188" t="e">
        <f ca="1">VLOOKUP($D378,物料本月库存明細!$B:$J,2,0)</f>
        <v>#N/A</v>
      </c>
      <c r="F378" s="189" t="e">
        <f ca="1">VLOOKUP($D378,物料本月库存明細!$B:$J,5,0)</f>
        <v>#N/A</v>
      </c>
      <c r="G378" s="190"/>
      <c r="H378" s="191"/>
      <c r="I378" s="188"/>
      <c r="J378" s="190" t="e">
        <f ca="1">VLOOKUP($D378,物料本月库存明細!$B:$J,9,0)</f>
        <v>#N/A</v>
      </c>
    </row>
    <row r="379" customHeight="1" spans="1:10">
      <c r="A379" s="175"/>
      <c r="B379" s="187"/>
      <c r="D379" s="194"/>
      <c r="E379" s="188" t="e">
        <f ca="1">VLOOKUP($D379,物料本月库存明細!$B:$J,2,0)</f>
        <v>#N/A</v>
      </c>
      <c r="F379" s="189" t="e">
        <f ca="1">VLOOKUP($D379,物料本月库存明細!$B:$J,5,0)</f>
        <v>#N/A</v>
      </c>
      <c r="G379" s="190"/>
      <c r="H379" s="191"/>
      <c r="I379" s="188"/>
      <c r="J379" s="190" t="e">
        <f ca="1">VLOOKUP($D379,物料本月库存明細!$B:$J,9,0)</f>
        <v>#N/A</v>
      </c>
    </row>
    <row r="380" customHeight="1" spans="1:10">
      <c r="A380" s="175"/>
      <c r="B380" s="187"/>
      <c r="D380" s="192"/>
      <c r="E380" s="188" t="e">
        <f ca="1">VLOOKUP($D380,物料本月库存明細!$B:$J,2,0)</f>
        <v>#N/A</v>
      </c>
      <c r="F380" s="189" t="e">
        <f ca="1">VLOOKUP($D380,物料本月库存明細!$B:$J,5,0)</f>
        <v>#N/A</v>
      </c>
      <c r="G380" s="190"/>
      <c r="H380" s="191"/>
      <c r="I380" s="188"/>
      <c r="J380" s="190" t="e">
        <f ca="1">VLOOKUP($D380,物料本月库存明細!$B:$J,9,0)</f>
        <v>#N/A</v>
      </c>
    </row>
    <row r="381" customHeight="1" spans="1:10">
      <c r="A381" s="175"/>
      <c r="B381" s="187"/>
      <c r="D381" s="192"/>
      <c r="E381" s="188" t="e">
        <f ca="1">VLOOKUP($D381,物料本月库存明細!$B:$J,2,0)</f>
        <v>#N/A</v>
      </c>
      <c r="F381" s="189" t="e">
        <f ca="1">VLOOKUP($D381,物料本月库存明細!$B:$J,5,0)</f>
        <v>#N/A</v>
      </c>
      <c r="G381" s="190"/>
      <c r="H381" s="191"/>
      <c r="I381" s="188"/>
      <c r="J381" s="190" t="e">
        <f ca="1">VLOOKUP($D381,物料本月库存明細!$B:$J,9,0)</f>
        <v>#N/A</v>
      </c>
    </row>
    <row r="382" customHeight="1" spans="1:10">
      <c r="A382" s="175"/>
      <c r="B382" s="187"/>
      <c r="D382" s="192"/>
      <c r="E382" s="188" t="e">
        <f ca="1">VLOOKUP($D382,物料本月库存明細!$B:$J,2,0)</f>
        <v>#N/A</v>
      </c>
      <c r="F382" s="189" t="e">
        <f ca="1">VLOOKUP($D382,物料本月库存明細!$B:$J,5,0)</f>
        <v>#N/A</v>
      </c>
      <c r="G382" s="190"/>
      <c r="H382" s="191"/>
      <c r="I382" s="188"/>
      <c r="J382" s="190" t="e">
        <f ca="1">VLOOKUP($D382,物料本月库存明細!$B:$J,9,0)</f>
        <v>#N/A</v>
      </c>
    </row>
    <row r="383" customHeight="1" spans="1:10">
      <c r="A383" s="175"/>
      <c r="B383" s="187"/>
      <c r="D383" s="196"/>
      <c r="E383" s="188" t="e">
        <f ca="1">VLOOKUP($D383,物料本月库存明細!$B:$J,2,0)</f>
        <v>#N/A</v>
      </c>
      <c r="F383" s="189" t="e">
        <f ca="1">VLOOKUP($D383,物料本月库存明細!$B:$J,5,0)</f>
        <v>#N/A</v>
      </c>
      <c r="G383" s="190"/>
      <c r="H383" s="191"/>
      <c r="I383" s="188"/>
      <c r="J383" s="190" t="e">
        <f ca="1">VLOOKUP($D383,物料本月库存明細!$B:$J,9,0)</f>
        <v>#N/A</v>
      </c>
    </row>
    <row r="384" customHeight="1" spans="1:10">
      <c r="B384" s="187"/>
      <c r="D384" s="196"/>
      <c r="E384" s="188" t="e">
        <f ca="1">VLOOKUP($D384,物料本月库存明細!$B:$J,2,0)</f>
        <v>#N/A</v>
      </c>
      <c r="F384" s="189" t="e">
        <f ca="1">VLOOKUP($D384,物料本月库存明細!$B:$J,5,0)</f>
        <v>#N/A</v>
      </c>
      <c r="G384" s="190"/>
      <c r="H384" s="191"/>
      <c r="I384" s="188"/>
      <c r="J384" s="190" t="e">
        <f ca="1">VLOOKUP($D384,物料本月库存明細!$B:$J,9,0)</f>
        <v>#N/A</v>
      </c>
    </row>
    <row r="385" customHeight="1" spans="1:10">
      <c r="B385" s="187"/>
      <c r="D385" s="192"/>
      <c r="E385" s="188" t="e">
        <f ca="1">VLOOKUP($D385,物料本月库存明細!$B:$J,2,0)</f>
        <v>#N/A</v>
      </c>
      <c r="F385" s="189" t="e">
        <f ca="1">VLOOKUP($D385,物料本月库存明細!$B:$J,5,0)</f>
        <v>#N/A</v>
      </c>
      <c r="G385" s="190"/>
      <c r="H385" s="191"/>
      <c r="I385" s="188"/>
      <c r="J385" s="190" t="e">
        <f ca="1">VLOOKUP($D385,物料本月库存明細!$B:$J,9,0)</f>
        <v>#N/A</v>
      </c>
    </row>
    <row r="386" customHeight="1" spans="1:10">
      <c r="B386" s="187"/>
      <c r="D386" s="192"/>
      <c r="E386" s="188" t="e">
        <f ca="1">VLOOKUP($D386,物料本月库存明細!$B:$J,2,0)</f>
        <v>#N/A</v>
      </c>
      <c r="F386" s="189" t="e">
        <f ca="1">VLOOKUP($D386,物料本月库存明細!$B:$J,5,0)</f>
        <v>#N/A</v>
      </c>
      <c r="G386" s="190"/>
      <c r="H386" s="191"/>
      <c r="I386" s="188"/>
      <c r="J386" s="190" t="e">
        <f ca="1">VLOOKUP($D386,物料本月库存明細!$B:$J,9,0)</f>
        <v>#N/A</v>
      </c>
    </row>
    <row r="387" customHeight="1" spans="1:10">
      <c r="B387" s="187"/>
      <c r="D387" s="192"/>
      <c r="E387" s="188" t="e">
        <f ca="1">VLOOKUP($D387,物料本月库存明細!$B:$J,2,0)</f>
        <v>#N/A</v>
      </c>
      <c r="F387" s="189" t="e">
        <f ca="1">VLOOKUP($D387,物料本月库存明細!$B:$J,5,0)</f>
        <v>#N/A</v>
      </c>
      <c r="G387" s="190"/>
      <c r="H387" s="191"/>
      <c r="I387" s="188"/>
      <c r="J387" s="190" t="e">
        <f ca="1">VLOOKUP($D387,物料本月库存明細!$B:$J,9,0)</f>
        <v>#N/A</v>
      </c>
    </row>
    <row r="388" customHeight="1" spans="1:10">
      <c r="B388" s="187"/>
      <c r="D388" s="196"/>
      <c r="E388" s="188" t="e">
        <f ca="1">VLOOKUP($D388,物料本月库存明細!$B:$J,2,0)</f>
        <v>#N/A</v>
      </c>
      <c r="F388" s="189" t="e">
        <f ca="1">VLOOKUP($D388,物料本月库存明細!$B:$J,5,0)</f>
        <v>#N/A</v>
      </c>
      <c r="G388" s="190"/>
      <c r="H388" s="191"/>
      <c r="I388" s="188"/>
      <c r="J388" s="190" t="e">
        <f ca="1">VLOOKUP($D388,物料本月库存明細!$B:$J,9,0)</f>
        <v>#N/A</v>
      </c>
    </row>
    <row r="389" customHeight="1" spans="1:10">
      <c r="B389" s="187"/>
      <c r="D389" s="201"/>
      <c r="E389" s="188" t="e">
        <f ca="1">VLOOKUP($D389,物料本月库存明細!$B:$J,2,0)</f>
        <v>#N/A</v>
      </c>
      <c r="F389" s="189" t="e">
        <f ca="1">VLOOKUP($D389,物料本月库存明細!$B:$J,5,0)</f>
        <v>#N/A</v>
      </c>
      <c r="G389" s="190"/>
      <c r="H389" s="191"/>
      <c r="I389" s="188"/>
      <c r="J389" s="190" t="e">
        <f ca="1">VLOOKUP($D389,物料本月库存明細!$B:$J,9,0)</f>
        <v>#N/A</v>
      </c>
    </row>
    <row r="390" customHeight="1" spans="1:10">
      <c r="A390" s="175"/>
      <c r="B390" s="187"/>
      <c r="D390" s="196"/>
      <c r="E390" s="188" t="e">
        <f ca="1">VLOOKUP($D390,物料本月库存明細!$B:$J,2,0)</f>
        <v>#N/A</v>
      </c>
      <c r="F390" s="189" t="e">
        <f ca="1">VLOOKUP($D390,物料本月库存明細!$B:$J,5,0)</f>
        <v>#N/A</v>
      </c>
      <c r="G390" s="190"/>
      <c r="H390" s="191"/>
      <c r="I390" s="188"/>
      <c r="J390" s="190" t="e">
        <f ca="1">VLOOKUP($D390,物料本月库存明細!$B:$J,9,0)</f>
        <v>#N/A</v>
      </c>
    </row>
    <row r="391" customHeight="1" spans="1:10">
      <c r="A391" s="175"/>
      <c r="B391" s="187"/>
      <c r="D391" s="194"/>
      <c r="E391" s="188" t="e">
        <f ca="1">VLOOKUP($D391,物料本月库存明細!$B:$J,2,0)</f>
        <v>#N/A</v>
      </c>
      <c r="F391" s="189" t="e">
        <f ca="1">VLOOKUP($D391,物料本月库存明細!$B:$J,5,0)</f>
        <v>#N/A</v>
      </c>
      <c r="G391" s="190"/>
      <c r="H391" s="191"/>
      <c r="I391" s="188"/>
      <c r="J391" s="190" t="e">
        <f ca="1">VLOOKUP($D391,物料本月库存明細!$B:$J,9,0)</f>
        <v>#N/A</v>
      </c>
    </row>
    <row r="392" customHeight="1" spans="1:10">
      <c r="A392" s="175"/>
      <c r="B392" s="187"/>
      <c r="D392" s="192"/>
      <c r="E392" s="188" t="e">
        <f ca="1">VLOOKUP($D392,物料本月库存明細!$B:$J,2,0)</f>
        <v>#N/A</v>
      </c>
      <c r="F392" s="189" t="e">
        <f ca="1">VLOOKUP($D392,物料本月库存明細!$B:$J,5,0)</f>
        <v>#N/A</v>
      </c>
      <c r="G392" s="190"/>
      <c r="H392" s="191"/>
      <c r="I392" s="188"/>
      <c r="J392" s="190" t="e">
        <f ca="1">VLOOKUP($D392,物料本月库存明細!$B:$J,9,0)</f>
        <v>#N/A</v>
      </c>
    </row>
    <row r="393" customHeight="1" spans="1:10">
      <c r="A393" s="175"/>
      <c r="B393" s="187"/>
      <c r="D393" s="196"/>
      <c r="E393" s="188" t="e">
        <f ca="1">VLOOKUP($D393,物料本月库存明細!$B:$J,2,0)</f>
        <v>#N/A</v>
      </c>
      <c r="F393" s="189" t="e">
        <f ca="1">VLOOKUP($D393,物料本月库存明細!$B:$J,5,0)</f>
        <v>#N/A</v>
      </c>
      <c r="G393" s="190"/>
      <c r="H393" s="191"/>
      <c r="I393" s="188"/>
      <c r="J393" s="190" t="e">
        <f ca="1">VLOOKUP($D393,物料本月库存明細!$B:$J,9,0)</f>
        <v>#N/A</v>
      </c>
    </row>
    <row r="394" customHeight="1" spans="1:10">
      <c r="A394" s="175"/>
      <c r="B394" s="187"/>
      <c r="D394" s="196"/>
      <c r="E394" s="188" t="e">
        <f ca="1">VLOOKUP($D394,物料本月库存明細!$B:$J,2,0)</f>
        <v>#N/A</v>
      </c>
      <c r="F394" s="189" t="e">
        <f ca="1">VLOOKUP($D394,物料本月库存明細!$B:$J,5,0)</f>
        <v>#N/A</v>
      </c>
      <c r="G394" s="190"/>
      <c r="H394" s="191"/>
      <c r="I394" s="188"/>
      <c r="J394" s="190" t="e">
        <f ca="1">VLOOKUP($D394,物料本月库存明細!$B:$J,9,0)</f>
        <v>#N/A</v>
      </c>
    </row>
    <row r="395" customHeight="1" spans="1:10">
      <c r="A395" s="175"/>
      <c r="B395" s="187"/>
      <c r="D395" s="196"/>
      <c r="E395" s="188" t="e">
        <f ca="1">VLOOKUP($D395,物料本月库存明細!$B:$J,2,0)</f>
        <v>#N/A</v>
      </c>
      <c r="F395" s="189" t="e">
        <f ca="1">VLOOKUP($D395,物料本月库存明細!$B:$J,5,0)</f>
        <v>#N/A</v>
      </c>
      <c r="G395" s="190"/>
      <c r="H395" s="191"/>
      <c r="I395" s="188"/>
      <c r="J395" s="190" t="e">
        <f ca="1">VLOOKUP($D395,物料本月库存明細!$B:$J,9,0)</f>
        <v>#N/A</v>
      </c>
    </row>
    <row r="396" customHeight="1" spans="1:10">
      <c r="A396" s="175"/>
      <c r="B396" s="187"/>
      <c r="D396" s="196"/>
      <c r="E396" s="188" t="e">
        <f ca="1">VLOOKUP($D396,物料本月库存明細!$B:$J,2,0)</f>
        <v>#N/A</v>
      </c>
      <c r="F396" s="189" t="e">
        <f ca="1">VLOOKUP($D396,物料本月库存明細!$B:$J,5,0)</f>
        <v>#N/A</v>
      </c>
      <c r="G396" s="190"/>
      <c r="H396" s="191"/>
      <c r="I396" s="188"/>
      <c r="J396" s="190" t="e">
        <f ca="1">VLOOKUP($D396,物料本月库存明細!$B:$J,9,0)</f>
        <v>#N/A</v>
      </c>
    </row>
    <row r="397" customHeight="1" spans="1:10">
      <c r="A397" s="175"/>
      <c r="B397" s="187"/>
      <c r="D397" s="192"/>
      <c r="E397" s="188" t="e">
        <f ca="1">VLOOKUP($D397,物料本月库存明細!$B:$J,2,0)</f>
        <v>#N/A</v>
      </c>
      <c r="F397" s="189" t="e">
        <f ca="1">VLOOKUP($D397,物料本月库存明細!$B:$J,5,0)</f>
        <v>#N/A</v>
      </c>
      <c r="G397" s="190"/>
      <c r="H397" s="191"/>
      <c r="I397" s="188"/>
      <c r="J397" s="190" t="e">
        <f ca="1">VLOOKUP($D397,物料本月库存明細!$B:$J,9,0)</f>
        <v>#N/A</v>
      </c>
    </row>
    <row r="398" customHeight="1" spans="1:10">
      <c r="A398" s="175"/>
      <c r="B398" s="187"/>
      <c r="D398" s="192"/>
      <c r="E398" s="188" t="e">
        <f ca="1">VLOOKUP($D398,物料本月库存明細!$B:$J,2,0)</f>
        <v>#N/A</v>
      </c>
      <c r="F398" s="189" t="e">
        <f ca="1">VLOOKUP($D398,物料本月库存明細!$B:$J,5,0)</f>
        <v>#N/A</v>
      </c>
      <c r="G398" s="190"/>
      <c r="H398" s="191"/>
      <c r="I398" s="188"/>
      <c r="J398" s="190" t="e">
        <f ca="1">VLOOKUP($D398,物料本月库存明細!$B:$J,9,0)</f>
        <v>#N/A</v>
      </c>
    </row>
    <row r="399" customHeight="1" spans="1:10">
      <c r="B399" s="187"/>
      <c r="D399" s="196"/>
      <c r="E399" s="188" t="e">
        <f ca="1">VLOOKUP($D399,物料本月库存明細!$B:$J,2,0)</f>
        <v>#N/A</v>
      </c>
      <c r="F399" s="189" t="e">
        <f ca="1">VLOOKUP($D399,物料本月库存明細!$B:$J,5,0)</f>
        <v>#N/A</v>
      </c>
      <c r="G399" s="190"/>
      <c r="H399" s="191"/>
      <c r="I399" s="188"/>
      <c r="J399" s="190" t="e">
        <f ca="1">VLOOKUP($D399,物料本月库存明細!$B:$J,9,0)</f>
        <v>#N/A</v>
      </c>
    </row>
    <row r="400" customHeight="1" spans="1:10">
      <c r="B400" s="187"/>
      <c r="D400" s="196"/>
      <c r="E400" s="188" t="e">
        <f ca="1">VLOOKUP($D400,物料本月库存明細!$B:$J,2,0)</f>
        <v>#N/A</v>
      </c>
      <c r="F400" s="189" t="e">
        <f ca="1">VLOOKUP($D400,物料本月库存明細!$B:$J,5,0)</f>
        <v>#N/A</v>
      </c>
      <c r="G400" s="190"/>
      <c r="H400" s="191"/>
      <c r="I400" s="188"/>
      <c r="J400" s="190" t="e">
        <f ca="1">VLOOKUP($D400,物料本月库存明細!$B:$J,9,0)</f>
        <v>#N/A</v>
      </c>
    </row>
    <row r="401" customHeight="1" spans="1:10">
      <c r="A401" s="175"/>
      <c r="B401" s="187"/>
      <c r="D401" s="197"/>
      <c r="E401" s="188" t="e">
        <f ca="1">VLOOKUP($D401,物料本月库存明細!$B:$J,2,0)</f>
        <v>#N/A</v>
      </c>
      <c r="F401" s="189" t="e">
        <f ca="1">VLOOKUP($D401,物料本月库存明細!$B:$J,5,0)</f>
        <v>#N/A</v>
      </c>
      <c r="G401" s="190"/>
      <c r="H401" s="191"/>
      <c r="I401" s="188"/>
      <c r="J401" s="190" t="e">
        <f ca="1">VLOOKUP($D401,物料本月库存明細!$B:$J,9,0)</f>
        <v>#N/A</v>
      </c>
    </row>
    <row r="402" customHeight="1" spans="1:10">
      <c r="A402" s="175"/>
      <c r="B402" s="187"/>
      <c r="D402" s="197"/>
      <c r="E402" s="188" t="e">
        <f ca="1">VLOOKUP($D402,物料本月库存明細!$B:$J,2,0)</f>
        <v>#N/A</v>
      </c>
      <c r="F402" s="189" t="e">
        <f ca="1">VLOOKUP($D402,物料本月库存明細!$B:$J,5,0)</f>
        <v>#N/A</v>
      </c>
      <c r="G402" s="190"/>
      <c r="H402" s="191"/>
      <c r="I402" s="188"/>
      <c r="J402" s="190" t="e">
        <f ca="1">VLOOKUP($D402,物料本月库存明細!$B:$J,9,0)</f>
        <v>#N/A</v>
      </c>
    </row>
    <row r="403" customHeight="1" spans="1:10">
      <c r="A403" s="175"/>
      <c r="B403" s="187"/>
      <c r="D403" s="192"/>
      <c r="E403" s="188" t="e">
        <f ca="1">VLOOKUP($D403,物料本月库存明細!$B:$J,2,0)</f>
        <v>#N/A</v>
      </c>
      <c r="F403" s="189" t="e">
        <f ca="1">VLOOKUP($D403,物料本月库存明細!$B:$J,5,0)</f>
        <v>#N/A</v>
      </c>
      <c r="G403" s="190"/>
      <c r="H403" s="191"/>
      <c r="I403" s="188"/>
      <c r="J403" s="190" t="e">
        <f ca="1">VLOOKUP($D403,物料本月库存明細!$B:$J,9,0)</f>
        <v>#N/A</v>
      </c>
    </row>
    <row r="404" customHeight="1" spans="1:10">
      <c r="A404" s="175"/>
      <c r="B404" s="187"/>
      <c r="D404" s="192"/>
      <c r="E404" s="188" t="e">
        <f ca="1">VLOOKUP($D404,物料本月库存明細!$B:$J,2,0)</f>
        <v>#N/A</v>
      </c>
      <c r="F404" s="189" t="e">
        <f ca="1">VLOOKUP($D404,物料本月库存明細!$B:$J,5,0)</f>
        <v>#N/A</v>
      </c>
      <c r="G404" s="190"/>
      <c r="H404" s="191"/>
      <c r="I404" s="188"/>
      <c r="J404" s="190" t="e">
        <f ca="1">VLOOKUP($D404,物料本月库存明細!$B:$J,9,0)</f>
        <v>#N/A</v>
      </c>
    </row>
    <row r="405" customHeight="1" spans="1:10">
      <c r="A405" s="175"/>
      <c r="B405" s="187"/>
      <c r="D405" s="192"/>
      <c r="E405" s="188" t="e">
        <f ca="1">VLOOKUP($D405,物料本月库存明細!$B:$J,2,0)</f>
        <v>#N/A</v>
      </c>
      <c r="F405" s="189" t="e">
        <f ca="1">VLOOKUP($D405,物料本月库存明細!$B:$J,5,0)</f>
        <v>#N/A</v>
      </c>
      <c r="G405" s="190"/>
      <c r="H405" s="191"/>
      <c r="I405" s="188"/>
      <c r="J405" s="190" t="e">
        <f ca="1">VLOOKUP($D405,物料本月库存明細!$B:$J,9,0)</f>
        <v>#N/A</v>
      </c>
    </row>
    <row r="406" customHeight="1" spans="1:10">
      <c r="A406" s="175"/>
      <c r="B406" s="187"/>
      <c r="D406" s="192"/>
      <c r="E406" s="188" t="e">
        <f ca="1">VLOOKUP($D406,物料本月库存明細!$B:$J,2,0)</f>
        <v>#N/A</v>
      </c>
      <c r="F406" s="189" t="e">
        <f ca="1">VLOOKUP($D406,物料本月库存明細!$B:$J,5,0)</f>
        <v>#N/A</v>
      </c>
      <c r="G406" s="190"/>
      <c r="H406" s="191"/>
      <c r="I406" s="188"/>
      <c r="J406" s="190" t="e">
        <f ca="1">VLOOKUP($D406,物料本月库存明細!$B:$J,9,0)</f>
        <v>#N/A</v>
      </c>
    </row>
    <row r="407" customHeight="1" spans="1:10">
      <c r="A407" s="175"/>
      <c r="B407" s="187"/>
      <c r="D407" s="192"/>
      <c r="E407" s="188" t="e">
        <f ca="1">VLOOKUP($D407,物料本月库存明細!$B:$J,2,0)</f>
        <v>#N/A</v>
      </c>
      <c r="F407" s="189" t="e">
        <f ca="1">VLOOKUP($D407,物料本月库存明細!$B:$J,5,0)</f>
        <v>#N/A</v>
      </c>
      <c r="G407" s="190"/>
      <c r="H407" s="191"/>
      <c r="I407" s="188"/>
      <c r="J407" s="190" t="e">
        <f ca="1">VLOOKUP($D407,物料本月库存明細!$B:$J,9,0)</f>
        <v>#N/A</v>
      </c>
    </row>
    <row r="408" customHeight="1" spans="1:10">
      <c r="A408" s="175"/>
      <c r="B408" s="187"/>
      <c r="D408" s="192"/>
      <c r="E408" s="188" t="e">
        <f ca="1">VLOOKUP($D408,物料本月库存明細!$B:$J,2,0)</f>
        <v>#N/A</v>
      </c>
      <c r="F408" s="189" t="e">
        <f ca="1">VLOOKUP($D408,物料本月库存明細!$B:$J,5,0)</f>
        <v>#N/A</v>
      </c>
      <c r="G408" s="190"/>
      <c r="H408" s="191"/>
      <c r="I408" s="188"/>
      <c r="J408" s="190" t="e">
        <f ca="1">VLOOKUP($D408,物料本月库存明細!$B:$J,9,0)</f>
        <v>#N/A</v>
      </c>
    </row>
    <row r="409" customHeight="1" spans="1:10">
      <c r="A409" s="175"/>
      <c r="B409" s="187"/>
      <c r="D409" s="192"/>
      <c r="E409" s="188" t="e">
        <f ca="1">VLOOKUP($D409,物料本月库存明細!$B:$J,2,0)</f>
        <v>#N/A</v>
      </c>
      <c r="F409" s="189" t="e">
        <f ca="1">VLOOKUP($D409,物料本月库存明細!$B:$J,5,0)</f>
        <v>#N/A</v>
      </c>
      <c r="G409" s="190"/>
      <c r="H409" s="191"/>
      <c r="I409" s="188"/>
      <c r="J409" s="190" t="e">
        <f ca="1">VLOOKUP($D409,物料本月库存明細!$B:$J,9,0)</f>
        <v>#N/A</v>
      </c>
    </row>
    <row r="410" customHeight="1" spans="1:10">
      <c r="A410" s="175"/>
      <c r="B410" s="187"/>
      <c r="D410" s="192"/>
      <c r="E410" s="188" t="e">
        <f ca="1">VLOOKUP($D410,物料本月库存明細!$B:$J,2,0)</f>
        <v>#N/A</v>
      </c>
      <c r="F410" s="189" t="e">
        <f ca="1">VLOOKUP($D410,物料本月库存明細!$B:$J,5,0)</f>
        <v>#N/A</v>
      </c>
      <c r="G410" s="190"/>
      <c r="H410" s="191"/>
      <c r="I410" s="188"/>
      <c r="J410" s="190" t="e">
        <f ca="1">VLOOKUP($D410,物料本月库存明細!$B:$J,9,0)</f>
        <v>#N/A</v>
      </c>
    </row>
    <row r="411" customHeight="1" spans="1:10">
      <c r="A411" s="175"/>
      <c r="B411" s="187"/>
      <c r="D411" s="192"/>
      <c r="E411" s="188" t="e">
        <f ca="1">VLOOKUP($D411,物料本月库存明細!$B:$J,2,0)</f>
        <v>#N/A</v>
      </c>
      <c r="F411" s="189" t="e">
        <f ca="1">VLOOKUP($D411,物料本月库存明細!$B:$J,5,0)</f>
        <v>#N/A</v>
      </c>
      <c r="G411" s="190"/>
      <c r="H411" s="191"/>
      <c r="I411" s="188"/>
      <c r="J411" s="190" t="e">
        <f ca="1">VLOOKUP($D411,物料本月库存明細!$B:$J,9,0)</f>
        <v>#N/A</v>
      </c>
    </row>
    <row r="412" customHeight="1" spans="1:10">
      <c r="A412" s="175"/>
      <c r="B412" s="187"/>
      <c r="D412" s="192"/>
      <c r="E412" s="188" t="e">
        <f ca="1">VLOOKUP($D412,物料本月库存明細!$B:$J,2,0)</f>
        <v>#N/A</v>
      </c>
      <c r="F412" s="189" t="e">
        <f ca="1">VLOOKUP($D412,物料本月库存明細!$B:$J,5,0)</f>
        <v>#N/A</v>
      </c>
      <c r="G412" s="190"/>
      <c r="H412" s="191"/>
      <c r="I412" s="188"/>
      <c r="J412" s="190" t="e">
        <f ca="1">VLOOKUP($D412,物料本月库存明細!$B:$J,9,0)</f>
        <v>#N/A</v>
      </c>
    </row>
    <row r="413" customHeight="1" spans="1:10">
      <c r="A413" s="175"/>
      <c r="B413" s="187"/>
      <c r="D413" s="192"/>
      <c r="E413" s="188" t="e">
        <f ca="1">VLOOKUP($D413,物料本月库存明細!$B:$J,2,0)</f>
        <v>#N/A</v>
      </c>
      <c r="F413" s="189" t="e">
        <f ca="1">VLOOKUP($D413,物料本月库存明細!$B:$J,5,0)</f>
        <v>#N/A</v>
      </c>
      <c r="G413" s="190"/>
      <c r="H413" s="191"/>
      <c r="I413" s="188"/>
      <c r="J413" s="190" t="e">
        <f ca="1">VLOOKUP($D413,物料本月库存明細!$B:$J,9,0)</f>
        <v>#N/A</v>
      </c>
    </row>
    <row r="414" customHeight="1" spans="1:10">
      <c r="A414" s="175"/>
      <c r="B414" s="187"/>
      <c r="D414" s="192"/>
      <c r="E414" s="188" t="e">
        <f ca="1">VLOOKUP($D414,物料本月库存明細!$B:$J,2,0)</f>
        <v>#N/A</v>
      </c>
      <c r="F414" s="189" t="e">
        <f ca="1">VLOOKUP($D414,物料本月库存明細!$B:$J,5,0)</f>
        <v>#N/A</v>
      </c>
      <c r="G414" s="190"/>
      <c r="H414" s="191"/>
      <c r="I414" s="188"/>
      <c r="J414" s="190" t="e">
        <f ca="1">VLOOKUP($D414,物料本月库存明細!$B:$J,9,0)</f>
        <v>#N/A</v>
      </c>
    </row>
    <row r="415" customHeight="1" spans="1:10">
      <c r="A415" s="175"/>
      <c r="B415" s="187"/>
      <c r="D415" s="192"/>
      <c r="E415" s="188" t="e">
        <f ca="1">VLOOKUP($D415,物料本月库存明細!$B:$J,2,0)</f>
        <v>#N/A</v>
      </c>
      <c r="F415" s="189" t="e">
        <f ca="1">VLOOKUP($D415,物料本月库存明細!$B:$J,5,0)</f>
        <v>#N/A</v>
      </c>
      <c r="G415" s="190"/>
      <c r="H415" s="191"/>
      <c r="I415" s="188"/>
      <c r="J415" s="190" t="e">
        <f ca="1">VLOOKUP($D415,物料本月库存明細!$B:$J,9,0)</f>
        <v>#N/A</v>
      </c>
    </row>
    <row r="416" customHeight="1" spans="1:10">
      <c r="A416" s="175"/>
      <c r="B416" s="187"/>
      <c r="D416" s="204"/>
      <c r="E416" s="188" t="e">
        <f ca="1">VLOOKUP($D416,物料本月库存明細!$B:$J,2,0)</f>
        <v>#N/A</v>
      </c>
      <c r="F416" s="189" t="e">
        <f ca="1">VLOOKUP($D416,物料本月库存明細!$B:$J,5,0)</f>
        <v>#N/A</v>
      </c>
      <c r="G416" s="190"/>
      <c r="H416" s="191"/>
      <c r="I416" s="188"/>
      <c r="J416" s="190" t="e">
        <f ca="1">VLOOKUP($D416,物料本月库存明細!$B:$J,9,0)</f>
        <v>#N/A</v>
      </c>
    </row>
    <row r="417" customHeight="1" spans="1:10">
      <c r="A417" s="175"/>
      <c r="B417" s="187"/>
      <c r="D417" s="194"/>
      <c r="E417" s="188" t="e">
        <f ca="1">VLOOKUP($D417,物料本月库存明細!$B:$J,2,0)</f>
        <v>#N/A</v>
      </c>
      <c r="F417" s="189" t="e">
        <f ca="1">VLOOKUP($D417,物料本月库存明細!$B:$J,5,0)</f>
        <v>#N/A</v>
      </c>
      <c r="G417" s="190"/>
      <c r="I417" s="188"/>
      <c r="J417" s="190" t="e">
        <f ca="1">VLOOKUP($D417,物料本月库存明細!$B:$J,9,0)</f>
        <v>#N/A</v>
      </c>
    </row>
    <row r="418" customHeight="1" spans="1:10">
      <c r="A418" s="175"/>
      <c r="B418" s="187"/>
      <c r="D418" s="192"/>
      <c r="E418" s="188" t="e">
        <f ca="1">VLOOKUP($D418,物料本月库存明細!$B:$J,2,0)</f>
        <v>#N/A</v>
      </c>
      <c r="F418" s="189" t="e">
        <f ca="1">VLOOKUP($D418,物料本月库存明細!$B:$J,5,0)</f>
        <v>#N/A</v>
      </c>
      <c r="G418" s="190"/>
      <c r="H418" s="191"/>
      <c r="I418" s="188"/>
      <c r="J418" s="190" t="e">
        <f ca="1">VLOOKUP($D418,物料本月库存明細!$B:$J,9,0)</f>
        <v>#N/A</v>
      </c>
    </row>
    <row r="419" customHeight="1" spans="1:10">
      <c r="A419" s="175"/>
      <c r="B419" s="187"/>
      <c r="D419" s="201"/>
      <c r="E419" s="188" t="e">
        <f ca="1">VLOOKUP($D419,物料本月库存明細!$B:$J,2,0)</f>
        <v>#N/A</v>
      </c>
      <c r="F419" s="189" t="e">
        <f ca="1">VLOOKUP($D419,物料本月库存明細!$B:$J,5,0)</f>
        <v>#N/A</v>
      </c>
      <c r="G419" s="190"/>
      <c r="H419" s="191"/>
      <c r="I419" s="188"/>
      <c r="J419" s="190" t="e">
        <f ca="1">VLOOKUP($D419,物料本月库存明細!$B:$J,9,0)</f>
        <v>#N/A</v>
      </c>
    </row>
    <row r="420" customHeight="1" spans="1:10">
      <c r="A420" s="175"/>
      <c r="B420" s="187"/>
      <c r="D420" s="201"/>
      <c r="E420" s="188" t="e">
        <f ca="1">VLOOKUP($D420,物料本月库存明細!$B:$J,2,0)</f>
        <v>#N/A</v>
      </c>
      <c r="F420" s="189" t="e">
        <f ca="1">VLOOKUP($D420,物料本月库存明細!$B:$J,5,0)</f>
        <v>#N/A</v>
      </c>
      <c r="G420" s="190"/>
      <c r="H420" s="191"/>
      <c r="I420" s="188"/>
      <c r="J420" s="190" t="e">
        <f ca="1">VLOOKUP($D420,物料本月库存明細!$B:$J,9,0)</f>
        <v>#N/A</v>
      </c>
    </row>
    <row r="421" customHeight="1" spans="1:10">
      <c r="A421" s="175"/>
      <c r="B421" s="187"/>
      <c r="D421" s="192"/>
      <c r="E421" s="188" t="e">
        <f ca="1">VLOOKUP($D421,物料本月库存明細!$B:$J,2,0)</f>
        <v>#N/A</v>
      </c>
      <c r="F421" s="189" t="e">
        <f ca="1">VLOOKUP($D421,物料本月库存明細!$B:$J,5,0)</f>
        <v>#N/A</v>
      </c>
      <c r="G421" s="190"/>
      <c r="H421" s="191"/>
      <c r="I421" s="188"/>
      <c r="J421" s="190" t="e">
        <f ca="1">VLOOKUP($D421,物料本月库存明細!$B:$J,9,0)</f>
        <v>#N/A</v>
      </c>
    </row>
    <row r="422" customHeight="1" spans="1:10">
      <c r="A422" s="175"/>
      <c r="B422" s="187"/>
      <c r="D422" s="192"/>
      <c r="E422" s="188" t="e">
        <f ca="1">VLOOKUP($D422,物料本月库存明細!$B:$J,2,0)</f>
        <v>#N/A</v>
      </c>
      <c r="F422" s="189" t="e">
        <f ca="1">VLOOKUP($D422,物料本月库存明細!$B:$J,5,0)</f>
        <v>#N/A</v>
      </c>
      <c r="G422" s="190"/>
      <c r="H422" s="191"/>
      <c r="I422" s="188"/>
      <c r="J422" s="190" t="e">
        <f ca="1">VLOOKUP($D422,物料本月库存明細!$B:$J,9,0)</f>
        <v>#N/A</v>
      </c>
    </row>
    <row r="423" customHeight="1" spans="1:10">
      <c r="A423" s="175"/>
      <c r="B423" s="187"/>
      <c r="D423" s="192"/>
      <c r="E423" s="188" t="e">
        <f ca="1">VLOOKUP($D423,物料本月库存明細!$B:$J,2,0)</f>
        <v>#N/A</v>
      </c>
      <c r="F423" s="189" t="e">
        <f ca="1">VLOOKUP($D423,物料本月库存明細!$B:$J,5,0)</f>
        <v>#N/A</v>
      </c>
      <c r="G423" s="190"/>
      <c r="H423" s="191"/>
      <c r="I423" s="188"/>
      <c r="J423" s="190" t="e">
        <f ca="1">VLOOKUP($D423,物料本月库存明細!$B:$J,9,0)</f>
        <v>#N/A</v>
      </c>
    </row>
    <row r="424" customHeight="1" spans="1:10">
      <c r="A424" s="175"/>
      <c r="B424" s="187"/>
      <c r="D424" s="192"/>
      <c r="E424" s="188" t="e">
        <f ca="1">VLOOKUP($D424,物料本月库存明細!$B:$J,2,0)</f>
        <v>#N/A</v>
      </c>
      <c r="F424" s="189" t="e">
        <f ca="1">VLOOKUP($D424,物料本月库存明細!$B:$J,5,0)</f>
        <v>#N/A</v>
      </c>
      <c r="G424" s="190"/>
      <c r="H424" s="191"/>
      <c r="I424" s="188"/>
      <c r="J424" s="190" t="e">
        <f ca="1">VLOOKUP($D424,物料本月库存明細!$B:$J,9,0)</f>
        <v>#N/A</v>
      </c>
    </row>
    <row r="425" customHeight="1" spans="1:10">
      <c r="A425" s="175"/>
      <c r="B425" s="187"/>
      <c r="D425" s="192"/>
      <c r="E425" s="188" t="e">
        <f ca="1">VLOOKUP($D425,物料本月库存明細!$B:$J,2,0)</f>
        <v>#N/A</v>
      </c>
      <c r="F425" s="189" t="e">
        <f ca="1">VLOOKUP($D425,物料本月库存明細!$B:$J,5,0)</f>
        <v>#N/A</v>
      </c>
      <c r="G425" s="190"/>
      <c r="H425" s="191"/>
      <c r="I425" s="188"/>
      <c r="J425" s="190" t="e">
        <f ca="1">VLOOKUP($D425,物料本月库存明細!$B:$J,9,0)</f>
        <v>#N/A</v>
      </c>
    </row>
    <row r="426" customHeight="1" spans="1:10">
      <c r="A426" s="175"/>
      <c r="B426" s="187"/>
      <c r="D426" s="201"/>
      <c r="E426" s="188" t="e">
        <f ca="1">VLOOKUP($D426,物料本月库存明細!$B:$J,2,0)</f>
        <v>#N/A</v>
      </c>
      <c r="F426" s="189" t="e">
        <f ca="1">VLOOKUP($D426,物料本月库存明細!$B:$J,5,0)</f>
        <v>#N/A</v>
      </c>
      <c r="G426" s="190"/>
      <c r="H426" s="191"/>
      <c r="I426" s="188"/>
      <c r="J426" s="190" t="e">
        <f ca="1">VLOOKUP($D426,物料本月库存明細!$B:$J,9,0)</f>
        <v>#N/A</v>
      </c>
    </row>
    <row r="427" customHeight="1" spans="1:10">
      <c r="A427" s="175"/>
      <c r="B427" s="187"/>
      <c r="D427" s="201"/>
      <c r="E427" s="188" t="e">
        <f ca="1">VLOOKUP($D427,物料本月库存明細!$B:$J,2,0)</f>
        <v>#N/A</v>
      </c>
      <c r="F427" s="189" t="e">
        <f ca="1">VLOOKUP($D427,物料本月库存明細!$B:$J,5,0)</f>
        <v>#N/A</v>
      </c>
      <c r="G427" s="190"/>
      <c r="H427" s="191"/>
      <c r="I427" s="188"/>
      <c r="J427" s="190" t="e">
        <f ca="1">VLOOKUP($D427,物料本月库存明細!$B:$J,9,0)</f>
        <v>#N/A</v>
      </c>
    </row>
    <row r="428" customHeight="1" spans="1:10">
      <c r="A428" s="175"/>
      <c r="B428" s="187"/>
      <c r="D428" s="192"/>
      <c r="E428" s="188" t="e">
        <f ca="1">VLOOKUP($D428,物料本月库存明細!$B:$J,2,0)</f>
        <v>#N/A</v>
      </c>
      <c r="F428" s="189" t="e">
        <f ca="1">VLOOKUP($D428,物料本月库存明細!$B:$J,5,0)</f>
        <v>#N/A</v>
      </c>
      <c r="G428" s="190"/>
      <c r="H428" s="191"/>
      <c r="I428" s="188"/>
      <c r="J428" s="190" t="e">
        <f ca="1">VLOOKUP($D428,物料本月库存明細!$B:$J,9,0)</f>
        <v>#N/A</v>
      </c>
    </row>
    <row r="429" customHeight="1" spans="1:10">
      <c r="A429" s="175"/>
      <c r="B429" s="187"/>
      <c r="D429" s="192"/>
      <c r="E429" s="188" t="e">
        <f ca="1">VLOOKUP($D429,物料本月库存明細!$B:$J,2,0)</f>
        <v>#N/A</v>
      </c>
      <c r="F429" s="189" t="e">
        <f ca="1">VLOOKUP($D429,物料本月库存明細!$B:$J,5,0)</f>
        <v>#N/A</v>
      </c>
      <c r="G429" s="190"/>
      <c r="H429" s="191"/>
      <c r="I429" s="188"/>
      <c r="J429" s="190" t="e">
        <f ca="1">VLOOKUP($D429,物料本月库存明細!$B:$J,9,0)</f>
        <v>#N/A</v>
      </c>
    </row>
    <row r="430" customHeight="1" spans="1:10">
      <c r="A430" s="175"/>
      <c r="B430" s="187"/>
      <c r="D430" s="192"/>
      <c r="E430" s="188" t="e">
        <f ca="1">VLOOKUP($D430,物料本月库存明細!$B:$J,2,0)</f>
        <v>#N/A</v>
      </c>
      <c r="F430" s="189" t="e">
        <f ca="1">VLOOKUP($D430,物料本月库存明細!$B:$J,5,0)</f>
        <v>#N/A</v>
      </c>
      <c r="G430" s="190"/>
      <c r="H430" s="191"/>
      <c r="I430" s="188"/>
      <c r="J430" s="190" t="e">
        <f ca="1">VLOOKUP($D430,物料本月库存明細!$B:$J,9,0)</f>
        <v>#N/A</v>
      </c>
    </row>
    <row r="431" customHeight="1" spans="1:10">
      <c r="A431" s="175"/>
      <c r="B431" s="187"/>
      <c r="D431" s="196"/>
      <c r="E431" s="188" t="e">
        <f ca="1">VLOOKUP($D431,物料本月库存明細!$B:$J,2,0)</f>
        <v>#N/A</v>
      </c>
      <c r="F431" s="189" t="e">
        <f ca="1">VLOOKUP($D431,物料本月库存明細!$B:$J,5,0)</f>
        <v>#N/A</v>
      </c>
      <c r="G431" s="190"/>
      <c r="H431" s="191"/>
      <c r="I431" s="188"/>
      <c r="J431" s="190" t="e">
        <f ca="1">VLOOKUP($D431,物料本月库存明細!$B:$J,9,0)</f>
        <v>#N/A</v>
      </c>
    </row>
    <row r="432" customHeight="1" spans="1:10">
      <c r="A432" s="175"/>
      <c r="B432" s="187"/>
      <c r="D432" s="196"/>
      <c r="E432" s="188" t="e">
        <f ca="1">VLOOKUP($D432,物料本月库存明細!$B:$J,2,0)</f>
        <v>#N/A</v>
      </c>
      <c r="F432" s="189" t="e">
        <f ca="1">VLOOKUP($D432,物料本月库存明細!$B:$J,5,0)</f>
        <v>#N/A</v>
      </c>
      <c r="G432" s="190"/>
      <c r="H432" s="191"/>
      <c r="I432" s="188"/>
      <c r="J432" s="190" t="e">
        <f ca="1">VLOOKUP($D432,物料本月库存明細!$B:$J,9,0)</f>
        <v>#N/A</v>
      </c>
    </row>
    <row r="433" customHeight="1" spans="1:10">
      <c r="A433" s="175"/>
      <c r="B433" s="187"/>
      <c r="D433" s="192"/>
      <c r="E433" s="188" t="e">
        <f ca="1">VLOOKUP($D433,物料本月库存明細!$B:$J,2,0)</f>
        <v>#N/A</v>
      </c>
      <c r="F433" s="189" t="e">
        <f ca="1">VLOOKUP($D433,物料本月库存明細!$B:$J,5,0)</f>
        <v>#N/A</v>
      </c>
      <c r="G433" s="190"/>
      <c r="H433" s="191"/>
      <c r="I433" s="188"/>
      <c r="J433" s="190" t="e">
        <f ca="1">VLOOKUP($D433,物料本月库存明細!$B:$J,9,0)</f>
        <v>#N/A</v>
      </c>
    </row>
    <row r="434" customHeight="1" spans="1:10">
      <c r="A434" s="175"/>
      <c r="B434" s="187"/>
      <c r="D434" s="204"/>
      <c r="E434" s="188" t="e">
        <f ca="1">VLOOKUP($D434,物料本月库存明細!$B:$J,2,0)</f>
        <v>#N/A</v>
      </c>
      <c r="F434" s="189" t="e">
        <f ca="1">VLOOKUP($D434,物料本月库存明細!$B:$J,5,0)</f>
        <v>#N/A</v>
      </c>
      <c r="G434" s="190"/>
      <c r="H434" s="191"/>
      <c r="I434" s="188"/>
      <c r="J434" s="190" t="e">
        <f ca="1">VLOOKUP($D434,物料本月库存明細!$B:$J,9,0)</f>
        <v>#N/A</v>
      </c>
    </row>
    <row r="435" customHeight="1" spans="1:10">
      <c r="A435" s="175"/>
      <c r="B435" s="187"/>
      <c r="D435" s="192"/>
      <c r="E435" s="188" t="e">
        <f ca="1">VLOOKUP($D435,物料本月库存明細!$B:$J,2,0)</f>
        <v>#N/A</v>
      </c>
      <c r="F435" s="189" t="e">
        <f ca="1">VLOOKUP($D435,物料本月库存明細!$B:$J,5,0)</f>
        <v>#N/A</v>
      </c>
      <c r="G435" s="190"/>
      <c r="H435" s="191"/>
      <c r="I435" s="188"/>
      <c r="J435" s="190" t="e">
        <f ca="1">VLOOKUP($D435,物料本月库存明細!$B:$J,9,0)</f>
        <v>#N/A</v>
      </c>
    </row>
    <row r="436" customHeight="1" spans="1:10">
      <c r="A436" s="175"/>
      <c r="B436" s="187"/>
      <c r="D436" s="201"/>
      <c r="E436" s="188" t="e">
        <f ca="1">VLOOKUP($D436,物料本月库存明細!$B:$J,2,0)</f>
        <v>#N/A</v>
      </c>
      <c r="F436" s="189" t="e">
        <f ca="1">VLOOKUP($D436,物料本月库存明細!$B:$J,5,0)</f>
        <v>#N/A</v>
      </c>
      <c r="G436" s="190"/>
      <c r="H436" s="191"/>
      <c r="I436" s="188"/>
      <c r="J436" s="190" t="e">
        <f ca="1">VLOOKUP($D436,物料本月库存明細!$B:$J,9,0)</f>
        <v>#N/A</v>
      </c>
    </row>
    <row r="437" customHeight="1" spans="1:10">
      <c r="A437" s="175"/>
      <c r="B437" s="187"/>
      <c r="D437" s="201"/>
      <c r="E437" s="188" t="e">
        <f ca="1">VLOOKUP($D437,物料本月库存明細!$B:$J,2,0)</f>
        <v>#N/A</v>
      </c>
      <c r="F437" s="189" t="e">
        <f ca="1">VLOOKUP($D437,物料本月库存明細!$B:$J,5,0)</f>
        <v>#N/A</v>
      </c>
      <c r="G437" s="190"/>
      <c r="H437" s="191"/>
      <c r="I437" s="188"/>
      <c r="J437" s="190" t="e">
        <f ca="1">VLOOKUP($D437,物料本月库存明細!$B:$J,9,0)</f>
        <v>#N/A</v>
      </c>
    </row>
    <row r="438" customHeight="1" spans="1:10">
      <c r="A438" s="175"/>
      <c r="B438" s="187"/>
      <c r="D438" s="196"/>
      <c r="E438" s="188" t="e">
        <f ca="1">VLOOKUP($D438,物料本月库存明細!$B:$J,2,0)</f>
        <v>#N/A</v>
      </c>
      <c r="F438" s="189" t="e">
        <f ca="1">VLOOKUP($D438,物料本月库存明細!$B:$J,5,0)</f>
        <v>#N/A</v>
      </c>
      <c r="G438" s="190"/>
      <c r="H438" s="191"/>
      <c r="I438" s="188"/>
      <c r="J438" s="190" t="e">
        <f ca="1">VLOOKUP($D438,物料本月库存明細!$B:$J,9,0)</f>
        <v>#N/A</v>
      </c>
    </row>
    <row r="439" customHeight="1" spans="1:10">
      <c r="A439" s="175"/>
      <c r="B439" s="187"/>
      <c r="D439" s="196"/>
      <c r="E439" s="188" t="e">
        <f ca="1">VLOOKUP($D439,物料本月库存明細!$B:$J,2,0)</f>
        <v>#N/A</v>
      </c>
      <c r="F439" s="189" t="e">
        <f ca="1">VLOOKUP($D439,物料本月库存明細!$B:$J,5,0)</f>
        <v>#N/A</v>
      </c>
      <c r="G439" s="190"/>
      <c r="H439" s="191"/>
      <c r="I439" s="188"/>
      <c r="J439" s="190" t="e">
        <f ca="1">VLOOKUP($D439,物料本月库存明細!$B:$J,9,0)</f>
        <v>#N/A</v>
      </c>
    </row>
    <row r="440" customHeight="1" spans="1:10">
      <c r="A440" s="175"/>
      <c r="B440" s="187"/>
      <c r="D440" s="194"/>
      <c r="E440" s="188" t="e">
        <f ca="1">VLOOKUP($D440,物料本月库存明細!$B:$J,2,0)</f>
        <v>#N/A</v>
      </c>
      <c r="F440" s="189" t="e">
        <f ca="1">VLOOKUP($D440,物料本月库存明細!$B:$J,5,0)</f>
        <v>#N/A</v>
      </c>
      <c r="G440" s="190"/>
      <c r="H440" s="191"/>
      <c r="I440" s="188"/>
      <c r="J440" s="190" t="e">
        <f ca="1">VLOOKUP($D440,物料本月库存明細!$B:$J,9,0)</f>
        <v>#N/A</v>
      </c>
    </row>
    <row r="441" customHeight="1" spans="1:10">
      <c r="A441" s="175"/>
      <c r="B441" s="187"/>
      <c r="D441" s="201"/>
      <c r="E441" s="188" t="e">
        <f ca="1">VLOOKUP($D441,物料本月库存明細!$B:$J,2,0)</f>
        <v>#N/A</v>
      </c>
      <c r="F441" s="189" t="e">
        <f ca="1">VLOOKUP($D441,物料本月库存明細!$B:$J,5,0)</f>
        <v>#N/A</v>
      </c>
      <c r="G441" s="190"/>
      <c r="H441" s="191"/>
      <c r="I441" s="188"/>
      <c r="J441" s="190" t="e">
        <f ca="1">VLOOKUP($D441,物料本月库存明細!$B:$J,9,0)</f>
        <v>#N/A</v>
      </c>
    </row>
    <row r="442" customHeight="1" spans="1:10">
      <c r="A442" s="175"/>
      <c r="B442" s="187"/>
      <c r="D442" s="192"/>
      <c r="E442" s="188" t="e">
        <f ca="1">VLOOKUP($D442,物料本月库存明細!$B:$J,2,0)</f>
        <v>#N/A</v>
      </c>
      <c r="F442" s="189" t="e">
        <f ca="1">VLOOKUP($D442,物料本月库存明細!$B:$J,5,0)</f>
        <v>#N/A</v>
      </c>
      <c r="G442" s="190"/>
      <c r="H442" s="191"/>
      <c r="I442" s="188"/>
      <c r="J442" s="190" t="e">
        <f ca="1">VLOOKUP($D442,物料本月库存明細!$B:$J,9,0)</f>
        <v>#N/A</v>
      </c>
    </row>
    <row r="443" customHeight="1" spans="1:10">
      <c r="A443" s="175"/>
      <c r="B443" s="187"/>
      <c r="D443" s="192"/>
      <c r="E443" s="188" t="e">
        <f ca="1">VLOOKUP($D443,物料本月库存明細!$B:$J,2,0)</f>
        <v>#N/A</v>
      </c>
      <c r="F443" s="189" t="e">
        <f ca="1">VLOOKUP($D443,物料本月库存明細!$B:$J,5,0)</f>
        <v>#N/A</v>
      </c>
      <c r="G443" s="190"/>
      <c r="H443" s="191"/>
      <c r="I443" s="188"/>
      <c r="J443" s="190" t="e">
        <f ca="1">VLOOKUP($D443,物料本月库存明細!$B:$J,9,0)</f>
        <v>#N/A</v>
      </c>
    </row>
    <row r="444" customHeight="1" spans="1:10">
      <c r="A444" s="175"/>
      <c r="B444" s="187"/>
      <c r="D444" s="197"/>
      <c r="E444" s="188" t="e">
        <f ca="1">VLOOKUP($D444,物料本月库存明細!$B:$J,2,0)</f>
        <v>#N/A</v>
      </c>
      <c r="F444" s="189" t="e">
        <f ca="1">VLOOKUP($D444,物料本月库存明細!$B:$J,5,0)</f>
        <v>#N/A</v>
      </c>
      <c r="G444" s="190"/>
      <c r="H444" s="191"/>
      <c r="I444" s="188"/>
      <c r="J444" s="190" t="e">
        <f ca="1">VLOOKUP($D444,物料本月库存明細!$B:$J,9,0)</f>
        <v>#N/A</v>
      </c>
    </row>
    <row r="445" customHeight="1" spans="1:10">
      <c r="A445" s="175"/>
      <c r="B445" s="187"/>
      <c r="D445" s="192"/>
      <c r="E445" s="188" t="e">
        <f ca="1">VLOOKUP($D445,物料本月库存明細!$B:$J,2,0)</f>
        <v>#N/A</v>
      </c>
      <c r="F445" s="189" t="e">
        <f ca="1">VLOOKUP($D445,物料本月库存明細!$B:$J,5,0)</f>
        <v>#N/A</v>
      </c>
      <c r="G445" s="190"/>
      <c r="H445" s="191"/>
      <c r="I445" s="188"/>
      <c r="J445" s="190" t="e">
        <f ca="1">VLOOKUP($D445,物料本月库存明細!$B:$J,9,0)</f>
        <v>#N/A</v>
      </c>
    </row>
    <row r="446" customHeight="1" spans="1:10">
      <c r="A446" s="175"/>
      <c r="B446" s="187"/>
      <c r="D446" s="192"/>
      <c r="E446" s="188" t="e">
        <f ca="1">VLOOKUP($D446,物料本月库存明細!$B:$J,2,0)</f>
        <v>#N/A</v>
      </c>
      <c r="F446" s="189" t="e">
        <f ca="1">VLOOKUP($D446,物料本月库存明細!$B:$J,5,0)</f>
        <v>#N/A</v>
      </c>
      <c r="G446" s="190"/>
      <c r="H446" s="191"/>
      <c r="I446" s="188"/>
      <c r="J446" s="190" t="e">
        <f ca="1">VLOOKUP($D446,物料本月库存明細!$B:$J,9,0)</f>
        <v>#N/A</v>
      </c>
    </row>
    <row r="447" customHeight="1" spans="1:10">
      <c r="A447" s="175"/>
      <c r="B447" s="187"/>
      <c r="D447" s="192"/>
      <c r="E447" s="188" t="e">
        <f ca="1">VLOOKUP($D447,物料本月库存明細!$B:$J,2,0)</f>
        <v>#N/A</v>
      </c>
      <c r="F447" s="189" t="e">
        <f ca="1">VLOOKUP($D447,物料本月库存明細!$B:$J,5,0)</f>
        <v>#N/A</v>
      </c>
      <c r="G447" s="190"/>
      <c r="H447" s="191"/>
      <c r="I447" s="188"/>
      <c r="J447" s="190" t="e">
        <f ca="1">VLOOKUP($D447,物料本月库存明細!$B:$J,9,0)</f>
        <v>#N/A</v>
      </c>
    </row>
    <row r="448" customHeight="1" spans="1:10">
      <c r="A448" s="175"/>
      <c r="B448" s="187"/>
      <c r="D448" s="196"/>
      <c r="E448" s="188" t="e">
        <f ca="1">VLOOKUP($D448,物料本月库存明細!$B:$J,2,0)</f>
        <v>#N/A</v>
      </c>
      <c r="F448" s="189" t="e">
        <f ca="1">VLOOKUP($D448,物料本月库存明細!$B:$J,5,0)</f>
        <v>#N/A</v>
      </c>
      <c r="G448" s="190"/>
      <c r="H448" s="191"/>
      <c r="I448" s="188"/>
      <c r="J448" s="190" t="e">
        <f ca="1">VLOOKUP($D448,物料本月库存明細!$B:$J,9,0)</f>
        <v>#N/A</v>
      </c>
    </row>
    <row r="449" customHeight="1" spans="1:10">
      <c r="A449" s="175"/>
      <c r="B449" s="187"/>
      <c r="D449" s="201"/>
      <c r="E449" s="188" t="e">
        <f ca="1">VLOOKUP($D449,物料本月库存明細!$B:$J,2,0)</f>
        <v>#N/A</v>
      </c>
      <c r="F449" s="189" t="e">
        <f ca="1">VLOOKUP($D449,物料本月库存明細!$B:$J,5,0)</f>
        <v>#N/A</v>
      </c>
      <c r="G449" s="190"/>
      <c r="H449" s="191"/>
      <c r="I449" s="188"/>
      <c r="J449" s="190" t="e">
        <f ca="1">VLOOKUP($D449,物料本月库存明細!$B:$J,9,0)</f>
        <v>#N/A</v>
      </c>
    </row>
    <row r="450" customHeight="1" spans="1:10">
      <c r="A450" s="175"/>
      <c r="B450" s="187"/>
      <c r="D450" s="201"/>
      <c r="E450" s="188" t="e">
        <f ca="1">VLOOKUP($D450,物料本月库存明細!$B:$J,2,0)</f>
        <v>#N/A</v>
      </c>
      <c r="F450" s="189" t="e">
        <f ca="1">VLOOKUP($D450,物料本月库存明細!$B:$J,5,0)</f>
        <v>#N/A</v>
      </c>
      <c r="G450" s="190"/>
      <c r="H450" s="191"/>
      <c r="I450" s="188"/>
      <c r="J450" s="190" t="e">
        <f ca="1">VLOOKUP($D450,物料本月库存明細!$B:$J,9,0)</f>
        <v>#N/A</v>
      </c>
    </row>
    <row r="451" customHeight="1" spans="1:10">
      <c r="A451" s="175"/>
      <c r="B451" s="187"/>
      <c r="D451" s="192"/>
      <c r="E451" s="188" t="e">
        <f ca="1">VLOOKUP($D451,物料本月库存明細!$B:$J,2,0)</f>
        <v>#N/A</v>
      </c>
      <c r="F451" s="189" t="e">
        <f ca="1">VLOOKUP($D451,物料本月库存明細!$B:$J,5,0)</f>
        <v>#N/A</v>
      </c>
      <c r="G451" s="190"/>
      <c r="H451" s="191"/>
      <c r="I451" s="188"/>
      <c r="J451" s="190" t="e">
        <f ca="1">VLOOKUP($D451,物料本月库存明細!$B:$J,9,0)</f>
        <v>#N/A</v>
      </c>
    </row>
    <row r="452" customHeight="1" spans="1:10">
      <c r="A452" s="175"/>
      <c r="B452" s="187"/>
      <c r="D452" s="192"/>
      <c r="E452" s="188" t="e">
        <f ca="1">VLOOKUP($D452,物料本月库存明細!$B:$J,2,0)</f>
        <v>#N/A</v>
      </c>
      <c r="F452" s="189" t="e">
        <f ca="1">VLOOKUP($D452,物料本月库存明細!$B:$J,5,0)</f>
        <v>#N/A</v>
      </c>
      <c r="G452" s="190"/>
      <c r="H452" s="191"/>
      <c r="I452" s="188"/>
      <c r="J452" s="190" t="e">
        <f ca="1">VLOOKUP($D452,物料本月库存明細!$B:$J,9,0)</f>
        <v>#N/A</v>
      </c>
    </row>
    <row r="453" customHeight="1" spans="1:10">
      <c r="A453" s="175"/>
      <c r="B453" s="187"/>
      <c r="D453" s="197"/>
      <c r="E453" s="188" t="e">
        <f ca="1">VLOOKUP($D453,物料本月库存明細!$B:$J,2,0)</f>
        <v>#N/A</v>
      </c>
      <c r="F453" s="189" t="e">
        <f ca="1">VLOOKUP($D453,物料本月库存明細!$B:$J,5,0)</f>
        <v>#N/A</v>
      </c>
      <c r="G453" s="190"/>
      <c r="H453" s="191"/>
      <c r="I453" s="188"/>
      <c r="J453" s="190" t="e">
        <f ca="1">VLOOKUP($D453,物料本月库存明細!$B:$J,9,0)</f>
        <v>#N/A</v>
      </c>
    </row>
    <row r="454" customHeight="1" spans="1:10">
      <c r="A454" s="175"/>
      <c r="B454" s="187"/>
      <c r="D454" s="192"/>
      <c r="E454" s="188" t="e">
        <f ca="1">VLOOKUP($D454,物料本月库存明細!$B:$J,2,0)</f>
        <v>#N/A</v>
      </c>
      <c r="F454" s="189" t="e">
        <f ca="1">VLOOKUP($D454,物料本月库存明細!$B:$J,5,0)</f>
        <v>#N/A</v>
      </c>
      <c r="G454" s="190"/>
      <c r="H454" s="191"/>
      <c r="I454" s="188"/>
      <c r="J454" s="190" t="e">
        <f ca="1">VLOOKUP($D454,物料本月库存明細!$B:$J,9,0)</f>
        <v>#N/A</v>
      </c>
    </row>
    <row r="455" customHeight="1" spans="1:10">
      <c r="A455" s="175"/>
      <c r="B455" s="187"/>
      <c r="D455" s="192"/>
      <c r="E455" s="188" t="e">
        <f ca="1">VLOOKUP($D455,物料本月库存明細!$B:$J,2,0)</f>
        <v>#N/A</v>
      </c>
      <c r="F455" s="189" t="e">
        <f ca="1">VLOOKUP($D455,物料本月库存明細!$B:$J,5,0)</f>
        <v>#N/A</v>
      </c>
      <c r="G455" s="190"/>
      <c r="H455" s="191"/>
      <c r="I455" s="188"/>
      <c r="J455" s="190" t="e">
        <f ca="1">VLOOKUP($D455,物料本月库存明細!$B:$J,9,0)</f>
        <v>#N/A</v>
      </c>
    </row>
    <row r="456" customHeight="1" spans="1:10">
      <c r="B456" s="187"/>
      <c r="D456" s="194"/>
      <c r="E456" s="188" t="e">
        <f ca="1">VLOOKUP($D456,物料本月库存明細!$B:$J,2,0)</f>
        <v>#N/A</v>
      </c>
      <c r="F456" s="189" t="e">
        <f ca="1">VLOOKUP($D456,物料本月库存明細!$B:$J,5,0)</f>
        <v>#N/A</v>
      </c>
      <c r="G456" s="190"/>
      <c r="H456" s="191"/>
      <c r="I456" s="188"/>
      <c r="J456" s="190" t="e">
        <f ca="1">VLOOKUP($D456,物料本月库存明細!$B:$J,9,0)</f>
        <v>#N/A</v>
      </c>
    </row>
    <row r="457" customHeight="1" spans="1:10">
      <c r="B457" s="187"/>
      <c r="D457" s="201"/>
      <c r="E457" s="188" t="e">
        <f ca="1">VLOOKUP($D457,物料本月库存明細!$B:$J,2,0)</f>
        <v>#N/A</v>
      </c>
      <c r="F457" s="189" t="e">
        <f ca="1">VLOOKUP($D457,物料本月库存明細!$B:$J,5,0)</f>
        <v>#N/A</v>
      </c>
      <c r="G457" s="190"/>
      <c r="H457" s="191"/>
      <c r="I457" s="188"/>
      <c r="J457" s="190" t="e">
        <f ca="1">VLOOKUP($D457,物料本月库存明細!$B:$J,9,0)</f>
        <v>#N/A</v>
      </c>
    </row>
    <row r="458" customHeight="1" spans="1:10">
      <c r="B458" s="187"/>
      <c r="D458" s="192"/>
      <c r="E458" s="188" t="e">
        <f ca="1">VLOOKUP($D458,物料本月库存明細!$B:$J,2,0)</f>
        <v>#N/A</v>
      </c>
      <c r="F458" s="189" t="e">
        <f ca="1">VLOOKUP($D458,物料本月库存明細!$B:$J,5,0)</f>
        <v>#N/A</v>
      </c>
      <c r="G458" s="190"/>
      <c r="H458" s="191"/>
      <c r="I458" s="188"/>
      <c r="J458" s="190" t="e">
        <f ca="1">VLOOKUP($D458,物料本月库存明細!$B:$J,9,0)</f>
        <v>#N/A</v>
      </c>
    </row>
    <row r="459" customHeight="1" spans="1:10">
      <c r="B459" s="187"/>
      <c r="D459" s="201"/>
      <c r="E459" s="188" t="e">
        <f ca="1">VLOOKUP($D459,物料本月库存明細!$B:$J,2,0)</f>
        <v>#N/A</v>
      </c>
      <c r="F459" s="189" t="e">
        <f ca="1">VLOOKUP($D459,物料本月库存明細!$B:$J,5,0)</f>
        <v>#N/A</v>
      </c>
      <c r="G459" s="190"/>
      <c r="H459" s="191"/>
      <c r="I459" s="188"/>
      <c r="J459" s="190" t="e">
        <f ca="1">VLOOKUP($D459,物料本月库存明細!$B:$J,9,0)</f>
        <v>#N/A</v>
      </c>
    </row>
    <row r="460" customHeight="1" spans="1:10">
      <c r="B460" s="187"/>
      <c r="D460" s="192"/>
      <c r="E460" s="188" t="e">
        <f ca="1">VLOOKUP($D460,物料本月库存明細!$B:$J,2,0)</f>
        <v>#N/A</v>
      </c>
      <c r="F460" s="189" t="e">
        <f ca="1">VLOOKUP($D460,物料本月库存明細!$B:$J,5,0)</f>
        <v>#N/A</v>
      </c>
      <c r="G460" s="190"/>
      <c r="H460" s="191"/>
      <c r="I460" s="188"/>
      <c r="J460" s="190" t="e">
        <f ca="1">VLOOKUP($D460,物料本月库存明細!$B:$J,9,0)</f>
        <v>#N/A</v>
      </c>
    </row>
    <row r="461" customHeight="1" spans="1:10">
      <c r="B461" s="187"/>
      <c r="D461" s="192"/>
      <c r="E461" s="188" t="e">
        <f ca="1">VLOOKUP($D461,物料本月库存明細!$B:$J,2,0)</f>
        <v>#N/A</v>
      </c>
      <c r="F461" s="189" t="e">
        <f ca="1">VLOOKUP($D461,物料本月库存明細!$B:$J,5,0)</f>
        <v>#N/A</v>
      </c>
      <c r="G461" s="190"/>
      <c r="H461" s="191"/>
      <c r="I461" s="188"/>
      <c r="J461" s="190" t="e">
        <f ca="1">VLOOKUP($D461,物料本月库存明細!$B:$J,9,0)</f>
        <v>#N/A</v>
      </c>
    </row>
    <row r="462" customHeight="1" spans="1:10">
      <c r="A462" s="205"/>
      <c r="B462" s="187"/>
      <c r="C462" s="205"/>
      <c r="D462" s="196"/>
      <c r="E462" s="188" t="e">
        <f ca="1">VLOOKUP($D462,物料本月库存明細!$B:$J,2,0)</f>
        <v>#N/A</v>
      </c>
      <c r="F462" s="189" t="e">
        <f ca="1">VLOOKUP($D462,物料本月库存明細!$B:$J,5,0)</f>
        <v>#N/A</v>
      </c>
      <c r="G462" s="190"/>
      <c r="H462" s="191"/>
      <c r="I462" s="188"/>
      <c r="J462" s="190" t="e">
        <f ca="1">VLOOKUP($D462,物料本月库存明細!$B:$J,9,0)</f>
        <v>#N/A</v>
      </c>
    </row>
    <row r="463" customHeight="1" spans="1:10">
      <c r="A463" s="205"/>
      <c r="B463" s="187"/>
      <c r="C463" s="205"/>
      <c r="D463" s="192"/>
      <c r="E463" s="188" t="e">
        <f ca="1">VLOOKUP($D463,物料本月库存明細!$B:$J,2,0)</f>
        <v>#N/A</v>
      </c>
      <c r="F463" s="189" t="e">
        <f ca="1">VLOOKUP($D463,物料本月库存明細!$B:$J,5,0)</f>
        <v>#N/A</v>
      </c>
      <c r="G463" s="190"/>
      <c r="H463" s="191"/>
      <c r="I463" s="188"/>
      <c r="J463" s="190" t="e">
        <f ca="1">VLOOKUP($D463,物料本月库存明細!$B:$J,9,0)</f>
        <v>#N/A</v>
      </c>
    </row>
    <row r="464" customHeight="1" spans="1:10">
      <c r="A464" s="205"/>
      <c r="B464" s="187"/>
      <c r="C464" s="205"/>
      <c r="D464" s="192"/>
      <c r="E464" s="188" t="e">
        <f ca="1">VLOOKUP($D464,物料本月库存明細!$B:$J,2,0)</f>
        <v>#N/A</v>
      </c>
      <c r="F464" s="189" t="e">
        <f ca="1">VLOOKUP($D464,物料本月库存明細!$B:$J,5,0)</f>
        <v>#N/A</v>
      </c>
      <c r="G464" s="190"/>
      <c r="H464" s="191"/>
      <c r="I464" s="188"/>
      <c r="J464" s="190" t="e">
        <f ca="1">VLOOKUP($D464,物料本月库存明細!$B:$J,9,0)</f>
        <v>#N/A</v>
      </c>
    </row>
    <row r="465" customHeight="1" spans="1:10">
      <c r="A465" s="205"/>
      <c r="B465" s="187"/>
      <c r="C465" s="205"/>
      <c r="D465" s="192"/>
      <c r="E465" s="188" t="e">
        <f ca="1">VLOOKUP($D465,物料本月库存明細!$B:$J,2,0)</f>
        <v>#N/A</v>
      </c>
      <c r="F465" s="189" t="e">
        <f ca="1">VLOOKUP($D465,物料本月库存明細!$B:$J,5,0)</f>
        <v>#N/A</v>
      </c>
      <c r="G465" s="190"/>
      <c r="H465" s="191"/>
      <c r="I465" s="188"/>
      <c r="J465" s="190" t="e">
        <f ca="1">VLOOKUP($D465,物料本月库存明細!$B:$J,9,0)</f>
        <v>#N/A</v>
      </c>
    </row>
    <row r="466" customHeight="1" spans="1:10">
      <c r="A466" s="205"/>
      <c r="B466" s="187"/>
      <c r="C466" s="205"/>
      <c r="D466" s="197"/>
      <c r="E466" s="188" t="e">
        <f ca="1">VLOOKUP($D466,物料本月库存明細!$B:$J,2,0)</f>
        <v>#N/A</v>
      </c>
      <c r="F466" s="189" t="e">
        <f ca="1">VLOOKUP($D466,物料本月库存明細!$B:$J,5,0)</f>
        <v>#N/A</v>
      </c>
      <c r="G466" s="190"/>
      <c r="H466" s="191"/>
      <c r="I466" s="188"/>
      <c r="J466" s="190" t="e">
        <f ca="1">VLOOKUP($D466,物料本月库存明細!$B:$J,9,0)</f>
        <v>#N/A</v>
      </c>
    </row>
    <row r="467" customHeight="1" spans="1:10">
      <c r="A467" s="205"/>
      <c r="B467" s="187"/>
      <c r="C467" s="205"/>
      <c r="D467" s="196"/>
      <c r="E467" s="188" t="e">
        <f ca="1">VLOOKUP($D467,物料本月库存明細!$B:$J,2,0)</f>
        <v>#N/A</v>
      </c>
      <c r="F467" s="189" t="e">
        <f ca="1">VLOOKUP($D467,物料本月库存明細!$B:$J,5,0)</f>
        <v>#N/A</v>
      </c>
      <c r="G467" s="190"/>
      <c r="H467" s="191"/>
      <c r="I467" s="188"/>
      <c r="J467" s="190" t="e">
        <f ca="1">VLOOKUP($D467,物料本月库存明細!$B:$J,9,0)</f>
        <v>#N/A</v>
      </c>
    </row>
    <row r="468" customHeight="1" spans="1:10">
      <c r="A468" s="205"/>
      <c r="B468" s="187"/>
      <c r="C468" s="205"/>
      <c r="D468" s="196"/>
      <c r="E468" s="188" t="e">
        <f ca="1">VLOOKUP($D468,物料本月库存明細!$B:$J,2,0)</f>
        <v>#N/A</v>
      </c>
      <c r="F468" s="189" t="e">
        <f ca="1">VLOOKUP($D468,物料本月库存明細!$B:$J,5,0)</f>
        <v>#N/A</v>
      </c>
      <c r="G468" s="190"/>
      <c r="H468" s="191"/>
      <c r="I468" s="188"/>
      <c r="J468" s="190" t="e">
        <f ca="1">VLOOKUP($D468,物料本月库存明細!$B:$J,9,0)</f>
        <v>#N/A</v>
      </c>
    </row>
    <row r="469" customHeight="1" spans="1:10">
      <c r="A469" s="205"/>
      <c r="B469" s="187"/>
      <c r="C469" s="205"/>
      <c r="D469" s="196"/>
      <c r="E469" s="188" t="e">
        <f ca="1">VLOOKUP($D469,物料本月库存明細!$B:$J,2,0)</f>
        <v>#N/A</v>
      </c>
      <c r="F469" s="189" t="e">
        <f ca="1">VLOOKUP($D469,物料本月库存明細!$B:$J,5,0)</f>
        <v>#N/A</v>
      </c>
      <c r="G469" s="190"/>
      <c r="I469" s="188"/>
      <c r="J469" s="190" t="e">
        <f ca="1">VLOOKUP($D469,物料本月库存明細!$B:$J,9,0)</f>
        <v>#N/A</v>
      </c>
    </row>
    <row r="470" customHeight="1" spans="1:10">
      <c r="A470" s="205"/>
      <c r="B470" s="187"/>
      <c r="C470" s="205"/>
      <c r="D470" s="194"/>
      <c r="E470" s="188" t="e">
        <f ca="1">VLOOKUP($D470,物料本月库存明細!$B:$J,2,0)</f>
        <v>#N/A</v>
      </c>
      <c r="F470" s="189" t="e">
        <f ca="1">VLOOKUP($D470,物料本月库存明細!$B:$J,5,0)</f>
        <v>#N/A</v>
      </c>
      <c r="G470" s="190"/>
      <c r="H470" s="191"/>
      <c r="I470" s="188"/>
      <c r="J470" s="190" t="e">
        <f ca="1">VLOOKUP($D470,物料本月库存明細!$B:$J,9,0)</f>
        <v>#N/A</v>
      </c>
    </row>
    <row r="471" customHeight="1" spans="1:10">
      <c r="A471" s="205"/>
      <c r="B471" s="187"/>
      <c r="C471" s="205"/>
      <c r="D471" s="204"/>
      <c r="E471" s="188" t="e">
        <f ca="1">VLOOKUP($D471,物料本月库存明細!$B:$J,2,0)</f>
        <v>#N/A</v>
      </c>
      <c r="F471" s="189" t="e">
        <f ca="1">VLOOKUP($D471,物料本月库存明細!$B:$J,5,0)</f>
        <v>#N/A</v>
      </c>
      <c r="G471" s="190"/>
      <c r="H471" s="191"/>
      <c r="I471" s="188"/>
      <c r="J471" s="190" t="e">
        <f ca="1">VLOOKUP($D471,物料本月库存明細!$B:$J,9,0)</f>
        <v>#N/A</v>
      </c>
    </row>
    <row r="472" customHeight="1" spans="1:10">
      <c r="A472" s="205"/>
      <c r="B472" s="187"/>
      <c r="C472" s="205"/>
      <c r="D472" s="192"/>
      <c r="E472" s="188" t="e">
        <f ca="1">VLOOKUP($D472,物料本月库存明細!$B:$J,2,0)</f>
        <v>#N/A</v>
      </c>
      <c r="F472" s="189" t="e">
        <f ca="1">VLOOKUP($D472,物料本月库存明細!$B:$J,5,0)</f>
        <v>#N/A</v>
      </c>
      <c r="G472" s="190"/>
      <c r="H472" s="191"/>
      <c r="I472" s="188"/>
      <c r="J472" s="190" t="e">
        <f ca="1">VLOOKUP($D472,物料本月库存明細!$B:$J,9,0)</f>
        <v>#N/A</v>
      </c>
    </row>
    <row r="473" customHeight="1" spans="1:10">
      <c r="A473" s="205"/>
      <c r="B473" s="187"/>
      <c r="C473" s="205"/>
      <c r="D473" s="192"/>
      <c r="E473" s="188" t="e">
        <f ca="1">VLOOKUP($D473,物料本月库存明細!$B:$J,2,0)</f>
        <v>#N/A</v>
      </c>
      <c r="F473" s="189" t="e">
        <f ca="1">VLOOKUP($D473,物料本月库存明細!$B:$J,5,0)</f>
        <v>#N/A</v>
      </c>
      <c r="G473" s="190"/>
      <c r="H473" s="191"/>
      <c r="I473" s="188"/>
      <c r="J473" s="190" t="e">
        <f ca="1">VLOOKUP($D473,物料本月库存明細!$B:$J,9,0)</f>
        <v>#N/A</v>
      </c>
    </row>
    <row r="474" customHeight="1" spans="1:10">
      <c r="A474" s="205"/>
      <c r="B474" s="187"/>
      <c r="C474" s="205"/>
      <c r="D474" s="192"/>
      <c r="E474" s="188" t="e">
        <f ca="1">VLOOKUP($D474,物料本月库存明細!$B:$J,2,0)</f>
        <v>#N/A</v>
      </c>
      <c r="F474" s="189" t="e">
        <f ca="1">VLOOKUP($D474,物料本月库存明細!$B:$J,5,0)</f>
        <v>#N/A</v>
      </c>
      <c r="G474" s="190"/>
      <c r="H474" s="191"/>
      <c r="I474" s="188"/>
      <c r="J474" s="190" t="e">
        <f ca="1">VLOOKUP($D474,物料本月库存明細!$B:$J,9,0)</f>
        <v>#N/A</v>
      </c>
    </row>
    <row r="475" customHeight="1" spans="1:10">
      <c r="A475" s="205"/>
      <c r="B475" s="187"/>
      <c r="C475" s="205"/>
      <c r="D475" s="200"/>
      <c r="E475" s="188" t="e">
        <f ca="1">VLOOKUP($D475,物料本月库存明細!$B:$J,2,0)</f>
        <v>#N/A</v>
      </c>
      <c r="F475" s="189" t="e">
        <f ca="1">VLOOKUP($D475,物料本月库存明細!$B:$J,5,0)</f>
        <v>#N/A</v>
      </c>
      <c r="G475" s="190"/>
      <c r="H475" s="191"/>
      <c r="I475" s="188"/>
      <c r="J475" s="190" t="e">
        <f ca="1">VLOOKUP($D475,物料本月库存明細!$B:$J,9,0)</f>
        <v>#N/A</v>
      </c>
    </row>
    <row r="476" customHeight="1" spans="1:10">
      <c r="A476" s="205"/>
      <c r="B476" s="187"/>
      <c r="C476" s="205"/>
      <c r="D476" s="196"/>
      <c r="E476" s="188" t="e">
        <f ca="1">VLOOKUP($D476,物料本月库存明細!$B:$J,2,0)</f>
        <v>#N/A</v>
      </c>
      <c r="F476" s="189" t="e">
        <f ca="1">VLOOKUP($D476,物料本月库存明細!$B:$J,5,0)</f>
        <v>#N/A</v>
      </c>
      <c r="G476" s="190"/>
      <c r="H476" s="191"/>
      <c r="I476" s="188"/>
      <c r="J476" s="190" t="e">
        <f ca="1">VLOOKUP($D476,物料本月库存明細!$B:$J,9,0)</f>
        <v>#N/A</v>
      </c>
    </row>
    <row r="477" customHeight="1" spans="1:10">
      <c r="A477" s="205"/>
      <c r="B477" s="187"/>
      <c r="C477" s="205"/>
      <c r="D477" s="192"/>
      <c r="E477" s="188" t="e">
        <f ca="1">VLOOKUP($D477,物料本月库存明細!$B:$J,2,0)</f>
        <v>#N/A</v>
      </c>
      <c r="F477" s="189" t="e">
        <f ca="1">VLOOKUP($D477,物料本月库存明細!$B:$J,5,0)</f>
        <v>#N/A</v>
      </c>
      <c r="G477" s="190"/>
      <c r="H477" s="191"/>
      <c r="I477" s="188"/>
      <c r="J477" s="190" t="e">
        <f ca="1">VLOOKUP($D477,物料本月库存明細!$B:$J,9,0)</f>
        <v>#N/A</v>
      </c>
    </row>
    <row r="478" customHeight="1" spans="1:10">
      <c r="A478" s="205"/>
      <c r="B478" s="187"/>
      <c r="C478" s="205"/>
      <c r="D478" s="192"/>
      <c r="E478" s="188" t="e">
        <f ca="1">VLOOKUP($D478,物料本月库存明細!$B:$J,2,0)</f>
        <v>#N/A</v>
      </c>
      <c r="F478" s="189" t="e">
        <f ca="1">VLOOKUP($D478,物料本月库存明細!$B:$J,5,0)</f>
        <v>#N/A</v>
      </c>
      <c r="G478" s="190"/>
      <c r="H478" s="191"/>
      <c r="I478" s="188"/>
      <c r="J478" s="190" t="e">
        <f ca="1">VLOOKUP($D478,物料本月库存明細!$B:$J,9,0)</f>
        <v>#N/A</v>
      </c>
    </row>
    <row r="479" customHeight="1" spans="1:10">
      <c r="A479" s="205"/>
      <c r="B479" s="187"/>
      <c r="C479" s="205"/>
      <c r="D479" s="192"/>
      <c r="E479" s="188" t="e">
        <f ca="1">VLOOKUP($D479,物料本月库存明細!$B:$J,2,0)</f>
        <v>#N/A</v>
      </c>
      <c r="F479" s="189" t="e">
        <f ca="1">VLOOKUP($D479,物料本月库存明細!$B:$J,5,0)</f>
        <v>#N/A</v>
      </c>
      <c r="G479" s="190"/>
      <c r="H479" s="191"/>
      <c r="I479" s="188"/>
      <c r="J479" s="190" t="e">
        <f ca="1">VLOOKUP($D479,物料本月库存明細!$B:$J,9,0)</f>
        <v>#N/A</v>
      </c>
    </row>
    <row r="480" customHeight="1" spans="1:10">
      <c r="A480" s="205"/>
      <c r="B480" s="187"/>
      <c r="C480" s="205"/>
      <c r="D480" s="192"/>
      <c r="E480" s="188" t="e">
        <f ca="1">VLOOKUP($D480,物料本月库存明細!$B:$J,2,0)</f>
        <v>#N/A</v>
      </c>
      <c r="F480" s="189" t="e">
        <f ca="1">VLOOKUP($D480,物料本月库存明細!$B:$J,5,0)</f>
        <v>#N/A</v>
      </c>
      <c r="G480" s="190"/>
      <c r="H480" s="191"/>
      <c r="I480" s="188"/>
      <c r="J480" s="190" t="e">
        <f ca="1">VLOOKUP($D480,物料本月库存明細!$B:$J,9,0)</f>
        <v>#N/A</v>
      </c>
    </row>
    <row r="481" customHeight="1" spans="1:10">
      <c r="A481" s="205"/>
      <c r="B481" s="187"/>
      <c r="C481" s="205"/>
      <c r="D481" s="192"/>
      <c r="E481" s="188" t="e">
        <f ca="1">VLOOKUP($D481,物料本月库存明細!$B:$J,2,0)</f>
        <v>#N/A</v>
      </c>
      <c r="F481" s="189" t="e">
        <f ca="1">VLOOKUP($D481,物料本月库存明細!$B:$J,5,0)</f>
        <v>#N/A</v>
      </c>
      <c r="G481" s="190"/>
      <c r="H481" s="191"/>
      <c r="I481" s="188"/>
      <c r="J481" s="190" t="e">
        <f ca="1">VLOOKUP($D481,物料本月库存明細!$B:$J,9,0)</f>
        <v>#N/A</v>
      </c>
    </row>
    <row r="482" customHeight="1" spans="1:10">
      <c r="A482" s="205"/>
      <c r="B482" s="187"/>
      <c r="C482" s="205"/>
      <c r="D482" s="196"/>
      <c r="E482" s="188" t="e">
        <f ca="1">VLOOKUP($D482,物料本月库存明細!$B:$J,2,0)</f>
        <v>#N/A</v>
      </c>
      <c r="F482" s="189" t="e">
        <f ca="1">VLOOKUP($D482,物料本月库存明細!$B:$J,5,0)</f>
        <v>#N/A</v>
      </c>
      <c r="G482" s="190"/>
      <c r="H482" s="191"/>
      <c r="I482" s="188"/>
      <c r="J482" s="190" t="e">
        <f ca="1">VLOOKUP($D482,物料本月库存明細!$B:$J,9,0)</f>
        <v>#N/A</v>
      </c>
    </row>
    <row r="483" customHeight="1" spans="1:10">
      <c r="A483" s="175"/>
      <c r="B483" s="187"/>
      <c r="D483" s="194"/>
      <c r="E483" s="188" t="e">
        <f ca="1">VLOOKUP($D483,物料本月库存明細!$B:$J,2,0)</f>
        <v>#N/A</v>
      </c>
      <c r="F483" s="189" t="e">
        <f ca="1">VLOOKUP($D483,物料本月库存明細!$B:$J,5,0)</f>
        <v>#N/A</v>
      </c>
      <c r="G483" s="190"/>
      <c r="H483" s="191"/>
      <c r="I483" s="188"/>
      <c r="J483" s="190" t="e">
        <f ca="1">VLOOKUP($D483,物料本月库存明細!$B:$J,9,0)</f>
        <v>#N/A</v>
      </c>
    </row>
    <row r="484" customHeight="1" spans="1:10">
      <c r="A484" s="175"/>
      <c r="B484" s="187"/>
      <c r="D484" s="192"/>
      <c r="E484" s="188" t="e">
        <f ca="1">VLOOKUP($D484,物料本月库存明細!$B:$J,2,0)</f>
        <v>#N/A</v>
      </c>
      <c r="F484" s="189" t="e">
        <f ca="1">VLOOKUP($D484,物料本月库存明細!$B:$J,5,0)</f>
        <v>#N/A</v>
      </c>
      <c r="G484" s="190"/>
      <c r="H484" s="191"/>
      <c r="I484" s="188"/>
      <c r="J484" s="190" t="e">
        <f ca="1">VLOOKUP($D484,物料本月库存明細!$B:$J,9,0)</f>
        <v>#N/A</v>
      </c>
    </row>
    <row r="485" customHeight="1" spans="1:10">
      <c r="A485" s="175"/>
      <c r="B485" s="187"/>
      <c r="D485" s="197"/>
      <c r="E485" s="188" t="e">
        <f ca="1">VLOOKUP($D485,物料本月库存明細!$B:$J,2,0)</f>
        <v>#N/A</v>
      </c>
      <c r="F485" s="189" t="e">
        <f ca="1">VLOOKUP($D485,物料本月库存明細!$B:$J,5,0)</f>
        <v>#N/A</v>
      </c>
      <c r="G485" s="190"/>
      <c r="H485" s="191"/>
      <c r="I485" s="188"/>
      <c r="J485" s="190" t="e">
        <f ca="1">VLOOKUP($D485,物料本月库存明細!$B:$J,9,0)</f>
        <v>#N/A</v>
      </c>
    </row>
    <row r="486" customHeight="1" spans="1:10">
      <c r="A486" s="175"/>
      <c r="B486" s="187"/>
      <c r="D486" s="192"/>
      <c r="E486" s="188" t="e">
        <f ca="1">VLOOKUP($D486,物料本月库存明細!$B:$J,2,0)</f>
        <v>#N/A</v>
      </c>
      <c r="F486" s="189" t="e">
        <f ca="1">VLOOKUP($D486,物料本月库存明細!$B:$J,5,0)</f>
        <v>#N/A</v>
      </c>
      <c r="G486" s="190"/>
      <c r="H486" s="191"/>
      <c r="I486" s="188"/>
      <c r="J486" s="190" t="e">
        <f ca="1">VLOOKUP($D486,物料本月库存明細!$B:$J,9,0)</f>
        <v>#N/A</v>
      </c>
    </row>
    <row r="487" customHeight="1" spans="1:10">
      <c r="A487" s="175"/>
      <c r="B487" s="187"/>
      <c r="D487" s="192"/>
      <c r="E487" s="188" t="e">
        <f ca="1">VLOOKUP($D487,物料本月库存明細!$B:$J,2,0)</f>
        <v>#N/A</v>
      </c>
      <c r="F487" s="189" t="e">
        <f ca="1">VLOOKUP($D487,物料本月库存明細!$B:$J,5,0)</f>
        <v>#N/A</v>
      </c>
      <c r="G487" s="190"/>
      <c r="H487" s="191"/>
      <c r="I487" s="188"/>
      <c r="J487" s="190" t="e">
        <f ca="1">VLOOKUP($D487,物料本月库存明細!$B:$J,9,0)</f>
        <v>#N/A</v>
      </c>
    </row>
    <row r="488" customHeight="1" spans="1:10">
      <c r="A488" s="175"/>
      <c r="B488" s="187"/>
      <c r="D488" s="192"/>
      <c r="E488" s="188" t="e">
        <f ca="1">VLOOKUP($D488,物料本月库存明細!$B:$J,2,0)</f>
        <v>#N/A</v>
      </c>
      <c r="F488" s="189" t="e">
        <f ca="1">VLOOKUP($D488,物料本月库存明細!$B:$J,5,0)</f>
        <v>#N/A</v>
      </c>
      <c r="G488" s="190"/>
      <c r="H488" s="191"/>
      <c r="I488" s="188"/>
      <c r="J488" s="190" t="e">
        <f ca="1">VLOOKUP($D488,物料本月库存明細!$B:$J,9,0)</f>
        <v>#N/A</v>
      </c>
    </row>
    <row r="489" customHeight="1" spans="1:10">
      <c r="A489" s="175"/>
      <c r="B489" s="187"/>
      <c r="D489" s="196"/>
      <c r="E489" s="188" t="e">
        <f ca="1">VLOOKUP($D489,物料本月库存明細!$B:$J,2,0)</f>
        <v>#N/A</v>
      </c>
      <c r="F489" s="189" t="e">
        <f ca="1">VLOOKUP($D489,物料本月库存明細!$B:$J,5,0)</f>
        <v>#N/A</v>
      </c>
      <c r="G489" s="190"/>
      <c r="H489" s="191"/>
      <c r="I489" s="188"/>
      <c r="J489" s="190" t="e">
        <f ca="1">VLOOKUP($D489,物料本月库存明細!$B:$J,9,0)</f>
        <v>#N/A</v>
      </c>
    </row>
    <row r="490" customHeight="1" spans="1:10">
      <c r="A490" s="175"/>
      <c r="B490" s="187"/>
      <c r="D490" s="196"/>
      <c r="E490" s="188" t="e">
        <f ca="1">VLOOKUP($D490,物料本月库存明細!$B:$J,2,0)</f>
        <v>#N/A</v>
      </c>
      <c r="F490" s="189" t="e">
        <f ca="1">VLOOKUP($D490,物料本月库存明細!$B:$J,5,0)</f>
        <v>#N/A</v>
      </c>
      <c r="G490" s="190"/>
      <c r="H490" s="191"/>
      <c r="I490" s="188"/>
      <c r="J490" s="190" t="e">
        <f ca="1">VLOOKUP($D490,物料本月库存明細!$B:$J,9,0)</f>
        <v>#N/A</v>
      </c>
    </row>
    <row r="491" customHeight="1" spans="1:10">
      <c r="A491" s="175"/>
      <c r="B491" s="187"/>
      <c r="D491" s="192"/>
      <c r="E491" s="188" t="e">
        <f ca="1">VLOOKUP($D491,物料本月库存明細!$B:$J,2,0)</f>
        <v>#N/A</v>
      </c>
      <c r="F491" s="189" t="e">
        <f ca="1">VLOOKUP($D491,物料本月库存明細!$B:$J,5,0)</f>
        <v>#N/A</v>
      </c>
      <c r="G491" s="190"/>
      <c r="H491" s="191"/>
      <c r="I491" s="188"/>
      <c r="J491" s="190" t="e">
        <f ca="1">VLOOKUP($D491,物料本月库存明細!$B:$J,9,0)</f>
        <v>#N/A</v>
      </c>
    </row>
    <row r="492" customHeight="1" spans="1:10">
      <c r="A492" s="175"/>
      <c r="B492" s="187"/>
      <c r="D492" s="197"/>
      <c r="E492" s="188" t="e">
        <f ca="1">VLOOKUP($D492,物料本月库存明細!$B:$J,2,0)</f>
        <v>#N/A</v>
      </c>
      <c r="F492" s="189" t="e">
        <f ca="1">VLOOKUP($D492,物料本月库存明細!$B:$J,5,0)</f>
        <v>#N/A</v>
      </c>
      <c r="G492" s="190"/>
      <c r="H492" s="191"/>
      <c r="I492" s="188"/>
      <c r="J492" s="190" t="e">
        <f ca="1">VLOOKUP($D492,物料本月库存明細!$B:$J,9,0)</f>
        <v>#N/A</v>
      </c>
    </row>
    <row r="493" customHeight="1" spans="1:10">
      <c r="A493" s="175"/>
      <c r="B493" s="187"/>
      <c r="D493" s="192"/>
      <c r="E493" s="188" t="e">
        <f ca="1">VLOOKUP($D493,物料本月库存明細!$B:$J,2,0)</f>
        <v>#N/A</v>
      </c>
      <c r="F493" s="189" t="e">
        <f ca="1">VLOOKUP($D493,物料本月库存明細!$B:$J,5,0)</f>
        <v>#N/A</v>
      </c>
      <c r="G493" s="190"/>
      <c r="H493" s="191"/>
      <c r="I493" s="188"/>
      <c r="J493" s="190" t="e">
        <f ca="1">VLOOKUP($D493,物料本月库存明細!$B:$J,9,0)</f>
        <v>#N/A</v>
      </c>
    </row>
    <row r="494" customHeight="1" spans="1:10">
      <c r="A494" s="175"/>
      <c r="B494" s="187"/>
      <c r="D494" s="192"/>
      <c r="E494" s="188" t="e">
        <f ca="1">VLOOKUP($D494,物料本月库存明細!$B:$J,2,0)</f>
        <v>#N/A</v>
      </c>
      <c r="F494" s="189" t="e">
        <f ca="1">VLOOKUP($D494,物料本月库存明細!$B:$J,5,0)</f>
        <v>#N/A</v>
      </c>
      <c r="G494" s="190"/>
      <c r="H494" s="191"/>
      <c r="I494" s="188"/>
      <c r="J494" s="190" t="e">
        <f ca="1">VLOOKUP($D494,物料本月库存明細!$B:$J,9,0)</f>
        <v>#N/A</v>
      </c>
    </row>
    <row r="495" customHeight="1" spans="1:10">
      <c r="A495" s="175"/>
      <c r="B495" s="187"/>
      <c r="D495" s="192"/>
      <c r="E495" s="188" t="e">
        <f ca="1">VLOOKUP($D495,物料本月库存明細!$B:$J,2,0)</f>
        <v>#N/A</v>
      </c>
      <c r="F495" s="189" t="e">
        <f ca="1">VLOOKUP($D495,物料本月库存明細!$B:$J,5,0)</f>
        <v>#N/A</v>
      </c>
      <c r="G495" s="190"/>
      <c r="H495" s="191"/>
      <c r="I495" s="188"/>
      <c r="J495" s="190" t="e">
        <f ca="1">VLOOKUP($D495,物料本月库存明細!$B:$J,9,0)</f>
        <v>#N/A</v>
      </c>
    </row>
    <row r="496" customHeight="1" spans="1:10">
      <c r="A496" s="175"/>
      <c r="B496" s="187"/>
      <c r="D496" s="196"/>
      <c r="E496" s="188" t="e">
        <f ca="1">VLOOKUP($D496,物料本月库存明細!$B:$J,2,0)</f>
        <v>#N/A</v>
      </c>
      <c r="F496" s="189" t="e">
        <f ca="1">VLOOKUP($D496,物料本月库存明細!$B:$J,5,0)</f>
        <v>#N/A</v>
      </c>
      <c r="G496" s="190"/>
      <c r="H496" s="191"/>
      <c r="I496" s="188"/>
      <c r="J496" s="190" t="e">
        <f ca="1">VLOOKUP($D496,物料本月库存明細!$B:$J,9,0)</f>
        <v>#N/A</v>
      </c>
    </row>
    <row r="497" customHeight="1" spans="1:10">
      <c r="A497" s="175"/>
      <c r="B497" s="187"/>
      <c r="D497" s="196"/>
      <c r="E497" s="188" t="e">
        <f ca="1">VLOOKUP($D497,物料本月库存明細!$B:$J,2,0)</f>
        <v>#N/A</v>
      </c>
      <c r="F497" s="189" t="e">
        <f ca="1">VLOOKUP($D497,物料本月库存明細!$B:$J,5,0)</f>
        <v>#N/A</v>
      </c>
      <c r="G497" s="190"/>
      <c r="H497" s="191"/>
      <c r="I497" s="188"/>
      <c r="J497" s="190" t="e">
        <f ca="1">VLOOKUP($D497,物料本月库存明細!$B:$J,9,0)</f>
        <v>#N/A</v>
      </c>
    </row>
    <row r="498" customHeight="1" spans="1:10">
      <c r="A498" s="175"/>
      <c r="B498" s="187"/>
      <c r="D498" s="192"/>
      <c r="E498" s="188" t="e">
        <f ca="1">VLOOKUP($D498,物料本月库存明細!$B:$J,2,0)</f>
        <v>#N/A</v>
      </c>
      <c r="F498" s="189" t="e">
        <f ca="1">VLOOKUP($D498,物料本月库存明細!$B:$J,5,0)</f>
        <v>#N/A</v>
      </c>
      <c r="G498" s="190"/>
      <c r="H498" s="191"/>
      <c r="I498" s="188"/>
      <c r="J498" s="190" t="e">
        <f ca="1">VLOOKUP($D498,物料本月库存明細!$B:$J,9,0)</f>
        <v>#N/A</v>
      </c>
    </row>
    <row r="499" customHeight="1" spans="1:10">
      <c r="A499" s="175"/>
      <c r="B499" s="187"/>
      <c r="D499" s="192"/>
      <c r="E499" s="188" t="e">
        <f ca="1">VLOOKUP($D499,物料本月库存明細!$B:$J,2,0)</f>
        <v>#N/A</v>
      </c>
      <c r="F499" s="189" t="e">
        <f ca="1">VLOOKUP($D499,物料本月库存明細!$B:$J,5,0)</f>
        <v>#N/A</v>
      </c>
      <c r="G499" s="190"/>
      <c r="H499" s="191"/>
      <c r="I499" s="188"/>
      <c r="J499" s="190" t="e">
        <f ca="1">VLOOKUP($D499,物料本月库存明細!$B:$J,9,0)</f>
        <v>#N/A</v>
      </c>
    </row>
    <row r="500" customHeight="1" spans="1:10">
      <c r="A500" s="175"/>
      <c r="B500" s="187"/>
      <c r="D500" s="192"/>
      <c r="E500" s="188" t="e">
        <f ca="1">VLOOKUP($D500,物料本月库存明細!$B:$J,2,0)</f>
        <v>#N/A</v>
      </c>
      <c r="F500" s="189" t="e">
        <f ca="1">VLOOKUP($D500,物料本月库存明細!$B:$J,5,0)</f>
        <v>#N/A</v>
      </c>
      <c r="G500" s="190"/>
      <c r="H500" s="191"/>
      <c r="I500" s="188"/>
      <c r="J500" s="190" t="e">
        <f ca="1">VLOOKUP($D500,物料本月库存明細!$B:$J,9,0)</f>
        <v>#N/A</v>
      </c>
    </row>
    <row r="501" customHeight="1" spans="1:10">
      <c r="A501" s="175"/>
      <c r="B501" s="187"/>
      <c r="D501" s="196"/>
      <c r="E501" s="188" t="e">
        <f ca="1">VLOOKUP($D501,物料本月库存明細!$B:$J,2,0)</f>
        <v>#N/A</v>
      </c>
      <c r="F501" s="189" t="e">
        <f ca="1">VLOOKUP($D501,物料本月库存明細!$B:$J,5,0)</f>
        <v>#N/A</v>
      </c>
      <c r="G501" s="190"/>
      <c r="H501" s="191"/>
      <c r="I501" s="188"/>
      <c r="J501" s="190" t="e">
        <f ca="1">VLOOKUP($D501,物料本月库存明細!$B:$J,9,0)</f>
        <v>#N/A</v>
      </c>
    </row>
    <row r="502" customHeight="1" spans="1:10">
      <c r="A502" s="175"/>
      <c r="B502" s="187"/>
      <c r="D502" s="196"/>
      <c r="E502" s="188" t="e">
        <f ca="1">VLOOKUP($D502,物料本月库存明細!$B:$J,2,0)</f>
        <v>#N/A</v>
      </c>
      <c r="F502" s="189" t="e">
        <f ca="1">VLOOKUP($D502,物料本月库存明細!$B:$J,5,0)</f>
        <v>#N/A</v>
      </c>
      <c r="G502" s="190"/>
      <c r="H502" s="191"/>
      <c r="I502" s="188"/>
      <c r="J502" s="190" t="e">
        <f ca="1">VLOOKUP($D502,物料本月库存明細!$B:$J,9,0)</f>
        <v>#N/A</v>
      </c>
    </row>
    <row r="503" customHeight="1" spans="1:10">
      <c r="A503" s="175"/>
      <c r="B503" s="187"/>
      <c r="D503" s="197"/>
      <c r="E503" s="188" t="e">
        <f ca="1">VLOOKUP($D503,物料本月库存明細!$B:$J,2,0)</f>
        <v>#N/A</v>
      </c>
      <c r="F503" s="189" t="e">
        <f ca="1">VLOOKUP($D503,物料本月库存明細!$B:$J,5,0)</f>
        <v>#N/A</v>
      </c>
      <c r="G503" s="190"/>
      <c r="H503" s="191"/>
      <c r="I503" s="188"/>
      <c r="J503" s="190" t="e">
        <f ca="1">VLOOKUP($D503,物料本月库存明細!$B:$J,9,0)</f>
        <v>#N/A</v>
      </c>
    </row>
    <row r="504" customHeight="1" spans="1:10">
      <c r="A504" s="175"/>
      <c r="B504" s="187"/>
      <c r="D504" s="196"/>
      <c r="E504" s="188" t="e">
        <f ca="1">VLOOKUP($D504,物料本月库存明細!$B:$J,2,0)</f>
        <v>#N/A</v>
      </c>
      <c r="F504" s="189" t="e">
        <f ca="1">VLOOKUP($D504,物料本月库存明細!$B:$J,5,0)</f>
        <v>#N/A</v>
      </c>
      <c r="G504" s="190"/>
      <c r="H504" s="191"/>
      <c r="I504" s="188"/>
      <c r="J504" s="190" t="e">
        <f ca="1">VLOOKUP($D504,物料本月库存明細!$B:$J,9,0)</f>
        <v>#N/A</v>
      </c>
    </row>
    <row r="505" customHeight="1" spans="1:10">
      <c r="A505" s="175"/>
      <c r="B505" s="187"/>
      <c r="D505" s="192"/>
      <c r="E505" s="188" t="e">
        <f ca="1">VLOOKUP($D505,物料本月库存明細!$B:$J,2,0)</f>
        <v>#N/A</v>
      </c>
      <c r="F505" s="189" t="e">
        <f ca="1">VLOOKUP($D505,物料本月库存明細!$B:$J,5,0)</f>
        <v>#N/A</v>
      </c>
      <c r="G505" s="190"/>
      <c r="H505" s="191"/>
      <c r="I505" s="188"/>
      <c r="J505" s="190" t="e">
        <f ca="1">VLOOKUP($D505,物料本月库存明細!$B:$J,9,0)</f>
        <v>#N/A</v>
      </c>
    </row>
    <row r="506" customHeight="1" spans="1:10">
      <c r="A506" s="175"/>
      <c r="B506" s="187"/>
      <c r="D506" s="192"/>
      <c r="E506" s="188" t="e">
        <f ca="1">VLOOKUP($D506,物料本月库存明細!$B:$J,2,0)</f>
        <v>#N/A</v>
      </c>
      <c r="F506" s="189" t="e">
        <f ca="1">VLOOKUP($D506,物料本月库存明細!$B:$J,5,0)</f>
        <v>#N/A</v>
      </c>
      <c r="G506" s="190"/>
      <c r="H506" s="191"/>
      <c r="I506" s="188"/>
      <c r="J506" s="190" t="e">
        <f ca="1">VLOOKUP($D506,物料本月库存明細!$B:$J,9,0)</f>
        <v>#N/A</v>
      </c>
    </row>
    <row r="507" customHeight="1" spans="1:10">
      <c r="A507" s="175"/>
      <c r="B507" s="187"/>
      <c r="D507" s="192"/>
      <c r="E507" s="188" t="e">
        <f ca="1">VLOOKUP($D507,物料本月库存明細!$B:$J,2,0)</f>
        <v>#N/A</v>
      </c>
      <c r="F507" s="189" t="e">
        <f ca="1">VLOOKUP($D507,物料本月库存明細!$B:$J,5,0)</f>
        <v>#N/A</v>
      </c>
      <c r="G507" s="190"/>
      <c r="H507" s="191"/>
      <c r="I507" s="188"/>
      <c r="J507" s="190" t="e">
        <f ca="1">VLOOKUP($D507,物料本月库存明細!$B:$J,9,0)</f>
        <v>#N/A</v>
      </c>
    </row>
    <row r="508" customHeight="1" spans="1:10">
      <c r="B508" s="187"/>
      <c r="D508" s="192"/>
      <c r="E508" s="188" t="e">
        <f ca="1">VLOOKUP($D508,物料本月库存明細!$B:$J,2,0)</f>
        <v>#N/A</v>
      </c>
      <c r="F508" s="189" t="e">
        <f ca="1">VLOOKUP($D508,物料本月库存明細!$B:$J,5,0)</f>
        <v>#N/A</v>
      </c>
      <c r="G508" s="190"/>
      <c r="I508" s="188"/>
      <c r="J508" s="190" t="e">
        <f ca="1">VLOOKUP($D508,物料本月库存明細!$B:$J,9,0)</f>
        <v>#N/A</v>
      </c>
    </row>
    <row r="509" customHeight="1" spans="1:10">
      <c r="B509" s="187"/>
      <c r="D509" s="192"/>
      <c r="E509" s="188" t="e">
        <f ca="1">VLOOKUP($D509,物料本月库存明細!$B:$J,2,0)</f>
        <v>#N/A</v>
      </c>
      <c r="F509" s="189" t="e">
        <f ca="1">VLOOKUP($D509,物料本月库存明細!$B:$J,5,0)</f>
        <v>#N/A</v>
      </c>
      <c r="G509" s="190"/>
      <c r="H509" s="191"/>
      <c r="I509" s="188"/>
      <c r="J509" s="190" t="e">
        <f ca="1">VLOOKUP($D509,物料本月库存明細!$B:$J,9,0)</f>
        <v>#N/A</v>
      </c>
    </row>
    <row r="510" customHeight="1" spans="1:10">
      <c r="A510" s="175"/>
      <c r="B510" s="187"/>
      <c r="D510" s="192"/>
      <c r="E510" s="188" t="e">
        <f ca="1">VLOOKUP($D510,物料本月库存明細!$B:$J,2,0)</f>
        <v>#N/A</v>
      </c>
      <c r="F510" s="189" t="e">
        <f ca="1">VLOOKUP($D510,物料本月库存明細!$B:$J,5,0)</f>
        <v>#N/A</v>
      </c>
      <c r="G510" s="190"/>
      <c r="H510" s="191"/>
      <c r="I510" s="188"/>
      <c r="J510" s="190" t="e">
        <f ca="1">VLOOKUP($D510,物料本月库存明細!$B:$J,9,0)</f>
        <v>#N/A</v>
      </c>
    </row>
    <row r="511" customHeight="1" spans="1:10">
      <c r="A511" s="175"/>
      <c r="B511" s="187"/>
      <c r="D511" s="192"/>
      <c r="E511" s="188" t="e">
        <f ca="1">VLOOKUP($D511,物料本月库存明細!$B:$J,2,0)</f>
        <v>#N/A</v>
      </c>
      <c r="F511" s="189" t="e">
        <f ca="1">VLOOKUP($D511,物料本月库存明細!$B:$J,5,0)</f>
        <v>#N/A</v>
      </c>
      <c r="G511" s="190"/>
      <c r="H511" s="191"/>
      <c r="I511" s="188"/>
      <c r="J511" s="190" t="e">
        <f ca="1">VLOOKUP($D511,物料本月库存明細!$B:$J,9,0)</f>
        <v>#N/A</v>
      </c>
    </row>
    <row r="512" customHeight="1" spans="1:10">
      <c r="A512" s="175"/>
      <c r="B512" s="187"/>
      <c r="D512" s="196"/>
      <c r="E512" s="188" t="e">
        <f ca="1">VLOOKUP($D512,物料本月库存明細!$B:$J,2,0)</f>
        <v>#N/A</v>
      </c>
      <c r="F512" s="189" t="e">
        <f ca="1">VLOOKUP($D512,物料本月库存明細!$B:$J,5,0)</f>
        <v>#N/A</v>
      </c>
      <c r="G512" s="190"/>
      <c r="H512" s="191"/>
      <c r="I512" s="188"/>
      <c r="J512" s="190" t="e">
        <f ca="1">VLOOKUP($D512,物料本月库存明細!$B:$J,9,0)</f>
        <v>#N/A</v>
      </c>
    </row>
    <row r="513" customHeight="1" spans="1:10">
      <c r="A513" s="175"/>
      <c r="B513" s="187"/>
      <c r="D513" s="196"/>
      <c r="E513" s="188" t="e">
        <f ca="1">VLOOKUP($D513,物料本月库存明細!$B:$J,2,0)</f>
        <v>#N/A</v>
      </c>
      <c r="F513" s="189" t="e">
        <f ca="1">VLOOKUP($D513,物料本月库存明細!$B:$J,5,0)</f>
        <v>#N/A</v>
      </c>
      <c r="G513" s="190"/>
      <c r="H513" s="191"/>
      <c r="I513" s="188"/>
      <c r="J513" s="190" t="e">
        <f ca="1">VLOOKUP($D513,物料本月库存明細!$B:$J,9,0)</f>
        <v>#N/A</v>
      </c>
    </row>
    <row r="514" customHeight="1" spans="1:10">
      <c r="A514" s="175"/>
      <c r="B514" s="187"/>
      <c r="D514" s="196"/>
      <c r="E514" s="188" t="e">
        <f ca="1">VLOOKUP($D514,物料本月库存明細!$B:$J,2,0)</f>
        <v>#N/A</v>
      </c>
      <c r="F514" s="189" t="e">
        <f ca="1">VLOOKUP($D514,物料本月库存明細!$B:$J,5,0)</f>
        <v>#N/A</v>
      </c>
      <c r="G514" s="190"/>
      <c r="H514" s="191"/>
      <c r="I514" s="188"/>
      <c r="J514" s="190" t="e">
        <f ca="1">VLOOKUP($D514,物料本月库存明細!$B:$J,9,0)</f>
        <v>#N/A</v>
      </c>
    </row>
    <row r="515" customHeight="1" spans="1:10">
      <c r="A515" s="175"/>
      <c r="B515" s="187"/>
      <c r="D515" s="192"/>
      <c r="E515" s="188" t="e">
        <f ca="1">VLOOKUP($D515,物料本月库存明細!$B:$J,2,0)</f>
        <v>#N/A</v>
      </c>
      <c r="F515" s="189" t="e">
        <f ca="1">VLOOKUP($D515,物料本月库存明細!$B:$J,5,0)</f>
        <v>#N/A</v>
      </c>
      <c r="G515" s="190"/>
      <c r="H515" s="191"/>
      <c r="I515" s="188"/>
      <c r="J515" s="190" t="e">
        <f ca="1">VLOOKUP($D515,物料本月库存明細!$B:$J,9,0)</f>
        <v>#N/A</v>
      </c>
    </row>
    <row r="516" customHeight="1" spans="1:10">
      <c r="A516" s="175"/>
      <c r="B516" s="187"/>
      <c r="D516" s="192"/>
      <c r="E516" s="188" t="e">
        <f ca="1">VLOOKUP($D516,物料本月库存明細!$B:$J,2,0)</f>
        <v>#N/A</v>
      </c>
      <c r="F516" s="189" t="e">
        <f ca="1">VLOOKUP($D516,物料本月库存明細!$B:$J,5,0)</f>
        <v>#N/A</v>
      </c>
      <c r="G516" s="190"/>
      <c r="H516" s="191"/>
      <c r="I516" s="188"/>
      <c r="J516" s="190" t="e">
        <f ca="1">VLOOKUP($D516,物料本月库存明細!$B:$J,9,0)</f>
        <v>#N/A</v>
      </c>
    </row>
    <row r="517" customHeight="1" spans="1:10">
      <c r="A517" s="175"/>
      <c r="B517" s="187"/>
      <c r="D517" s="192"/>
      <c r="E517" s="188" t="e">
        <f ca="1">VLOOKUP($D517,物料本月库存明細!$B:$J,2,0)</f>
        <v>#N/A</v>
      </c>
      <c r="F517" s="189" t="e">
        <f ca="1">VLOOKUP($D517,物料本月库存明細!$B:$J,5,0)</f>
        <v>#N/A</v>
      </c>
      <c r="G517" s="190"/>
      <c r="H517" s="191"/>
      <c r="I517" s="188"/>
      <c r="J517" s="190" t="e">
        <f ca="1">VLOOKUP($D517,物料本月库存明細!$B:$J,9,0)</f>
        <v>#N/A</v>
      </c>
    </row>
    <row r="518" customHeight="1" spans="1:10">
      <c r="A518" s="175"/>
      <c r="B518" s="187"/>
      <c r="D518" s="192"/>
      <c r="E518" s="188" t="e">
        <f ca="1">VLOOKUP($D518,物料本月库存明細!$B:$J,2,0)</f>
        <v>#N/A</v>
      </c>
      <c r="F518" s="189" t="e">
        <f ca="1">VLOOKUP($D518,物料本月库存明細!$B:$J,5,0)</f>
        <v>#N/A</v>
      </c>
      <c r="G518" s="190"/>
      <c r="H518" s="191"/>
      <c r="I518" s="188"/>
      <c r="J518" s="190" t="e">
        <f ca="1">VLOOKUP($D518,物料本月库存明細!$B:$J,9,0)</f>
        <v>#N/A</v>
      </c>
    </row>
    <row r="519" customHeight="1" spans="1:10">
      <c r="A519" s="175"/>
      <c r="B519" s="187"/>
      <c r="D519" s="192"/>
      <c r="E519" s="188" t="e">
        <f ca="1">VLOOKUP($D519,物料本月库存明細!$B:$J,2,0)</f>
        <v>#N/A</v>
      </c>
      <c r="F519" s="189" t="e">
        <f ca="1">VLOOKUP($D519,物料本月库存明細!$B:$J,5,0)</f>
        <v>#N/A</v>
      </c>
      <c r="G519" s="190"/>
      <c r="H519" s="191"/>
      <c r="I519" s="188"/>
      <c r="J519" s="190" t="e">
        <f ca="1">VLOOKUP($D519,物料本月库存明細!$B:$J,9,0)</f>
        <v>#N/A</v>
      </c>
    </row>
    <row r="520" customHeight="1" spans="1:10">
      <c r="A520" s="175"/>
      <c r="B520" s="187"/>
      <c r="D520" s="192"/>
      <c r="E520" s="188" t="e">
        <f ca="1">VLOOKUP($D520,物料本月库存明細!$B:$J,2,0)</f>
        <v>#N/A</v>
      </c>
      <c r="F520" s="189" t="e">
        <f ca="1">VLOOKUP($D520,物料本月库存明細!$B:$J,5,0)</f>
        <v>#N/A</v>
      </c>
      <c r="G520" s="190"/>
      <c r="H520" s="191"/>
      <c r="I520" s="188"/>
      <c r="J520" s="190" t="e">
        <f ca="1">VLOOKUP($D520,物料本月库存明細!$B:$J,9,0)</f>
        <v>#N/A</v>
      </c>
    </row>
    <row r="521" customHeight="1" spans="1:10">
      <c r="A521" s="175"/>
      <c r="B521" s="187"/>
      <c r="D521" s="192"/>
      <c r="E521" s="188" t="e">
        <f ca="1">VLOOKUP($D521,物料本月库存明細!$B:$J,2,0)</f>
        <v>#N/A</v>
      </c>
      <c r="F521" s="189" t="e">
        <f ca="1">VLOOKUP($D521,物料本月库存明細!$B:$J,5,0)</f>
        <v>#N/A</v>
      </c>
      <c r="G521" s="190"/>
      <c r="H521" s="191"/>
      <c r="I521" s="188"/>
      <c r="J521" s="190" t="e">
        <f ca="1">VLOOKUP($D521,物料本月库存明細!$B:$J,9,0)</f>
        <v>#N/A</v>
      </c>
    </row>
    <row r="522" customHeight="1" spans="1:10">
      <c r="A522" s="175"/>
      <c r="B522" s="187"/>
      <c r="D522" s="192"/>
      <c r="E522" s="188" t="e">
        <f ca="1">VLOOKUP($D522,物料本月库存明細!$B:$J,2,0)</f>
        <v>#N/A</v>
      </c>
      <c r="F522" s="189" t="e">
        <f ca="1">VLOOKUP($D522,物料本月库存明細!$B:$J,5,0)</f>
        <v>#N/A</v>
      </c>
      <c r="G522" s="190"/>
      <c r="H522" s="191"/>
      <c r="I522" s="188"/>
      <c r="J522" s="190" t="e">
        <f ca="1">VLOOKUP($D522,物料本月库存明細!$B:$J,9,0)</f>
        <v>#N/A</v>
      </c>
    </row>
    <row r="523" customHeight="1" spans="1:10">
      <c r="A523" s="175"/>
      <c r="B523" s="187"/>
      <c r="D523" s="194"/>
      <c r="E523" s="188" t="e">
        <f ca="1">VLOOKUP($D523,物料本月库存明細!$B:$J,2,0)</f>
        <v>#N/A</v>
      </c>
      <c r="F523" s="189" t="e">
        <f ca="1">VLOOKUP($D523,物料本月库存明細!$B:$J,5,0)</f>
        <v>#N/A</v>
      </c>
      <c r="G523" s="190"/>
      <c r="H523" s="191"/>
      <c r="I523" s="188"/>
      <c r="J523" s="190" t="e">
        <f ca="1">VLOOKUP($D523,物料本月库存明細!$B:$J,9,0)</f>
        <v>#N/A</v>
      </c>
    </row>
    <row r="524" customHeight="1" spans="1:10">
      <c r="A524" s="175"/>
      <c r="B524" s="187"/>
      <c r="D524" s="192"/>
      <c r="E524" s="188" t="e">
        <f ca="1">VLOOKUP($D524,物料本月库存明細!$B:$J,2,0)</f>
        <v>#N/A</v>
      </c>
      <c r="F524" s="189" t="e">
        <f ca="1">VLOOKUP($D524,物料本月库存明細!$B:$J,5,0)</f>
        <v>#N/A</v>
      </c>
      <c r="G524" s="190"/>
      <c r="H524" s="191"/>
      <c r="I524" s="188"/>
      <c r="J524" s="190" t="e">
        <f ca="1">VLOOKUP($D524,物料本月库存明細!$B:$J,9,0)</f>
        <v>#N/A</v>
      </c>
    </row>
    <row r="525" customHeight="1" spans="1:10">
      <c r="A525" s="175"/>
      <c r="B525" s="187"/>
      <c r="D525" s="192"/>
      <c r="E525" s="188" t="e">
        <f ca="1">VLOOKUP($D525,物料本月库存明細!$B:$J,2,0)</f>
        <v>#N/A</v>
      </c>
      <c r="F525" s="189" t="e">
        <f ca="1">VLOOKUP($D525,物料本月库存明細!$B:$J,5,0)</f>
        <v>#N/A</v>
      </c>
      <c r="G525" s="190"/>
      <c r="H525" s="191"/>
      <c r="I525" s="188"/>
      <c r="J525" s="190" t="e">
        <f ca="1">VLOOKUP($D525,物料本月库存明細!$B:$J,9,0)</f>
        <v>#N/A</v>
      </c>
    </row>
    <row r="526" customHeight="1" spans="1:10">
      <c r="A526" s="175"/>
      <c r="B526" s="187"/>
      <c r="D526" s="192"/>
      <c r="E526" s="188" t="e">
        <f ca="1">VLOOKUP($D526,物料本月库存明細!$B:$J,2,0)</f>
        <v>#N/A</v>
      </c>
      <c r="F526" s="189" t="e">
        <f ca="1">VLOOKUP($D526,物料本月库存明細!$B:$J,5,0)</f>
        <v>#N/A</v>
      </c>
      <c r="G526" s="190"/>
      <c r="H526" s="191"/>
      <c r="I526" s="188"/>
      <c r="J526" s="190" t="e">
        <f ca="1">VLOOKUP($D526,物料本月库存明細!$B:$J,9,0)</f>
        <v>#N/A</v>
      </c>
    </row>
    <row r="527" customHeight="1" spans="1:10">
      <c r="A527" s="175"/>
      <c r="B527" s="187"/>
      <c r="D527" s="192"/>
      <c r="E527" s="188" t="e">
        <f ca="1">VLOOKUP($D527,物料本月库存明細!$B:$J,2,0)</f>
        <v>#N/A</v>
      </c>
      <c r="F527" s="189" t="e">
        <f ca="1">VLOOKUP($D527,物料本月库存明細!$B:$J,5,0)</f>
        <v>#N/A</v>
      </c>
      <c r="G527" s="190"/>
      <c r="H527" s="191"/>
      <c r="I527" s="188"/>
      <c r="J527" s="190" t="e">
        <f ca="1">VLOOKUP($D527,物料本月库存明細!$B:$J,9,0)</f>
        <v>#N/A</v>
      </c>
    </row>
    <row r="528" customHeight="1" spans="1:10">
      <c r="A528" s="175"/>
      <c r="B528" s="187"/>
      <c r="D528" s="192"/>
      <c r="E528" s="188" t="e">
        <f ca="1">VLOOKUP($D528,物料本月库存明細!$B:$J,2,0)</f>
        <v>#N/A</v>
      </c>
      <c r="F528" s="189" t="e">
        <f ca="1">VLOOKUP($D528,物料本月库存明細!$B:$J,5,0)</f>
        <v>#N/A</v>
      </c>
      <c r="G528" s="190"/>
      <c r="H528" s="191"/>
      <c r="I528" s="188"/>
      <c r="J528" s="190" t="e">
        <f ca="1">VLOOKUP($D528,物料本月库存明細!$B:$J,9,0)</f>
        <v>#N/A</v>
      </c>
    </row>
    <row r="529" customHeight="1" spans="1:10">
      <c r="A529" s="175"/>
      <c r="B529" s="187"/>
      <c r="D529" s="196"/>
      <c r="E529" s="188" t="e">
        <f ca="1">VLOOKUP($D529,物料本月库存明細!$B:$J,2,0)</f>
        <v>#N/A</v>
      </c>
      <c r="F529" s="189" t="e">
        <f ca="1">VLOOKUP($D529,物料本月库存明細!$B:$J,5,0)</f>
        <v>#N/A</v>
      </c>
      <c r="G529" s="190"/>
      <c r="H529" s="191"/>
      <c r="I529" s="188"/>
      <c r="J529" s="190" t="e">
        <f ca="1">VLOOKUP($D529,物料本月库存明細!$B:$J,9,0)</f>
        <v>#N/A</v>
      </c>
    </row>
    <row r="530" customHeight="1" spans="1:10">
      <c r="A530" s="175"/>
      <c r="B530" s="187"/>
      <c r="D530" s="192"/>
      <c r="E530" s="188" t="e">
        <f ca="1">VLOOKUP($D530,物料本月库存明細!$B:$J,2,0)</f>
        <v>#N/A</v>
      </c>
      <c r="F530" s="189" t="e">
        <f ca="1">VLOOKUP($D530,物料本月库存明細!$B:$J,5,0)</f>
        <v>#N/A</v>
      </c>
      <c r="G530" s="190"/>
      <c r="H530" s="191"/>
      <c r="I530" s="188"/>
      <c r="J530" s="190" t="e">
        <f ca="1">VLOOKUP($D530,物料本月库存明細!$B:$J,9,0)</f>
        <v>#N/A</v>
      </c>
    </row>
    <row r="531" customHeight="1" spans="1:10">
      <c r="A531" s="175"/>
      <c r="B531" s="187"/>
      <c r="D531" s="192"/>
      <c r="E531" s="188" t="e">
        <f ca="1">VLOOKUP($D531,物料本月库存明細!$B:$J,2,0)</f>
        <v>#N/A</v>
      </c>
      <c r="F531" s="189" t="e">
        <f ca="1">VLOOKUP($D531,物料本月库存明細!$B:$J,5,0)</f>
        <v>#N/A</v>
      </c>
      <c r="G531" s="190"/>
      <c r="H531" s="191"/>
      <c r="I531" s="188"/>
      <c r="J531" s="190" t="e">
        <f ca="1">VLOOKUP($D531,物料本月库存明細!$B:$J,9,0)</f>
        <v>#N/A</v>
      </c>
    </row>
    <row r="532" customHeight="1" spans="1:10">
      <c r="A532" s="175"/>
      <c r="B532" s="187"/>
      <c r="D532" s="196"/>
      <c r="E532" s="188" t="e">
        <f ca="1">VLOOKUP($D532,物料本月库存明細!$B:$J,2,0)</f>
        <v>#N/A</v>
      </c>
      <c r="F532" s="189" t="e">
        <f ca="1">VLOOKUP($D532,物料本月库存明細!$B:$J,5,0)</f>
        <v>#N/A</v>
      </c>
      <c r="G532" s="190"/>
      <c r="H532" s="191"/>
      <c r="I532" s="188"/>
      <c r="J532" s="190" t="e">
        <f ca="1">VLOOKUP($D532,物料本月库存明細!$B:$J,9,0)</f>
        <v>#N/A</v>
      </c>
    </row>
    <row r="533" customHeight="1" spans="1:10">
      <c r="A533" s="175"/>
      <c r="B533" s="187"/>
      <c r="D533" s="192"/>
      <c r="E533" s="188" t="e">
        <f ca="1">VLOOKUP($D533,物料本月库存明細!$B:$J,2,0)</f>
        <v>#N/A</v>
      </c>
      <c r="F533" s="189" t="e">
        <f ca="1">VLOOKUP($D533,物料本月库存明細!$B:$J,5,0)</f>
        <v>#N/A</v>
      </c>
      <c r="G533" s="190"/>
      <c r="H533" s="191"/>
      <c r="I533" s="188"/>
      <c r="J533" s="190" t="e">
        <f ca="1">VLOOKUP($D533,物料本月库存明細!$B:$J,9,0)</f>
        <v>#N/A</v>
      </c>
    </row>
    <row r="534" customHeight="1" spans="1:10">
      <c r="A534" s="175"/>
      <c r="B534" s="187"/>
      <c r="D534" s="192"/>
      <c r="E534" s="188" t="e">
        <f ca="1">VLOOKUP($D534,物料本月库存明細!$B:$J,2,0)</f>
        <v>#N/A</v>
      </c>
      <c r="F534" s="189" t="e">
        <f ca="1">VLOOKUP($D534,物料本月库存明細!$B:$J,5,0)</f>
        <v>#N/A</v>
      </c>
      <c r="G534" s="190"/>
      <c r="H534" s="191"/>
      <c r="I534" s="188"/>
      <c r="J534" s="190" t="e">
        <f ca="1">VLOOKUP($D534,物料本月库存明細!$B:$J,9,0)</f>
        <v>#N/A</v>
      </c>
    </row>
    <row r="535" customHeight="1" spans="1:10">
      <c r="A535" s="175"/>
      <c r="B535" s="187"/>
      <c r="D535" s="196"/>
      <c r="E535" s="188" t="e">
        <f ca="1">VLOOKUP($D535,物料本月库存明細!$B:$J,2,0)</f>
        <v>#N/A</v>
      </c>
      <c r="F535" s="189" t="e">
        <f ca="1">VLOOKUP($D535,物料本月库存明細!$B:$J,5,0)</f>
        <v>#N/A</v>
      </c>
      <c r="G535" s="190"/>
      <c r="H535" s="191"/>
      <c r="I535" s="188"/>
      <c r="J535" s="190" t="e">
        <f ca="1">VLOOKUP($D535,物料本月库存明細!$B:$J,9,0)</f>
        <v>#N/A</v>
      </c>
    </row>
    <row r="536" customHeight="1" spans="1:10">
      <c r="A536" s="205"/>
      <c r="B536" s="187"/>
      <c r="C536" s="205"/>
      <c r="D536" s="192"/>
      <c r="E536" s="188" t="e">
        <f ca="1">VLOOKUP($D536,物料本月库存明細!$B:$J,2,0)</f>
        <v>#N/A</v>
      </c>
      <c r="F536" s="189" t="e">
        <f ca="1">VLOOKUP($D536,物料本月库存明細!$B:$J,5,0)</f>
        <v>#N/A</v>
      </c>
      <c r="G536" s="190"/>
      <c r="H536" s="191"/>
      <c r="I536" s="188"/>
      <c r="J536" s="190" t="e">
        <f ca="1">VLOOKUP($D536,物料本月库存明細!$B:$J,9,0)</f>
        <v>#N/A</v>
      </c>
    </row>
    <row r="537" customHeight="1" spans="1:10">
      <c r="A537" s="205"/>
      <c r="B537" s="187"/>
      <c r="C537" s="205"/>
      <c r="D537" s="197"/>
      <c r="E537" s="188" t="e">
        <f ca="1">VLOOKUP($D537,物料本月库存明細!$B:$J,2,0)</f>
        <v>#N/A</v>
      </c>
      <c r="F537" s="189" t="e">
        <f ca="1">VLOOKUP($D537,物料本月库存明細!$B:$J,5,0)</f>
        <v>#N/A</v>
      </c>
      <c r="G537" s="190"/>
      <c r="H537" s="191"/>
      <c r="I537" s="188"/>
      <c r="J537" s="190" t="e">
        <f ca="1">VLOOKUP($D537,物料本月库存明細!$B:$J,9,0)</f>
        <v>#N/A</v>
      </c>
    </row>
    <row r="538" customHeight="1" spans="1:10">
      <c r="A538" s="205"/>
      <c r="B538" s="187"/>
      <c r="C538" s="205"/>
      <c r="D538" s="192"/>
      <c r="E538" s="188" t="e">
        <f ca="1">VLOOKUP($D538,物料本月库存明細!$B:$J,2,0)</f>
        <v>#N/A</v>
      </c>
      <c r="F538" s="189" t="e">
        <f ca="1">VLOOKUP($D538,物料本月库存明細!$B:$J,5,0)</f>
        <v>#N/A</v>
      </c>
      <c r="G538" s="190"/>
      <c r="H538" s="191"/>
      <c r="I538" s="188"/>
      <c r="J538" s="190" t="e">
        <f ca="1">VLOOKUP($D538,物料本月库存明細!$B:$J,9,0)</f>
        <v>#N/A</v>
      </c>
    </row>
    <row r="539" customHeight="1" spans="1:10">
      <c r="A539" s="205"/>
      <c r="B539" s="187"/>
      <c r="C539" s="205"/>
      <c r="D539" s="192"/>
      <c r="E539" s="188" t="e">
        <f ca="1">VLOOKUP($D539,物料本月库存明細!$B:$J,2,0)</f>
        <v>#N/A</v>
      </c>
      <c r="F539" s="189" t="e">
        <f ca="1">VLOOKUP($D539,物料本月库存明細!$B:$J,5,0)</f>
        <v>#N/A</v>
      </c>
      <c r="G539" s="190"/>
      <c r="H539" s="191"/>
      <c r="I539" s="188"/>
      <c r="J539" s="190" t="e">
        <f ca="1">VLOOKUP($D539,物料本月库存明細!$B:$J,9,0)</f>
        <v>#N/A</v>
      </c>
    </row>
    <row r="540" customHeight="1" spans="1:10">
      <c r="A540" s="205"/>
      <c r="B540" s="187"/>
      <c r="C540" s="205"/>
      <c r="D540" s="197"/>
      <c r="E540" s="188" t="e">
        <f ca="1">VLOOKUP($D540,物料本月库存明細!$B:$J,2,0)</f>
        <v>#N/A</v>
      </c>
      <c r="F540" s="189" t="e">
        <f ca="1">VLOOKUP($D540,物料本月库存明細!$B:$J,5,0)</f>
        <v>#N/A</v>
      </c>
      <c r="G540" s="190"/>
      <c r="H540" s="191"/>
      <c r="I540" s="188"/>
      <c r="J540" s="190" t="e">
        <f ca="1">VLOOKUP($D540,物料本月库存明細!$B:$J,9,0)</f>
        <v>#N/A</v>
      </c>
    </row>
    <row r="541" customHeight="1" spans="1:10">
      <c r="A541" s="205"/>
      <c r="B541" s="187"/>
      <c r="C541" s="205"/>
      <c r="D541" s="196"/>
      <c r="E541" s="188" t="e">
        <f ca="1">VLOOKUP($D541,物料本月库存明細!$B:$J,2,0)</f>
        <v>#N/A</v>
      </c>
      <c r="F541" s="189" t="e">
        <f ca="1">VLOOKUP($D541,物料本月库存明細!$B:$J,5,0)</f>
        <v>#N/A</v>
      </c>
      <c r="G541" s="190"/>
      <c r="H541" s="191"/>
      <c r="I541" s="188"/>
      <c r="J541" s="190" t="e">
        <f ca="1">VLOOKUP($D541,物料本月库存明細!$B:$J,9,0)</f>
        <v>#N/A</v>
      </c>
    </row>
    <row r="542" customHeight="1" spans="1:10">
      <c r="A542" s="205"/>
      <c r="B542" s="187"/>
      <c r="C542" s="205"/>
      <c r="D542" s="196"/>
      <c r="E542" s="188" t="e">
        <f ca="1">VLOOKUP($D542,物料本月库存明細!$B:$J,2,0)</f>
        <v>#N/A</v>
      </c>
      <c r="F542" s="189" t="e">
        <f ca="1">VLOOKUP($D542,物料本月库存明細!$B:$J,5,0)</f>
        <v>#N/A</v>
      </c>
      <c r="G542" s="190"/>
      <c r="H542" s="191"/>
      <c r="I542" s="188"/>
      <c r="J542" s="190" t="e">
        <f ca="1">VLOOKUP($D542,物料本月库存明細!$B:$J,9,0)</f>
        <v>#N/A</v>
      </c>
    </row>
    <row r="543" customHeight="1" spans="1:10">
      <c r="A543" s="205"/>
      <c r="B543" s="187"/>
      <c r="C543" s="205"/>
      <c r="D543" s="197"/>
      <c r="E543" s="188" t="e">
        <f ca="1">VLOOKUP($D543,物料本月库存明細!$B:$J,2,0)</f>
        <v>#N/A</v>
      </c>
      <c r="F543" s="189" t="e">
        <f ca="1">VLOOKUP($D543,物料本月库存明細!$B:$J,5,0)</f>
        <v>#N/A</v>
      </c>
      <c r="G543" s="190"/>
      <c r="H543" s="191"/>
      <c r="I543" s="188"/>
      <c r="J543" s="190" t="e">
        <f ca="1">VLOOKUP($D543,物料本月库存明細!$B:$J,9,0)</f>
        <v>#N/A</v>
      </c>
    </row>
    <row r="544" customHeight="1" spans="1:10">
      <c r="A544" s="205"/>
      <c r="B544" s="187"/>
      <c r="C544" s="205"/>
      <c r="D544" s="196"/>
      <c r="E544" s="188" t="e">
        <f ca="1">VLOOKUP($D544,物料本月库存明細!$B:$J,2,0)</f>
        <v>#N/A</v>
      </c>
      <c r="F544" s="189" t="e">
        <f ca="1">VLOOKUP($D544,物料本月库存明細!$B:$J,5,0)</f>
        <v>#N/A</v>
      </c>
      <c r="G544" s="190"/>
      <c r="H544" s="191"/>
      <c r="I544" s="188"/>
      <c r="J544" s="190" t="e">
        <f ca="1">VLOOKUP($D544,物料本月库存明細!$B:$J,9,0)</f>
        <v>#N/A</v>
      </c>
    </row>
    <row r="545" customHeight="1" spans="1:10">
      <c r="A545" s="205"/>
      <c r="B545" s="187"/>
      <c r="C545" s="205"/>
      <c r="D545" s="196"/>
      <c r="E545" s="188" t="e">
        <f ca="1">VLOOKUP($D545,物料本月库存明細!$B:$J,2,0)</f>
        <v>#N/A</v>
      </c>
      <c r="F545" s="189" t="e">
        <f ca="1">VLOOKUP($D545,物料本月库存明細!$B:$J,5,0)</f>
        <v>#N/A</v>
      </c>
      <c r="G545" s="190"/>
      <c r="H545" s="191"/>
      <c r="I545" s="188"/>
      <c r="J545" s="190" t="e">
        <f ca="1">VLOOKUP($D545,物料本月库存明細!$B:$J,9,0)</f>
        <v>#N/A</v>
      </c>
    </row>
    <row r="546" customHeight="1" spans="1:10">
      <c r="A546" s="205"/>
      <c r="B546" s="187"/>
      <c r="C546" s="205"/>
      <c r="D546" s="196"/>
      <c r="E546" s="188" t="e">
        <f ca="1">VLOOKUP($D546,物料本月库存明細!$B:$J,2,0)</f>
        <v>#N/A</v>
      </c>
      <c r="F546" s="189" t="e">
        <f ca="1">VLOOKUP($D546,物料本月库存明細!$B:$J,5,0)</f>
        <v>#N/A</v>
      </c>
      <c r="G546" s="190"/>
      <c r="H546" s="191"/>
      <c r="I546" s="188"/>
      <c r="J546" s="190" t="e">
        <f ca="1">VLOOKUP($D546,物料本月库存明細!$B:$J,9,0)</f>
        <v>#N/A</v>
      </c>
    </row>
    <row r="547" customHeight="1" spans="1:10">
      <c r="A547" s="205"/>
      <c r="B547" s="187"/>
      <c r="C547" s="205"/>
      <c r="D547" s="192"/>
      <c r="E547" s="188" t="e">
        <f ca="1">VLOOKUP($D547,物料本月库存明細!$B:$J,2,0)</f>
        <v>#N/A</v>
      </c>
      <c r="F547" s="189" t="e">
        <f ca="1">VLOOKUP($D547,物料本月库存明細!$B:$J,5,0)</f>
        <v>#N/A</v>
      </c>
      <c r="G547" s="190"/>
      <c r="H547" s="191"/>
      <c r="I547" s="188"/>
      <c r="J547" s="190" t="e">
        <f ca="1">VLOOKUP($D547,物料本月库存明細!$B:$J,9,0)</f>
        <v>#N/A</v>
      </c>
    </row>
    <row r="548" customHeight="1" spans="1:10">
      <c r="A548" s="205"/>
      <c r="B548" s="187"/>
      <c r="C548" s="205"/>
      <c r="D548" s="192"/>
      <c r="E548" s="188" t="e">
        <f ca="1">VLOOKUP($D548,物料本月库存明細!$B:$J,2,0)</f>
        <v>#N/A</v>
      </c>
      <c r="F548" s="189" t="e">
        <f ca="1">VLOOKUP($D548,物料本月库存明細!$B:$J,5,0)</f>
        <v>#N/A</v>
      </c>
      <c r="G548" s="190"/>
      <c r="H548" s="191"/>
      <c r="I548" s="188"/>
      <c r="J548" s="190" t="e">
        <f ca="1">VLOOKUP($D548,物料本月库存明細!$B:$J,9,0)</f>
        <v>#N/A</v>
      </c>
    </row>
    <row r="549" customHeight="1" spans="1:10">
      <c r="A549" s="205"/>
      <c r="B549" s="187"/>
      <c r="C549" s="205"/>
      <c r="D549" s="192"/>
      <c r="E549" s="188" t="e">
        <f ca="1">VLOOKUP($D549,物料本月库存明細!$B:$J,2,0)</f>
        <v>#N/A</v>
      </c>
      <c r="F549" s="189" t="e">
        <f ca="1">VLOOKUP($D549,物料本月库存明細!$B:$J,5,0)</f>
        <v>#N/A</v>
      </c>
      <c r="G549" s="190"/>
      <c r="H549" s="191"/>
      <c r="I549" s="188"/>
      <c r="J549" s="190" t="e">
        <f ca="1">VLOOKUP($D549,物料本月库存明細!$B:$J,9,0)</f>
        <v>#N/A</v>
      </c>
    </row>
    <row r="550" customHeight="1" spans="1:10">
      <c r="A550" s="205"/>
      <c r="B550" s="187"/>
      <c r="C550" s="205"/>
      <c r="D550" s="192"/>
      <c r="E550" s="188" t="e">
        <f ca="1">VLOOKUP($D550,物料本月库存明細!$B:$J,2,0)</f>
        <v>#N/A</v>
      </c>
      <c r="F550" s="189" t="e">
        <f ca="1">VLOOKUP($D550,物料本月库存明細!$B:$J,5,0)</f>
        <v>#N/A</v>
      </c>
      <c r="G550" s="190"/>
      <c r="H550" s="191"/>
      <c r="I550" s="188"/>
      <c r="J550" s="190" t="e">
        <f ca="1">VLOOKUP($D550,物料本月库存明細!$B:$J,9,0)</f>
        <v>#N/A</v>
      </c>
    </row>
    <row r="551" customHeight="1" spans="1:10">
      <c r="A551" s="205"/>
      <c r="B551" s="187"/>
      <c r="C551" s="205"/>
      <c r="D551" s="197"/>
      <c r="E551" s="188" t="e">
        <f ca="1">VLOOKUP($D551,物料本月库存明細!$B:$J,2,0)</f>
        <v>#N/A</v>
      </c>
      <c r="F551" s="189" t="e">
        <f ca="1">VLOOKUP($D551,物料本月库存明細!$B:$J,5,0)</f>
        <v>#N/A</v>
      </c>
      <c r="G551" s="190"/>
      <c r="H551" s="191"/>
      <c r="I551" s="188"/>
      <c r="J551" s="190" t="e">
        <f ca="1">VLOOKUP($D551,物料本月库存明細!$B:$J,9,0)</f>
        <v>#N/A</v>
      </c>
    </row>
    <row r="552" customHeight="1" spans="1:10">
      <c r="A552" s="205"/>
      <c r="B552" s="187"/>
      <c r="C552" s="205"/>
      <c r="D552" s="196"/>
      <c r="E552" s="188" t="e">
        <f ca="1">VLOOKUP($D552,物料本月库存明細!$B:$J,2,0)</f>
        <v>#N/A</v>
      </c>
      <c r="F552" s="189" t="e">
        <f ca="1">VLOOKUP($D552,物料本月库存明細!$B:$J,5,0)</f>
        <v>#N/A</v>
      </c>
      <c r="G552" s="190"/>
      <c r="H552" s="191"/>
      <c r="I552" s="188"/>
      <c r="J552" s="190" t="e">
        <f ca="1">VLOOKUP($D552,物料本月库存明細!$B:$J,9,0)</f>
        <v>#N/A</v>
      </c>
    </row>
    <row r="553" customHeight="1" spans="1:10">
      <c r="A553" s="205"/>
      <c r="B553" s="187"/>
      <c r="C553" s="205"/>
      <c r="D553" s="204"/>
      <c r="E553" s="188" t="e">
        <f ca="1">VLOOKUP($D553,物料本月库存明細!$B:$J,2,0)</f>
        <v>#N/A</v>
      </c>
      <c r="F553" s="189" t="e">
        <f ca="1">VLOOKUP($D553,物料本月库存明細!$B:$J,5,0)</f>
        <v>#N/A</v>
      </c>
      <c r="G553" s="190"/>
      <c r="H553" s="191"/>
      <c r="I553" s="188"/>
      <c r="J553" s="190" t="e">
        <f ca="1">VLOOKUP($D553,物料本月库存明細!$B:$J,9,0)</f>
        <v>#N/A</v>
      </c>
    </row>
    <row r="554" customHeight="1" spans="1:10">
      <c r="A554" s="206"/>
      <c r="B554" s="187"/>
      <c r="C554" s="205"/>
      <c r="D554" s="196"/>
      <c r="E554" s="188" t="e">
        <f ca="1">VLOOKUP($D554,物料本月库存明細!$B:$J,2,0)</f>
        <v>#N/A</v>
      </c>
      <c r="F554" s="189" t="e">
        <f ca="1">VLOOKUP($D554,物料本月库存明細!$B:$J,5,0)</f>
        <v>#N/A</v>
      </c>
      <c r="G554" s="190"/>
      <c r="H554" s="191"/>
      <c r="I554" s="188"/>
      <c r="J554" s="190" t="e">
        <f ca="1">VLOOKUP($D554,物料本月库存明細!$B:$J,9,0)</f>
        <v>#N/A</v>
      </c>
    </row>
    <row r="555" customHeight="1" spans="1:10">
      <c r="A555" s="205"/>
      <c r="B555" s="187"/>
      <c r="C555" s="205"/>
      <c r="D555" s="196"/>
      <c r="E555" s="188" t="e">
        <f ca="1">VLOOKUP($D555,物料本月库存明細!$B:$J,2,0)</f>
        <v>#N/A</v>
      </c>
      <c r="F555" s="189" t="e">
        <f ca="1">VLOOKUP($D555,物料本月库存明細!$B:$J,5,0)</f>
        <v>#N/A</v>
      </c>
      <c r="G555" s="190"/>
      <c r="H555" s="191"/>
      <c r="I555" s="188"/>
      <c r="J555" s="190" t="e">
        <f ca="1">VLOOKUP($D555,物料本月库存明細!$B:$J,9,0)</f>
        <v>#N/A</v>
      </c>
    </row>
    <row r="556" customHeight="1" spans="1:10">
      <c r="A556" s="175"/>
      <c r="B556" s="187"/>
      <c r="D556" s="196"/>
      <c r="E556" s="188" t="e">
        <f ca="1">VLOOKUP($D556,物料本月库存明細!$B:$J,2,0)</f>
        <v>#N/A</v>
      </c>
      <c r="F556" s="189" t="e">
        <f ca="1">VLOOKUP($D556,物料本月库存明細!$B:$J,5,0)</f>
        <v>#N/A</v>
      </c>
      <c r="G556" s="190"/>
      <c r="H556" s="191"/>
      <c r="I556" s="188"/>
      <c r="J556" s="190" t="e">
        <f ca="1">VLOOKUP($D556,物料本月库存明細!$B:$J,9,0)</f>
        <v>#N/A</v>
      </c>
    </row>
    <row r="557" customHeight="1" spans="1:10">
      <c r="A557" s="175"/>
      <c r="B557" s="187"/>
      <c r="D557" s="196"/>
      <c r="E557" s="188" t="e">
        <f ca="1">VLOOKUP($D557,物料本月库存明細!$B:$J,2,0)</f>
        <v>#N/A</v>
      </c>
      <c r="F557" s="189" t="e">
        <f ca="1">VLOOKUP($D557,物料本月库存明細!$B:$J,5,0)</f>
        <v>#N/A</v>
      </c>
      <c r="G557" s="190"/>
      <c r="H557" s="191"/>
      <c r="I557" s="188"/>
      <c r="J557" s="190" t="e">
        <f ca="1">VLOOKUP($D557,物料本月库存明細!$B:$J,9,0)</f>
        <v>#N/A</v>
      </c>
    </row>
    <row r="558" customHeight="1" spans="1:10">
      <c r="A558" s="175"/>
      <c r="B558" s="187"/>
      <c r="D558" s="196"/>
      <c r="E558" s="188" t="e">
        <f ca="1">VLOOKUP($D558,物料本月库存明細!$B:$J,2,0)</f>
        <v>#N/A</v>
      </c>
      <c r="F558" s="189" t="e">
        <f ca="1">VLOOKUP($D558,物料本月库存明細!$B:$J,5,0)</f>
        <v>#N/A</v>
      </c>
      <c r="G558" s="190"/>
      <c r="H558" s="191"/>
      <c r="I558" s="188"/>
      <c r="J558" s="190" t="e">
        <f ca="1">VLOOKUP($D558,物料本月库存明細!$B:$J,9,0)</f>
        <v>#N/A</v>
      </c>
    </row>
    <row r="559" customHeight="1" spans="1:10">
      <c r="E559" s="188" t="e">
        <f ca="1">VLOOKUP($D559,物料本月库存明細!$B:$J,2,0)</f>
        <v>#N/A</v>
      </c>
      <c r="F559" s="189" t="e">
        <f ca="1">VLOOKUP($D559,物料本月库存明細!$B:$J,5,0)</f>
        <v>#N/A</v>
      </c>
      <c r="J559" s="190" t="e">
        <f ca="1">VLOOKUP($D559,物料本月库存明細!$B:$J,9,0)</f>
        <v>#N/A</v>
      </c>
    </row>
    <row r="560" customHeight="1" spans="1:10">
      <c r="E560" s="188" t="e">
        <f ca="1">VLOOKUP($D560,物料本月库存明細!$B:$J,2,0)</f>
        <v>#N/A</v>
      </c>
      <c r="F560" s="189" t="e">
        <f ca="1">VLOOKUP($D560,物料本月库存明細!$B:$J,5,0)</f>
        <v>#N/A</v>
      </c>
      <c r="J560" s="190" t="e">
        <f ca="1">VLOOKUP($D560,物料本月库存明細!$B:$J,9,0)</f>
        <v>#N/A</v>
      </c>
    </row>
  </sheetData>
  <dataValidations count="1">
    <dataValidation type="list" allowBlank="1" showInputMessage="1" showErrorMessage="1" sqref="D1 D559:D51086">
      <formula1>料號</formula1>
    </dataValidation>
  </dataValidations>
  <pageMargins left="0.338888888888889" right="0.388888888888889" top="0.55" bottom="0.41875" header="0.25" footer="0.318055555555556"/>
  <pageSetup paperSize="9" orientation="portrait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20"/>
  <sheetViews>
    <sheetView showGridLines="0" workbookViewId="0">
      <pane xSplit="3" ySplit="1" topLeftCell="D2" activePane="bottomRight" state="frozen"/>
      <selection/>
      <selection pane="topRight"/>
      <selection pane="bottomLeft"/>
      <selection pane="bottomRight" activeCell="K15" sqref="K15"/>
    </sheetView>
  </sheetViews>
  <sheetFormatPr defaultColWidth="9" defaultRowHeight="16.5"/>
  <cols>
    <col min="1" max="1" width="5.375" style="6" customWidth="1"/>
    <col min="2" max="2" width="10.825" style="6" customWidth="1"/>
    <col min="3" max="3" width="39.25" style="7" customWidth="1"/>
    <col min="4" max="4" width="15" style="8" customWidth="1"/>
    <col min="5" max="5" width="14.375" style="8" customWidth="1"/>
    <col min="6" max="7" width="8.875" style="8" customWidth="1"/>
    <col min="8" max="8" width="13" style="9" customWidth="1"/>
    <col min="9" max="9" width="7.75" style="10" customWidth="1"/>
    <col min="10" max="10" width="11" style="10" customWidth="1"/>
    <col min="11" max="11" width="31" style="11" customWidth="1"/>
    <col min="12" max="12" width="20.375" style="6" customWidth="1"/>
    <col min="13" max="13" width="18" style="6" customWidth="1"/>
    <col min="14" max="16384" width="9" style="6"/>
  </cols>
  <sheetData>
    <row r="1" s="1" customFormat="1" ht="28.5" customHeight="1" spans="1:13">
      <c r="A1" s="12" t="s">
        <v>1</v>
      </c>
      <c r="B1" s="12" t="s">
        <v>3</v>
      </c>
      <c r="C1" s="13" t="s">
        <v>187</v>
      </c>
      <c r="D1" s="14" t="s">
        <v>188</v>
      </c>
      <c r="E1" s="15" t="s">
        <v>7</v>
      </c>
      <c r="F1" s="16" t="s">
        <v>5</v>
      </c>
      <c r="G1" s="17" t="s">
        <v>189</v>
      </c>
      <c r="H1" s="18" t="s">
        <v>190</v>
      </c>
      <c r="I1" s="18" t="s">
        <v>191</v>
      </c>
      <c r="J1" s="19" t="s">
        <v>192</v>
      </c>
      <c r="K1" s="20"/>
      <c r="L1" s="21" t="s">
        <v>193</v>
      </c>
      <c r="M1" s="3"/>
    </row>
    <row r="2" s="1" customFormat="1" spans="1:13">
      <c r="A2" s="22">
        <v>1</v>
      </c>
      <c r="B2" s="23" t="s">
        <v>194</v>
      </c>
      <c r="C2" s="24" t="s">
        <v>195</v>
      </c>
      <c r="D2" s="25" t="s">
        <v>196</v>
      </c>
      <c r="E2" s="19" t="s">
        <v>76</v>
      </c>
      <c r="F2" s="26" t="s">
        <v>197</v>
      </c>
      <c r="G2" s="27">
        <f>SUMIF(物料月初库存!$C$3:$C$303,$B2,物料月初库存!$F$3:$F$303)</f>
        <v>0</v>
      </c>
      <c r="H2" s="28">
        <f>SUMIF(半成品入库明细!$D$2:$D$650,$B2,半成品入库明细!$G$2:$G$650)</f>
        <v>0</v>
      </c>
      <c r="I2" s="28">
        <f ca="1">SUMIF(半成品出库明细!$D$2:$D$558,$B2,半成品出库明细!$G$2:$G$2)</f>
        <v>0</v>
      </c>
      <c r="J2" s="28">
        <f ca="1" t="shared" ref="J2:J65" si="0">G2+H2-I2</f>
        <v>0</v>
      </c>
      <c r="K2" s="29"/>
      <c r="L2" s="19"/>
      <c r="M2" s="3"/>
    </row>
    <row r="3" s="1" customFormat="1" spans="1:13">
      <c r="A3" s="22">
        <v>2</v>
      </c>
      <c r="B3" s="23" t="s">
        <v>198</v>
      </c>
      <c r="C3" s="24" t="s">
        <v>195</v>
      </c>
      <c r="D3" s="25" t="s">
        <v>196</v>
      </c>
      <c r="E3" s="19" t="s">
        <v>199</v>
      </c>
      <c r="F3" s="26" t="s">
        <v>197</v>
      </c>
      <c r="G3" s="27">
        <f>SUMIF(物料月初库存!$C$3:$C$303,$B3,物料月初库存!$F$3:$F$303)</f>
        <v>0</v>
      </c>
      <c r="H3" s="28">
        <f>SUMIF(半成品入库明细!$D$2:$D$650,$B3,半成品入库明细!$G$2:$G$650)</f>
        <v>0</v>
      </c>
      <c r="I3" s="28">
        <f ca="1">SUMIF(半成品出库明细!$D$2:$D$558,$B3,半成品出库明细!$G$2:$G$2)</f>
        <v>0</v>
      </c>
      <c r="J3" s="28">
        <f ca="1" t="shared" si="0"/>
        <v>0</v>
      </c>
      <c r="K3" s="30" t="s">
        <v>173</v>
      </c>
      <c r="L3" s="19"/>
      <c r="M3" s="3"/>
    </row>
    <row r="4" s="1" customFormat="1" spans="1:13">
      <c r="A4" s="22">
        <v>3</v>
      </c>
      <c r="B4" s="23" t="s">
        <v>200</v>
      </c>
      <c r="C4" s="24" t="s">
        <v>195</v>
      </c>
      <c r="D4" s="25" t="s">
        <v>196</v>
      </c>
      <c r="E4" s="28" t="s">
        <v>201</v>
      </c>
      <c r="F4" s="26" t="s">
        <v>197</v>
      </c>
      <c r="G4" s="27">
        <f>SUMIF(物料月初库存!$C$3:$C$303,$B4,物料月初库存!$F$3:$F$303)</f>
        <v>0</v>
      </c>
      <c r="H4" s="28">
        <f>SUMIF(半成品入库明细!$D$2:$D$650,$B4,半成品入库明细!$G$2:$G$650)</f>
        <v>0</v>
      </c>
      <c r="I4" s="28">
        <f ca="1">SUMIF(半成品出库明细!$D$2:$D$558,$B4,半成品出库明细!$G$2:$G$2)</f>
        <v>0</v>
      </c>
      <c r="J4" s="28">
        <f ca="1" t="shared" si="0"/>
        <v>0</v>
      </c>
      <c r="K4" s="30" t="s">
        <v>183</v>
      </c>
      <c r="L4" s="31" t="s">
        <v>202</v>
      </c>
      <c r="M4" s="3"/>
    </row>
    <row r="5" s="1" customFormat="1" spans="1:13">
      <c r="A5" s="22">
        <v>4</v>
      </c>
      <c r="B5" s="23" t="s">
        <v>203</v>
      </c>
      <c r="C5" s="24" t="s">
        <v>204</v>
      </c>
      <c r="D5" s="25" t="s">
        <v>196</v>
      </c>
      <c r="E5" s="19" t="s">
        <v>76</v>
      </c>
      <c r="F5" s="26" t="s">
        <v>197</v>
      </c>
      <c r="G5" s="27">
        <f>SUMIF(物料月初库存!$C$3:$C$303,$B5,物料月初库存!$F$3:$F$303)</f>
        <v>0</v>
      </c>
      <c r="H5" s="28">
        <f>SUMIF(半成品入库明细!$D$2:$D$650,$B5,半成品入库明细!$G$2:$G$650)</f>
        <v>0</v>
      </c>
      <c r="I5" s="28">
        <f ca="1">SUMIF(半成品出库明细!$D$2:$D$558,$B5,半成品出库明细!$G$2:$G$2)</f>
        <v>0</v>
      </c>
      <c r="J5" s="28">
        <f ca="1" t="shared" si="0"/>
        <v>0</v>
      </c>
      <c r="K5" s="29"/>
      <c r="L5" s="19"/>
      <c r="M5" s="3"/>
    </row>
    <row r="6" s="1" customFormat="1" spans="1:13">
      <c r="A6" s="22">
        <v>5</v>
      </c>
      <c r="B6" s="23" t="s">
        <v>205</v>
      </c>
      <c r="C6" s="24" t="s">
        <v>204</v>
      </c>
      <c r="D6" s="25" t="s">
        <v>196</v>
      </c>
      <c r="E6" s="19" t="s">
        <v>199</v>
      </c>
      <c r="F6" s="26" t="s">
        <v>197</v>
      </c>
      <c r="G6" s="27">
        <f>SUMIF(物料月初库存!$C$3:$C$303,$B6,物料月初库存!$F$3:$F$303)</f>
        <v>0</v>
      </c>
      <c r="H6" s="28">
        <f>SUMIF(半成品入库明细!$D$2:$D$650,$B6,半成品入库明细!$G$2:$G$650)</f>
        <v>0</v>
      </c>
      <c r="I6" s="28">
        <f ca="1">SUMIF(半成品出库明细!$D$2:$D$558,$B6,半成品出库明细!$G$2:$G$2)</f>
        <v>0</v>
      </c>
      <c r="J6" s="28">
        <f ca="1" t="shared" si="0"/>
        <v>0</v>
      </c>
      <c r="K6" s="32" t="s">
        <v>173</v>
      </c>
      <c r="L6" s="1"/>
      <c r="M6" s="3"/>
    </row>
    <row r="7" s="1" customFormat="1" spans="1:13">
      <c r="A7" s="22">
        <v>6</v>
      </c>
      <c r="B7" s="23" t="s">
        <v>206</v>
      </c>
      <c r="C7" s="24" t="s">
        <v>204</v>
      </c>
      <c r="D7" s="25" t="s">
        <v>196</v>
      </c>
      <c r="E7" s="28" t="s">
        <v>201</v>
      </c>
      <c r="F7" s="26" t="s">
        <v>197</v>
      </c>
      <c r="G7" s="27">
        <f>SUMIF(物料月初库存!$C$3:$C$303,$B7,物料月初库存!$F$3:$F$303)</f>
        <v>0</v>
      </c>
      <c r="H7" s="28">
        <f>SUMIF(半成品入库明细!$D$2:$D$650,$B7,半成品入库明细!$G$2:$G$650)</f>
        <v>0</v>
      </c>
      <c r="I7" s="28">
        <f ca="1">SUMIF(半成品出库明细!$D$2:$D$558,$B7,半成品出库明细!$G$2:$G$2)</f>
        <v>0</v>
      </c>
      <c r="J7" s="28">
        <f ca="1" t="shared" si="0"/>
        <v>0</v>
      </c>
      <c r="K7" s="30" t="s">
        <v>183</v>
      </c>
      <c r="L7" s="31" t="s">
        <v>202</v>
      </c>
      <c r="M7" s="3"/>
    </row>
    <row r="8" s="1" customFormat="1" spans="1:13">
      <c r="A8" s="22">
        <v>7</v>
      </c>
      <c r="B8" s="23" t="s">
        <v>207</v>
      </c>
      <c r="C8" s="25" t="s">
        <v>208</v>
      </c>
      <c r="D8" s="25" t="s">
        <v>196</v>
      </c>
      <c r="E8" s="19" t="s">
        <v>76</v>
      </c>
      <c r="F8" s="26" t="s">
        <v>197</v>
      </c>
      <c r="G8" s="27">
        <f>SUMIF(物料月初库存!$C$3:$C$303,$B8,物料月初库存!$F$3:$F$303)</f>
        <v>0</v>
      </c>
      <c r="H8" s="28">
        <f>SUMIF(半成品入库明细!$D$2:$D$650,$B8,半成品入库明细!$G$2:$G$650)</f>
        <v>0</v>
      </c>
      <c r="I8" s="28">
        <f ca="1">SUMIF(半成品出库明细!$D$2:$D$558,$B8,半成品出库明细!$G$2:$G$2)</f>
        <v>0</v>
      </c>
      <c r="J8" s="28">
        <f ca="1" t="shared" si="0"/>
        <v>0</v>
      </c>
      <c r="K8" s="29"/>
      <c r="L8" s="19"/>
      <c r="M8" s="3"/>
    </row>
    <row r="9" s="1" customFormat="1" spans="1:13">
      <c r="A9" s="22">
        <v>8</v>
      </c>
      <c r="B9" s="23" t="s">
        <v>209</v>
      </c>
      <c r="C9" s="25" t="s">
        <v>208</v>
      </c>
      <c r="D9" s="25" t="s">
        <v>196</v>
      </c>
      <c r="E9" s="19" t="s">
        <v>199</v>
      </c>
      <c r="F9" s="26" t="s">
        <v>197</v>
      </c>
      <c r="G9" s="27">
        <f>SUMIF(物料月初库存!$C$3:$C$303,$B9,物料月初库存!$F$3:$F$303)</f>
        <v>0</v>
      </c>
      <c r="H9" s="28">
        <f>SUMIF(半成品入库明细!$D$2:$D$650,$B9,半成品入库明细!$G$2:$G$650)</f>
        <v>0</v>
      </c>
      <c r="I9" s="28">
        <f ca="1">SUMIF(半成品出库明细!$D$2:$D$558,$B9,半成品出库明细!$G$2:$G$2)</f>
        <v>0</v>
      </c>
      <c r="J9" s="28">
        <f ca="1" t="shared" si="0"/>
        <v>0</v>
      </c>
      <c r="K9" s="29" t="s">
        <v>210</v>
      </c>
      <c r="L9" s="31" t="s">
        <v>202</v>
      </c>
      <c r="M9" s="3"/>
    </row>
    <row r="10" s="1" customFormat="1" spans="1:13">
      <c r="A10" s="22">
        <v>9</v>
      </c>
      <c r="B10" s="23" t="s">
        <v>211</v>
      </c>
      <c r="C10" s="25" t="s">
        <v>212</v>
      </c>
      <c r="D10" s="25" t="s">
        <v>196</v>
      </c>
      <c r="E10" s="19" t="s">
        <v>76</v>
      </c>
      <c r="F10" s="26" t="s">
        <v>197</v>
      </c>
      <c r="G10" s="27">
        <f>SUMIF(物料月初库存!$C$3:$C$303,$B10,物料月初库存!$F$3:$F$303)</f>
        <v>0</v>
      </c>
      <c r="H10" s="28">
        <f>SUMIF(半成品入库明细!$D$2:$D$650,$B10,半成品入库明细!$G$2:$G$650)</f>
        <v>0</v>
      </c>
      <c r="I10" s="28">
        <f ca="1">SUMIF(半成品出库明细!$D$2:$D$558,$B10,半成品出库明细!$G$2:$G$2)</f>
        <v>0</v>
      </c>
      <c r="J10" s="28">
        <f ca="1" t="shared" si="0"/>
        <v>0</v>
      </c>
      <c r="K10" s="29"/>
      <c r="L10" s="19"/>
      <c r="M10" s="3"/>
    </row>
    <row r="11" s="2" customFormat="1" spans="1:13">
      <c r="A11" s="22">
        <v>10</v>
      </c>
      <c r="B11" s="23" t="s">
        <v>213</v>
      </c>
      <c r="C11" s="25" t="s">
        <v>212</v>
      </c>
      <c r="D11" s="25" t="s">
        <v>196</v>
      </c>
      <c r="E11" s="19" t="s">
        <v>199</v>
      </c>
      <c r="F11" s="26" t="s">
        <v>197</v>
      </c>
      <c r="G11" s="27">
        <f>SUMIF(物料月初库存!$C$3:$C$303,$B11,物料月初库存!$F$3:$F$303)</f>
        <v>0</v>
      </c>
      <c r="H11" s="28">
        <f>SUMIF(半成品入库明细!$D$2:$D$650,$B11,半成品入库明细!$G$2:$G$650)</f>
        <v>0</v>
      </c>
      <c r="I11" s="28">
        <f ca="1">SUMIF(半成品出库明细!$D$2:$D$558,$B11,半成品出库明细!$G$2:$G$2)</f>
        <v>0</v>
      </c>
      <c r="J11" s="28">
        <f ca="1" t="shared" si="0"/>
        <v>0</v>
      </c>
      <c r="K11" s="29" t="s">
        <v>214</v>
      </c>
      <c r="L11" s="31" t="s">
        <v>202</v>
      </c>
    </row>
    <row r="12" s="1" customFormat="1" spans="1:13">
      <c r="A12" s="22">
        <v>11</v>
      </c>
      <c r="B12" s="23" t="s">
        <v>215</v>
      </c>
      <c r="C12" s="25" t="s">
        <v>216</v>
      </c>
      <c r="D12" s="33" t="s">
        <v>196</v>
      </c>
      <c r="E12" s="19" t="s">
        <v>76</v>
      </c>
      <c r="F12" s="26" t="s">
        <v>197</v>
      </c>
      <c r="G12" s="27">
        <f>SUMIF(物料月初库存!$C$3:$C$303,$B12,物料月初库存!$F$3:$F$303)</f>
        <v>0</v>
      </c>
      <c r="H12" s="28">
        <f>SUMIF(半成品入库明细!$D$2:$D$650,$B12,半成品入库明细!$G$2:$G$650)</f>
        <v>0</v>
      </c>
      <c r="I12" s="28">
        <f ca="1">SUMIF(半成品出库明细!$D$2:$D$558,$B12,半成品出库明细!$G$2:$G$2)</f>
        <v>0</v>
      </c>
      <c r="J12" s="28">
        <f ca="1" t="shared" si="0"/>
        <v>0</v>
      </c>
      <c r="K12" s="30"/>
      <c r="L12" s="31"/>
      <c r="M12" s="3"/>
    </row>
    <row r="13" s="1" customFormat="1" spans="1:13">
      <c r="A13" s="22">
        <v>12</v>
      </c>
      <c r="B13" s="23" t="s">
        <v>217</v>
      </c>
      <c r="C13" s="25" t="s">
        <v>216</v>
      </c>
      <c r="D13" s="33" t="s">
        <v>196</v>
      </c>
      <c r="E13" s="19" t="s">
        <v>199</v>
      </c>
      <c r="F13" s="26" t="s">
        <v>197</v>
      </c>
      <c r="G13" s="27">
        <f>SUMIF(物料月初库存!$C$3:$C$303,$B13,物料月初库存!$F$3:$F$303)</f>
        <v>0</v>
      </c>
      <c r="H13" s="28">
        <f>SUMIF(半成品入库明细!$D$2:$D$650,$B13,半成品入库明细!$G$2:$G$650)</f>
        <v>0</v>
      </c>
      <c r="I13" s="28">
        <f ca="1">SUMIF(半成品出库明细!$D$2:$D$558,$B13,半成品出库明细!$G$2:$G$2)</f>
        <v>0</v>
      </c>
      <c r="J13" s="28">
        <f ca="1" t="shared" si="0"/>
        <v>0</v>
      </c>
      <c r="K13" s="30" t="s">
        <v>218</v>
      </c>
      <c r="L13" s="34" t="s">
        <v>202</v>
      </c>
      <c r="M13" s="3"/>
    </row>
    <row r="14" s="1" customFormat="1" spans="1:13">
      <c r="A14" s="22">
        <v>13</v>
      </c>
      <c r="B14" s="23" t="s">
        <v>219</v>
      </c>
      <c r="C14" s="25" t="s">
        <v>220</v>
      </c>
      <c r="D14" s="25" t="s">
        <v>196</v>
      </c>
      <c r="E14" s="19" t="s">
        <v>76</v>
      </c>
      <c r="F14" s="26" t="s">
        <v>197</v>
      </c>
      <c r="G14" s="27">
        <f>SUMIF(物料月初库存!$C$3:$C$303,$B14,物料月初库存!$F$3:$F$303)</f>
        <v>0</v>
      </c>
      <c r="H14" s="28">
        <f>SUMIF(半成品入库明细!$D$2:$D$650,$B14,半成品入库明细!$G$2:$G$650)</f>
        <v>0</v>
      </c>
      <c r="I14" s="28">
        <f ca="1">SUMIF(半成品出库明细!$D$2:$D$558,$B14,半成品出库明细!$G$2:$G$2)</f>
        <v>0</v>
      </c>
      <c r="J14" s="28">
        <f ca="1" t="shared" si="0"/>
        <v>0</v>
      </c>
      <c r="K14" s="29"/>
      <c r="L14" s="34"/>
      <c r="M14" s="3"/>
    </row>
    <row r="15" s="1" customFormat="1" spans="1:13">
      <c r="A15" s="22">
        <v>14</v>
      </c>
      <c r="B15" s="23" t="s">
        <v>221</v>
      </c>
      <c r="C15" s="25" t="s">
        <v>220</v>
      </c>
      <c r="D15" s="25" t="s">
        <v>196</v>
      </c>
      <c r="E15" s="19" t="s">
        <v>222</v>
      </c>
      <c r="F15" s="26" t="s">
        <v>197</v>
      </c>
      <c r="G15" s="27">
        <f>SUMIF(物料月初库存!$C$3:$C$303,$B15,物料月初库存!$F$3:$F$303)</f>
        <v>0</v>
      </c>
      <c r="H15" s="28">
        <f>SUMIF(半成品入库明细!$D$2:$D$650,$B15,半成品入库明细!$G$2:$G$650)</f>
        <v>0</v>
      </c>
      <c r="I15" s="28">
        <f ca="1">SUMIF(半成品出库明细!$D$2:$D$558,$B15,半成品出库明细!$G$2:$G$2)</f>
        <v>0</v>
      </c>
      <c r="J15" s="28">
        <f ca="1" t="shared" si="0"/>
        <v>0</v>
      </c>
      <c r="K15" s="35" t="s">
        <v>223</v>
      </c>
      <c r="L15" s="34"/>
      <c r="M15" s="3"/>
    </row>
    <row r="16" s="1" customFormat="1" spans="1:13">
      <c r="A16" s="22">
        <v>15</v>
      </c>
      <c r="B16" s="23" t="s">
        <v>224</v>
      </c>
      <c r="C16" s="25" t="s">
        <v>220</v>
      </c>
      <c r="D16" s="25" t="s">
        <v>196</v>
      </c>
      <c r="E16" s="19" t="s">
        <v>225</v>
      </c>
      <c r="F16" s="26" t="s">
        <v>197</v>
      </c>
      <c r="G16" s="27">
        <f>SUMIF(物料月初库存!$C$3:$C$303,$B16,物料月初库存!$F$3:$F$303)</f>
        <v>0</v>
      </c>
      <c r="H16" s="28">
        <f>SUMIF(半成品入库明细!$D$2:$D$650,$B16,半成品入库明细!$G$2:$G$650)</f>
        <v>0</v>
      </c>
      <c r="I16" s="28">
        <f ca="1">SUMIF(半成品出库明细!$D$2:$D$558,$B16,半成品出库明细!$G$2:$G$2)</f>
        <v>0</v>
      </c>
      <c r="J16" s="28">
        <f ca="1" t="shared" si="0"/>
        <v>0</v>
      </c>
      <c r="K16" s="30" t="s">
        <v>92</v>
      </c>
      <c r="L16" s="34"/>
      <c r="M16" s="3"/>
    </row>
    <row r="17" s="1" customFormat="1" spans="1:13">
      <c r="A17" s="22">
        <v>16</v>
      </c>
      <c r="B17" s="23" t="s">
        <v>226</v>
      </c>
      <c r="C17" s="25" t="s">
        <v>220</v>
      </c>
      <c r="D17" s="25" t="s">
        <v>196</v>
      </c>
      <c r="E17" s="19" t="s">
        <v>227</v>
      </c>
      <c r="F17" s="26" t="s">
        <v>197</v>
      </c>
      <c r="G17" s="27">
        <f>SUMIF(物料月初库存!$C$3:$C$303,$B17,物料月初库存!$F$3:$F$303)</f>
        <v>0</v>
      </c>
      <c r="H17" s="28">
        <f>SUMIF(半成品入库明细!$D$2:$D$650,$B17,半成品入库明细!$G$2:$G$650)</f>
        <v>0</v>
      </c>
      <c r="I17" s="28">
        <f ca="1">SUMIF(半成品出库明细!$D$2:$D$558,$B17,半成品出库明细!$G$2:$G$2)</f>
        <v>0</v>
      </c>
      <c r="J17" s="28">
        <f ca="1" t="shared" si="0"/>
        <v>0</v>
      </c>
      <c r="K17" s="30" t="s">
        <v>183</v>
      </c>
      <c r="L17" s="34" t="s">
        <v>202</v>
      </c>
      <c r="M17" s="3"/>
    </row>
    <row r="18" s="1" customFormat="1" spans="1:13">
      <c r="A18" s="22">
        <v>17</v>
      </c>
      <c r="B18" s="23" t="s">
        <v>228</v>
      </c>
      <c r="C18" s="25" t="s">
        <v>229</v>
      </c>
      <c r="D18" s="25" t="s">
        <v>196</v>
      </c>
      <c r="E18" s="19" t="s">
        <v>76</v>
      </c>
      <c r="F18" s="26" t="s">
        <v>197</v>
      </c>
      <c r="G18" s="27">
        <f>SUMIF(物料月初库存!$C$3:$C$303,$B18,物料月初库存!$F$3:$F$303)</f>
        <v>0</v>
      </c>
      <c r="H18" s="28">
        <f>SUMIF(半成品入库明细!$D$2:$D$650,$B18,半成品入库明细!$G$2:$G$650)</f>
        <v>0</v>
      </c>
      <c r="I18" s="28">
        <f ca="1">SUMIF(半成品出库明细!$D$2:$D$558,$B18,半成品出库明细!$G$2:$G$2)</f>
        <v>0</v>
      </c>
      <c r="J18" s="28">
        <f ca="1" t="shared" si="0"/>
        <v>0</v>
      </c>
      <c r="K18" s="29"/>
      <c r="L18" s="34"/>
      <c r="M18" s="3"/>
    </row>
    <row r="19" s="1" customFormat="1" spans="1:13">
      <c r="A19" s="22">
        <v>19</v>
      </c>
      <c r="B19" s="23" t="s">
        <v>230</v>
      </c>
      <c r="C19" s="25" t="s">
        <v>229</v>
      </c>
      <c r="D19" s="25" t="s">
        <v>196</v>
      </c>
      <c r="E19" s="19" t="s">
        <v>225</v>
      </c>
      <c r="F19" s="26" t="s">
        <v>197</v>
      </c>
      <c r="G19" s="27">
        <f>SUMIF(物料月初库存!$C$3:$C$303,$B19,物料月初库存!$F$3:$F$303)</f>
        <v>0</v>
      </c>
      <c r="H19" s="28">
        <f>SUMIF(半成品入库明细!$D$2:$D$650,$B19,半成品入库明细!$G$2:$G$650)</f>
        <v>0</v>
      </c>
      <c r="I19" s="28">
        <f ca="1">SUMIF(半成品出库明细!$D$2:$D$558,$B19,半成品出库明细!$G$2:$G$2)</f>
        <v>0</v>
      </c>
      <c r="J19" s="28">
        <f ca="1" t="shared" si="0"/>
        <v>0</v>
      </c>
      <c r="K19" s="29" t="s">
        <v>92</v>
      </c>
      <c r="L19" s="34"/>
      <c r="M19" s="3"/>
    </row>
    <row r="20" s="1" customFormat="1" spans="1:13">
      <c r="A20" s="22">
        <v>20</v>
      </c>
      <c r="B20" s="23" t="s">
        <v>231</v>
      </c>
      <c r="C20" s="25" t="s">
        <v>229</v>
      </c>
      <c r="D20" s="25" t="s">
        <v>196</v>
      </c>
      <c r="E20" s="19" t="s">
        <v>227</v>
      </c>
      <c r="F20" s="26" t="s">
        <v>197</v>
      </c>
      <c r="G20" s="27">
        <f>SUMIF(物料月初库存!$C$3:$C$303,$B20,物料月初库存!$F$3:$F$303)</f>
        <v>0</v>
      </c>
      <c r="H20" s="28">
        <f>SUMIF(半成品入库明细!$D$2:$D$650,$B20,半成品入库明细!$G$2:$G$650)</f>
        <v>0</v>
      </c>
      <c r="I20" s="28">
        <f ca="1">SUMIF(半成品出库明细!$D$2:$D$558,$B20,半成品出库明细!$G$2:$G$2)</f>
        <v>0</v>
      </c>
      <c r="J20" s="28">
        <f ca="1" t="shared" si="0"/>
        <v>0</v>
      </c>
      <c r="K20" s="30" t="s">
        <v>183</v>
      </c>
      <c r="L20" s="34" t="s">
        <v>202</v>
      </c>
      <c r="M20" s="3"/>
    </row>
    <row r="21" s="1" customFormat="1" spans="1:13">
      <c r="A21" s="22">
        <v>21</v>
      </c>
      <c r="B21" s="23" t="s">
        <v>232</v>
      </c>
      <c r="C21" s="25" t="s">
        <v>233</v>
      </c>
      <c r="D21" s="25" t="s">
        <v>196</v>
      </c>
      <c r="E21" s="19" t="s">
        <v>76</v>
      </c>
      <c r="F21" s="26" t="s">
        <v>197</v>
      </c>
      <c r="G21" s="27">
        <f>SUMIF(物料月初库存!$C$3:$C$303,$B21,物料月初库存!$F$3:$F$303)</f>
        <v>0</v>
      </c>
      <c r="H21" s="28">
        <f>SUMIF(半成品入库明细!$D$2:$D$650,$B21,半成品入库明细!$G$2:$G$650)</f>
        <v>0</v>
      </c>
      <c r="I21" s="28">
        <f ca="1">SUMIF(半成品出库明细!$D$2:$D$558,$B21,半成品出库明细!$G$2:$G$2)</f>
        <v>0</v>
      </c>
      <c r="J21" s="28">
        <f ca="1" t="shared" si="0"/>
        <v>0</v>
      </c>
      <c r="K21" s="29"/>
      <c r="L21" s="34"/>
      <c r="M21" s="3"/>
    </row>
    <row r="22" s="1" customFormat="1" spans="1:13">
      <c r="A22" s="22">
        <v>22</v>
      </c>
      <c r="B22" s="23" t="s">
        <v>234</v>
      </c>
      <c r="C22" s="25" t="s">
        <v>233</v>
      </c>
      <c r="D22" s="25" t="s">
        <v>196</v>
      </c>
      <c r="E22" s="19" t="s">
        <v>235</v>
      </c>
      <c r="F22" s="26" t="s">
        <v>197</v>
      </c>
      <c r="G22" s="27">
        <f>SUMIF(物料月初库存!$C$3:$C$303,$B22,物料月初库存!$F$3:$F$303)</f>
        <v>0</v>
      </c>
      <c r="H22" s="28">
        <f>SUMIF(半成品入库明细!$D$2:$D$650,$B22,半成品入库明细!$G$2:$G$650)</f>
        <v>0</v>
      </c>
      <c r="I22" s="28">
        <f ca="1">SUMIF(半成品出库明细!$D$2:$D$558,$B22,半成品出库明细!$G$2:$G$2)</f>
        <v>0</v>
      </c>
      <c r="J22" s="28">
        <f ca="1" t="shared" si="0"/>
        <v>0</v>
      </c>
      <c r="K22" s="29" t="s">
        <v>236</v>
      </c>
      <c r="L22" s="34"/>
      <c r="M22" s="3"/>
    </row>
    <row r="23" s="1" customFormat="1" spans="1:13">
      <c r="A23" s="22">
        <v>23</v>
      </c>
      <c r="B23" s="23" t="s">
        <v>237</v>
      </c>
      <c r="C23" s="25" t="s">
        <v>233</v>
      </c>
      <c r="D23" s="25" t="s">
        <v>196</v>
      </c>
      <c r="E23" s="19" t="s">
        <v>199</v>
      </c>
      <c r="F23" s="26" t="s">
        <v>197</v>
      </c>
      <c r="G23" s="27">
        <f>SUMIF(物料月初库存!$C$3:$C$303,$B23,物料月初库存!$F$3:$F$303)</f>
        <v>0</v>
      </c>
      <c r="H23" s="28">
        <f>SUMIF(半成品入库明细!$D$2:$D$650,$B23,半成品入库明细!$G$2:$G$650)</f>
        <v>0</v>
      </c>
      <c r="I23" s="28">
        <f ca="1">SUMIF(半成品出库明细!$D$2:$D$558,$B23,半成品出库明细!$G$2:$G$2)</f>
        <v>0</v>
      </c>
      <c r="J23" s="28">
        <f ca="1" t="shared" si="0"/>
        <v>0</v>
      </c>
      <c r="K23" s="30" t="s">
        <v>173</v>
      </c>
      <c r="L23" s="34" t="s">
        <v>202</v>
      </c>
      <c r="M23" s="3"/>
    </row>
    <row r="24" s="1" customFormat="1" spans="1:13">
      <c r="A24" s="22"/>
      <c r="B24" s="36" t="s">
        <v>238</v>
      </c>
      <c r="C24" s="33" t="s">
        <v>233</v>
      </c>
      <c r="D24" s="33" t="s">
        <v>196</v>
      </c>
      <c r="E24" s="37" t="s">
        <v>239</v>
      </c>
      <c r="F24" s="38" t="s">
        <v>197</v>
      </c>
      <c r="G24" s="39">
        <f>SUMIF(物料月初库存!$C$3:$C$303,$B24,物料月初库存!$F$3:$F$303)</f>
        <v>0</v>
      </c>
      <c r="H24" s="40">
        <f>SUMIF(半成品入库明细!$D$2:$D$650,$B24,半成品入库明细!$G$2:$G$650)</f>
        <v>0</v>
      </c>
      <c r="I24" s="40">
        <f ca="1">SUMIF(半成品出库明细!$D$2:$D$558,$B24,半成品出库明细!$G$2:$G$2)</f>
        <v>0</v>
      </c>
      <c r="J24" s="40">
        <f ca="1" t="shared" si="0"/>
        <v>0</v>
      </c>
      <c r="K24" s="30" t="s">
        <v>240</v>
      </c>
      <c r="L24" s="34"/>
      <c r="M24" s="3"/>
    </row>
    <row r="25" s="1" customFormat="1" spans="1:13">
      <c r="A25" s="22">
        <v>24</v>
      </c>
      <c r="B25" s="23" t="s">
        <v>241</v>
      </c>
      <c r="C25" s="25" t="s">
        <v>242</v>
      </c>
      <c r="D25" s="25" t="s">
        <v>196</v>
      </c>
      <c r="E25" s="19" t="s">
        <v>76</v>
      </c>
      <c r="F25" s="26" t="s">
        <v>197</v>
      </c>
      <c r="G25" s="27">
        <f>SUMIF(物料月初库存!$C$3:$C$303,$B25,物料月初库存!$F$3:$F$303)</f>
        <v>0</v>
      </c>
      <c r="H25" s="28">
        <f>SUMIF(半成品入库明细!$D$2:$D$650,$B25,半成品入库明细!$G$2:$G$650)</f>
        <v>0</v>
      </c>
      <c r="I25" s="28">
        <f ca="1">SUMIF(半成品出库明细!$D$2:$D$558,$B25,半成品出库明细!$G$2:$G$2)</f>
        <v>0</v>
      </c>
      <c r="J25" s="28">
        <f ca="1" t="shared" si="0"/>
        <v>0</v>
      </c>
      <c r="K25" s="29"/>
      <c r="L25" s="34"/>
      <c r="M25" s="3"/>
    </row>
    <row r="26" s="1" customFormat="1" spans="1:13">
      <c r="A26" s="22">
        <v>25</v>
      </c>
      <c r="B26" s="23" t="s">
        <v>243</v>
      </c>
      <c r="C26" s="25" t="s">
        <v>242</v>
      </c>
      <c r="D26" s="25" t="s">
        <v>196</v>
      </c>
      <c r="E26" s="19" t="s">
        <v>235</v>
      </c>
      <c r="F26" s="26" t="s">
        <v>197</v>
      </c>
      <c r="G26" s="27">
        <f>SUMIF(物料月初库存!$C$3:$C$303,$B26,物料月初库存!$F$3:$F$303)</f>
        <v>0</v>
      </c>
      <c r="H26" s="28">
        <f>SUMIF(半成品入库明细!$D$2:$D$650,$B26,半成品入库明细!$G$2:$G$650)</f>
        <v>0</v>
      </c>
      <c r="I26" s="28">
        <f ca="1">SUMIF(半成品出库明细!$D$2:$D$558,$B26,半成品出库明细!$G$2:$G$2)</f>
        <v>0</v>
      </c>
      <c r="J26" s="28">
        <f ca="1" t="shared" si="0"/>
        <v>0</v>
      </c>
      <c r="K26" s="29" t="s">
        <v>244</v>
      </c>
      <c r="L26" s="34"/>
      <c r="M26" s="3"/>
    </row>
    <row r="27" s="1" customFormat="1" spans="1:13">
      <c r="A27" s="22">
        <v>26</v>
      </c>
      <c r="B27" s="23" t="s">
        <v>245</v>
      </c>
      <c r="C27" s="25" t="s">
        <v>242</v>
      </c>
      <c r="D27" s="25" t="s">
        <v>196</v>
      </c>
      <c r="E27" s="19" t="s">
        <v>199</v>
      </c>
      <c r="F27" s="26" t="s">
        <v>197</v>
      </c>
      <c r="G27" s="27">
        <f>SUMIF(物料月初库存!$C$3:$C$303,$B27,物料月初库存!$F$3:$F$303)</f>
        <v>0</v>
      </c>
      <c r="H27" s="28">
        <f>SUMIF(半成品入库明细!$D$2:$D$650,$B27,半成品入库明细!$G$2:$G$650)</f>
        <v>0</v>
      </c>
      <c r="I27" s="28">
        <f ca="1">SUMIF(半成品出库明细!$D$2:$D$558,$B27,半成品出库明细!$G$2:$G$2)</f>
        <v>0</v>
      </c>
      <c r="J27" s="28">
        <f ca="1" t="shared" si="0"/>
        <v>0</v>
      </c>
      <c r="K27" s="30" t="s">
        <v>173</v>
      </c>
      <c r="L27" s="34" t="s">
        <v>202</v>
      </c>
      <c r="M27" s="3"/>
    </row>
    <row r="28" s="1" customFormat="1" spans="1:13">
      <c r="A28" s="22">
        <v>27</v>
      </c>
      <c r="B28" s="23" t="s">
        <v>246</v>
      </c>
      <c r="C28" s="41" t="s">
        <v>247</v>
      </c>
      <c r="D28" s="25" t="s">
        <v>248</v>
      </c>
      <c r="E28" s="19" t="s">
        <v>76</v>
      </c>
      <c r="F28" s="26" t="s">
        <v>197</v>
      </c>
      <c r="G28" s="27">
        <f>SUMIF(物料月初库存!$C$3:$C$303,$B28,物料月初库存!$F$3:$F$303)</f>
        <v>0</v>
      </c>
      <c r="H28" s="28">
        <f>SUMIF(半成品入库明细!$D$2:$D$650,$B28,半成品入库明细!$G$2:$G$650)</f>
        <v>0</v>
      </c>
      <c r="I28" s="28">
        <f ca="1">SUMIF(半成品出库明细!$D$2:$D$558,$B28,半成品出库明细!$G$2:$G$2)</f>
        <v>0</v>
      </c>
      <c r="J28" s="28">
        <f ca="1" t="shared" si="0"/>
        <v>0</v>
      </c>
      <c r="K28" s="20"/>
      <c r="L28" s="3"/>
      <c r="M28" s="3"/>
    </row>
    <row r="29" s="1" customFormat="1" spans="1:13">
      <c r="A29" s="22">
        <v>28</v>
      </c>
      <c r="B29" s="23" t="s">
        <v>249</v>
      </c>
      <c r="C29" s="41" t="s">
        <v>247</v>
      </c>
      <c r="D29" s="25" t="s">
        <v>248</v>
      </c>
      <c r="E29" s="19" t="s">
        <v>250</v>
      </c>
      <c r="F29" s="26" t="s">
        <v>197</v>
      </c>
      <c r="G29" s="27">
        <f>SUMIF(物料月初库存!$C$3:$C$303,$B29,物料月初库存!$F$3:$F$303)</f>
        <v>0</v>
      </c>
      <c r="H29" s="28">
        <f>SUMIF(半成品入库明细!$D$2:$D$650,$B29,半成品入库明细!$G$2:$G$650)</f>
        <v>0</v>
      </c>
      <c r="I29" s="28">
        <f ca="1">SUMIF(半成品出库明细!$D$2:$D$558,$B29,半成品出库明细!$G$2:$G$2)</f>
        <v>0</v>
      </c>
      <c r="J29" s="28">
        <f ca="1" t="shared" si="0"/>
        <v>0</v>
      </c>
      <c r="K29" s="20"/>
      <c r="L29" s="3"/>
      <c r="M29" s="3"/>
    </row>
    <row r="30" s="1" customFormat="1" spans="1:13">
      <c r="A30" s="22">
        <v>29</v>
      </c>
      <c r="B30" s="23" t="s">
        <v>251</v>
      </c>
      <c r="C30" s="41" t="s">
        <v>247</v>
      </c>
      <c r="D30" s="25" t="s">
        <v>248</v>
      </c>
      <c r="E30" s="19" t="s">
        <v>252</v>
      </c>
      <c r="F30" s="26" t="s">
        <v>197</v>
      </c>
      <c r="G30" s="27">
        <f>SUMIF(物料月初库存!$C$3:$C$303,$B30,物料月初库存!$F$3:$F$303)</f>
        <v>0</v>
      </c>
      <c r="H30" s="28">
        <f>SUMIF(半成品入库明细!$D$2:$D$650,$B30,半成品入库明细!$G$2:$G$650)</f>
        <v>0</v>
      </c>
      <c r="I30" s="28">
        <f ca="1">SUMIF(半成品出库明细!$D$2:$D$558,$B30,半成品出库明细!$G$2:$G$2)</f>
        <v>0</v>
      </c>
      <c r="J30" s="28">
        <f ca="1" t="shared" si="0"/>
        <v>0</v>
      </c>
      <c r="K30" s="20"/>
      <c r="L30" s="3"/>
      <c r="M30" s="3"/>
    </row>
    <row r="31" s="1" customFormat="1" spans="1:13">
      <c r="A31" s="22">
        <v>30</v>
      </c>
      <c r="B31" s="23" t="s">
        <v>253</v>
      </c>
      <c r="C31" s="41" t="s">
        <v>247</v>
      </c>
      <c r="D31" s="25" t="s">
        <v>248</v>
      </c>
      <c r="E31" s="28" t="s">
        <v>254</v>
      </c>
      <c r="F31" s="26" t="s">
        <v>197</v>
      </c>
      <c r="G31" s="27">
        <f>SUMIF(物料月初库存!$C$3:$C$303,$B31,物料月初库存!$F$3:$F$303)</f>
        <v>0</v>
      </c>
      <c r="H31" s="28">
        <f>SUMIF(半成品入库明细!$D$2:$D$650,$B31,半成品入库明细!$G$2:$G$650)</f>
        <v>0</v>
      </c>
      <c r="I31" s="28">
        <f ca="1">SUMIF(半成品出库明细!$D$2:$D$558,$B31,半成品出库明细!$G$2:$G$2)</f>
        <v>0</v>
      </c>
      <c r="J31" s="28">
        <f ca="1" t="shared" si="0"/>
        <v>0</v>
      </c>
      <c r="K31" s="20"/>
      <c r="L31" s="3"/>
      <c r="M31" s="3"/>
    </row>
    <row r="32" s="1" customFormat="1" spans="1:13">
      <c r="A32" s="22">
        <v>31</v>
      </c>
      <c r="B32" s="23" t="s">
        <v>255</v>
      </c>
      <c r="C32" s="41" t="s">
        <v>247</v>
      </c>
      <c r="D32" s="25" t="s">
        <v>248</v>
      </c>
      <c r="E32" s="19" t="s">
        <v>256</v>
      </c>
      <c r="F32" s="26" t="s">
        <v>197</v>
      </c>
      <c r="G32" s="27">
        <f>SUMIF(物料月初库存!$C$3:$C$303,$B32,物料月初库存!$F$3:$F$303)</f>
        <v>0</v>
      </c>
      <c r="H32" s="28">
        <f>SUMIF(半成品入库明细!$D$2:$D$650,$B32,半成品入库明细!$G$2:$G$650)</f>
        <v>0</v>
      </c>
      <c r="I32" s="28">
        <f ca="1">SUMIF(半成品出库明细!$D$2:$D$558,$B32,半成品出库明细!$G$2:$G$2)</f>
        <v>0</v>
      </c>
      <c r="J32" s="28">
        <f ca="1" t="shared" si="0"/>
        <v>0</v>
      </c>
      <c r="K32" s="20"/>
      <c r="L32" s="3"/>
      <c r="M32" s="3"/>
    </row>
    <row r="33" s="1" customFormat="1" spans="1:13">
      <c r="A33" s="22">
        <v>32</v>
      </c>
      <c r="B33" s="23" t="s">
        <v>257</v>
      </c>
      <c r="C33" s="41" t="s">
        <v>258</v>
      </c>
      <c r="D33" s="25" t="s">
        <v>248</v>
      </c>
      <c r="E33" s="19" t="s">
        <v>76</v>
      </c>
      <c r="F33" s="26" t="s">
        <v>197</v>
      </c>
      <c r="G33" s="27">
        <f>SUMIF(物料月初库存!$C$3:$C$303,$B33,物料月初库存!$F$3:$F$303)</f>
        <v>0</v>
      </c>
      <c r="H33" s="28">
        <f>SUMIF(半成品入库明细!$D$2:$D$650,$B33,半成品入库明细!$G$2:$G$650)</f>
        <v>0</v>
      </c>
      <c r="I33" s="28">
        <f ca="1">SUMIF(半成品出库明细!$D$2:$D$558,$B33,半成品出库明细!$G$2:$G$2)</f>
        <v>0</v>
      </c>
      <c r="J33" s="28">
        <f ca="1" t="shared" si="0"/>
        <v>0</v>
      </c>
      <c r="K33" s="20"/>
      <c r="L33" s="3"/>
      <c r="M33" s="3"/>
    </row>
    <row r="34" s="1" customFormat="1" spans="1:13">
      <c r="A34" s="22">
        <v>33</v>
      </c>
      <c r="B34" s="23" t="s">
        <v>259</v>
      </c>
      <c r="C34" s="41" t="s">
        <v>258</v>
      </c>
      <c r="D34" s="25" t="s">
        <v>248</v>
      </c>
      <c r="E34" s="19" t="s">
        <v>254</v>
      </c>
      <c r="F34" s="26" t="s">
        <v>197</v>
      </c>
      <c r="G34" s="27">
        <f>SUMIF(物料月初库存!$C$3:$C$303,$B34,物料月初库存!$F$3:$F$303)</f>
        <v>0</v>
      </c>
      <c r="H34" s="28">
        <f>SUMIF(半成品入库明细!$D$2:$D$650,$B34,半成品入库明细!$G$2:$G$650)</f>
        <v>0</v>
      </c>
      <c r="I34" s="28">
        <f ca="1">SUMIF(半成品出库明细!$D$2:$D$558,$B34,半成品出库明细!$G$2:$G$2)</f>
        <v>0</v>
      </c>
      <c r="J34" s="28">
        <f ca="1" t="shared" si="0"/>
        <v>0</v>
      </c>
      <c r="K34" s="20"/>
      <c r="L34" s="3"/>
      <c r="M34" s="3"/>
    </row>
    <row r="35" s="3" customFormat="1" spans="1:13">
      <c r="A35" s="22">
        <v>34</v>
      </c>
      <c r="B35" s="23" t="s">
        <v>260</v>
      </c>
      <c r="C35" s="41" t="s">
        <v>258</v>
      </c>
      <c r="D35" s="25" t="s">
        <v>248</v>
      </c>
      <c r="E35" s="19" t="s">
        <v>256</v>
      </c>
      <c r="F35" s="26" t="s">
        <v>197</v>
      </c>
      <c r="G35" s="27">
        <f>SUMIF(物料月初库存!$C$3:$C$303,$B35,物料月初库存!$F$3:$F$303)</f>
        <v>0</v>
      </c>
      <c r="H35" s="28">
        <f>SUMIF(半成品入库明细!$D$2:$D$650,$B35,半成品入库明细!$G$2:$G$650)</f>
        <v>0</v>
      </c>
      <c r="I35" s="28">
        <f ca="1">SUMIF(半成品出库明细!$D$2:$D$558,$B35,半成品出库明细!$G$2:$G$2)</f>
        <v>0</v>
      </c>
      <c r="J35" s="28">
        <f ca="1" t="shared" si="0"/>
        <v>0</v>
      </c>
      <c r="K35" s="20"/>
    </row>
    <row r="36" s="1" customFormat="1" spans="1:13">
      <c r="A36" s="22">
        <v>35</v>
      </c>
      <c r="B36" s="23" t="s">
        <v>261</v>
      </c>
      <c r="C36" s="41" t="s">
        <v>262</v>
      </c>
      <c r="D36" s="25" t="s">
        <v>248</v>
      </c>
      <c r="E36" s="19" t="s">
        <v>76</v>
      </c>
      <c r="F36" s="26" t="s">
        <v>197</v>
      </c>
      <c r="G36" s="27">
        <f>SUMIF(物料月初库存!$C$3:$C$303,$B36,物料月初库存!$F$3:$F$303)</f>
        <v>0</v>
      </c>
      <c r="H36" s="28">
        <f>SUMIF(半成品入库明细!$D$2:$D$650,$B36,半成品入库明细!$G$2:$G$650)</f>
        <v>0</v>
      </c>
      <c r="I36" s="28">
        <f ca="1">SUMIF(半成品出库明细!$D$2:$D$558,$B36,半成品出库明细!$G$2:$G$2)</f>
        <v>0</v>
      </c>
      <c r="J36" s="28">
        <f ca="1" t="shared" si="0"/>
        <v>0</v>
      </c>
      <c r="K36" s="20"/>
      <c r="L36" s="3"/>
      <c r="M36" s="3"/>
    </row>
    <row r="37" s="1" customFormat="1" spans="1:13">
      <c r="A37" s="22">
        <v>36</v>
      </c>
      <c r="B37" s="23" t="s">
        <v>263</v>
      </c>
      <c r="C37" s="41" t="s">
        <v>262</v>
      </c>
      <c r="D37" s="25" t="s">
        <v>248</v>
      </c>
      <c r="E37" s="19" t="s">
        <v>264</v>
      </c>
      <c r="F37" s="26" t="s">
        <v>197</v>
      </c>
      <c r="G37" s="27">
        <f>SUMIF(物料月初库存!$C$3:$C$303,$B37,物料月初库存!$F$3:$F$303)</f>
        <v>0</v>
      </c>
      <c r="H37" s="28">
        <f>SUMIF(半成品入库明细!$D$2:$D$650,$B37,半成品入库明细!$G$2:$G$650)</f>
        <v>0</v>
      </c>
      <c r="I37" s="28">
        <f ca="1">SUMIF(半成品出库明细!$D$2:$D$558,$B37,半成品出库明细!$G$2:$G$2)</f>
        <v>0</v>
      </c>
      <c r="J37" s="28">
        <f ca="1" t="shared" si="0"/>
        <v>0</v>
      </c>
      <c r="K37" s="20"/>
      <c r="L37" s="3"/>
      <c r="M37" s="3"/>
    </row>
    <row r="38" s="1" customFormat="1" spans="1:13">
      <c r="A38" s="22">
        <v>37</v>
      </c>
      <c r="B38" s="23" t="s">
        <v>265</v>
      </c>
      <c r="C38" s="41" t="s">
        <v>262</v>
      </c>
      <c r="D38" s="25" t="s">
        <v>248</v>
      </c>
      <c r="E38" s="19" t="s">
        <v>256</v>
      </c>
      <c r="F38" s="26" t="s">
        <v>197</v>
      </c>
      <c r="G38" s="27">
        <f>SUMIF(物料月初库存!$C$3:$C$303,$B38,物料月初库存!$F$3:$F$303)</f>
        <v>0</v>
      </c>
      <c r="H38" s="28">
        <f>SUMIF(半成品入库明细!$D$2:$D$650,$B38,半成品入库明细!$G$2:$G$650)</f>
        <v>0</v>
      </c>
      <c r="I38" s="28">
        <f ca="1">SUMIF(半成品出库明细!$D$2:$D$558,$B38,半成品出库明细!$G$2:$G$2)</f>
        <v>0</v>
      </c>
      <c r="J38" s="28">
        <f ca="1" t="shared" si="0"/>
        <v>0</v>
      </c>
      <c r="K38" s="20"/>
      <c r="L38" s="3"/>
      <c r="M38" s="3"/>
    </row>
    <row r="39" s="1" customFormat="1" spans="1:13">
      <c r="A39" s="22">
        <v>38</v>
      </c>
      <c r="B39" s="23" t="s">
        <v>266</v>
      </c>
      <c r="C39" s="41" t="s">
        <v>262</v>
      </c>
      <c r="D39" s="25" t="s">
        <v>248</v>
      </c>
      <c r="E39" s="19" t="s">
        <v>267</v>
      </c>
      <c r="F39" s="26" t="s">
        <v>197</v>
      </c>
      <c r="G39" s="27">
        <f>SUMIF(物料月初库存!$C$3:$C$303,$B39,物料月初库存!$F$3:$F$303)</f>
        <v>0</v>
      </c>
      <c r="H39" s="28">
        <f>SUMIF(半成品入库明细!$D$2:$D$650,$B39,半成品入库明细!$G$2:$G$650)</f>
        <v>0</v>
      </c>
      <c r="I39" s="28">
        <f ca="1">SUMIF(半成品出库明细!$D$2:$D$558,$B39,半成品出库明细!$G$2:$G$2)</f>
        <v>0</v>
      </c>
      <c r="J39" s="28">
        <f ca="1" t="shared" si="0"/>
        <v>0</v>
      </c>
      <c r="K39" s="20"/>
      <c r="L39" s="3"/>
      <c r="M39" s="3"/>
    </row>
    <row r="40" s="1" customFormat="1" spans="1:13">
      <c r="A40" s="22">
        <v>39</v>
      </c>
      <c r="B40" s="23" t="s">
        <v>268</v>
      </c>
      <c r="C40" s="41" t="s">
        <v>262</v>
      </c>
      <c r="D40" s="25" t="s">
        <v>248</v>
      </c>
      <c r="E40" s="28" t="s">
        <v>239</v>
      </c>
      <c r="F40" s="26" t="s">
        <v>197</v>
      </c>
      <c r="G40" s="27">
        <f>SUMIF(物料月初库存!$C$3:$C$303,$B40,物料月初库存!$F$3:$F$303)</f>
        <v>0</v>
      </c>
      <c r="H40" s="28">
        <f>SUMIF(半成品入库明细!$D$2:$D$650,$B40,半成品入库明细!$G$2:$G$650)</f>
        <v>0</v>
      </c>
      <c r="I40" s="28">
        <f ca="1">SUMIF(半成品出库明细!$D$2:$D$558,$B40,半成品出库明细!$G$2:$G$2)</f>
        <v>0</v>
      </c>
      <c r="J40" s="28">
        <f ca="1" t="shared" si="0"/>
        <v>0</v>
      </c>
      <c r="K40" s="20"/>
      <c r="L40" s="3"/>
      <c r="M40" s="3"/>
    </row>
    <row r="41" s="1" customFormat="1" spans="1:13">
      <c r="A41" s="22">
        <v>40</v>
      </c>
      <c r="B41" s="23" t="s">
        <v>269</v>
      </c>
      <c r="C41" s="41" t="s">
        <v>262</v>
      </c>
      <c r="D41" s="25" t="s">
        <v>248</v>
      </c>
      <c r="E41" s="19" t="s">
        <v>270</v>
      </c>
      <c r="F41" s="26" t="s">
        <v>197</v>
      </c>
      <c r="G41" s="27">
        <f>SUMIF(物料月初库存!$C$3:$C$303,$B41,物料月初库存!$F$3:$F$303)</f>
        <v>0</v>
      </c>
      <c r="H41" s="28">
        <f>SUMIF(半成品入库明细!$D$2:$D$650,$B41,半成品入库明细!$G$2:$G$650)</f>
        <v>0</v>
      </c>
      <c r="I41" s="28">
        <f ca="1">SUMIF(半成品出库明细!$D$2:$D$558,$B41,半成品出库明细!$G$2:$G$2)</f>
        <v>0</v>
      </c>
      <c r="J41" s="28">
        <f ca="1" t="shared" si="0"/>
        <v>0</v>
      </c>
      <c r="K41" s="20"/>
      <c r="L41" s="3"/>
      <c r="M41" s="3"/>
    </row>
    <row r="42" s="1" customFormat="1" spans="1:13">
      <c r="A42" s="22">
        <v>41</v>
      </c>
      <c r="B42" s="23" t="s">
        <v>271</v>
      </c>
      <c r="C42" s="25" t="s">
        <v>272</v>
      </c>
      <c r="D42" s="25" t="s">
        <v>273</v>
      </c>
      <c r="E42" s="19" t="s">
        <v>76</v>
      </c>
      <c r="F42" s="26" t="s">
        <v>197</v>
      </c>
      <c r="G42" s="27">
        <f>SUMIF(物料月初库存!$C$3:$C$303,$B42,物料月初库存!$F$3:$F$303)</f>
        <v>0</v>
      </c>
      <c r="H42" s="28">
        <f>SUMIF(半成品入库明细!$D$2:$D$650,$B42,半成品入库明细!$G$2:$G$650)</f>
        <v>0</v>
      </c>
      <c r="I42" s="28">
        <f ca="1">SUMIF(半成品出库明细!$D$2:$D$558,$B42,半成品出库明细!$G$2:$G$2)</f>
        <v>0</v>
      </c>
      <c r="J42" s="28">
        <f ca="1" t="shared" si="0"/>
        <v>0</v>
      </c>
      <c r="K42" s="20"/>
      <c r="L42" s="3"/>
      <c r="M42" s="3"/>
    </row>
    <row r="43" s="1" customFormat="1" spans="1:13">
      <c r="A43" s="22">
        <v>42</v>
      </c>
      <c r="B43" s="23" t="s">
        <v>274</v>
      </c>
      <c r="C43" s="25" t="s">
        <v>272</v>
      </c>
      <c r="D43" s="25" t="s">
        <v>273</v>
      </c>
      <c r="E43" s="19" t="s">
        <v>235</v>
      </c>
      <c r="F43" s="26" t="s">
        <v>197</v>
      </c>
      <c r="G43" s="27">
        <f>SUMIF(物料月初库存!$C$3:$C$303,$B43,物料月初库存!$F$3:$F$303)</f>
        <v>0</v>
      </c>
      <c r="H43" s="28">
        <f>SUMIF(半成品入库明细!$D$2:$D$650,$B43,半成品入库明细!$G$2:$G$650)</f>
        <v>0</v>
      </c>
      <c r="I43" s="28">
        <f ca="1">SUMIF(半成品出库明细!$D$2:$D$558,$B43,半成品出库明细!$G$2:$G$2)</f>
        <v>0</v>
      </c>
      <c r="J43" s="28">
        <f ca="1" t="shared" si="0"/>
        <v>0</v>
      </c>
      <c r="K43" s="20"/>
      <c r="L43" s="3"/>
      <c r="M43" s="3"/>
    </row>
    <row r="44" s="1" customFormat="1" spans="1:13">
      <c r="A44" s="22">
        <v>43</v>
      </c>
      <c r="B44" s="23" t="s">
        <v>275</v>
      </c>
      <c r="C44" s="24" t="s">
        <v>276</v>
      </c>
      <c r="D44" s="25" t="s">
        <v>277</v>
      </c>
      <c r="E44" s="19" t="s">
        <v>76</v>
      </c>
      <c r="F44" s="26" t="s">
        <v>197</v>
      </c>
      <c r="G44" s="27">
        <f>SUMIF(物料月初库存!$C$3:$C$303,$B44,物料月初库存!$F$3:$F$303)</f>
        <v>0</v>
      </c>
      <c r="H44" s="28">
        <f>SUMIF(半成品入库明细!$D$2:$D$650,$B44,半成品入库明细!$G$2:$G$650)</f>
        <v>0</v>
      </c>
      <c r="I44" s="28">
        <f ca="1">SUMIF(半成品出库明细!$D$2:$D$558,$B44,半成品出库明细!$G$2:$G$2)</f>
        <v>0</v>
      </c>
      <c r="J44" s="28">
        <f ca="1" t="shared" si="0"/>
        <v>0</v>
      </c>
      <c r="K44" s="20"/>
      <c r="L44" s="3"/>
      <c r="M44" s="3"/>
    </row>
    <row r="45" s="1" customFormat="1" spans="1:13">
      <c r="A45" s="22">
        <v>44</v>
      </c>
      <c r="B45" s="23" t="s">
        <v>278</v>
      </c>
      <c r="C45" s="42" t="s">
        <v>279</v>
      </c>
      <c r="D45" s="43" t="s">
        <v>280</v>
      </c>
      <c r="E45" s="19" t="s">
        <v>76</v>
      </c>
      <c r="F45" s="26" t="s">
        <v>197</v>
      </c>
      <c r="G45" s="27">
        <f>SUMIF(物料月初库存!$C$3:$C$303,$B45,物料月初库存!$F$3:$F$303)</f>
        <v>0</v>
      </c>
      <c r="H45" s="28">
        <f>SUMIF(半成品入库明细!$D$2:$D$650,$B45,半成品入库明细!$G$2:$G$650)</f>
        <v>0</v>
      </c>
      <c r="I45" s="28">
        <f ca="1">SUMIF(半成品出库明细!$D$2:$D$558,$B45,半成品出库明细!$G$2:$G$2)</f>
        <v>0</v>
      </c>
      <c r="J45" s="28">
        <f ca="1" t="shared" si="0"/>
        <v>0</v>
      </c>
      <c r="K45" s="20"/>
      <c r="L45" s="3"/>
      <c r="M45" s="3"/>
    </row>
    <row r="46" s="1" customFormat="1" spans="1:13">
      <c r="A46" s="22">
        <v>45</v>
      </c>
      <c r="B46" s="23" t="s">
        <v>281</v>
      </c>
      <c r="C46" s="42" t="s">
        <v>279</v>
      </c>
      <c r="D46" s="43" t="s">
        <v>280</v>
      </c>
      <c r="E46" s="19" t="s">
        <v>235</v>
      </c>
      <c r="F46" s="26" t="s">
        <v>197</v>
      </c>
      <c r="G46" s="27">
        <f>SUMIF(物料月初库存!$C$3:$C$303,$B46,物料月初库存!$F$3:$F$303)</f>
        <v>0</v>
      </c>
      <c r="H46" s="28">
        <f>SUMIF(半成品入库明细!$D$2:$D$650,$B46,半成品入库明细!$G$2:$G$650)</f>
        <v>0</v>
      </c>
      <c r="I46" s="28">
        <f ca="1">SUMIF(半成品出库明细!$D$2:$D$558,$B46,半成品出库明细!$G$2:$G$2)</f>
        <v>0</v>
      </c>
      <c r="J46" s="28">
        <f ca="1" t="shared" si="0"/>
        <v>0</v>
      </c>
      <c r="K46" s="20"/>
      <c r="L46" s="3"/>
      <c r="M46" s="3"/>
    </row>
    <row r="47" s="1" customFormat="1" spans="1:13">
      <c r="A47" s="22">
        <v>46</v>
      </c>
      <c r="B47" s="23" t="s">
        <v>282</v>
      </c>
      <c r="C47" s="42" t="s">
        <v>279</v>
      </c>
      <c r="D47" s="43" t="s">
        <v>280</v>
      </c>
      <c r="E47" s="19" t="s">
        <v>256</v>
      </c>
      <c r="F47" s="26" t="s">
        <v>197</v>
      </c>
      <c r="G47" s="27">
        <f>SUMIF(物料月初库存!$C$3:$C$303,$B47,物料月初库存!$F$3:$F$303)</f>
        <v>0</v>
      </c>
      <c r="H47" s="28">
        <f>SUMIF(半成品入库明细!$D$2:$D$650,$B47,半成品入库明细!$G$2:$G$650)</f>
        <v>0</v>
      </c>
      <c r="I47" s="28">
        <f ca="1">SUMIF(半成品出库明细!$D$2:$D$558,$B47,半成品出库明细!$G$2:$G$2)</f>
        <v>0</v>
      </c>
      <c r="J47" s="28">
        <f ca="1" t="shared" si="0"/>
        <v>0</v>
      </c>
      <c r="K47" s="20"/>
      <c r="L47" s="3"/>
      <c r="M47" s="3"/>
    </row>
    <row r="48" s="1" customFormat="1" spans="1:13">
      <c r="A48" s="22">
        <v>47</v>
      </c>
      <c r="B48" s="23" t="s">
        <v>283</v>
      </c>
      <c r="C48" s="41" t="s">
        <v>284</v>
      </c>
      <c r="D48" s="25" t="s">
        <v>285</v>
      </c>
      <c r="E48" s="19" t="s">
        <v>76</v>
      </c>
      <c r="F48" s="26" t="s">
        <v>197</v>
      </c>
      <c r="G48" s="27">
        <f>SUMIF(物料月初库存!$C$3:$C$303,$B48,物料月初库存!$F$3:$F$303)</f>
        <v>0</v>
      </c>
      <c r="H48" s="28">
        <f>SUMIF(半成品入库明细!$D$2:$D$650,$B48,半成品入库明细!$G$2:$G$650)</f>
        <v>0</v>
      </c>
      <c r="I48" s="28">
        <f ca="1">SUMIF(半成品出库明细!$D$2:$D$558,$B48,半成品出库明细!$G$2:$G$2)</f>
        <v>0</v>
      </c>
      <c r="J48" s="28">
        <f ca="1" t="shared" si="0"/>
        <v>0</v>
      </c>
      <c r="K48" s="20"/>
      <c r="L48" s="3"/>
      <c r="M48" s="3"/>
    </row>
    <row r="49" s="1" customFormat="1" spans="1:13">
      <c r="A49" s="22">
        <v>48</v>
      </c>
      <c r="B49" s="23" t="s">
        <v>286</v>
      </c>
      <c r="C49" s="41" t="s">
        <v>284</v>
      </c>
      <c r="D49" s="25" t="s">
        <v>285</v>
      </c>
      <c r="E49" s="28" t="s">
        <v>287</v>
      </c>
      <c r="F49" s="26" t="s">
        <v>197</v>
      </c>
      <c r="G49" s="27">
        <f>SUMIF(物料月初库存!$C$3:$C$303,$B49,物料月初库存!$F$3:$F$303)</f>
        <v>0</v>
      </c>
      <c r="H49" s="28">
        <f>SUMIF(半成品入库明细!$D$2:$D$650,$B49,半成品入库明细!$G$2:$G$650)</f>
        <v>0</v>
      </c>
      <c r="I49" s="28">
        <f ca="1">SUMIF(半成品出库明细!$D$2:$D$558,$B49,半成品出库明细!$G$2:$G$2)</f>
        <v>0</v>
      </c>
      <c r="J49" s="28">
        <f ca="1" t="shared" si="0"/>
        <v>0</v>
      </c>
      <c r="K49" s="20"/>
      <c r="L49" s="3"/>
      <c r="M49" s="3"/>
    </row>
    <row r="50" s="1" customFormat="1" spans="1:13">
      <c r="A50" s="22">
        <v>49</v>
      </c>
      <c r="B50" s="23" t="s">
        <v>288</v>
      </c>
      <c r="C50" s="24" t="s">
        <v>289</v>
      </c>
      <c r="D50" s="25" t="s">
        <v>285</v>
      </c>
      <c r="E50" s="19" t="s">
        <v>76</v>
      </c>
      <c r="F50" s="26" t="s">
        <v>197</v>
      </c>
      <c r="G50" s="27">
        <f>SUMIF(物料月初库存!$C$3:$C$303,$B50,物料月初库存!$F$3:$F$303)</f>
        <v>0</v>
      </c>
      <c r="H50" s="28">
        <f>SUMIF(半成品入库明细!$D$2:$D$650,$B50,半成品入库明细!$G$2:$G$650)</f>
        <v>0</v>
      </c>
      <c r="I50" s="28">
        <f ca="1">SUMIF(半成品出库明细!$D$2:$D$558,$B50,半成品出库明细!$G$2:$G$2)</f>
        <v>0</v>
      </c>
      <c r="J50" s="28">
        <f ca="1" t="shared" si="0"/>
        <v>0</v>
      </c>
      <c r="K50" s="20"/>
      <c r="L50" s="3"/>
      <c r="M50" s="3"/>
    </row>
    <row r="51" s="1" customFormat="1" spans="1:13">
      <c r="A51" s="22">
        <v>50</v>
      </c>
      <c r="B51" s="23" t="s">
        <v>290</v>
      </c>
      <c r="C51" s="24" t="s">
        <v>289</v>
      </c>
      <c r="D51" s="25" t="s">
        <v>285</v>
      </c>
      <c r="E51" s="28" t="s">
        <v>287</v>
      </c>
      <c r="F51" s="26" t="s">
        <v>197</v>
      </c>
      <c r="G51" s="27">
        <f>SUMIF(物料月初库存!$C$3:$C$303,$B51,物料月初库存!$F$3:$F$303)</f>
        <v>0</v>
      </c>
      <c r="H51" s="28">
        <f>SUMIF(半成品入库明细!$D$2:$D$650,$B51,半成品入库明细!$G$2:$G$650)</f>
        <v>0</v>
      </c>
      <c r="I51" s="28">
        <f ca="1">SUMIF(半成品出库明细!$D$2:$D$558,$B51,半成品出库明细!$G$2:$G$2)</f>
        <v>0</v>
      </c>
      <c r="J51" s="28">
        <f ca="1" t="shared" si="0"/>
        <v>0</v>
      </c>
      <c r="K51" s="20"/>
      <c r="L51" s="3"/>
      <c r="M51" s="3"/>
    </row>
    <row r="52" s="1" customFormat="1" spans="1:13">
      <c r="A52" s="22">
        <v>51</v>
      </c>
      <c r="B52" s="23" t="s">
        <v>291</v>
      </c>
      <c r="C52" s="24" t="s">
        <v>292</v>
      </c>
      <c r="D52" s="25" t="s">
        <v>285</v>
      </c>
      <c r="E52" s="19" t="s">
        <v>76</v>
      </c>
      <c r="F52" s="26" t="s">
        <v>197</v>
      </c>
      <c r="G52" s="27">
        <f>SUMIF(物料月初库存!$C$3:$C$303,$B52,物料月初库存!$F$3:$F$303)</f>
        <v>0</v>
      </c>
      <c r="H52" s="28">
        <f>SUMIF(半成品入库明细!$D$2:$D$650,$B52,半成品入库明细!$G$2:$G$650)</f>
        <v>0</v>
      </c>
      <c r="I52" s="28">
        <f ca="1">SUMIF(半成品出库明细!$D$2:$D$558,$B52,半成品出库明细!$G$2:$G$2)</f>
        <v>0</v>
      </c>
      <c r="J52" s="28">
        <f ca="1" t="shared" si="0"/>
        <v>0</v>
      </c>
      <c r="K52" s="20"/>
      <c r="L52" s="3"/>
      <c r="M52" s="3"/>
    </row>
    <row r="53" s="1" customFormat="1" spans="1:13">
      <c r="A53" s="22">
        <v>52</v>
      </c>
      <c r="B53" s="23" t="s">
        <v>293</v>
      </c>
      <c r="C53" s="24" t="s">
        <v>292</v>
      </c>
      <c r="D53" s="25" t="s">
        <v>285</v>
      </c>
      <c r="E53" s="28" t="s">
        <v>287</v>
      </c>
      <c r="F53" s="26" t="s">
        <v>197</v>
      </c>
      <c r="G53" s="27">
        <f>SUMIF(物料月初库存!$C$3:$C$303,$B53,物料月初库存!$F$3:$F$303)</f>
        <v>0</v>
      </c>
      <c r="H53" s="28">
        <f>SUMIF(半成品入库明细!$D$2:$D$650,$B53,半成品入库明细!$G$2:$G$650)</f>
        <v>0</v>
      </c>
      <c r="I53" s="28">
        <f ca="1">SUMIF(半成品出库明细!$D$2:$D$558,$B53,半成品出库明细!$G$2:$G$2)</f>
        <v>0</v>
      </c>
      <c r="J53" s="28">
        <f ca="1" t="shared" si="0"/>
        <v>0</v>
      </c>
      <c r="K53" s="20"/>
      <c r="L53" s="3"/>
      <c r="M53" s="3"/>
    </row>
    <row r="54" s="1" customFormat="1" ht="15" customHeight="1" spans="1:13">
      <c r="A54" s="22">
        <v>53</v>
      </c>
      <c r="B54" s="23" t="s">
        <v>294</v>
      </c>
      <c r="C54" s="24" t="s">
        <v>295</v>
      </c>
      <c r="D54" s="25" t="s">
        <v>285</v>
      </c>
      <c r="E54" s="19" t="s">
        <v>76</v>
      </c>
      <c r="F54" s="26" t="s">
        <v>197</v>
      </c>
      <c r="G54" s="27">
        <f>SUMIF(物料月初库存!$C$3:$C$303,$B54,物料月初库存!$F$3:$F$303)</f>
        <v>0</v>
      </c>
      <c r="H54" s="28">
        <f>SUMIF(半成品入库明细!$D$2:$D$650,$B54,半成品入库明细!$G$2:$G$650)</f>
        <v>0</v>
      </c>
      <c r="I54" s="28">
        <f ca="1">SUMIF(半成品出库明细!$D$2:$D$558,$B54,半成品出库明细!$G$2:$G$2)</f>
        <v>0</v>
      </c>
      <c r="J54" s="28">
        <f ca="1" t="shared" si="0"/>
        <v>0</v>
      </c>
      <c r="K54" s="20"/>
      <c r="L54" s="3"/>
      <c r="M54" s="3"/>
    </row>
    <row r="55" s="1" customFormat="1" spans="1:13">
      <c r="A55" s="22">
        <v>54</v>
      </c>
      <c r="B55" s="23" t="s">
        <v>296</v>
      </c>
      <c r="C55" s="24" t="s">
        <v>295</v>
      </c>
      <c r="D55" s="25" t="s">
        <v>285</v>
      </c>
      <c r="E55" s="28" t="s">
        <v>287</v>
      </c>
      <c r="F55" s="26" t="s">
        <v>197</v>
      </c>
      <c r="G55" s="27">
        <f>SUMIF(物料月初库存!$C$3:$C$303,$B55,物料月初库存!$F$3:$F$303)</f>
        <v>0</v>
      </c>
      <c r="H55" s="28">
        <f>SUMIF(半成品入库明细!$D$2:$D$650,$B55,半成品入库明细!$G$2:$G$650)</f>
        <v>0</v>
      </c>
      <c r="I55" s="28">
        <f ca="1">SUMIF(半成品出库明细!$D$2:$D$558,$B55,半成品出库明细!$G$2:$G$2)</f>
        <v>0</v>
      </c>
      <c r="J55" s="28">
        <f ca="1" t="shared" si="0"/>
        <v>0</v>
      </c>
      <c r="K55" s="20"/>
      <c r="L55" s="3"/>
      <c r="M55" s="3"/>
    </row>
    <row r="56" s="1" customFormat="1" spans="1:13">
      <c r="A56" s="22">
        <v>55</v>
      </c>
      <c r="B56" s="23" t="s">
        <v>297</v>
      </c>
      <c r="C56" s="24" t="s">
        <v>298</v>
      </c>
      <c r="D56" s="25" t="s">
        <v>285</v>
      </c>
      <c r="E56" s="19" t="s">
        <v>76</v>
      </c>
      <c r="F56" s="26" t="s">
        <v>197</v>
      </c>
      <c r="G56" s="27">
        <f>SUMIF(物料月初库存!$C$3:$C$303,$B56,物料月初库存!$F$3:$F$303)</f>
        <v>0</v>
      </c>
      <c r="H56" s="28">
        <f>SUMIF(半成品入库明细!$D$2:$D$650,$B56,半成品入库明细!$G$2:$G$650)</f>
        <v>0</v>
      </c>
      <c r="I56" s="28">
        <f ca="1">SUMIF(半成品出库明细!$D$2:$D$558,$B56,半成品出库明细!$G$2:$G$2)</f>
        <v>0</v>
      </c>
      <c r="J56" s="28">
        <f ca="1" t="shared" si="0"/>
        <v>0</v>
      </c>
      <c r="K56" s="20"/>
      <c r="L56" s="3"/>
      <c r="M56" s="3"/>
    </row>
    <row r="57" s="1" customFormat="1" spans="1:13">
      <c r="A57" s="22">
        <v>56</v>
      </c>
      <c r="B57" s="23" t="s">
        <v>299</v>
      </c>
      <c r="C57" s="24" t="s">
        <v>298</v>
      </c>
      <c r="D57" s="25" t="s">
        <v>285</v>
      </c>
      <c r="E57" s="28" t="s">
        <v>287</v>
      </c>
      <c r="F57" s="26" t="s">
        <v>197</v>
      </c>
      <c r="G57" s="27">
        <f>SUMIF(物料月初库存!$C$3:$C$303,$B57,物料月初库存!$F$3:$F$303)</f>
        <v>0</v>
      </c>
      <c r="H57" s="28">
        <f>SUMIF(半成品入库明细!$D$2:$D$650,$B57,半成品入库明细!$G$2:$G$650)</f>
        <v>0</v>
      </c>
      <c r="I57" s="28">
        <f ca="1">SUMIF(半成品出库明细!$D$2:$D$558,$B57,半成品出库明细!$G$2:$G$2)</f>
        <v>0</v>
      </c>
      <c r="J57" s="28">
        <f ca="1" t="shared" si="0"/>
        <v>0</v>
      </c>
      <c r="K57" s="20"/>
      <c r="L57" s="3"/>
      <c r="M57" s="3"/>
    </row>
    <row r="58" s="1" customFormat="1" spans="1:13">
      <c r="A58" s="22">
        <v>57</v>
      </c>
      <c r="B58" s="23" t="s">
        <v>300</v>
      </c>
      <c r="C58" s="24" t="s">
        <v>301</v>
      </c>
      <c r="D58" s="25" t="s">
        <v>285</v>
      </c>
      <c r="E58" s="19" t="s">
        <v>76</v>
      </c>
      <c r="F58" s="26" t="s">
        <v>197</v>
      </c>
      <c r="G58" s="27">
        <f>SUMIF(物料月初库存!$C$3:$C$303,$B58,物料月初库存!$F$3:$F$303)</f>
        <v>0</v>
      </c>
      <c r="H58" s="28">
        <f>SUMIF(半成品入库明细!$D$2:$D$650,$B58,半成品入库明细!$G$2:$G$650)</f>
        <v>0</v>
      </c>
      <c r="I58" s="28">
        <f ca="1">SUMIF(半成品出库明细!$D$2:$D$558,$B58,半成品出库明细!$G$2:$G$2)</f>
        <v>0</v>
      </c>
      <c r="J58" s="28">
        <f ca="1" t="shared" si="0"/>
        <v>0</v>
      </c>
      <c r="K58" s="20"/>
      <c r="L58" s="3"/>
      <c r="M58" s="3"/>
    </row>
    <row r="59" s="1" customFormat="1" spans="1:13">
      <c r="A59" s="22">
        <v>58</v>
      </c>
      <c r="B59" s="44" t="s">
        <v>302</v>
      </c>
      <c r="C59" s="45" t="s">
        <v>301</v>
      </c>
      <c r="D59" s="46" t="s">
        <v>285</v>
      </c>
      <c r="E59" s="28" t="s">
        <v>287</v>
      </c>
      <c r="F59" s="47" t="s">
        <v>197</v>
      </c>
      <c r="G59" s="27">
        <f>SUMIF(物料月初库存!$C$3:$C$303,$B59,物料月初库存!$F$3:$F$303)</f>
        <v>0</v>
      </c>
      <c r="H59" s="28">
        <f>SUMIF(半成品入库明细!$D$2:$D$650,$B59,半成品入库明细!$G$2:$G$650)</f>
        <v>0</v>
      </c>
      <c r="I59" s="28">
        <f ca="1">SUMIF(半成品出库明细!$D$2:$D$558,$B59,半成品出库明细!$G$2:$G$2)</f>
        <v>0</v>
      </c>
      <c r="J59" s="28">
        <f ca="1" t="shared" si="0"/>
        <v>0</v>
      </c>
      <c r="K59" s="48"/>
      <c r="L59" s="3"/>
      <c r="M59" s="3"/>
    </row>
    <row r="60" s="1" customFormat="1" spans="1:13">
      <c r="A60" s="22">
        <v>59</v>
      </c>
      <c r="B60" s="23" t="s">
        <v>303</v>
      </c>
      <c r="C60" s="24" t="s">
        <v>304</v>
      </c>
      <c r="D60" s="25" t="s">
        <v>285</v>
      </c>
      <c r="E60" s="19" t="s">
        <v>76</v>
      </c>
      <c r="F60" s="26" t="s">
        <v>197</v>
      </c>
      <c r="G60" s="27">
        <f>SUMIF(物料月初库存!$C$3:$C$303,$B60,物料月初库存!$F$3:$F$303)</f>
        <v>0</v>
      </c>
      <c r="H60" s="28">
        <f>SUMIF(半成品入库明细!$D$2:$D$650,$B60,半成品入库明细!$G$2:$G$650)</f>
        <v>0</v>
      </c>
      <c r="I60" s="28">
        <f ca="1">SUMIF(半成品出库明细!$D$2:$D$558,$B60,半成品出库明细!$G$2:$G$2)</f>
        <v>0</v>
      </c>
      <c r="J60" s="28">
        <f ca="1" t="shared" si="0"/>
        <v>0</v>
      </c>
      <c r="K60" s="20"/>
      <c r="L60" s="3"/>
      <c r="M60" s="3"/>
    </row>
    <row r="61" s="1" customFormat="1" spans="1:13">
      <c r="A61" s="22">
        <v>60</v>
      </c>
      <c r="B61" s="23" t="s">
        <v>305</v>
      </c>
      <c r="C61" s="24" t="s">
        <v>304</v>
      </c>
      <c r="D61" s="25" t="s">
        <v>285</v>
      </c>
      <c r="E61" s="28" t="s">
        <v>287</v>
      </c>
      <c r="F61" s="26" t="s">
        <v>197</v>
      </c>
      <c r="G61" s="27">
        <f>SUMIF(物料月初库存!$C$3:$C$303,$B61,物料月初库存!$F$3:$F$303)</f>
        <v>0</v>
      </c>
      <c r="H61" s="28">
        <f>SUMIF(半成品入库明细!$D$2:$D$650,$B61,半成品入库明细!$G$2:$G$650)</f>
        <v>0</v>
      </c>
      <c r="I61" s="28">
        <f ca="1">SUMIF(半成品出库明细!$D$2:$D$558,$B61,半成品出库明细!$G$2:$G$2)</f>
        <v>0</v>
      </c>
      <c r="J61" s="28">
        <f ca="1" t="shared" si="0"/>
        <v>0</v>
      </c>
      <c r="K61" s="20"/>
      <c r="L61" s="3"/>
      <c r="M61" s="3"/>
    </row>
    <row r="62" s="1" customFormat="1" spans="1:13">
      <c r="A62" s="22">
        <v>61</v>
      </c>
      <c r="B62" s="23" t="s">
        <v>306</v>
      </c>
      <c r="C62" s="24" t="s">
        <v>307</v>
      </c>
      <c r="D62" s="25" t="s">
        <v>285</v>
      </c>
      <c r="E62" s="19" t="s">
        <v>76</v>
      </c>
      <c r="F62" s="26" t="s">
        <v>197</v>
      </c>
      <c r="G62" s="27">
        <f>SUMIF(物料月初库存!$C$3:$C$303,$B62,物料月初库存!$F$3:$F$303)</f>
        <v>0</v>
      </c>
      <c r="H62" s="28">
        <f>SUMIF(半成品入库明细!$D$2:$D$650,$B62,半成品入库明细!$G$2:$G$650)</f>
        <v>0</v>
      </c>
      <c r="I62" s="28">
        <f ca="1">SUMIF(半成品出库明细!$D$2:$D$558,$B62,半成品出库明细!$G$2:$G$2)</f>
        <v>0</v>
      </c>
      <c r="J62" s="28">
        <f ca="1" t="shared" si="0"/>
        <v>0</v>
      </c>
      <c r="K62" s="20"/>
      <c r="L62" s="3"/>
      <c r="M62" s="3"/>
    </row>
    <row r="63" s="1" customFormat="1" spans="1:13">
      <c r="A63" s="22">
        <v>62</v>
      </c>
      <c r="B63" s="23" t="s">
        <v>308</v>
      </c>
      <c r="C63" s="24" t="s">
        <v>307</v>
      </c>
      <c r="D63" s="25" t="s">
        <v>285</v>
      </c>
      <c r="E63" s="28" t="s">
        <v>287</v>
      </c>
      <c r="F63" s="26" t="s">
        <v>197</v>
      </c>
      <c r="G63" s="27">
        <f>SUMIF(物料月初库存!$C$3:$C$303,$B63,物料月初库存!$F$3:$F$303)</f>
        <v>0</v>
      </c>
      <c r="H63" s="28">
        <f>SUMIF(半成品入库明细!$D$2:$D$650,$B63,半成品入库明细!$G$2:$G$650)</f>
        <v>0</v>
      </c>
      <c r="I63" s="28">
        <f ca="1">SUMIF(半成品出库明细!$D$2:$D$558,$B63,半成品出库明细!$G$2:$G$2)</f>
        <v>0</v>
      </c>
      <c r="J63" s="28">
        <f ca="1" t="shared" si="0"/>
        <v>0</v>
      </c>
      <c r="K63" s="20"/>
      <c r="L63" s="3"/>
      <c r="M63" s="3"/>
    </row>
    <row r="64" s="1" customFormat="1" spans="1:13">
      <c r="A64" s="22">
        <v>63</v>
      </c>
      <c r="B64" s="23" t="s">
        <v>309</v>
      </c>
      <c r="C64" s="24" t="s">
        <v>310</v>
      </c>
      <c r="D64" s="25" t="s">
        <v>285</v>
      </c>
      <c r="E64" s="19" t="s">
        <v>76</v>
      </c>
      <c r="F64" s="26" t="s">
        <v>197</v>
      </c>
      <c r="G64" s="27">
        <f>SUMIF(物料月初库存!$C$3:$C$303,$B64,物料月初库存!$F$3:$F$303)</f>
        <v>0</v>
      </c>
      <c r="H64" s="28">
        <f>SUMIF(半成品入库明细!$D$2:$D$650,$B64,半成品入库明细!$G$2:$G$650)</f>
        <v>0</v>
      </c>
      <c r="I64" s="28">
        <f ca="1">SUMIF(半成品出库明细!$D$2:$D$558,$B64,半成品出库明细!$G$2:$G$2)</f>
        <v>0</v>
      </c>
      <c r="J64" s="28">
        <f ca="1" t="shared" si="0"/>
        <v>0</v>
      </c>
      <c r="K64" s="20"/>
      <c r="L64" s="3"/>
      <c r="M64" s="3"/>
    </row>
    <row r="65" s="1" customFormat="1" spans="1:13">
      <c r="A65" s="22">
        <v>64</v>
      </c>
      <c r="B65" s="23" t="s">
        <v>311</v>
      </c>
      <c r="C65" s="24" t="s">
        <v>310</v>
      </c>
      <c r="D65" s="25" t="s">
        <v>285</v>
      </c>
      <c r="E65" s="28" t="s">
        <v>287</v>
      </c>
      <c r="F65" s="26" t="s">
        <v>197</v>
      </c>
      <c r="G65" s="27">
        <f>SUMIF(物料月初库存!$C$3:$C$303,$B65,物料月初库存!$F$3:$F$303)</f>
        <v>0</v>
      </c>
      <c r="H65" s="28">
        <f>SUMIF(半成品入库明细!$D$2:$D$650,$B65,半成品入库明细!$G$2:$G$650)</f>
        <v>0</v>
      </c>
      <c r="I65" s="28">
        <f ca="1">SUMIF(半成品出库明细!$D$2:$D$558,$B65,半成品出库明细!$G$2:$G$2)</f>
        <v>0</v>
      </c>
      <c r="J65" s="28">
        <f ca="1" t="shared" si="0"/>
        <v>0</v>
      </c>
      <c r="K65" s="20"/>
      <c r="L65" s="3"/>
      <c r="M65" s="3"/>
    </row>
    <row r="66" s="1" customFormat="1" spans="1:13">
      <c r="A66" s="22">
        <v>65</v>
      </c>
      <c r="B66" s="23" t="s">
        <v>312</v>
      </c>
      <c r="C66" s="25" t="s">
        <v>313</v>
      </c>
      <c r="D66" s="25" t="s">
        <v>314</v>
      </c>
      <c r="E66" s="19" t="s">
        <v>76</v>
      </c>
      <c r="F66" s="26" t="s">
        <v>197</v>
      </c>
      <c r="G66" s="27">
        <f>SUMIF(物料月初库存!$C$3:$C$303,$B66,物料月初库存!$F$3:$F$303)</f>
        <v>0</v>
      </c>
      <c r="H66" s="28">
        <f>SUMIF(半成品入库明细!$D$2:$D$650,$B66,半成品入库明细!$G$2:$G$650)</f>
        <v>0</v>
      </c>
      <c r="I66" s="28">
        <f ca="1">SUMIF(半成品出库明细!$D$2:$D$558,$B66,半成品出库明细!$G$2:$G$2)</f>
        <v>0</v>
      </c>
      <c r="J66" s="28">
        <f ca="1" t="shared" ref="J66:J129" si="1">G66+H66-I66</f>
        <v>0</v>
      </c>
      <c r="K66" s="29"/>
      <c r="L66" s="1"/>
      <c r="M66" s="3"/>
    </row>
    <row r="67" s="1" customFormat="1" spans="1:13">
      <c r="A67" s="22">
        <v>66</v>
      </c>
      <c r="B67" s="23" t="s">
        <v>315</v>
      </c>
      <c r="C67" s="25" t="s">
        <v>313</v>
      </c>
      <c r="D67" s="25" t="s">
        <v>314</v>
      </c>
      <c r="E67" s="49" t="s">
        <v>316</v>
      </c>
      <c r="F67" s="26" t="s">
        <v>197</v>
      </c>
      <c r="G67" s="27">
        <f>SUMIF(物料月初库存!$C$3:$C$303,$B67,物料月初库存!$F$3:$F$303)</f>
        <v>0</v>
      </c>
      <c r="H67" s="28">
        <f>SUMIF(半成品入库明细!$D$2:$D$650,$B67,半成品入库明细!$G$2:$G$650)</f>
        <v>0</v>
      </c>
      <c r="I67" s="28">
        <f ca="1">SUMIF(半成品出库明细!$D$2:$D$558,$B67,半成品出库明细!$G$2:$G$2)</f>
        <v>0</v>
      </c>
      <c r="J67" s="28">
        <f ca="1" t="shared" si="1"/>
        <v>0</v>
      </c>
      <c r="K67" s="32" t="s">
        <v>317</v>
      </c>
      <c r="L67" s="1"/>
      <c r="M67" s="3"/>
    </row>
    <row r="68" s="1" customFormat="1" spans="1:13">
      <c r="A68" s="22">
        <v>67</v>
      </c>
      <c r="B68" s="23" t="s">
        <v>318</v>
      </c>
      <c r="C68" s="25" t="s">
        <v>313</v>
      </c>
      <c r="D68" s="25" t="s">
        <v>314</v>
      </c>
      <c r="E68" s="50" t="s">
        <v>319</v>
      </c>
      <c r="F68" s="26" t="s">
        <v>197</v>
      </c>
      <c r="G68" s="27">
        <f>SUMIF(物料月初库存!$C$3:$C$303,$B68,物料月初库存!$F$3:$F$303)</f>
        <v>0</v>
      </c>
      <c r="H68" s="28">
        <f>SUMIF(半成品入库明细!$D$2:$D$650,$B68,半成品入库明细!$G$2:$G$650)</f>
        <v>0</v>
      </c>
      <c r="I68" s="28">
        <f ca="1">SUMIF(半成品出库明细!$D$2:$D$558,$B68,半成品出库明细!$G$2:$G$2)</f>
        <v>0</v>
      </c>
      <c r="J68" s="28">
        <f ca="1" t="shared" si="1"/>
        <v>0</v>
      </c>
      <c r="K68" s="30" t="s">
        <v>320</v>
      </c>
      <c r="L68" s="1"/>
      <c r="M68" s="3"/>
    </row>
    <row r="69" s="1" customFormat="1" spans="1:13">
      <c r="A69" s="22">
        <v>68</v>
      </c>
      <c r="B69" s="23" t="s">
        <v>321</v>
      </c>
      <c r="C69" s="25" t="s">
        <v>313</v>
      </c>
      <c r="D69" s="25" t="s">
        <v>314</v>
      </c>
      <c r="E69" s="28" t="s">
        <v>201</v>
      </c>
      <c r="F69" s="26" t="s">
        <v>197</v>
      </c>
      <c r="G69" s="27">
        <f>SUMIF(物料月初库存!$C$3:$C$303,$B69,物料月初库存!$F$3:$F$303)</f>
        <v>0</v>
      </c>
      <c r="H69" s="28">
        <f>SUMIF(半成品入库明细!$D$2:$D$650,$B69,半成品入库明细!$G$2:$G$650)</f>
        <v>0</v>
      </c>
      <c r="I69" s="28">
        <f ca="1">SUMIF(半成品出库明细!$D$2:$D$558,$B69,半成品出库明细!$G$2:$G$2)</f>
        <v>0</v>
      </c>
      <c r="J69" s="28">
        <f ca="1" t="shared" si="1"/>
        <v>0</v>
      </c>
      <c r="K69" s="30" t="s">
        <v>183</v>
      </c>
      <c r="L69" s="31" t="s">
        <v>202</v>
      </c>
      <c r="M69" s="3"/>
    </row>
    <row r="70" s="1" customFormat="1" spans="1:13">
      <c r="A70" s="22">
        <v>69</v>
      </c>
      <c r="B70" s="23" t="s">
        <v>322</v>
      </c>
      <c r="C70" s="25" t="s">
        <v>323</v>
      </c>
      <c r="D70" s="25" t="s">
        <v>314</v>
      </c>
      <c r="E70" s="19" t="s">
        <v>76</v>
      </c>
      <c r="F70" s="26" t="s">
        <v>197</v>
      </c>
      <c r="G70" s="27">
        <f>SUMIF(物料月初库存!$C$3:$C$303,$B70,物料月初库存!$F$3:$F$303)</f>
        <v>0</v>
      </c>
      <c r="H70" s="28">
        <f>SUMIF(半成品入库明细!$D$2:$D$650,$B70,半成品入库明细!$G$2:$G$650)</f>
        <v>0</v>
      </c>
      <c r="I70" s="28">
        <f ca="1">SUMIF(半成品出库明细!$D$2:$D$558,$B70,半成品出库明细!$G$2:$G$2)</f>
        <v>0</v>
      </c>
      <c r="J70" s="28">
        <f ca="1" t="shared" si="1"/>
        <v>0</v>
      </c>
      <c r="K70" s="29"/>
      <c r="L70" s="19"/>
      <c r="M70" s="3"/>
    </row>
    <row r="71" s="1" customFormat="1" spans="1:13">
      <c r="A71" s="22">
        <v>70</v>
      </c>
      <c r="B71" s="23" t="s">
        <v>324</v>
      </c>
      <c r="C71" s="25" t="s">
        <v>323</v>
      </c>
      <c r="D71" s="25" t="s">
        <v>314</v>
      </c>
      <c r="E71" s="19" t="s">
        <v>254</v>
      </c>
      <c r="F71" s="26" t="s">
        <v>197</v>
      </c>
      <c r="G71" s="27">
        <f>SUMIF(物料月初库存!$C$3:$C$303,$B71,物料月初库存!$F$3:$F$303)</f>
        <v>0</v>
      </c>
      <c r="H71" s="28">
        <f>SUMIF(半成品入库明细!$D$2:$D$650,$B71,半成品入库明细!$G$2:$G$650)</f>
        <v>0</v>
      </c>
      <c r="I71" s="28">
        <f ca="1">SUMIF(半成品出库明细!$D$2:$D$558,$B71,半成品出库明细!$G$2:$G$2)</f>
        <v>0</v>
      </c>
      <c r="J71" s="28">
        <f ca="1" t="shared" si="1"/>
        <v>0</v>
      </c>
      <c r="K71" s="30" t="s">
        <v>113</v>
      </c>
      <c r="L71" s="19"/>
      <c r="M71" s="3"/>
    </row>
    <row r="72" s="1" customFormat="1" spans="1:13">
      <c r="A72" s="22">
        <v>71</v>
      </c>
      <c r="B72" s="23" t="s">
        <v>325</v>
      </c>
      <c r="C72" s="25" t="s">
        <v>323</v>
      </c>
      <c r="D72" s="25" t="s">
        <v>314</v>
      </c>
      <c r="E72" s="28" t="s">
        <v>326</v>
      </c>
      <c r="F72" s="26" t="s">
        <v>197</v>
      </c>
      <c r="G72" s="27">
        <f>SUMIF(物料月初库存!$C$3:$C$303,$B72,物料月初库存!$F$3:$F$303)</f>
        <v>0</v>
      </c>
      <c r="H72" s="28">
        <f>SUMIF(半成品入库明细!$D$2:$D$650,$B72,半成品入库明细!$G$2:$G$650)</f>
        <v>0</v>
      </c>
      <c r="I72" s="28">
        <f ca="1">SUMIF(半成品出库明细!$D$2:$D$558,$B72,半成品出库明细!$G$2:$G$2)</f>
        <v>0</v>
      </c>
      <c r="J72" s="28">
        <f ca="1" t="shared" si="1"/>
        <v>0</v>
      </c>
      <c r="K72" s="29" t="s">
        <v>327</v>
      </c>
      <c r="L72" s="28"/>
      <c r="M72" s="3"/>
    </row>
    <row r="73" s="1" customFormat="1" spans="1:13">
      <c r="A73" s="22">
        <v>72</v>
      </c>
      <c r="B73" s="23" t="s">
        <v>328</v>
      </c>
      <c r="C73" s="25" t="s">
        <v>323</v>
      </c>
      <c r="D73" s="25" t="s">
        <v>314</v>
      </c>
      <c r="E73" s="28" t="s">
        <v>201</v>
      </c>
      <c r="F73" s="26" t="s">
        <v>197</v>
      </c>
      <c r="G73" s="27">
        <f>SUMIF(物料月初库存!$C$3:$C$303,$B73,物料月初库存!$F$3:$F$303)</f>
        <v>0</v>
      </c>
      <c r="H73" s="28">
        <f>SUMIF(半成品入库明细!$D$2:$D$650,$B73,半成品入库明细!$G$2:$G$650)</f>
        <v>0</v>
      </c>
      <c r="I73" s="28">
        <f ca="1">SUMIF(半成品出库明细!$D$2:$D$558,$B73,半成品出库明细!$G$2:$G$2)</f>
        <v>0</v>
      </c>
      <c r="J73" s="28">
        <f ca="1" t="shared" si="1"/>
        <v>0</v>
      </c>
      <c r="K73" s="29" t="s">
        <v>183</v>
      </c>
      <c r="L73" s="31" t="s">
        <v>202</v>
      </c>
      <c r="M73" s="3"/>
    </row>
    <row r="74" s="1" customFormat="1" spans="1:13">
      <c r="A74" s="22">
        <v>73</v>
      </c>
      <c r="B74" s="23" t="s">
        <v>329</v>
      </c>
      <c r="C74" s="25" t="s">
        <v>330</v>
      </c>
      <c r="D74" s="25" t="s">
        <v>314</v>
      </c>
      <c r="E74" s="19" t="s">
        <v>76</v>
      </c>
      <c r="F74" s="26" t="s">
        <v>197</v>
      </c>
      <c r="G74" s="27">
        <f>SUMIF(物料月初库存!$C$3:$C$303,$B74,物料月初库存!$F$3:$F$303)</f>
        <v>0</v>
      </c>
      <c r="H74" s="28">
        <f>SUMIF(半成品入库明细!$D$2:$D$650,$B74,半成品入库明细!$G$2:$G$650)</f>
        <v>0</v>
      </c>
      <c r="I74" s="28">
        <f ca="1">SUMIF(半成品出库明细!$D$2:$D$558,$B74,半成品出库明细!$G$2:$G$2)</f>
        <v>0</v>
      </c>
      <c r="J74" s="28">
        <f ca="1" t="shared" si="1"/>
        <v>0</v>
      </c>
      <c r="K74" s="29"/>
      <c r="L74" s="19"/>
      <c r="M74" s="3"/>
    </row>
    <row r="75" s="1" customFormat="1" spans="1:13">
      <c r="A75" s="22">
        <v>74</v>
      </c>
      <c r="B75" s="23" t="s">
        <v>331</v>
      </c>
      <c r="C75" s="25" t="s">
        <v>330</v>
      </c>
      <c r="D75" s="25" t="s">
        <v>314</v>
      </c>
      <c r="E75" s="28" t="s">
        <v>332</v>
      </c>
      <c r="F75" s="26" t="s">
        <v>197</v>
      </c>
      <c r="G75" s="27">
        <f>SUMIF(物料月初库存!$C$3:$C$303,$B75,物料月初库存!$F$3:$F$303)</f>
        <v>0</v>
      </c>
      <c r="H75" s="28">
        <f>SUMIF(半成品入库明细!$D$2:$D$650,$B75,半成品入库明细!$G$2:$G$650)</f>
        <v>0</v>
      </c>
      <c r="I75" s="28">
        <f ca="1">SUMIF(半成品出库明细!$D$2:$D$558,$B75,半成品出库明细!$G$2:$G$2)</f>
        <v>0</v>
      </c>
      <c r="J75" s="28">
        <f ca="1" t="shared" si="1"/>
        <v>0</v>
      </c>
      <c r="K75" s="29" t="s">
        <v>333</v>
      </c>
      <c r="L75" s="28"/>
      <c r="M75" s="3"/>
    </row>
    <row r="76" s="1" customFormat="1" spans="1:13">
      <c r="A76" s="22">
        <v>75</v>
      </c>
      <c r="B76" s="23" t="s">
        <v>334</v>
      </c>
      <c r="C76" s="25" t="s">
        <v>330</v>
      </c>
      <c r="D76" s="25" t="s">
        <v>314</v>
      </c>
      <c r="E76" s="28" t="s">
        <v>199</v>
      </c>
      <c r="F76" s="26" t="s">
        <v>197</v>
      </c>
      <c r="G76" s="27">
        <f>SUMIF(物料月初库存!$C$3:$C$303,$B76,物料月初库存!$F$3:$F$303)</f>
        <v>0</v>
      </c>
      <c r="H76" s="28">
        <f>SUMIF(半成品入库明细!$D$2:$D$650,$B76,半成品入库明细!$G$2:$G$650)</f>
        <v>0</v>
      </c>
      <c r="I76" s="28">
        <f ca="1">SUMIF(半成品出库明细!$D$2:$D$558,$B76,半成品出库明细!$G$2:$G$2)</f>
        <v>0</v>
      </c>
      <c r="J76" s="28">
        <f ca="1" t="shared" si="1"/>
        <v>0</v>
      </c>
      <c r="K76" s="51" t="s">
        <v>335</v>
      </c>
      <c r="L76" s="28"/>
      <c r="M76" s="3"/>
    </row>
    <row r="77" s="1" customFormat="1" spans="1:13">
      <c r="A77" s="22">
        <v>76</v>
      </c>
      <c r="B77" s="23" t="s">
        <v>336</v>
      </c>
      <c r="C77" s="25" t="s">
        <v>330</v>
      </c>
      <c r="D77" s="25" t="s">
        <v>314</v>
      </c>
      <c r="E77" s="28" t="s">
        <v>201</v>
      </c>
      <c r="F77" s="26" t="s">
        <v>197</v>
      </c>
      <c r="G77" s="27">
        <f>SUMIF(物料月初库存!$C$3:$C$303,$B77,物料月初库存!$F$3:$F$303)</f>
        <v>0</v>
      </c>
      <c r="H77" s="28">
        <f>SUMIF(半成品入库明细!$D$2:$D$650,$B77,半成品入库明细!$G$2:$G$650)</f>
        <v>0</v>
      </c>
      <c r="I77" s="28">
        <f ca="1">SUMIF(半成品出库明细!$D$2:$D$558,$B77,半成品出库明细!$G$2:$G$2)</f>
        <v>0</v>
      </c>
      <c r="J77" s="28">
        <f ca="1" t="shared" si="1"/>
        <v>0</v>
      </c>
      <c r="K77" s="30" t="s">
        <v>183</v>
      </c>
      <c r="L77" s="31" t="s">
        <v>202</v>
      </c>
      <c r="M77" s="3"/>
    </row>
    <row r="78" s="1" customFormat="1" spans="1:13">
      <c r="A78" s="22">
        <v>77</v>
      </c>
      <c r="B78" s="23" t="s">
        <v>337</v>
      </c>
      <c r="C78" s="25" t="s">
        <v>338</v>
      </c>
      <c r="D78" s="25" t="s">
        <v>314</v>
      </c>
      <c r="E78" s="19" t="s">
        <v>76</v>
      </c>
      <c r="F78" s="26" t="s">
        <v>197</v>
      </c>
      <c r="G78" s="27">
        <f>SUMIF(物料月初库存!$C$3:$C$303,$B78,物料月初库存!$F$3:$F$303)</f>
        <v>0</v>
      </c>
      <c r="H78" s="28">
        <f>SUMIF(半成品入库明细!$D$2:$D$650,$B78,半成品入库明细!$G$2:$G$650)</f>
        <v>0</v>
      </c>
      <c r="I78" s="28">
        <f ca="1">SUMIF(半成品出库明细!$D$2:$D$558,$B78,半成品出库明细!$G$2:$G$2)</f>
        <v>0</v>
      </c>
      <c r="J78" s="28">
        <f ca="1" t="shared" si="1"/>
        <v>0</v>
      </c>
      <c r="K78" s="29"/>
      <c r="L78" s="19"/>
      <c r="M78" s="3"/>
    </row>
    <row r="79" s="1" customFormat="1" spans="1:13">
      <c r="A79" s="22">
        <v>78</v>
      </c>
      <c r="B79" s="23" t="s">
        <v>339</v>
      </c>
      <c r="C79" s="25" t="s">
        <v>338</v>
      </c>
      <c r="D79" s="25" t="s">
        <v>314</v>
      </c>
      <c r="E79" s="28" t="s">
        <v>332</v>
      </c>
      <c r="F79" s="26" t="s">
        <v>197</v>
      </c>
      <c r="G79" s="27">
        <f>SUMIF(物料月初库存!$C$3:$C$303,$B79,物料月初库存!$F$3:$F$303)</f>
        <v>0</v>
      </c>
      <c r="H79" s="28">
        <f>SUMIF(半成品入库明细!$D$2:$D$650,$B79,半成品入库明细!$G$2:$G$650)</f>
        <v>0</v>
      </c>
      <c r="I79" s="28">
        <f ca="1">SUMIF(半成品出库明细!$D$2:$D$558,$B79,半成品出库明细!$G$2:$G$2)</f>
        <v>0</v>
      </c>
      <c r="J79" s="28">
        <f ca="1" t="shared" si="1"/>
        <v>0</v>
      </c>
      <c r="K79" s="29" t="s">
        <v>327</v>
      </c>
      <c r="L79" s="28"/>
      <c r="M79" s="3"/>
    </row>
    <row r="80" s="1" customFormat="1" spans="1:13">
      <c r="A80" s="22">
        <v>79</v>
      </c>
      <c r="B80" s="23" t="s">
        <v>340</v>
      </c>
      <c r="C80" s="25" t="s">
        <v>338</v>
      </c>
      <c r="D80" s="25" t="s">
        <v>314</v>
      </c>
      <c r="E80" s="28" t="s">
        <v>199</v>
      </c>
      <c r="F80" s="26" t="s">
        <v>197</v>
      </c>
      <c r="G80" s="27">
        <f>SUMIF(物料月初库存!$C$3:$C$303,$B80,物料月初库存!$F$3:$F$303)</f>
        <v>0</v>
      </c>
      <c r="H80" s="28">
        <f>SUMIF(半成品入库明细!$D$2:$D$650,$B80,半成品入库明细!$G$2:$G$650)</f>
        <v>0</v>
      </c>
      <c r="I80" s="28">
        <f ca="1">SUMIF(半成品出库明细!$D$2:$D$558,$B80,半成品出库明细!$G$2:$G$2)</f>
        <v>0</v>
      </c>
      <c r="J80" s="28">
        <f ca="1" t="shared" si="1"/>
        <v>0</v>
      </c>
      <c r="K80" s="51" t="s">
        <v>335</v>
      </c>
      <c r="L80" s="28"/>
      <c r="M80" s="3"/>
    </row>
    <row r="81" s="1" customFormat="1" spans="1:13">
      <c r="A81" s="22">
        <v>80</v>
      </c>
      <c r="B81" s="23" t="s">
        <v>341</v>
      </c>
      <c r="C81" s="25" t="s">
        <v>338</v>
      </c>
      <c r="D81" s="25" t="s">
        <v>314</v>
      </c>
      <c r="E81" s="28" t="s">
        <v>201</v>
      </c>
      <c r="F81" s="26" t="s">
        <v>197</v>
      </c>
      <c r="G81" s="27">
        <f>SUMIF(物料月初库存!$C$3:$C$303,$B81,物料月初库存!$F$3:$F$303)</f>
        <v>0</v>
      </c>
      <c r="H81" s="28">
        <f>SUMIF(半成品入库明细!$D$2:$D$650,$B81,半成品入库明细!$G$2:$G$650)</f>
        <v>0</v>
      </c>
      <c r="I81" s="28">
        <f ca="1">SUMIF(半成品出库明细!$D$2:$D$558,$B81,半成品出库明细!$G$2:$G$2)</f>
        <v>0</v>
      </c>
      <c r="J81" s="28">
        <f ca="1" t="shared" si="1"/>
        <v>0</v>
      </c>
      <c r="K81" s="30" t="s">
        <v>183</v>
      </c>
      <c r="L81" s="31" t="s">
        <v>202</v>
      </c>
      <c r="M81" s="3"/>
    </row>
    <row r="82" s="1" customFormat="1" spans="1:13">
      <c r="A82" s="22">
        <v>81</v>
      </c>
      <c r="B82" s="23" t="s">
        <v>342</v>
      </c>
      <c r="C82" s="25" t="s">
        <v>343</v>
      </c>
      <c r="D82" s="52" t="s">
        <v>344</v>
      </c>
      <c r="E82" s="19" t="s">
        <v>76</v>
      </c>
      <c r="F82" s="26" t="s">
        <v>197</v>
      </c>
      <c r="G82" s="27">
        <f>SUMIF(物料月初库存!$C$3:$C$303,$B82,物料月初库存!$F$3:$F$303)</f>
        <v>0</v>
      </c>
      <c r="H82" s="28">
        <f>SUMIF(半成品入库明细!$D$2:$D$650,$B82,半成品入库明细!$G$2:$G$650)</f>
        <v>0</v>
      </c>
      <c r="I82" s="28">
        <f ca="1">SUMIF(半成品出库明细!$D$2:$D$558,$B82,半成品出库明细!$G$2:$G$2)</f>
        <v>0</v>
      </c>
      <c r="J82" s="28">
        <f ca="1" t="shared" si="1"/>
        <v>0</v>
      </c>
      <c r="K82" s="20"/>
      <c r="L82" s="3"/>
      <c r="M82" s="3"/>
    </row>
    <row r="83" s="1" customFormat="1" spans="1:13">
      <c r="A83" s="22">
        <v>82</v>
      </c>
      <c r="B83" s="23" t="s">
        <v>345</v>
      </c>
      <c r="C83" s="25" t="s">
        <v>343</v>
      </c>
      <c r="D83" s="52" t="s">
        <v>344</v>
      </c>
      <c r="E83" s="19" t="s">
        <v>235</v>
      </c>
      <c r="F83" s="26" t="s">
        <v>197</v>
      </c>
      <c r="G83" s="27">
        <f>SUMIF(物料月初库存!$C$3:$C$303,$B83,物料月初库存!$F$3:$F$303)</f>
        <v>0</v>
      </c>
      <c r="H83" s="28">
        <f>SUMIF(半成品入库明细!$D$2:$D$650,$B83,半成品入库明细!$G$2:$G$650)</f>
        <v>0</v>
      </c>
      <c r="I83" s="28">
        <f ca="1">SUMIF(半成品出库明细!$D$2:$D$558,$B83,半成品出库明细!$G$2:$G$2)</f>
        <v>0</v>
      </c>
      <c r="J83" s="28">
        <f ca="1" t="shared" si="1"/>
        <v>0</v>
      </c>
      <c r="K83" s="20"/>
      <c r="L83" s="3"/>
      <c r="M83" s="3"/>
    </row>
    <row r="84" s="1" customFormat="1" spans="1:13">
      <c r="A84" s="22">
        <v>83</v>
      </c>
      <c r="B84" s="23" t="s">
        <v>346</v>
      </c>
      <c r="C84" s="24" t="s">
        <v>347</v>
      </c>
      <c r="D84" s="52" t="s">
        <v>348</v>
      </c>
      <c r="E84" s="19" t="s">
        <v>76</v>
      </c>
      <c r="F84" s="26" t="s">
        <v>197</v>
      </c>
      <c r="G84" s="27">
        <f>SUMIF(物料月初库存!$C$3:$C$303,$B84,物料月初库存!$F$3:$F$303)</f>
        <v>0</v>
      </c>
      <c r="H84" s="28">
        <f>SUMIF(半成品入库明细!$D$2:$D$650,$B84,半成品入库明细!$G$2:$G$650)</f>
        <v>0</v>
      </c>
      <c r="I84" s="28">
        <f ca="1">SUMIF(半成品出库明细!$D$2:$D$558,$B84,半成品出库明细!$G$2:$G$2)</f>
        <v>0</v>
      </c>
      <c r="J84" s="28">
        <f ca="1" t="shared" si="1"/>
        <v>0</v>
      </c>
      <c r="K84" s="20"/>
      <c r="L84" s="3"/>
      <c r="M84" s="3"/>
    </row>
    <row r="85" s="1" customFormat="1" spans="1:13">
      <c r="A85" s="22">
        <v>84</v>
      </c>
      <c r="B85" s="23" t="s">
        <v>349</v>
      </c>
      <c r="C85" s="25" t="s">
        <v>350</v>
      </c>
      <c r="D85" s="25" t="s">
        <v>351</v>
      </c>
      <c r="E85" s="19" t="s">
        <v>76</v>
      </c>
      <c r="F85" s="26" t="s">
        <v>197</v>
      </c>
      <c r="G85" s="27">
        <f>SUMIF(物料月初库存!$C$3:$C$303,$B85,物料月初库存!$F$3:$F$303)</f>
        <v>0</v>
      </c>
      <c r="H85" s="28">
        <f>SUMIF(半成品入库明细!$D$2:$D$650,$B85,半成品入库明细!$G$2:$G$650)</f>
        <v>0</v>
      </c>
      <c r="I85" s="28">
        <f ca="1">SUMIF(半成品出库明细!$D$2:$D$558,$B85,半成品出库明细!$G$2:$G$2)</f>
        <v>0</v>
      </c>
      <c r="J85" s="28">
        <f ca="1" t="shared" si="1"/>
        <v>0</v>
      </c>
      <c r="K85" s="29"/>
      <c r="L85" s="19"/>
      <c r="M85" s="3"/>
    </row>
    <row r="86" s="1" customFormat="1" spans="1:13">
      <c r="A86" s="22">
        <v>85</v>
      </c>
      <c r="B86" s="23" t="s">
        <v>352</v>
      </c>
      <c r="C86" s="25" t="s">
        <v>350</v>
      </c>
      <c r="D86" s="25" t="s">
        <v>351</v>
      </c>
      <c r="E86" s="28" t="s">
        <v>353</v>
      </c>
      <c r="F86" s="26" t="s">
        <v>197</v>
      </c>
      <c r="G86" s="27">
        <f>SUMIF(物料月初库存!$C$3:$C$303,$B86,物料月初库存!$F$3:$F$303)</f>
        <v>0</v>
      </c>
      <c r="H86" s="28">
        <f>SUMIF(半成品入库明细!$D$2:$D$650,$B86,半成品入库明细!$G$2:$G$650)</f>
        <v>0</v>
      </c>
      <c r="I86" s="28">
        <f ca="1">SUMIF(半成品出库明细!$D$2:$D$558,$B86,半成品出库明细!$G$2:$G$2)</f>
        <v>0</v>
      </c>
      <c r="J86" s="28">
        <f ca="1" t="shared" si="1"/>
        <v>0</v>
      </c>
      <c r="K86" s="29"/>
      <c r="L86" s="28"/>
      <c r="M86" s="3"/>
    </row>
    <row r="87" s="1" customFormat="1" spans="1:13">
      <c r="A87" s="22">
        <v>86</v>
      </c>
      <c r="B87" s="23" t="s">
        <v>354</v>
      </c>
      <c r="C87" s="25" t="s">
        <v>350</v>
      </c>
      <c r="D87" s="25" t="s">
        <v>351</v>
      </c>
      <c r="E87" s="28" t="s">
        <v>326</v>
      </c>
      <c r="F87" s="26" t="s">
        <v>197</v>
      </c>
      <c r="G87" s="27">
        <f>SUMIF(物料月初库存!$C$3:$C$303,$B87,物料月初库存!$F$3:$F$303)</f>
        <v>0</v>
      </c>
      <c r="H87" s="28">
        <f>SUMIF(半成品入库明细!$D$2:$D$650,$B87,半成品入库明细!$G$2:$G$650)</f>
        <v>0</v>
      </c>
      <c r="I87" s="28">
        <f ca="1">SUMIF(半成品出库明细!$D$2:$D$558,$B87,半成品出库明细!$G$2:$G$2)</f>
        <v>0</v>
      </c>
      <c r="J87" s="28">
        <f ca="1" t="shared" si="1"/>
        <v>0</v>
      </c>
      <c r="K87" s="29"/>
      <c r="L87" s="28"/>
      <c r="M87" s="3"/>
    </row>
    <row r="88" s="1" customFormat="1" spans="1:13">
      <c r="A88" s="22">
        <v>87</v>
      </c>
      <c r="B88" s="23" t="s">
        <v>355</v>
      </c>
      <c r="C88" s="25" t="s">
        <v>350</v>
      </c>
      <c r="D88" s="25" t="s">
        <v>351</v>
      </c>
      <c r="E88" s="19" t="s">
        <v>356</v>
      </c>
      <c r="F88" s="26" t="s">
        <v>197</v>
      </c>
      <c r="G88" s="27">
        <f>SUMIF(物料月初库存!$C$3:$C$303,$B88,物料月初库存!$F$3:$F$303)</f>
        <v>0</v>
      </c>
      <c r="H88" s="28">
        <f>SUMIF(半成品入库明细!$D$2:$D$650,$B88,半成品入库明细!$G$2:$G$650)</f>
        <v>0</v>
      </c>
      <c r="I88" s="28">
        <f ca="1">SUMIF(半成品出库明细!$D$2:$D$558,$B88,半成品出库明细!$G$2:$G$2)</f>
        <v>0</v>
      </c>
      <c r="J88" s="28">
        <f ca="1" t="shared" si="1"/>
        <v>0</v>
      </c>
      <c r="K88" s="29"/>
      <c r="L88" s="19"/>
      <c r="M88" s="3"/>
    </row>
    <row r="89" s="1" customFormat="1" spans="1:13">
      <c r="A89" s="22">
        <v>88</v>
      </c>
      <c r="B89" s="23" t="s">
        <v>357</v>
      </c>
      <c r="C89" s="25" t="s">
        <v>350</v>
      </c>
      <c r="D89" s="25" t="s">
        <v>351</v>
      </c>
      <c r="E89" s="19" t="s">
        <v>256</v>
      </c>
      <c r="F89" s="26" t="s">
        <v>197</v>
      </c>
      <c r="G89" s="27">
        <f>SUMIF(物料月初库存!$C$3:$C$303,$B89,物料月初库存!$F$3:$F$303)</f>
        <v>0</v>
      </c>
      <c r="H89" s="28">
        <f>SUMIF(半成品入库明细!$D$2:$D$650,$B89,半成品入库明细!$G$2:$G$650)</f>
        <v>0</v>
      </c>
      <c r="I89" s="28">
        <f ca="1">SUMIF(半成品出库明细!$D$2:$D$558,$B89,半成品出库明细!$G$2:$G$2)</f>
        <v>0</v>
      </c>
      <c r="J89" s="28">
        <f ca="1" t="shared" si="1"/>
        <v>0</v>
      </c>
      <c r="K89" s="29"/>
      <c r="L89" s="19"/>
      <c r="M89" s="3"/>
    </row>
    <row r="90" s="1" customFormat="1" spans="1:13">
      <c r="A90" s="22">
        <v>89</v>
      </c>
      <c r="B90" s="23" t="s">
        <v>358</v>
      </c>
      <c r="C90" s="25" t="s">
        <v>350</v>
      </c>
      <c r="D90" s="25" t="s">
        <v>351</v>
      </c>
      <c r="E90" s="28" t="s">
        <v>359</v>
      </c>
      <c r="F90" s="26" t="s">
        <v>197</v>
      </c>
      <c r="G90" s="27">
        <f>SUMIF(物料月初库存!$C$3:$C$303,$B90,物料月初库存!$F$3:$F$303)</f>
        <v>0</v>
      </c>
      <c r="H90" s="28">
        <f>SUMIF(半成品入库明细!$D$2:$D$650,$B90,半成品入库明细!$G$2:$G$650)</f>
        <v>0</v>
      </c>
      <c r="I90" s="28">
        <f ca="1">SUMIF(半成品出库明细!$D$2:$D$558,$B90,半成品出库明细!$G$2:$G$2)</f>
        <v>0</v>
      </c>
      <c r="J90" s="28">
        <f ca="1" t="shared" si="1"/>
        <v>0</v>
      </c>
      <c r="K90" s="29"/>
      <c r="L90" s="31" t="s">
        <v>202</v>
      </c>
      <c r="M90" s="3"/>
    </row>
    <row r="91" s="1" customFormat="1" spans="1:13">
      <c r="A91" s="22">
        <v>90</v>
      </c>
      <c r="B91" s="23" t="s">
        <v>360</v>
      </c>
      <c r="C91" s="25" t="s">
        <v>361</v>
      </c>
      <c r="D91" s="25" t="s">
        <v>351</v>
      </c>
      <c r="E91" s="19" t="s">
        <v>76</v>
      </c>
      <c r="F91" s="26" t="s">
        <v>197</v>
      </c>
      <c r="G91" s="27">
        <f>SUMIF(物料月初库存!$C$3:$C$303,$B91,物料月初库存!$F$3:$F$303)</f>
        <v>0</v>
      </c>
      <c r="H91" s="28">
        <f>SUMIF(半成品入库明细!$D$2:$D$650,$B91,半成品入库明细!$G$2:$G$650)</f>
        <v>0</v>
      </c>
      <c r="I91" s="28">
        <f ca="1">SUMIF(半成品出库明细!$D$2:$D$558,$B91,半成品出库明细!$G$2:$G$2)</f>
        <v>0</v>
      </c>
      <c r="J91" s="28">
        <f ca="1" t="shared" si="1"/>
        <v>0</v>
      </c>
      <c r="K91" s="29"/>
      <c r="L91" s="19"/>
      <c r="M91" s="3"/>
    </row>
    <row r="92" s="1" customFormat="1" spans="1:13">
      <c r="A92" s="22">
        <v>91</v>
      </c>
      <c r="B92" s="23" t="s">
        <v>362</v>
      </c>
      <c r="C92" s="25" t="s">
        <v>361</v>
      </c>
      <c r="D92" s="25" t="s">
        <v>351</v>
      </c>
      <c r="E92" s="28" t="s">
        <v>353</v>
      </c>
      <c r="F92" s="26" t="s">
        <v>197</v>
      </c>
      <c r="G92" s="27">
        <f>SUMIF(物料月初库存!$C$3:$C$303,$B92,物料月初库存!$F$3:$F$303)</f>
        <v>0</v>
      </c>
      <c r="H92" s="28">
        <f>SUMIF(半成品入库明细!$D$2:$D$650,$B92,半成品入库明细!$G$2:$G$650)</f>
        <v>0</v>
      </c>
      <c r="I92" s="28">
        <f ca="1">SUMIF(半成品出库明细!$D$2:$D$558,$B92,半成品出库明细!$G$2:$G$2)</f>
        <v>0</v>
      </c>
      <c r="J92" s="28">
        <f ca="1" t="shared" si="1"/>
        <v>0</v>
      </c>
      <c r="K92" s="29"/>
      <c r="L92" s="28"/>
      <c r="M92" s="3"/>
    </row>
    <row r="93" s="1" customFormat="1" spans="1:13">
      <c r="A93" s="22">
        <v>92</v>
      </c>
      <c r="B93" s="23" t="s">
        <v>363</v>
      </c>
      <c r="C93" s="25" t="s">
        <v>361</v>
      </c>
      <c r="D93" s="25" t="s">
        <v>351</v>
      </c>
      <c r="E93" s="28" t="s">
        <v>326</v>
      </c>
      <c r="F93" s="26" t="s">
        <v>197</v>
      </c>
      <c r="G93" s="27">
        <f>SUMIF(物料月初库存!$C$3:$C$303,$B93,物料月初库存!$F$3:$F$303)</f>
        <v>0</v>
      </c>
      <c r="H93" s="28">
        <f>SUMIF(半成品入库明细!$D$2:$D$650,$B93,半成品入库明细!$G$2:$G$650)</f>
        <v>0</v>
      </c>
      <c r="I93" s="28">
        <f ca="1">SUMIF(半成品出库明细!$D$2:$D$558,$B93,半成品出库明细!$G$2:$G$2)</f>
        <v>0</v>
      </c>
      <c r="J93" s="28">
        <f ca="1" t="shared" si="1"/>
        <v>0</v>
      </c>
      <c r="K93" s="29"/>
      <c r="L93" s="28"/>
      <c r="M93" s="3"/>
    </row>
    <row r="94" s="1" customFormat="1" spans="1:13">
      <c r="A94" s="22">
        <v>93</v>
      </c>
      <c r="B94" s="23" t="s">
        <v>364</v>
      </c>
      <c r="C94" s="25" t="s">
        <v>361</v>
      </c>
      <c r="D94" s="25" t="s">
        <v>351</v>
      </c>
      <c r="E94" s="19" t="s">
        <v>356</v>
      </c>
      <c r="F94" s="26" t="s">
        <v>197</v>
      </c>
      <c r="G94" s="27">
        <f>SUMIF(物料月初库存!$C$3:$C$303,$B94,物料月初库存!$F$3:$F$303)</f>
        <v>0</v>
      </c>
      <c r="H94" s="28">
        <f>SUMIF(半成品入库明细!$D$2:$D$650,$B94,半成品入库明细!$G$2:$G$650)</f>
        <v>0</v>
      </c>
      <c r="I94" s="28">
        <f ca="1">SUMIF(半成品出库明细!$D$2:$D$558,$B94,半成品出库明细!$G$2:$G$2)</f>
        <v>0</v>
      </c>
      <c r="J94" s="28">
        <f ca="1" t="shared" si="1"/>
        <v>0</v>
      </c>
      <c r="K94" s="29"/>
      <c r="L94" s="19"/>
      <c r="M94" s="3"/>
    </row>
    <row r="95" s="1" customFormat="1" spans="1:13">
      <c r="A95" s="22">
        <v>94</v>
      </c>
      <c r="B95" s="23" t="s">
        <v>365</v>
      </c>
      <c r="C95" s="25" t="s">
        <v>361</v>
      </c>
      <c r="D95" s="25" t="s">
        <v>351</v>
      </c>
      <c r="E95" s="19" t="s">
        <v>256</v>
      </c>
      <c r="F95" s="26" t="s">
        <v>197</v>
      </c>
      <c r="G95" s="27">
        <f>SUMIF(物料月初库存!$C$3:$C$303,$B95,物料月初库存!$F$3:$F$303)</f>
        <v>0</v>
      </c>
      <c r="H95" s="28">
        <f>SUMIF(半成品入库明细!$D$2:$D$650,$B95,半成品入库明细!$G$2:$G$650)</f>
        <v>0</v>
      </c>
      <c r="I95" s="28">
        <f ca="1">SUMIF(半成品出库明细!$D$2:$D$558,$B95,半成品出库明细!$G$2:$G$2)</f>
        <v>0</v>
      </c>
      <c r="J95" s="28">
        <f ca="1" t="shared" si="1"/>
        <v>0</v>
      </c>
      <c r="K95" s="29"/>
      <c r="L95" s="19"/>
      <c r="M95" s="3"/>
    </row>
    <row r="96" s="1" customFormat="1" spans="1:13">
      <c r="A96" s="22">
        <v>95</v>
      </c>
      <c r="B96" s="23" t="s">
        <v>366</v>
      </c>
      <c r="C96" s="25" t="s">
        <v>361</v>
      </c>
      <c r="D96" s="25" t="s">
        <v>351</v>
      </c>
      <c r="E96" s="28" t="s">
        <v>359</v>
      </c>
      <c r="F96" s="26" t="s">
        <v>197</v>
      </c>
      <c r="G96" s="27">
        <f>SUMIF(物料月初库存!$C$3:$C$303,$B96,物料月初库存!$F$3:$F$303)</f>
        <v>0</v>
      </c>
      <c r="H96" s="28">
        <f>SUMIF(半成品入库明细!$D$2:$D$650,$B96,半成品入库明细!$G$2:$G$650)</f>
        <v>0</v>
      </c>
      <c r="I96" s="28">
        <f ca="1">SUMIF(半成品出库明细!$D$2:$D$558,$B96,半成品出库明细!$G$2:$G$2)</f>
        <v>0</v>
      </c>
      <c r="J96" s="28">
        <f ca="1" t="shared" si="1"/>
        <v>0</v>
      </c>
      <c r="K96" s="29"/>
      <c r="L96" s="31" t="s">
        <v>202</v>
      </c>
      <c r="M96" s="3"/>
    </row>
    <row r="97" s="1" customFormat="1" spans="1:13">
      <c r="A97" s="22">
        <v>96</v>
      </c>
      <c r="B97" s="23" t="s">
        <v>367</v>
      </c>
      <c r="C97" s="25" t="s">
        <v>368</v>
      </c>
      <c r="D97" s="25" t="s">
        <v>351</v>
      </c>
      <c r="E97" s="19" t="s">
        <v>76</v>
      </c>
      <c r="F97" s="26" t="s">
        <v>197</v>
      </c>
      <c r="G97" s="27">
        <f>SUMIF(物料月初库存!$C$3:$C$303,$B97,物料月初库存!$F$3:$F$303)</f>
        <v>0</v>
      </c>
      <c r="H97" s="28">
        <f>SUMIF(半成品入库明细!$D$2:$D$650,$B97,半成品入库明细!$G$2:$G$650)</f>
        <v>0</v>
      </c>
      <c r="I97" s="28">
        <f ca="1">SUMIF(半成品出库明细!$D$2:$D$558,$B97,半成品出库明细!$G$2:$G$2)</f>
        <v>0</v>
      </c>
      <c r="J97" s="28">
        <f ca="1" t="shared" si="1"/>
        <v>0</v>
      </c>
      <c r="K97" s="29"/>
      <c r="L97" s="19"/>
      <c r="M97" s="3"/>
    </row>
    <row r="98" s="1" customFormat="1" spans="1:13">
      <c r="A98" s="22">
        <v>97</v>
      </c>
      <c r="B98" s="23" t="s">
        <v>369</v>
      </c>
      <c r="C98" s="25" t="s">
        <v>368</v>
      </c>
      <c r="D98" s="25" t="s">
        <v>351</v>
      </c>
      <c r="E98" s="28" t="s">
        <v>353</v>
      </c>
      <c r="F98" s="26" t="s">
        <v>197</v>
      </c>
      <c r="G98" s="27">
        <f>SUMIF(物料月初库存!$C$3:$C$303,$B98,物料月初库存!$F$3:$F$303)</f>
        <v>0</v>
      </c>
      <c r="H98" s="28">
        <f>SUMIF(半成品入库明细!$D$2:$D$650,$B98,半成品入库明细!$G$2:$G$650)</f>
        <v>0</v>
      </c>
      <c r="I98" s="28">
        <f ca="1">SUMIF(半成品出库明细!$D$2:$D$558,$B98,半成品出库明细!$G$2:$G$2)</f>
        <v>0</v>
      </c>
      <c r="J98" s="28">
        <f ca="1" t="shared" si="1"/>
        <v>0</v>
      </c>
      <c r="K98" s="29"/>
      <c r="L98" s="28"/>
      <c r="M98" s="3"/>
    </row>
    <row r="99" s="1" customFormat="1" spans="1:13">
      <c r="A99" s="22">
        <v>98</v>
      </c>
      <c r="B99" s="23" t="s">
        <v>370</v>
      </c>
      <c r="C99" s="25" t="s">
        <v>368</v>
      </c>
      <c r="D99" s="25" t="s">
        <v>351</v>
      </c>
      <c r="E99" s="28" t="s">
        <v>326</v>
      </c>
      <c r="F99" s="26" t="s">
        <v>197</v>
      </c>
      <c r="G99" s="27">
        <f>SUMIF(物料月初库存!$C$3:$C$303,$B99,物料月初库存!$F$3:$F$303)</f>
        <v>0</v>
      </c>
      <c r="H99" s="28">
        <f>SUMIF(半成品入库明细!$D$2:$D$650,$B99,半成品入库明细!$G$2:$G$650)</f>
        <v>0</v>
      </c>
      <c r="I99" s="28">
        <f ca="1">SUMIF(半成品出库明细!$D$2:$D$558,$B99,半成品出库明细!$G$2:$G$2)</f>
        <v>0</v>
      </c>
      <c r="J99" s="28">
        <f ca="1" t="shared" si="1"/>
        <v>0</v>
      </c>
      <c r="K99" s="29"/>
      <c r="L99" s="28"/>
      <c r="M99" s="3"/>
    </row>
    <row r="100" s="1" customFormat="1" spans="1:13">
      <c r="A100" s="22"/>
      <c r="B100" s="23" t="s">
        <v>371</v>
      </c>
      <c r="C100" s="25" t="s">
        <v>368</v>
      </c>
      <c r="D100" s="25" t="s">
        <v>351</v>
      </c>
      <c r="E100" s="19" t="s">
        <v>356</v>
      </c>
      <c r="F100" s="26" t="s">
        <v>197</v>
      </c>
      <c r="G100" s="27">
        <f>SUMIF(物料月初库存!$C$3:$C$303,$B100,物料月初库存!$F$3:$F$303)</f>
        <v>0</v>
      </c>
      <c r="H100" s="28">
        <f>SUMIF(半成品入库明细!$D$2:$D$650,$B100,半成品入库明细!$G$2:$G$650)</f>
        <v>0</v>
      </c>
      <c r="I100" s="28">
        <f ca="1">SUMIF(半成品出库明细!$D$2:$D$558,$B100,半成品出库明细!$G$2:$G$2)</f>
        <v>0</v>
      </c>
      <c r="J100" s="28">
        <f ca="1" t="shared" si="1"/>
        <v>0</v>
      </c>
      <c r="K100" s="29"/>
      <c r="L100" s="19"/>
      <c r="M100" s="3"/>
    </row>
    <row r="101" s="1" customFormat="1" spans="1:13">
      <c r="A101" s="22">
        <v>100</v>
      </c>
      <c r="B101" s="23" t="s">
        <v>372</v>
      </c>
      <c r="C101" s="25" t="s">
        <v>368</v>
      </c>
      <c r="D101" s="25" t="s">
        <v>351</v>
      </c>
      <c r="E101" s="19" t="s">
        <v>256</v>
      </c>
      <c r="F101" s="26" t="s">
        <v>197</v>
      </c>
      <c r="G101" s="27">
        <f>SUMIF(物料月初库存!$C$3:$C$303,$B101,物料月初库存!$F$3:$F$303)</f>
        <v>0</v>
      </c>
      <c r="H101" s="28">
        <f>SUMIF(半成品入库明细!$D$2:$D$650,$B101,半成品入库明细!$G$2:$G$650)</f>
        <v>0</v>
      </c>
      <c r="I101" s="28">
        <f ca="1">SUMIF(半成品出库明细!$D$2:$D$558,$B101,半成品出库明细!$G$2:$G$2)</f>
        <v>0</v>
      </c>
      <c r="J101" s="28">
        <f ca="1" t="shared" si="1"/>
        <v>0</v>
      </c>
      <c r="K101" s="29"/>
      <c r="L101" s="19"/>
      <c r="M101" s="3"/>
    </row>
    <row r="102" s="1" customFormat="1" spans="1:13">
      <c r="A102" s="22">
        <v>101</v>
      </c>
      <c r="B102" s="23" t="s">
        <v>373</v>
      </c>
      <c r="C102" s="53" t="s">
        <v>368</v>
      </c>
      <c r="D102" s="25" t="s">
        <v>351</v>
      </c>
      <c r="E102" s="28" t="s">
        <v>359</v>
      </c>
      <c r="F102" s="26" t="s">
        <v>197</v>
      </c>
      <c r="G102" s="27">
        <f>SUMIF(物料月初库存!$C$3:$C$303,$B102,物料月初库存!$F$3:$F$303)</f>
        <v>0</v>
      </c>
      <c r="H102" s="28">
        <f>SUMIF(半成品入库明细!$D$2:$D$650,$B102,半成品入库明细!$G$2:$G$650)</f>
        <v>0</v>
      </c>
      <c r="I102" s="28">
        <f ca="1">SUMIF(半成品出库明细!$D$2:$D$558,$B102,半成品出库明细!$G$2:$G$2)</f>
        <v>0</v>
      </c>
      <c r="J102" s="28">
        <f ca="1" t="shared" si="1"/>
        <v>0</v>
      </c>
      <c r="K102" s="29"/>
      <c r="L102" s="31" t="s">
        <v>202</v>
      </c>
      <c r="M102" s="3"/>
    </row>
    <row r="103" s="1" customFormat="1" spans="1:13">
      <c r="A103" s="22">
        <v>102</v>
      </c>
      <c r="B103" s="23" t="s">
        <v>374</v>
      </c>
      <c r="C103" s="53" t="s">
        <v>375</v>
      </c>
      <c r="D103" s="25" t="s">
        <v>351</v>
      </c>
      <c r="E103" s="28" t="s">
        <v>359</v>
      </c>
      <c r="F103" s="26" t="s">
        <v>197</v>
      </c>
      <c r="G103" s="27">
        <f>SUMIF(物料月初库存!$C$3:$C$303,$B103,物料月初库存!$F$3:$F$303)</f>
        <v>0</v>
      </c>
      <c r="H103" s="28">
        <f>SUMIF(半成品入库明细!$D$2:$D$650,$B103,半成品入库明细!$G$2:$G$650)</f>
        <v>0</v>
      </c>
      <c r="I103" s="28">
        <f ca="1">SUMIF(半成品出库明细!$D$2:$D$558,$B103,半成品出库明细!$G$2:$G$2)</f>
        <v>0</v>
      </c>
      <c r="J103" s="28">
        <f ca="1" t="shared" si="1"/>
        <v>0</v>
      </c>
      <c r="K103" s="29"/>
      <c r="L103" s="31" t="s">
        <v>202</v>
      </c>
      <c r="M103" s="3"/>
    </row>
    <row r="104" s="1" customFormat="1" spans="1:13">
      <c r="A104" s="22">
        <v>103</v>
      </c>
      <c r="B104" s="23" t="s">
        <v>376</v>
      </c>
      <c r="C104" s="25" t="s">
        <v>377</v>
      </c>
      <c r="D104" s="25" t="s">
        <v>351</v>
      </c>
      <c r="E104" s="19" t="s">
        <v>76</v>
      </c>
      <c r="F104" s="26" t="s">
        <v>197</v>
      </c>
      <c r="G104" s="27">
        <f>SUMIF(物料月初库存!$C$3:$C$303,$B104,物料月初库存!$F$3:$F$303)</f>
        <v>0</v>
      </c>
      <c r="H104" s="28">
        <f>SUMIF(半成品入库明细!$D$2:$D$650,$B104,半成品入库明细!$G$2:$G$650)</f>
        <v>0</v>
      </c>
      <c r="I104" s="28">
        <f ca="1">SUMIF(半成品出库明细!$D$2:$D$558,$B104,半成品出库明细!$G$2:$G$2)</f>
        <v>0</v>
      </c>
      <c r="J104" s="28">
        <f ca="1" t="shared" si="1"/>
        <v>0</v>
      </c>
      <c r="K104" s="29"/>
      <c r="L104" s="19"/>
      <c r="M104" s="3"/>
    </row>
    <row r="105" s="1" customFormat="1" spans="1:13">
      <c r="A105" s="22">
        <v>104</v>
      </c>
      <c r="B105" s="23" t="s">
        <v>378</v>
      </c>
      <c r="C105" s="25" t="s">
        <v>377</v>
      </c>
      <c r="D105" s="25" t="s">
        <v>351</v>
      </c>
      <c r="E105" s="28" t="s">
        <v>353</v>
      </c>
      <c r="F105" s="26" t="s">
        <v>197</v>
      </c>
      <c r="G105" s="27">
        <f>SUMIF(物料月初库存!$C$3:$C$303,$B105,物料月初库存!$F$3:$F$303)</f>
        <v>0</v>
      </c>
      <c r="H105" s="28">
        <f>SUMIF(半成品入库明细!$D$2:$D$650,$B105,半成品入库明细!$G$2:$G$650)</f>
        <v>0</v>
      </c>
      <c r="I105" s="28">
        <f ca="1">SUMIF(半成品出库明细!$D$2:$D$558,$B105,半成品出库明细!$G$2:$G$2)</f>
        <v>0</v>
      </c>
      <c r="J105" s="28">
        <f ca="1" t="shared" si="1"/>
        <v>0</v>
      </c>
      <c r="K105" s="29"/>
      <c r="L105" s="28"/>
      <c r="M105" s="3"/>
    </row>
    <row r="106" s="1" customFormat="1" spans="1:13">
      <c r="A106" s="22">
        <v>105</v>
      </c>
      <c r="B106" s="23" t="s">
        <v>379</v>
      </c>
      <c r="C106" s="25" t="s">
        <v>377</v>
      </c>
      <c r="D106" s="25" t="s">
        <v>351</v>
      </c>
      <c r="E106" s="28" t="s">
        <v>326</v>
      </c>
      <c r="F106" s="26" t="s">
        <v>197</v>
      </c>
      <c r="G106" s="27">
        <f>SUMIF(物料月初库存!$C$3:$C$303,$B106,物料月初库存!$F$3:$F$303)</f>
        <v>0</v>
      </c>
      <c r="H106" s="28">
        <f>SUMIF(半成品入库明细!$D$2:$D$650,$B106,半成品入库明细!$G$2:$G$650)</f>
        <v>0</v>
      </c>
      <c r="I106" s="28">
        <f ca="1">SUMIF(半成品出库明细!$D$2:$D$558,$B106,半成品出库明细!$G$2:$G$2)</f>
        <v>0</v>
      </c>
      <c r="J106" s="28">
        <f ca="1" t="shared" si="1"/>
        <v>0</v>
      </c>
      <c r="K106" s="29"/>
      <c r="L106" s="28"/>
      <c r="M106" s="3"/>
    </row>
    <row r="107" s="1" customFormat="1" spans="1:13">
      <c r="A107" s="22">
        <v>106</v>
      </c>
      <c r="B107" s="23" t="s">
        <v>380</v>
      </c>
      <c r="C107" s="25" t="s">
        <v>377</v>
      </c>
      <c r="D107" s="25" t="s">
        <v>351</v>
      </c>
      <c r="E107" s="19" t="s">
        <v>356</v>
      </c>
      <c r="F107" s="26" t="s">
        <v>197</v>
      </c>
      <c r="G107" s="27">
        <f>SUMIF(物料月初库存!$C$3:$C$303,$B107,物料月初库存!$F$3:$F$303)</f>
        <v>0</v>
      </c>
      <c r="H107" s="28">
        <f>SUMIF(半成品入库明细!$D$2:$D$650,$B107,半成品入库明细!$G$2:$G$650)</f>
        <v>0</v>
      </c>
      <c r="I107" s="28">
        <f ca="1">SUMIF(半成品出库明细!$D$2:$D$558,$B107,半成品出库明细!$G$2:$G$2)</f>
        <v>0</v>
      </c>
      <c r="J107" s="28">
        <f ca="1" t="shared" si="1"/>
        <v>0</v>
      </c>
      <c r="K107" s="29"/>
      <c r="L107" s="19"/>
      <c r="M107" s="3"/>
    </row>
    <row r="108" s="1" customFormat="1" spans="1:13">
      <c r="A108" s="22">
        <v>107</v>
      </c>
      <c r="B108" s="23" t="s">
        <v>381</v>
      </c>
      <c r="C108" s="25" t="s">
        <v>377</v>
      </c>
      <c r="D108" s="25" t="s">
        <v>351</v>
      </c>
      <c r="E108" s="19" t="s">
        <v>256</v>
      </c>
      <c r="F108" s="26" t="s">
        <v>197</v>
      </c>
      <c r="G108" s="27">
        <f>SUMIF(物料月初库存!$C$3:$C$303,$B108,物料月初库存!$F$3:$F$303)</f>
        <v>0</v>
      </c>
      <c r="H108" s="28">
        <f>SUMIF(半成品入库明细!$D$2:$D$650,$B108,半成品入库明细!$G$2:$G$650)</f>
        <v>0</v>
      </c>
      <c r="I108" s="28">
        <f ca="1">SUMIF(半成品出库明细!$D$2:$D$558,$B108,半成品出库明细!$G$2:$G$2)</f>
        <v>0</v>
      </c>
      <c r="J108" s="28">
        <f ca="1" t="shared" si="1"/>
        <v>0</v>
      </c>
      <c r="K108" s="29"/>
      <c r="L108" s="19"/>
      <c r="M108" s="3"/>
    </row>
    <row r="109" s="1" customFormat="1" spans="1:13">
      <c r="A109" s="22">
        <v>108</v>
      </c>
      <c r="B109" s="23" t="s">
        <v>382</v>
      </c>
      <c r="C109" s="25" t="s">
        <v>377</v>
      </c>
      <c r="D109" s="25" t="s">
        <v>351</v>
      </c>
      <c r="E109" s="28" t="s">
        <v>359</v>
      </c>
      <c r="F109" s="26" t="s">
        <v>197</v>
      </c>
      <c r="G109" s="27">
        <f>SUMIF(物料月初库存!$C$3:$C$303,$B109,物料月初库存!$F$3:$F$303)</f>
        <v>0</v>
      </c>
      <c r="H109" s="28">
        <f>SUMIF(半成品入库明细!$D$2:$D$650,$B109,半成品入库明细!$G$2:$G$650)</f>
        <v>0</v>
      </c>
      <c r="I109" s="28">
        <f ca="1">SUMIF(半成品出库明细!$D$2:$D$558,$B109,半成品出库明细!$G$2:$G$2)</f>
        <v>0</v>
      </c>
      <c r="J109" s="28">
        <f ca="1" t="shared" si="1"/>
        <v>0</v>
      </c>
      <c r="K109" s="29"/>
      <c r="L109" s="31" t="s">
        <v>202</v>
      </c>
      <c r="M109" s="3"/>
    </row>
    <row r="110" s="1" customFormat="1" spans="1:13">
      <c r="A110" s="22">
        <v>109</v>
      </c>
      <c r="B110" s="23" t="s">
        <v>383</v>
      </c>
      <c r="C110" s="53" t="s">
        <v>384</v>
      </c>
      <c r="D110" s="25" t="s">
        <v>351</v>
      </c>
      <c r="E110" s="28" t="s">
        <v>359</v>
      </c>
      <c r="F110" s="26" t="s">
        <v>197</v>
      </c>
      <c r="G110" s="27">
        <f>SUMIF(物料月初库存!$C$3:$C$303,$B110,物料月初库存!$F$3:$F$303)</f>
        <v>0</v>
      </c>
      <c r="H110" s="28">
        <f>SUMIF(半成品入库明细!$D$2:$D$650,$B110,半成品入库明细!$G$2:$G$650)</f>
        <v>0</v>
      </c>
      <c r="I110" s="28">
        <f ca="1">SUMIF(半成品出库明细!$D$2:$D$558,$B110,半成品出库明细!$G$2:$G$2)</f>
        <v>0</v>
      </c>
      <c r="J110" s="28">
        <f ca="1" t="shared" si="1"/>
        <v>0</v>
      </c>
      <c r="K110" s="29"/>
      <c r="L110" s="31" t="s">
        <v>202</v>
      </c>
      <c r="M110" s="3"/>
    </row>
    <row r="111" s="1" customFormat="1" spans="1:13">
      <c r="A111" s="22">
        <v>110</v>
      </c>
      <c r="B111" s="23" t="s">
        <v>385</v>
      </c>
      <c r="C111" s="53" t="s">
        <v>386</v>
      </c>
      <c r="D111" s="25" t="s">
        <v>351</v>
      </c>
      <c r="E111" s="28" t="s">
        <v>359</v>
      </c>
      <c r="F111" s="26" t="s">
        <v>197</v>
      </c>
      <c r="G111" s="27">
        <f>SUMIF(物料月初库存!$C$3:$C$303,$B111,物料月初库存!$F$3:$F$303)</f>
        <v>0</v>
      </c>
      <c r="H111" s="28">
        <f>SUMIF(半成品入库明细!$D$2:$D$650,$B111,半成品入库明细!$G$2:$G$650)</f>
        <v>0</v>
      </c>
      <c r="I111" s="28">
        <f ca="1">SUMIF(半成品出库明细!$D$2:$D$558,$B111,半成品出库明细!$G$2:$G$2)</f>
        <v>0</v>
      </c>
      <c r="J111" s="28">
        <f ca="1" t="shared" si="1"/>
        <v>0</v>
      </c>
      <c r="K111" s="29"/>
      <c r="L111" s="31" t="s">
        <v>202</v>
      </c>
      <c r="M111" s="3"/>
    </row>
    <row r="112" s="1" customFormat="1" spans="1:13">
      <c r="A112" s="22">
        <v>111</v>
      </c>
      <c r="B112" s="23" t="s">
        <v>387</v>
      </c>
      <c r="C112" s="53" t="s">
        <v>388</v>
      </c>
      <c r="D112" s="25" t="s">
        <v>351</v>
      </c>
      <c r="E112" s="28" t="s">
        <v>359</v>
      </c>
      <c r="F112" s="26" t="s">
        <v>197</v>
      </c>
      <c r="G112" s="27">
        <f>SUMIF(物料月初库存!$C$3:$C$303,$B112,物料月初库存!$F$3:$F$303)</f>
        <v>0</v>
      </c>
      <c r="H112" s="28">
        <f>SUMIF(半成品入库明细!$D$2:$D$650,$B112,半成品入库明细!$G$2:$G$650)</f>
        <v>0</v>
      </c>
      <c r="I112" s="28">
        <f ca="1">SUMIF(半成品出库明细!$D$2:$D$558,$B112,半成品出库明细!$G$2:$G$2)</f>
        <v>0</v>
      </c>
      <c r="J112" s="28">
        <f ca="1" t="shared" si="1"/>
        <v>0</v>
      </c>
      <c r="K112" s="29"/>
      <c r="L112" s="31" t="s">
        <v>202</v>
      </c>
      <c r="M112" s="3"/>
    </row>
    <row r="113" s="1" customFormat="1" spans="1:13">
      <c r="A113" s="22">
        <v>112</v>
      </c>
      <c r="B113" s="23" t="s">
        <v>389</v>
      </c>
      <c r="C113" s="53" t="s">
        <v>390</v>
      </c>
      <c r="D113" s="25" t="s">
        <v>351</v>
      </c>
      <c r="E113" s="28" t="s">
        <v>359</v>
      </c>
      <c r="F113" s="26" t="s">
        <v>197</v>
      </c>
      <c r="G113" s="27">
        <f>SUMIF(物料月初库存!$C$3:$C$303,$B113,物料月初库存!$F$3:$F$303)</f>
        <v>0</v>
      </c>
      <c r="H113" s="28">
        <f>SUMIF(半成品入库明细!$D$2:$D$650,$B113,半成品入库明细!$G$2:$G$650)</f>
        <v>0</v>
      </c>
      <c r="I113" s="28">
        <f ca="1">SUMIF(半成品出库明细!$D$2:$D$558,$B113,半成品出库明细!$G$2:$G$2)</f>
        <v>0</v>
      </c>
      <c r="J113" s="28">
        <f ca="1" t="shared" si="1"/>
        <v>0</v>
      </c>
      <c r="K113" s="29"/>
      <c r="L113" s="31" t="s">
        <v>202</v>
      </c>
      <c r="M113" s="3"/>
    </row>
    <row r="114" s="1" customFormat="1" spans="1:13">
      <c r="A114" s="22">
        <v>113</v>
      </c>
      <c r="B114" s="23" t="s">
        <v>391</v>
      </c>
      <c r="C114" s="53" t="s">
        <v>392</v>
      </c>
      <c r="D114" s="25" t="s">
        <v>351</v>
      </c>
      <c r="E114" s="28" t="s">
        <v>359</v>
      </c>
      <c r="F114" s="26" t="s">
        <v>197</v>
      </c>
      <c r="G114" s="27">
        <f>SUMIF(物料月初库存!$C$3:$C$303,$B114,物料月初库存!$F$3:$F$303)</f>
        <v>0</v>
      </c>
      <c r="H114" s="28">
        <f>SUMIF(半成品入库明细!$D$2:$D$650,$B114,半成品入库明细!$G$2:$G$650)</f>
        <v>0</v>
      </c>
      <c r="I114" s="28">
        <f ca="1">SUMIF(半成品出库明细!$D$2:$D$558,$B114,半成品出库明细!$G$2:$G$2)</f>
        <v>0</v>
      </c>
      <c r="J114" s="28">
        <f ca="1" t="shared" si="1"/>
        <v>0</v>
      </c>
      <c r="K114" s="29"/>
      <c r="L114" s="31" t="s">
        <v>202</v>
      </c>
      <c r="M114" s="3"/>
    </row>
    <row r="115" s="1" customFormat="1" spans="1:13">
      <c r="A115" s="22">
        <v>114</v>
      </c>
      <c r="B115" s="23" t="s">
        <v>393</v>
      </c>
      <c r="C115" s="25" t="s">
        <v>394</v>
      </c>
      <c r="D115" s="25" t="s">
        <v>351</v>
      </c>
      <c r="E115" s="19" t="s">
        <v>76</v>
      </c>
      <c r="F115" s="26" t="s">
        <v>197</v>
      </c>
      <c r="G115" s="27">
        <f>SUMIF(物料月初库存!$C$3:$C$303,$B115,物料月初库存!$F$3:$F$303)</f>
        <v>0</v>
      </c>
      <c r="H115" s="28">
        <f>SUMIF(半成品入库明细!$D$2:$D$650,$B115,半成品入库明细!$G$2:$G$650)</f>
        <v>0</v>
      </c>
      <c r="I115" s="28">
        <f ca="1">SUMIF(半成品出库明细!$D$2:$D$558,$B115,半成品出库明细!$G$2:$G$2)</f>
        <v>0</v>
      </c>
      <c r="J115" s="28">
        <f ca="1" t="shared" si="1"/>
        <v>0</v>
      </c>
      <c r="K115" s="29"/>
      <c r="L115" s="19"/>
      <c r="M115" s="3"/>
    </row>
    <row r="116" s="1" customFormat="1" spans="1:13">
      <c r="A116" s="22">
        <v>115</v>
      </c>
      <c r="B116" s="23" t="s">
        <v>395</v>
      </c>
      <c r="C116" s="25" t="s">
        <v>394</v>
      </c>
      <c r="D116" s="25" t="s">
        <v>351</v>
      </c>
      <c r="E116" s="28" t="s">
        <v>353</v>
      </c>
      <c r="F116" s="26" t="s">
        <v>197</v>
      </c>
      <c r="G116" s="27">
        <f>SUMIF(物料月初库存!$C$3:$C$303,$B116,物料月初库存!$F$3:$F$303)</f>
        <v>0</v>
      </c>
      <c r="H116" s="28">
        <f>SUMIF(半成品入库明细!$D$2:$D$650,$B116,半成品入库明细!$G$2:$G$650)</f>
        <v>0</v>
      </c>
      <c r="I116" s="28">
        <f ca="1">SUMIF(半成品出库明细!$D$2:$D$558,$B116,半成品出库明细!$G$2:$G$2)</f>
        <v>0</v>
      </c>
      <c r="J116" s="28">
        <f ca="1" t="shared" si="1"/>
        <v>0</v>
      </c>
      <c r="K116" s="29"/>
      <c r="L116" s="28"/>
      <c r="M116" s="3"/>
    </row>
    <row r="117" s="1" customFormat="1" spans="1:13">
      <c r="A117" s="22">
        <v>116</v>
      </c>
      <c r="B117" s="23" t="s">
        <v>396</v>
      </c>
      <c r="C117" s="25" t="s">
        <v>394</v>
      </c>
      <c r="D117" s="25" t="s">
        <v>351</v>
      </c>
      <c r="E117" s="28" t="s">
        <v>326</v>
      </c>
      <c r="F117" s="26" t="s">
        <v>197</v>
      </c>
      <c r="G117" s="27">
        <f>SUMIF(物料月初库存!$C$3:$C$303,$B117,物料月初库存!$F$3:$F$303)</f>
        <v>0</v>
      </c>
      <c r="H117" s="28">
        <f>SUMIF(半成品入库明细!$D$2:$D$650,$B117,半成品入库明细!$G$2:$G$650)</f>
        <v>0</v>
      </c>
      <c r="I117" s="28">
        <f ca="1">SUMIF(半成品出库明细!$D$2:$D$558,$B117,半成品出库明细!$G$2:$G$2)</f>
        <v>0</v>
      </c>
      <c r="J117" s="28">
        <f ca="1" t="shared" si="1"/>
        <v>0</v>
      </c>
      <c r="K117" s="29"/>
      <c r="L117" s="28"/>
      <c r="M117" s="3"/>
    </row>
    <row r="118" s="1" customFormat="1" spans="1:13">
      <c r="A118" s="22">
        <v>117</v>
      </c>
      <c r="B118" s="23" t="s">
        <v>397</v>
      </c>
      <c r="C118" s="25" t="s">
        <v>394</v>
      </c>
      <c r="D118" s="25" t="s">
        <v>351</v>
      </c>
      <c r="E118" s="28" t="s">
        <v>356</v>
      </c>
      <c r="F118" s="26" t="s">
        <v>197</v>
      </c>
      <c r="G118" s="27">
        <f>SUMIF(物料月初库存!$C$3:$C$303,$B118,物料月初库存!$F$3:$F$303)</f>
        <v>0</v>
      </c>
      <c r="H118" s="28">
        <f>SUMIF(半成品入库明细!$D$2:$D$650,$B118,半成品入库明细!$G$2:$G$650)</f>
        <v>0</v>
      </c>
      <c r="I118" s="28">
        <f ca="1">SUMIF(半成品出库明细!$D$2:$D$558,$B118,半成品出库明细!$G$2:$G$2)</f>
        <v>0</v>
      </c>
      <c r="J118" s="28">
        <f ca="1" t="shared" si="1"/>
        <v>0</v>
      </c>
      <c r="K118" s="29"/>
      <c r="L118" s="19"/>
      <c r="M118" s="3"/>
    </row>
    <row r="119" s="1" customFormat="1" spans="1:13">
      <c r="A119" s="22">
        <v>118</v>
      </c>
      <c r="B119" s="23" t="s">
        <v>398</v>
      </c>
      <c r="C119" s="25" t="s">
        <v>394</v>
      </c>
      <c r="D119" s="25" t="s">
        <v>351</v>
      </c>
      <c r="E119" s="28" t="s">
        <v>256</v>
      </c>
      <c r="F119" s="26" t="s">
        <v>197</v>
      </c>
      <c r="G119" s="27">
        <f>SUMIF(物料月初库存!$C$3:$C$303,$B119,物料月初库存!$F$3:$F$303)</f>
        <v>0</v>
      </c>
      <c r="H119" s="28">
        <f>SUMIF(半成品入库明细!$D$2:$D$650,$B119,半成品入库明细!$G$2:$G$650)</f>
        <v>0</v>
      </c>
      <c r="I119" s="28">
        <f ca="1">SUMIF(半成品出库明细!$D$2:$D$558,$B119,半成品出库明细!$G$2:$G$2)</f>
        <v>0</v>
      </c>
      <c r="J119" s="28">
        <f ca="1" t="shared" si="1"/>
        <v>0</v>
      </c>
      <c r="K119" s="29"/>
      <c r="L119" s="19"/>
      <c r="M119" s="3"/>
    </row>
    <row r="120" s="1" customFormat="1" spans="1:13">
      <c r="A120" s="22">
        <v>119</v>
      </c>
      <c r="B120" s="23" t="s">
        <v>399</v>
      </c>
      <c r="C120" s="25" t="s">
        <v>394</v>
      </c>
      <c r="D120" s="25" t="s">
        <v>351</v>
      </c>
      <c r="E120" s="28" t="s">
        <v>359</v>
      </c>
      <c r="F120" s="26" t="s">
        <v>197</v>
      </c>
      <c r="G120" s="27">
        <f>SUMIF(物料月初库存!$C$3:$C$303,$B120,物料月初库存!$F$3:$F$303)</f>
        <v>0</v>
      </c>
      <c r="H120" s="28">
        <f>SUMIF(半成品入库明细!$D$2:$D$650,$B120,半成品入库明细!$G$2:$G$650)</f>
        <v>0</v>
      </c>
      <c r="I120" s="28">
        <f ca="1">SUMIF(半成品出库明细!$D$2:$D$558,$B120,半成品出库明细!$G$2:$G$2)</f>
        <v>0</v>
      </c>
      <c r="J120" s="28">
        <f ca="1" t="shared" si="1"/>
        <v>0</v>
      </c>
      <c r="K120" s="29"/>
      <c r="L120" s="31" t="s">
        <v>202</v>
      </c>
      <c r="M120" s="3"/>
    </row>
    <row r="121" s="1" customFormat="1" spans="1:13">
      <c r="A121" s="22">
        <v>120</v>
      </c>
      <c r="B121" s="23" t="s">
        <v>400</v>
      </c>
      <c r="C121" s="25" t="s">
        <v>401</v>
      </c>
      <c r="D121" s="25" t="s">
        <v>351</v>
      </c>
      <c r="E121" s="28" t="s">
        <v>76</v>
      </c>
      <c r="F121" s="26" t="s">
        <v>197</v>
      </c>
      <c r="G121" s="27">
        <f>SUMIF(物料月初库存!$C$3:$C$303,$B121,物料月初库存!$F$3:$F$303)</f>
        <v>0</v>
      </c>
      <c r="H121" s="28">
        <f>SUMIF(半成品入库明细!$D$2:$D$650,$B121,半成品入库明细!$G$2:$G$650)</f>
        <v>0</v>
      </c>
      <c r="I121" s="28">
        <f ca="1">SUMIF(半成品出库明细!$D$2:$D$558,$B121,半成品出库明细!$G$2:$G$2)</f>
        <v>0</v>
      </c>
      <c r="J121" s="28">
        <f ca="1" t="shared" si="1"/>
        <v>0</v>
      </c>
      <c r="K121" s="29"/>
      <c r="L121" s="19"/>
      <c r="M121" s="3"/>
    </row>
    <row r="122" s="1" customFormat="1" spans="1:13">
      <c r="A122" s="22">
        <v>121</v>
      </c>
      <c r="B122" s="23" t="s">
        <v>402</v>
      </c>
      <c r="C122" s="25" t="s">
        <v>401</v>
      </c>
      <c r="D122" s="25" t="s">
        <v>351</v>
      </c>
      <c r="E122" s="28" t="s">
        <v>353</v>
      </c>
      <c r="F122" s="26" t="s">
        <v>197</v>
      </c>
      <c r="G122" s="27">
        <f>SUMIF(物料月初库存!$C$3:$C$303,$B122,物料月初库存!$F$3:$F$303)</f>
        <v>0</v>
      </c>
      <c r="H122" s="28">
        <f>SUMIF(半成品入库明细!$D$2:$D$650,$B122,半成品入库明细!$G$2:$G$650)</f>
        <v>0</v>
      </c>
      <c r="I122" s="28">
        <f ca="1">SUMIF(半成品出库明细!$D$2:$D$558,$B122,半成品出库明细!$G$2:$G$2)</f>
        <v>0</v>
      </c>
      <c r="J122" s="28">
        <f ca="1" t="shared" si="1"/>
        <v>0</v>
      </c>
      <c r="K122" s="29"/>
      <c r="L122" s="28"/>
      <c r="M122" s="3"/>
    </row>
    <row r="123" s="1" customFormat="1" spans="1:13">
      <c r="A123" s="22">
        <v>122</v>
      </c>
      <c r="B123" s="23" t="s">
        <v>403</v>
      </c>
      <c r="C123" s="25" t="s">
        <v>401</v>
      </c>
      <c r="D123" s="25" t="s">
        <v>351</v>
      </c>
      <c r="E123" s="28" t="s">
        <v>326</v>
      </c>
      <c r="F123" s="26" t="s">
        <v>197</v>
      </c>
      <c r="G123" s="27">
        <f>SUMIF(物料月初库存!$C$3:$C$303,$B123,物料月初库存!$F$3:$F$303)</f>
        <v>0</v>
      </c>
      <c r="H123" s="28">
        <f>SUMIF(半成品入库明细!$D$2:$D$650,$B123,半成品入库明细!$G$2:$G$650)</f>
        <v>0</v>
      </c>
      <c r="I123" s="28">
        <f ca="1">SUMIF(半成品出库明细!$D$2:$D$558,$B123,半成品出库明细!$G$2:$G$2)</f>
        <v>0</v>
      </c>
      <c r="J123" s="28">
        <f ca="1" t="shared" si="1"/>
        <v>0</v>
      </c>
      <c r="K123" s="29"/>
      <c r="L123" s="28"/>
      <c r="M123" s="3"/>
    </row>
    <row r="124" s="1" customFormat="1" spans="1:13">
      <c r="A124" s="22">
        <v>123</v>
      </c>
      <c r="B124" s="23" t="s">
        <v>404</v>
      </c>
      <c r="C124" s="25" t="s">
        <v>401</v>
      </c>
      <c r="D124" s="25" t="s">
        <v>351</v>
      </c>
      <c r="E124" s="19" t="s">
        <v>356</v>
      </c>
      <c r="F124" s="26" t="s">
        <v>197</v>
      </c>
      <c r="G124" s="27">
        <f>SUMIF(物料月初库存!$C$3:$C$303,$B124,物料月初库存!$F$3:$F$303)</f>
        <v>0</v>
      </c>
      <c r="H124" s="28">
        <f>SUMIF(半成品入库明细!$D$2:$D$650,$B124,半成品入库明细!$G$2:$G$650)</f>
        <v>0</v>
      </c>
      <c r="I124" s="28">
        <f ca="1">SUMIF(半成品出库明细!$D$2:$D$558,$B124,半成品出库明细!$G$2:$G$2)</f>
        <v>0</v>
      </c>
      <c r="J124" s="28">
        <f ca="1" t="shared" si="1"/>
        <v>0</v>
      </c>
      <c r="K124" s="29"/>
      <c r="L124" s="19"/>
      <c r="M124" s="3"/>
    </row>
    <row r="125" s="1" customFormat="1" spans="1:13">
      <c r="A125" s="22">
        <v>124</v>
      </c>
      <c r="B125" s="23" t="s">
        <v>405</v>
      </c>
      <c r="C125" s="25" t="s">
        <v>401</v>
      </c>
      <c r="D125" s="25" t="s">
        <v>351</v>
      </c>
      <c r="E125" s="19" t="s">
        <v>256</v>
      </c>
      <c r="F125" s="26" t="s">
        <v>197</v>
      </c>
      <c r="G125" s="27">
        <f>SUMIF(物料月初库存!$C$3:$C$303,$B125,物料月初库存!$F$3:$F$303)</f>
        <v>0</v>
      </c>
      <c r="H125" s="28">
        <f>SUMIF(半成品入库明细!$D$2:$D$650,$B125,半成品入库明细!$G$2:$G$650)</f>
        <v>0</v>
      </c>
      <c r="I125" s="28">
        <f ca="1">SUMIF(半成品出库明细!$D$2:$D$558,$B125,半成品出库明细!$G$2:$G$2)</f>
        <v>0</v>
      </c>
      <c r="J125" s="28">
        <f ca="1" t="shared" si="1"/>
        <v>0</v>
      </c>
      <c r="K125" s="29"/>
      <c r="L125" s="19"/>
      <c r="M125" s="3"/>
    </row>
    <row r="126" s="1" customFormat="1" spans="1:13">
      <c r="A126" s="22">
        <v>125</v>
      </c>
      <c r="B126" s="23" t="s">
        <v>406</v>
      </c>
      <c r="C126" s="25" t="s">
        <v>401</v>
      </c>
      <c r="D126" s="25" t="s">
        <v>351</v>
      </c>
      <c r="E126" s="28" t="s">
        <v>359</v>
      </c>
      <c r="F126" s="26" t="s">
        <v>197</v>
      </c>
      <c r="G126" s="27">
        <f>SUMIF(物料月初库存!$C$3:$C$303,$B126,物料月初库存!$F$3:$F$303)</f>
        <v>0</v>
      </c>
      <c r="H126" s="28">
        <f>SUMIF(半成品入库明细!$D$2:$D$650,$B126,半成品入库明细!$G$2:$G$650)</f>
        <v>0</v>
      </c>
      <c r="I126" s="28">
        <f ca="1">SUMIF(半成品出库明细!$D$2:$D$558,$B126,半成品出库明细!$G$2:$G$2)</f>
        <v>0</v>
      </c>
      <c r="J126" s="28">
        <f ca="1" t="shared" si="1"/>
        <v>0</v>
      </c>
      <c r="K126" s="29"/>
      <c r="L126" s="31" t="s">
        <v>202</v>
      </c>
      <c r="M126" s="3"/>
    </row>
    <row r="127" s="1" customFormat="1" spans="1:13">
      <c r="A127" s="22">
        <v>126</v>
      </c>
      <c r="B127" s="23" t="s">
        <v>407</v>
      </c>
      <c r="C127" s="25" t="s">
        <v>408</v>
      </c>
      <c r="D127" s="25" t="s">
        <v>351</v>
      </c>
      <c r="E127" s="19" t="s">
        <v>76</v>
      </c>
      <c r="F127" s="26" t="s">
        <v>197</v>
      </c>
      <c r="G127" s="27">
        <f>SUMIF(物料月初库存!$C$3:$C$303,$B127,物料月初库存!$F$3:$F$303)</f>
        <v>0</v>
      </c>
      <c r="H127" s="28">
        <f>SUMIF(半成品入库明细!$D$2:$D$650,$B127,半成品入库明细!$G$2:$G$650)</f>
        <v>0</v>
      </c>
      <c r="I127" s="28">
        <f ca="1">SUMIF(半成品出库明细!$D$2:$D$558,$B127,半成品出库明细!$G$2:$G$2)</f>
        <v>0</v>
      </c>
      <c r="J127" s="28">
        <f ca="1" t="shared" si="1"/>
        <v>0</v>
      </c>
      <c r="K127" s="29"/>
      <c r="L127" s="19"/>
      <c r="M127" s="3"/>
    </row>
    <row r="128" s="1" customFormat="1" spans="1:13">
      <c r="A128" s="22">
        <v>127</v>
      </c>
      <c r="B128" s="23" t="s">
        <v>409</v>
      </c>
      <c r="C128" s="25" t="s">
        <v>408</v>
      </c>
      <c r="D128" s="25" t="s">
        <v>351</v>
      </c>
      <c r="E128" s="28" t="s">
        <v>353</v>
      </c>
      <c r="F128" s="26" t="s">
        <v>197</v>
      </c>
      <c r="G128" s="27">
        <f>SUMIF(物料月初库存!$C$3:$C$303,$B128,物料月初库存!$F$3:$F$303)</f>
        <v>0</v>
      </c>
      <c r="H128" s="28">
        <f>SUMIF(半成品入库明细!$D$2:$D$650,$B128,半成品入库明细!$G$2:$G$650)</f>
        <v>0</v>
      </c>
      <c r="I128" s="28">
        <f ca="1">SUMIF(半成品出库明细!$D$2:$D$558,$B128,半成品出库明细!$G$2:$G$2)</f>
        <v>0</v>
      </c>
      <c r="J128" s="28">
        <f ca="1" t="shared" si="1"/>
        <v>0</v>
      </c>
      <c r="K128" s="29"/>
      <c r="L128" s="28"/>
      <c r="M128" s="3"/>
    </row>
    <row r="129" s="1" customFormat="1" spans="1:13">
      <c r="A129" s="22">
        <v>128</v>
      </c>
      <c r="B129" s="23" t="s">
        <v>410</v>
      </c>
      <c r="C129" s="25" t="s">
        <v>408</v>
      </c>
      <c r="D129" s="25" t="s">
        <v>351</v>
      </c>
      <c r="E129" s="28" t="s">
        <v>326</v>
      </c>
      <c r="F129" s="26" t="s">
        <v>197</v>
      </c>
      <c r="G129" s="27">
        <f>SUMIF(物料月初库存!$C$3:$C$303,$B129,物料月初库存!$F$3:$F$303)</f>
        <v>0</v>
      </c>
      <c r="H129" s="28">
        <f>SUMIF(半成品入库明细!$D$2:$D$650,$B129,半成品入库明细!$G$2:$G$650)</f>
        <v>0</v>
      </c>
      <c r="I129" s="28">
        <f ca="1">SUMIF(半成品出库明细!$D$2:$D$558,$B129,半成品出库明细!$G$2:$G$2)</f>
        <v>0</v>
      </c>
      <c r="J129" s="28">
        <f ca="1" t="shared" si="1"/>
        <v>0</v>
      </c>
      <c r="K129" s="29"/>
      <c r="L129" s="28"/>
      <c r="M129" s="3"/>
    </row>
    <row r="130" s="1" customFormat="1" spans="1:13">
      <c r="A130" s="22">
        <v>129</v>
      </c>
      <c r="B130" s="23" t="s">
        <v>411</v>
      </c>
      <c r="C130" s="25" t="s">
        <v>408</v>
      </c>
      <c r="D130" s="25" t="s">
        <v>351</v>
      </c>
      <c r="E130" s="19" t="s">
        <v>356</v>
      </c>
      <c r="F130" s="26" t="s">
        <v>197</v>
      </c>
      <c r="G130" s="27">
        <f>SUMIF(物料月初库存!$C$3:$C$303,$B130,物料月初库存!$F$3:$F$303)</f>
        <v>0</v>
      </c>
      <c r="H130" s="28">
        <f>SUMIF(半成品入库明细!$D$2:$D$650,$B130,半成品入库明细!$G$2:$G$650)</f>
        <v>0</v>
      </c>
      <c r="I130" s="28">
        <f ca="1">SUMIF(半成品出库明细!$D$2:$D$558,$B130,半成品出库明细!$G$2:$G$2)</f>
        <v>0</v>
      </c>
      <c r="J130" s="28">
        <f ca="1" t="shared" ref="J130:J193" si="2">G130+H130-I130</f>
        <v>0</v>
      </c>
      <c r="K130" s="29"/>
      <c r="L130" s="19"/>
    </row>
    <row r="131" s="1" customFormat="1" spans="1:13">
      <c r="A131" s="22">
        <v>130</v>
      </c>
      <c r="B131" s="23" t="s">
        <v>412</v>
      </c>
      <c r="C131" s="25" t="s">
        <v>408</v>
      </c>
      <c r="D131" s="25" t="s">
        <v>351</v>
      </c>
      <c r="E131" s="19" t="s">
        <v>256</v>
      </c>
      <c r="F131" s="26" t="s">
        <v>197</v>
      </c>
      <c r="G131" s="27">
        <f>SUMIF(物料月初库存!$C$3:$C$303,$B131,物料月初库存!$F$3:$F$303)</f>
        <v>0</v>
      </c>
      <c r="H131" s="28">
        <f>SUMIF(半成品入库明细!$D$2:$D$650,$B131,半成品入库明细!$G$2:$G$650)</f>
        <v>0</v>
      </c>
      <c r="I131" s="28">
        <f ca="1">SUMIF(半成品出库明细!$D$2:$D$558,$B131,半成品出库明细!$G$2:$G$2)</f>
        <v>0</v>
      </c>
      <c r="J131" s="28">
        <f ca="1" t="shared" si="2"/>
        <v>0</v>
      </c>
      <c r="K131" s="29"/>
      <c r="L131" s="34" t="s">
        <v>413</v>
      </c>
    </row>
    <row r="132" s="3" customFormat="1" spans="1:13">
      <c r="A132" s="22">
        <v>131</v>
      </c>
      <c r="B132" s="23" t="s">
        <v>414</v>
      </c>
      <c r="C132" s="25" t="s">
        <v>415</v>
      </c>
      <c r="D132" s="25" t="s">
        <v>351</v>
      </c>
      <c r="E132" s="28" t="s">
        <v>359</v>
      </c>
      <c r="F132" s="26" t="s">
        <v>197</v>
      </c>
      <c r="G132" s="27">
        <f>SUMIF(物料月初库存!$C$3:$C$303,$B132,物料月初库存!$F$3:$F$303)</f>
        <v>0</v>
      </c>
      <c r="H132" s="28">
        <f>SUMIF(半成品入库明细!$D$2:$D$650,$B132,半成品入库明细!$G$2:$G$650)</f>
        <v>0</v>
      </c>
      <c r="I132" s="28">
        <f ca="1">SUMIF(半成品出库明细!$D$2:$D$558,$B132,半成品出库明细!$G$2:$G$2)</f>
        <v>0</v>
      </c>
      <c r="J132" s="28">
        <f ca="1" t="shared" si="2"/>
        <v>0</v>
      </c>
      <c r="K132" s="20"/>
      <c r="L132" s="31" t="s">
        <v>202</v>
      </c>
    </row>
    <row r="133" s="1" customFormat="1" spans="1:13">
      <c r="A133" s="22">
        <v>132</v>
      </c>
      <c r="B133" s="23" t="s">
        <v>416</v>
      </c>
      <c r="C133" s="25" t="s">
        <v>417</v>
      </c>
      <c r="D133" s="25" t="s">
        <v>351</v>
      </c>
      <c r="E133" s="19" t="s">
        <v>76</v>
      </c>
      <c r="F133" s="26" t="s">
        <v>197</v>
      </c>
      <c r="G133" s="27">
        <f>SUMIF(物料月初库存!$C$3:$C$303,$B133,物料月初库存!$F$3:$F$303)</f>
        <v>0</v>
      </c>
      <c r="H133" s="28">
        <f>SUMIF(半成品入库明细!$D$2:$D$650,$B133,半成品入库明细!$G$2:$G$650)</f>
        <v>0</v>
      </c>
      <c r="I133" s="28">
        <f ca="1">SUMIF(半成品出库明细!$D$2:$D$558,$B133,半成品出库明细!$G$2:$G$2)</f>
        <v>0</v>
      </c>
      <c r="J133" s="28">
        <f ca="1" t="shared" si="2"/>
        <v>0</v>
      </c>
      <c r="K133" s="29"/>
      <c r="L133" s="19"/>
      <c r="M133" s="3"/>
    </row>
    <row r="134" s="1" customFormat="1" spans="1:13">
      <c r="A134" s="22">
        <v>133</v>
      </c>
      <c r="B134" s="23" t="s">
        <v>418</v>
      </c>
      <c r="C134" s="25" t="s">
        <v>417</v>
      </c>
      <c r="D134" s="25" t="s">
        <v>351</v>
      </c>
      <c r="E134" s="28" t="s">
        <v>353</v>
      </c>
      <c r="F134" s="26" t="s">
        <v>197</v>
      </c>
      <c r="G134" s="27">
        <f>SUMIF(物料月初库存!$C$3:$C$303,$B134,物料月初库存!$F$3:$F$303)</f>
        <v>0</v>
      </c>
      <c r="H134" s="28">
        <f>SUMIF(半成品入库明细!$D$2:$D$650,$B134,半成品入库明细!$G$2:$G$650)</f>
        <v>0</v>
      </c>
      <c r="I134" s="28">
        <f ca="1">SUMIF(半成品出库明细!$D$2:$D$558,$B134,半成品出库明细!$G$2:$G$2)</f>
        <v>0</v>
      </c>
      <c r="J134" s="28">
        <f ca="1" t="shared" si="2"/>
        <v>0</v>
      </c>
      <c r="K134" s="29"/>
      <c r="L134" s="28"/>
      <c r="M134" s="3"/>
    </row>
    <row r="135" s="1" customFormat="1" spans="1:13">
      <c r="A135" s="22">
        <v>134</v>
      </c>
      <c r="B135" s="23" t="s">
        <v>419</v>
      </c>
      <c r="C135" s="25" t="s">
        <v>417</v>
      </c>
      <c r="D135" s="25" t="s">
        <v>351</v>
      </c>
      <c r="E135" s="28" t="s">
        <v>326</v>
      </c>
      <c r="F135" s="26" t="s">
        <v>197</v>
      </c>
      <c r="G135" s="27">
        <f>SUMIF(物料月初库存!$C$3:$C$303,$B135,物料月初库存!$F$3:$F$303)</f>
        <v>0</v>
      </c>
      <c r="H135" s="28">
        <f>SUMIF(半成品入库明细!$D$2:$D$650,$B135,半成品入库明细!$G$2:$G$650)</f>
        <v>0</v>
      </c>
      <c r="I135" s="28">
        <f ca="1">SUMIF(半成品出库明细!$D$2:$D$558,$B135,半成品出库明细!$G$2:$G$2)</f>
        <v>0</v>
      </c>
      <c r="J135" s="28">
        <f ca="1" t="shared" si="2"/>
        <v>0</v>
      </c>
      <c r="K135" s="29"/>
      <c r="L135" s="28"/>
      <c r="M135" s="3"/>
    </row>
    <row r="136" s="1" customFormat="1" spans="1:13">
      <c r="A136" s="22">
        <v>135</v>
      </c>
      <c r="B136" s="23" t="s">
        <v>420</v>
      </c>
      <c r="C136" s="25" t="s">
        <v>417</v>
      </c>
      <c r="D136" s="25" t="s">
        <v>351</v>
      </c>
      <c r="E136" s="19" t="s">
        <v>356</v>
      </c>
      <c r="F136" s="26" t="s">
        <v>197</v>
      </c>
      <c r="G136" s="27">
        <f>SUMIF(物料月初库存!$C$3:$C$303,$B136,物料月初库存!$F$3:$F$303)</f>
        <v>0</v>
      </c>
      <c r="H136" s="28">
        <f>SUMIF(半成品入库明细!$D$2:$D$650,$B136,半成品入库明细!$G$2:$G$650)</f>
        <v>0</v>
      </c>
      <c r="I136" s="28">
        <f ca="1">SUMIF(半成品出库明细!$D$2:$D$558,$B136,半成品出库明细!$G$2:$G$2)</f>
        <v>0</v>
      </c>
      <c r="J136" s="28">
        <f ca="1" t="shared" si="2"/>
        <v>0</v>
      </c>
      <c r="K136" s="29"/>
      <c r="L136" s="19"/>
      <c r="M136" s="3"/>
    </row>
    <row r="137" s="1" customFormat="1" spans="1:13">
      <c r="A137" s="22">
        <v>136</v>
      </c>
      <c r="B137" s="23" t="s">
        <v>421</v>
      </c>
      <c r="C137" s="25" t="s">
        <v>417</v>
      </c>
      <c r="D137" s="25" t="s">
        <v>351</v>
      </c>
      <c r="E137" s="19" t="s">
        <v>256</v>
      </c>
      <c r="F137" s="26" t="s">
        <v>197</v>
      </c>
      <c r="G137" s="27">
        <f>SUMIF(物料月初库存!$C$3:$C$303,$B137,物料月初库存!$F$3:$F$303)</f>
        <v>0</v>
      </c>
      <c r="H137" s="28">
        <f>SUMIF(半成品入库明细!$D$2:$D$650,$B137,半成品入库明细!$G$2:$G$650)</f>
        <v>0</v>
      </c>
      <c r="I137" s="28">
        <f ca="1">SUMIF(半成品出库明细!$D$2:$D$558,$B137,半成品出库明细!$G$2:$G$2)</f>
        <v>0</v>
      </c>
      <c r="J137" s="28">
        <f ca="1" t="shared" si="2"/>
        <v>0</v>
      </c>
      <c r="K137" s="29"/>
      <c r="L137" s="19"/>
      <c r="M137" s="3"/>
    </row>
    <row r="138" s="1" customFormat="1" ht="24.95" customHeight="1" spans="1:13">
      <c r="A138" s="22">
        <v>137</v>
      </c>
      <c r="B138" s="23" t="s">
        <v>422</v>
      </c>
      <c r="C138" s="25" t="s">
        <v>423</v>
      </c>
      <c r="D138" s="25" t="s">
        <v>351</v>
      </c>
      <c r="E138" s="19" t="s">
        <v>256</v>
      </c>
      <c r="F138" s="26" t="s">
        <v>197</v>
      </c>
      <c r="G138" s="27">
        <f>SUMIF(物料月初库存!$C$3:$C$303,$B138,物料月初库存!$F$3:$F$303)</f>
        <v>0</v>
      </c>
      <c r="H138" s="28">
        <f>SUMIF(半成品入库明细!$D$2:$D$650,$B138,半成品入库明细!$G$2:$G$650)</f>
        <v>0</v>
      </c>
      <c r="I138" s="28">
        <f ca="1">SUMIF(半成品出库明细!$D$2:$D$558,$B138,半成品出库明细!$G$2:$G$2)</f>
        <v>0</v>
      </c>
      <c r="J138" s="28">
        <f ca="1" t="shared" si="2"/>
        <v>0</v>
      </c>
      <c r="K138" s="29"/>
      <c r="L138" s="19"/>
      <c r="M138" s="3"/>
    </row>
    <row r="139" s="1" customFormat="1" ht="24.95" customHeight="1" spans="1:13">
      <c r="A139" s="22">
        <v>138</v>
      </c>
      <c r="B139" s="23" t="s">
        <v>424</v>
      </c>
      <c r="C139" s="53" t="s">
        <v>417</v>
      </c>
      <c r="D139" s="25" t="s">
        <v>351</v>
      </c>
      <c r="E139" s="19" t="s">
        <v>359</v>
      </c>
      <c r="F139" s="26" t="s">
        <v>197</v>
      </c>
      <c r="G139" s="27">
        <f>SUMIF(物料月初库存!$C$3:$C$303,$B139,物料月初库存!$F$3:$F$303)</f>
        <v>0</v>
      </c>
      <c r="H139" s="28">
        <f>SUMIF(半成品入库明细!$D$2:$D$650,$B139,半成品入库明细!$G$2:$G$650)</f>
        <v>0</v>
      </c>
      <c r="I139" s="28">
        <f ca="1">SUMIF(半成品出库明细!$D$2:$D$558,$B139,半成品出库明细!$G$2:$G$2)</f>
        <v>0</v>
      </c>
      <c r="J139" s="28">
        <f ca="1" t="shared" si="2"/>
        <v>0</v>
      </c>
      <c r="K139" s="29"/>
      <c r="L139" s="34" t="s">
        <v>202</v>
      </c>
      <c r="M139" s="3"/>
    </row>
    <row r="140" s="1" customFormat="1" ht="24.95" customHeight="1" spans="1:13">
      <c r="A140" s="22">
        <v>139</v>
      </c>
      <c r="B140" s="23" t="s">
        <v>425</v>
      </c>
      <c r="C140" s="53" t="s">
        <v>426</v>
      </c>
      <c r="D140" s="25" t="s">
        <v>351</v>
      </c>
      <c r="E140" s="19" t="s">
        <v>359</v>
      </c>
      <c r="F140" s="26" t="s">
        <v>197</v>
      </c>
      <c r="G140" s="27">
        <f>SUMIF(物料月初库存!$C$3:$C$303,$B140,物料月初库存!$F$3:$F$303)</f>
        <v>0</v>
      </c>
      <c r="H140" s="28">
        <f>SUMIF(半成品入库明细!$D$2:$D$650,$B140,半成品入库明细!$G$2:$G$650)</f>
        <v>0</v>
      </c>
      <c r="I140" s="28">
        <f ca="1">SUMIF(半成品出库明细!$D$2:$D$558,$B140,半成品出库明细!$G$2:$G$2)</f>
        <v>0</v>
      </c>
      <c r="J140" s="28">
        <f ca="1" t="shared" si="2"/>
        <v>0</v>
      </c>
      <c r="K140" s="29"/>
      <c r="L140" s="34" t="s">
        <v>202</v>
      </c>
      <c r="M140" s="3"/>
    </row>
    <row r="141" s="1" customFormat="1" ht="24.95" customHeight="1" spans="1:13">
      <c r="A141" s="22">
        <v>140</v>
      </c>
      <c r="B141" s="23" t="s">
        <v>427</v>
      </c>
      <c r="C141" s="53" t="s">
        <v>428</v>
      </c>
      <c r="D141" s="25" t="s">
        <v>351</v>
      </c>
      <c r="E141" s="19" t="s">
        <v>359</v>
      </c>
      <c r="F141" s="26" t="s">
        <v>197</v>
      </c>
      <c r="G141" s="27">
        <f>SUMIF(物料月初库存!$C$3:$C$303,$B141,物料月初库存!$F$3:$F$303)</f>
        <v>0</v>
      </c>
      <c r="H141" s="28">
        <f>SUMIF(半成品入库明细!$D$2:$D$650,$B141,半成品入库明细!$G$2:$G$650)</f>
        <v>0</v>
      </c>
      <c r="I141" s="28">
        <f ca="1">SUMIF(半成品出库明细!$D$2:$D$558,$B141,半成品出库明细!$G$2:$G$2)</f>
        <v>0</v>
      </c>
      <c r="J141" s="28">
        <f ca="1" t="shared" si="2"/>
        <v>0</v>
      </c>
      <c r="K141" s="29"/>
      <c r="L141" s="34" t="s">
        <v>202</v>
      </c>
      <c r="M141" s="3"/>
    </row>
    <row r="142" s="1" customFormat="1" spans="1:13">
      <c r="A142" s="22">
        <v>141</v>
      </c>
      <c r="B142" s="23" t="s">
        <v>429</v>
      </c>
      <c r="C142" s="53" t="s">
        <v>423</v>
      </c>
      <c r="D142" s="25" t="s">
        <v>351</v>
      </c>
      <c r="E142" s="19" t="s">
        <v>359</v>
      </c>
      <c r="F142" s="26" t="s">
        <v>197</v>
      </c>
      <c r="G142" s="27">
        <f>SUMIF(物料月初库存!$C$3:$C$303,$B142,物料月初库存!$F$3:$F$303)</f>
        <v>0</v>
      </c>
      <c r="H142" s="28">
        <f>SUMIF(半成品入库明细!$D$2:$D$650,$B142,半成品入库明细!$G$2:$G$650)</f>
        <v>0</v>
      </c>
      <c r="I142" s="28">
        <f ca="1">SUMIF(半成品出库明细!$D$2:$D$558,$B142,半成品出库明细!$G$2:$G$2)</f>
        <v>0</v>
      </c>
      <c r="J142" s="28">
        <f ca="1" t="shared" si="2"/>
        <v>0</v>
      </c>
      <c r="K142" s="29"/>
      <c r="L142" s="34" t="s">
        <v>202</v>
      </c>
      <c r="M142" s="3"/>
    </row>
    <row r="143" s="1" customFormat="1" spans="1:13">
      <c r="A143" s="22">
        <v>142</v>
      </c>
      <c r="B143" s="23" t="s">
        <v>430</v>
      </c>
      <c r="C143" s="53" t="s">
        <v>431</v>
      </c>
      <c r="D143" s="25" t="s">
        <v>351</v>
      </c>
      <c r="E143" s="19" t="s">
        <v>359</v>
      </c>
      <c r="F143" s="26" t="s">
        <v>197</v>
      </c>
      <c r="G143" s="27">
        <f>SUMIF(物料月初库存!$C$3:$C$303,$B143,物料月初库存!$F$3:$F$303)</f>
        <v>0</v>
      </c>
      <c r="H143" s="28">
        <f>SUMIF(半成品入库明细!$D$2:$D$650,$B143,半成品入库明细!$G$2:$G$650)</f>
        <v>0</v>
      </c>
      <c r="I143" s="28">
        <f ca="1">SUMIF(半成品出库明细!$D$2:$D$558,$B143,半成品出库明细!$G$2:$G$2)</f>
        <v>0</v>
      </c>
      <c r="J143" s="28">
        <f ca="1" t="shared" si="2"/>
        <v>0</v>
      </c>
      <c r="K143" s="29"/>
      <c r="L143" s="34" t="s">
        <v>202</v>
      </c>
      <c r="M143" s="3"/>
    </row>
    <row r="144" s="1" customFormat="1" spans="1:13">
      <c r="A144" s="22">
        <v>143</v>
      </c>
      <c r="B144" s="23" t="s">
        <v>432</v>
      </c>
      <c r="C144" s="53" t="s">
        <v>433</v>
      </c>
      <c r="D144" s="25" t="s">
        <v>351</v>
      </c>
      <c r="E144" s="19" t="s">
        <v>359</v>
      </c>
      <c r="F144" s="26" t="s">
        <v>197</v>
      </c>
      <c r="G144" s="27">
        <f>SUMIF(物料月初库存!$C$3:$C$303,$B144,物料月初库存!$F$3:$F$303)</f>
        <v>0</v>
      </c>
      <c r="H144" s="28">
        <f>SUMIF(半成品入库明细!$D$2:$D$650,$B144,半成品入库明细!$G$2:$G$650)</f>
        <v>0</v>
      </c>
      <c r="I144" s="28">
        <f ca="1">SUMIF(半成品出库明细!$D$2:$D$558,$B144,半成品出库明细!$G$2:$G$2)</f>
        <v>0</v>
      </c>
      <c r="J144" s="28">
        <f ca="1" t="shared" si="2"/>
        <v>0</v>
      </c>
      <c r="K144" s="29"/>
      <c r="L144" s="34" t="s">
        <v>202</v>
      </c>
      <c r="M144" s="3"/>
    </row>
    <row r="145" s="1" customFormat="1" spans="1:13">
      <c r="A145" s="22">
        <v>144</v>
      </c>
      <c r="B145" s="23" t="s">
        <v>434</v>
      </c>
      <c r="C145" s="53" t="s">
        <v>435</v>
      </c>
      <c r="D145" s="25" t="s">
        <v>351</v>
      </c>
      <c r="E145" s="19" t="s">
        <v>359</v>
      </c>
      <c r="F145" s="26" t="s">
        <v>197</v>
      </c>
      <c r="G145" s="27">
        <f>SUMIF(物料月初库存!$C$3:$C$303,$B145,物料月初库存!$F$3:$F$303)</f>
        <v>0</v>
      </c>
      <c r="H145" s="28">
        <f>SUMIF(半成品入库明细!$D$2:$D$650,$B145,半成品入库明细!$G$2:$G$650)</f>
        <v>0</v>
      </c>
      <c r="I145" s="28">
        <f ca="1">SUMIF(半成品出库明细!$D$2:$D$558,$B145,半成品出库明细!$G$2:$G$2)</f>
        <v>0</v>
      </c>
      <c r="J145" s="28">
        <f ca="1" t="shared" si="2"/>
        <v>0</v>
      </c>
      <c r="K145" s="29"/>
      <c r="L145" s="34" t="s">
        <v>202</v>
      </c>
      <c r="M145" s="3"/>
    </row>
    <row r="146" s="1" customFormat="1" spans="1:13">
      <c r="A146" s="22">
        <v>145</v>
      </c>
      <c r="B146" s="23" t="s">
        <v>436</v>
      </c>
      <c r="C146" s="54" t="s">
        <v>437</v>
      </c>
      <c r="D146" s="25" t="s">
        <v>438</v>
      </c>
      <c r="E146" s="19" t="s">
        <v>76</v>
      </c>
      <c r="F146" s="26" t="s">
        <v>197</v>
      </c>
      <c r="G146" s="27">
        <f>SUMIF(物料月初库存!$C$3:$C$303,$B146,物料月初库存!$F$3:$F$303)</f>
        <v>0</v>
      </c>
      <c r="H146" s="28">
        <f>SUMIF(半成品入库明细!$D$2:$D$650,$B146,半成品入库明细!$G$2:$G$650)</f>
        <v>0</v>
      </c>
      <c r="I146" s="28">
        <f ca="1">SUMIF(半成品出库明细!$D$2:$D$558,$B146,半成品出库明细!$G$2:$G$2)</f>
        <v>0</v>
      </c>
      <c r="J146" s="28">
        <f ca="1" t="shared" si="2"/>
        <v>0</v>
      </c>
      <c r="K146" s="20"/>
      <c r="L146" s="3"/>
      <c r="M146" s="3"/>
    </row>
    <row r="147" s="1" customFormat="1" spans="1:13">
      <c r="A147" s="22">
        <v>146</v>
      </c>
      <c r="B147" s="23" t="s">
        <v>439</v>
      </c>
      <c r="C147" s="54" t="s">
        <v>437</v>
      </c>
      <c r="D147" s="25" t="s">
        <v>438</v>
      </c>
      <c r="E147" s="19" t="s">
        <v>440</v>
      </c>
      <c r="F147" s="26" t="s">
        <v>197</v>
      </c>
      <c r="G147" s="27">
        <f>SUMIF(物料月初库存!$C$3:$C$303,$B147,物料月初库存!$F$3:$F$303)</f>
        <v>0</v>
      </c>
      <c r="H147" s="28">
        <f>SUMIF(半成品入库明细!$D$2:$D$650,$B147,半成品入库明细!$G$2:$G$650)</f>
        <v>0</v>
      </c>
      <c r="I147" s="28">
        <f ca="1">SUMIF(半成品出库明细!$D$2:$D$558,$B147,半成品出库明细!$G$2:$G$2)</f>
        <v>0</v>
      </c>
      <c r="J147" s="28">
        <f ca="1" t="shared" si="2"/>
        <v>0</v>
      </c>
      <c r="K147" s="20"/>
      <c r="L147" s="3"/>
      <c r="M147" s="3"/>
    </row>
    <row r="148" s="1" customFormat="1" spans="1:13">
      <c r="A148" s="22">
        <v>147</v>
      </c>
      <c r="B148" s="23" t="s">
        <v>441</v>
      </c>
      <c r="C148" s="54" t="s">
        <v>437</v>
      </c>
      <c r="D148" s="25" t="s">
        <v>438</v>
      </c>
      <c r="E148" s="19" t="s">
        <v>316</v>
      </c>
      <c r="F148" s="26" t="s">
        <v>197</v>
      </c>
      <c r="G148" s="27">
        <f>SUMIF(物料月初库存!$C$3:$C$303,$B148,物料月初库存!$F$3:$F$303)</f>
        <v>0</v>
      </c>
      <c r="H148" s="28">
        <f>SUMIF(半成品入库明细!$D$2:$D$650,$B148,半成品入库明细!$G$2:$G$650)</f>
        <v>0</v>
      </c>
      <c r="I148" s="28">
        <f ca="1">SUMIF(半成品出库明细!$D$2:$D$558,$B148,半成品出库明细!$G$2:$G$2)</f>
        <v>0</v>
      </c>
      <c r="J148" s="28">
        <f ca="1" t="shared" si="2"/>
        <v>0</v>
      </c>
      <c r="K148" s="20"/>
      <c r="L148" s="3"/>
      <c r="M148" s="3"/>
    </row>
    <row r="149" s="1" customFormat="1" spans="1:13">
      <c r="A149" s="22">
        <v>148</v>
      </c>
      <c r="B149" s="23" t="s">
        <v>442</v>
      </c>
      <c r="C149" s="54" t="s">
        <v>437</v>
      </c>
      <c r="D149" s="25" t="s">
        <v>438</v>
      </c>
      <c r="E149" s="19" t="s">
        <v>443</v>
      </c>
      <c r="F149" s="26" t="s">
        <v>197</v>
      </c>
      <c r="G149" s="27">
        <f>SUMIF(物料月初库存!$C$3:$C$303,$B149,物料月初库存!$F$3:$F$303)</f>
        <v>0</v>
      </c>
      <c r="H149" s="28">
        <f>SUMIF(半成品入库明细!$D$2:$D$650,$B149,半成品入库明细!$G$2:$G$650)</f>
        <v>0</v>
      </c>
      <c r="I149" s="28">
        <f ca="1">SUMIF(半成品出库明细!$D$2:$D$558,$B149,半成品出库明细!$G$2:$G$2)</f>
        <v>0</v>
      </c>
      <c r="J149" s="28">
        <f ca="1" t="shared" si="2"/>
        <v>0</v>
      </c>
      <c r="K149" s="20"/>
      <c r="L149" s="3"/>
      <c r="M149" s="3"/>
    </row>
    <row r="150" s="1" customFormat="1" spans="1:13">
      <c r="A150" s="22">
        <v>149</v>
      </c>
      <c r="B150" s="23" t="s">
        <v>444</v>
      </c>
      <c r="C150" s="54" t="s">
        <v>445</v>
      </c>
      <c r="D150" s="25" t="s">
        <v>438</v>
      </c>
      <c r="E150" s="19" t="s">
        <v>76</v>
      </c>
      <c r="F150" s="26" t="s">
        <v>197</v>
      </c>
      <c r="G150" s="27">
        <f>SUMIF(物料月初库存!$C$3:$C$303,$B150,物料月初库存!$F$3:$F$303)</f>
        <v>0</v>
      </c>
      <c r="H150" s="28">
        <f>SUMIF(半成品入库明细!$D$2:$D$650,$B150,半成品入库明细!$G$2:$G$650)</f>
        <v>0</v>
      </c>
      <c r="I150" s="28">
        <f ca="1">SUMIF(半成品出库明细!$D$2:$D$558,$B150,半成品出库明细!$G$2:$G$2)</f>
        <v>0</v>
      </c>
      <c r="J150" s="28">
        <f ca="1" t="shared" si="2"/>
        <v>0</v>
      </c>
      <c r="K150" s="20"/>
      <c r="L150" s="3"/>
      <c r="M150" s="3"/>
    </row>
    <row r="151" s="1" customFormat="1" spans="1:13">
      <c r="A151" s="22">
        <v>150</v>
      </c>
      <c r="B151" s="23" t="s">
        <v>446</v>
      </c>
      <c r="C151" s="54" t="s">
        <v>445</v>
      </c>
      <c r="D151" s="25" t="s">
        <v>438</v>
      </c>
      <c r="E151" s="19" t="s">
        <v>447</v>
      </c>
      <c r="F151" s="26" t="s">
        <v>197</v>
      </c>
      <c r="G151" s="27">
        <f>SUMIF(物料月初库存!$C$3:$C$303,$B151,物料月初库存!$F$3:$F$303)</f>
        <v>0</v>
      </c>
      <c r="H151" s="28">
        <f>SUMIF(半成品入库明细!$D$2:$D$650,$B151,半成品入库明细!$G$2:$G$650)</f>
        <v>0</v>
      </c>
      <c r="I151" s="28">
        <f ca="1">SUMIF(半成品出库明细!$D$2:$D$558,$B151,半成品出库明细!$G$2:$G$2)</f>
        <v>0</v>
      </c>
      <c r="J151" s="28">
        <f ca="1" t="shared" si="2"/>
        <v>0</v>
      </c>
      <c r="K151" s="20" t="s">
        <v>327</v>
      </c>
      <c r="L151" s="3"/>
      <c r="M151" s="3"/>
    </row>
    <row r="152" s="1" customFormat="1" spans="1:13">
      <c r="A152" s="22">
        <v>151</v>
      </c>
      <c r="B152" s="23" t="s">
        <v>448</v>
      </c>
      <c r="C152" s="54" t="s">
        <v>445</v>
      </c>
      <c r="D152" s="25" t="s">
        <v>438</v>
      </c>
      <c r="E152" s="19" t="s">
        <v>449</v>
      </c>
      <c r="F152" s="26" t="s">
        <v>197</v>
      </c>
      <c r="G152" s="27">
        <f>SUMIF(物料月初库存!$C$3:$C$303,$B152,物料月初库存!$F$3:$F$303)</f>
        <v>0</v>
      </c>
      <c r="H152" s="28">
        <f>SUMIF(半成品入库明细!$D$2:$D$650,$B152,半成品入库明细!$G$2:$G$650)</f>
        <v>0</v>
      </c>
      <c r="I152" s="28">
        <f ca="1">SUMIF(半成品出库明细!$D$2:$D$558,$B152,半成品出库明细!$G$2:$G$2)</f>
        <v>0</v>
      </c>
      <c r="J152" s="28">
        <f ca="1" t="shared" si="2"/>
        <v>0</v>
      </c>
      <c r="K152" s="55" t="s">
        <v>183</v>
      </c>
      <c r="L152" s="3"/>
      <c r="M152" s="3"/>
    </row>
    <row r="153" s="1" customFormat="1" spans="1:13">
      <c r="A153" s="22">
        <v>152</v>
      </c>
      <c r="B153" s="23" t="s">
        <v>450</v>
      </c>
      <c r="C153" s="24" t="s">
        <v>451</v>
      </c>
      <c r="D153" s="25" t="s">
        <v>438</v>
      </c>
      <c r="E153" s="19" t="s">
        <v>76</v>
      </c>
      <c r="F153" s="26" t="s">
        <v>197</v>
      </c>
      <c r="G153" s="27">
        <f>SUMIF(物料月初库存!$C$3:$C$303,$B153,物料月初库存!$F$3:$F$303)</f>
        <v>0</v>
      </c>
      <c r="H153" s="28">
        <f>SUMIF(半成品入库明细!$D$2:$D$650,$B153,半成品入库明细!$G$2:$G$650)</f>
        <v>0</v>
      </c>
      <c r="I153" s="28">
        <f ca="1">SUMIF(半成品出库明细!$D$2:$D$558,$B153,半成品出库明细!$G$2:$G$2)</f>
        <v>0</v>
      </c>
      <c r="J153" s="28">
        <f ca="1" t="shared" si="2"/>
        <v>0</v>
      </c>
      <c r="K153" s="20"/>
      <c r="L153" s="3"/>
      <c r="M153" s="3"/>
    </row>
    <row r="154" s="1" customFormat="1" spans="1:13">
      <c r="A154" s="22">
        <v>153</v>
      </c>
      <c r="B154" s="23" t="s">
        <v>452</v>
      </c>
      <c r="C154" s="54" t="s">
        <v>451</v>
      </c>
      <c r="D154" s="25" t="s">
        <v>438</v>
      </c>
      <c r="E154" s="19" t="s">
        <v>440</v>
      </c>
      <c r="F154" s="26" t="s">
        <v>197</v>
      </c>
      <c r="G154" s="27">
        <f>SUMIF(物料月初库存!$C$3:$C$303,$B154,物料月初库存!$F$3:$F$303)</f>
        <v>0</v>
      </c>
      <c r="H154" s="28">
        <f>SUMIF(半成品入库明细!$D$2:$D$650,$B154,半成品入库明细!$G$2:$G$650)</f>
        <v>0</v>
      </c>
      <c r="I154" s="28">
        <f ca="1">SUMIF(半成品出库明细!$D$2:$D$558,$B154,半成品出库明细!$G$2:$G$2)</f>
        <v>0</v>
      </c>
      <c r="J154" s="28">
        <f ca="1" t="shared" si="2"/>
        <v>0</v>
      </c>
      <c r="K154" s="56" t="s">
        <v>453</v>
      </c>
      <c r="L154" s="3"/>
      <c r="M154" s="3"/>
    </row>
    <row r="155" s="1" customFormat="1" spans="1:13">
      <c r="A155" s="22">
        <v>155</v>
      </c>
      <c r="B155" s="23" t="s">
        <v>454</v>
      </c>
      <c r="C155" s="54" t="s">
        <v>451</v>
      </c>
      <c r="D155" s="25" t="s">
        <v>438</v>
      </c>
      <c r="E155" s="19" t="s">
        <v>256</v>
      </c>
      <c r="F155" s="26" t="s">
        <v>197</v>
      </c>
      <c r="G155" s="27">
        <f>SUMIF(物料月初库存!$C$3:$C$303,$B155,物料月初库存!$F$3:$F$303)</f>
        <v>0</v>
      </c>
      <c r="H155" s="28">
        <f>SUMIF(半成品入库明细!$D$2:$D$650,$B155,半成品入库明细!$G$2:$G$650)</f>
        <v>0</v>
      </c>
      <c r="I155" s="28">
        <f ca="1">SUMIF(半成品出库明细!$D$2:$D$558,$B155,半成品出库明细!$G$2:$G$2)</f>
        <v>0</v>
      </c>
      <c r="J155" s="28">
        <f ca="1" t="shared" si="2"/>
        <v>0</v>
      </c>
      <c r="K155" s="20" t="s">
        <v>455</v>
      </c>
      <c r="L155" s="3"/>
      <c r="M155" s="3"/>
    </row>
    <row r="156" s="1" customFormat="1" spans="1:13">
      <c r="A156" s="22">
        <v>156</v>
      </c>
      <c r="B156" s="23" t="s">
        <v>456</v>
      </c>
      <c r="C156" s="41" t="s">
        <v>457</v>
      </c>
      <c r="D156" s="25" t="s">
        <v>438</v>
      </c>
      <c r="E156" s="19" t="s">
        <v>76</v>
      </c>
      <c r="F156" s="26" t="s">
        <v>197</v>
      </c>
      <c r="G156" s="27">
        <f>SUMIF(物料月初库存!$C$3:$C$303,$B156,物料月初库存!$F$3:$F$303)</f>
        <v>0</v>
      </c>
      <c r="H156" s="28">
        <f>SUMIF(半成品入库明细!$D$2:$D$650,$B156,半成品入库明细!$G$2:$G$650)</f>
        <v>0</v>
      </c>
      <c r="I156" s="28">
        <f ca="1">SUMIF(半成品出库明细!$D$2:$D$558,$B156,半成品出库明细!$G$2:$G$2)</f>
        <v>0</v>
      </c>
      <c r="J156" s="28">
        <f ca="1" t="shared" si="2"/>
        <v>0</v>
      </c>
      <c r="K156" s="20"/>
      <c r="L156" s="3"/>
      <c r="M156" s="3"/>
    </row>
    <row r="157" s="1" customFormat="1" spans="1:13">
      <c r="A157" s="22">
        <v>157</v>
      </c>
      <c r="B157" s="36" t="s">
        <v>458</v>
      </c>
      <c r="C157" s="41" t="s">
        <v>457</v>
      </c>
      <c r="D157" s="33" t="s">
        <v>438</v>
      </c>
      <c r="E157" s="37" t="s">
        <v>235</v>
      </c>
      <c r="F157" s="26" t="s">
        <v>197</v>
      </c>
      <c r="G157" s="27">
        <f>SUMIF(物料月初库存!$C$3:$C$303,$B157,物料月初库存!$F$3:$F$303)</f>
        <v>0</v>
      </c>
      <c r="H157" s="28">
        <f>SUMIF(半成品入库明细!$D$2:$D$650,$B157,半成品入库明细!$G$2:$G$650)</f>
        <v>0</v>
      </c>
      <c r="I157" s="28">
        <f ca="1">SUMIF(半成品出库明细!$D$2:$D$558,$B157,半成品出库明细!$G$2:$G$2)</f>
        <v>0</v>
      </c>
      <c r="J157" s="28">
        <f ca="1" t="shared" si="2"/>
        <v>0</v>
      </c>
      <c r="K157" s="20" t="s">
        <v>113</v>
      </c>
      <c r="L157" s="3"/>
      <c r="M157" s="3"/>
    </row>
    <row r="158" s="1" customFormat="1" spans="1:13">
      <c r="A158" s="22">
        <v>158</v>
      </c>
      <c r="B158" s="23" t="s">
        <v>459</v>
      </c>
      <c r="C158" s="41" t="s">
        <v>457</v>
      </c>
      <c r="D158" s="25" t="s">
        <v>438</v>
      </c>
      <c r="E158" s="19" t="s">
        <v>440</v>
      </c>
      <c r="F158" s="26" t="s">
        <v>197</v>
      </c>
      <c r="G158" s="27">
        <f>SUMIF(物料月初库存!$C$3:$C$303,$B158,物料月初库存!$F$3:$F$303)</f>
        <v>0</v>
      </c>
      <c r="H158" s="28">
        <f>SUMIF(半成品入库明细!$D$2:$D$650,$B158,半成品入库明细!$G$2:$G$650)</f>
        <v>0</v>
      </c>
      <c r="I158" s="28">
        <f ca="1">SUMIF(半成品出库明细!$D$2:$D$558,$B158,半成品出库明细!$G$2:$G$2)</f>
        <v>0</v>
      </c>
      <c r="J158" s="28">
        <f ca="1" t="shared" si="2"/>
        <v>0</v>
      </c>
      <c r="K158" s="20"/>
      <c r="L158" s="3"/>
      <c r="M158" s="3"/>
    </row>
    <row r="159" s="1" customFormat="1" spans="1:13">
      <c r="A159" s="22">
        <v>159</v>
      </c>
      <c r="B159" s="23" t="s">
        <v>460</v>
      </c>
      <c r="C159" s="41" t="s">
        <v>457</v>
      </c>
      <c r="D159" s="25" t="s">
        <v>438</v>
      </c>
      <c r="E159" s="19" t="s">
        <v>201</v>
      </c>
      <c r="F159" s="26" t="s">
        <v>197</v>
      </c>
      <c r="G159" s="27">
        <f>SUMIF(物料月初库存!$C$3:$C$303,$B159,物料月初库存!$F$3:$F$303)</f>
        <v>0</v>
      </c>
      <c r="H159" s="28">
        <f>SUMIF(半成品入库明细!$D$2:$D$650,$B159,半成品入库明细!$G$2:$G$650)</f>
        <v>0</v>
      </c>
      <c r="I159" s="28">
        <f ca="1">SUMIF(半成品出库明细!$D$2:$D$558,$B159,半成品出库明细!$G$2:$G$2)</f>
        <v>0</v>
      </c>
      <c r="J159" s="28">
        <f ca="1" t="shared" si="2"/>
        <v>0</v>
      </c>
      <c r="K159" s="20"/>
      <c r="L159" s="3"/>
      <c r="M159" s="3"/>
    </row>
    <row r="160" s="1" customFormat="1" spans="1:13">
      <c r="A160" s="22">
        <v>160</v>
      </c>
      <c r="B160" s="23" t="s">
        <v>461</v>
      </c>
      <c r="C160" s="41" t="s">
        <v>462</v>
      </c>
      <c r="D160" s="25" t="s">
        <v>438</v>
      </c>
      <c r="E160" s="19" t="s">
        <v>76</v>
      </c>
      <c r="F160" s="26" t="s">
        <v>197</v>
      </c>
      <c r="G160" s="27">
        <f>SUMIF(物料月初库存!$C$3:$C$303,$B160,物料月初库存!$F$3:$F$303)</f>
        <v>0</v>
      </c>
      <c r="H160" s="28">
        <f>SUMIF(半成品入库明细!$D$2:$D$650,$B160,半成品入库明细!$G$2:$G$650)</f>
        <v>0</v>
      </c>
      <c r="I160" s="28">
        <f ca="1">SUMIF(半成品出库明细!$D$2:$D$558,$B160,半成品出库明细!$G$2:$G$2)</f>
        <v>0</v>
      </c>
      <c r="J160" s="28">
        <f ca="1" t="shared" si="2"/>
        <v>0</v>
      </c>
      <c r="K160" s="20"/>
      <c r="L160" s="3"/>
      <c r="M160" s="3"/>
    </row>
    <row r="161" s="1" customFormat="1" spans="1:13">
      <c r="A161" s="22">
        <v>161</v>
      </c>
      <c r="B161" s="23" t="s">
        <v>463</v>
      </c>
      <c r="C161" s="41" t="s">
        <v>462</v>
      </c>
      <c r="D161" s="25" t="s">
        <v>438</v>
      </c>
      <c r="E161" s="19" t="s">
        <v>464</v>
      </c>
      <c r="F161" s="26" t="s">
        <v>197</v>
      </c>
      <c r="G161" s="27">
        <f>SUMIF(物料月初库存!$C$3:$C$303,$B161,物料月初库存!$F$3:$F$303)</f>
        <v>0</v>
      </c>
      <c r="H161" s="28">
        <f>SUMIF(半成品入库明细!$D$2:$D$650,$B161,半成品入库明细!$G$2:$G$650)</f>
        <v>0</v>
      </c>
      <c r="I161" s="28">
        <f ca="1">SUMIF(半成品出库明细!$D$2:$D$558,$B161,半成品出库明细!$G$2:$G$2)</f>
        <v>0</v>
      </c>
      <c r="J161" s="28">
        <f ca="1" t="shared" si="2"/>
        <v>0</v>
      </c>
      <c r="K161" s="20"/>
      <c r="L161" s="3"/>
      <c r="M161" s="3"/>
    </row>
    <row r="162" s="1" customFormat="1" spans="1:13">
      <c r="A162" s="22">
        <v>162</v>
      </c>
      <c r="B162" s="23" t="s">
        <v>465</v>
      </c>
      <c r="C162" s="41" t="s">
        <v>462</v>
      </c>
      <c r="D162" s="25" t="s">
        <v>438</v>
      </c>
      <c r="E162" s="19" t="s">
        <v>201</v>
      </c>
      <c r="F162" s="26" t="s">
        <v>197</v>
      </c>
      <c r="G162" s="27">
        <f>SUMIF(物料月初库存!$C$3:$C$303,$B162,物料月初库存!$F$3:$F$303)</f>
        <v>0</v>
      </c>
      <c r="H162" s="28">
        <f>SUMIF(半成品入库明细!$D$2:$D$650,$B162,半成品入库明细!$G$2:$G$650)</f>
        <v>0</v>
      </c>
      <c r="I162" s="28">
        <f ca="1">SUMIF(半成品出库明细!$D$2:$D$558,$B162,半成品出库明细!$G$2:$G$2)</f>
        <v>0</v>
      </c>
      <c r="J162" s="28">
        <f ca="1" t="shared" si="2"/>
        <v>0</v>
      </c>
      <c r="K162" s="55" t="s">
        <v>183</v>
      </c>
      <c r="L162" s="3"/>
      <c r="M162" s="3"/>
    </row>
    <row r="163" s="1" customFormat="1" spans="1:13">
      <c r="A163" s="22">
        <v>163</v>
      </c>
      <c r="B163" s="23" t="s">
        <v>466</v>
      </c>
      <c r="C163" s="41" t="s">
        <v>467</v>
      </c>
      <c r="D163" s="25" t="s">
        <v>438</v>
      </c>
      <c r="E163" s="19" t="s">
        <v>76</v>
      </c>
      <c r="F163" s="26" t="s">
        <v>197</v>
      </c>
      <c r="G163" s="27">
        <f>SUMIF(物料月初库存!$C$3:$C$303,$B163,物料月初库存!$F$3:$F$303)</f>
        <v>0</v>
      </c>
      <c r="H163" s="28">
        <f>SUMIF(半成品入库明细!$D$2:$D$650,$B163,半成品入库明细!$G$2:$G$650)</f>
        <v>0</v>
      </c>
      <c r="I163" s="28">
        <f ca="1">SUMIF(半成品出库明细!$D$2:$D$558,$B163,半成品出库明细!$G$2:$G$2)</f>
        <v>0</v>
      </c>
      <c r="J163" s="28">
        <f ca="1" t="shared" si="2"/>
        <v>0</v>
      </c>
      <c r="K163" s="20"/>
      <c r="L163" s="3"/>
      <c r="M163" s="3"/>
    </row>
    <row r="164" s="1" customFormat="1" spans="1:13">
      <c r="A164" s="22"/>
      <c r="B164" s="23" t="s">
        <v>468</v>
      </c>
      <c r="C164" s="41" t="s">
        <v>467</v>
      </c>
      <c r="D164" s="23" t="s">
        <v>438</v>
      </c>
      <c r="E164" s="19" t="s">
        <v>469</v>
      </c>
      <c r="F164" s="26" t="s">
        <v>197</v>
      </c>
      <c r="G164" s="27">
        <f>SUMIF(物料月初库存!$C$3:$C$303,$B164,物料月初库存!$F$3:$F$303)</f>
        <v>0</v>
      </c>
      <c r="H164" s="28">
        <f>SUMIF(半成品入库明细!$D$2:$D$650,$B164,半成品入库明细!$G$2:$G$650)</f>
        <v>0</v>
      </c>
      <c r="I164" s="28">
        <f ca="1">SUMIF(半成品出库明细!$D$2:$D$558,$B164,半成品出库明细!$G$2:$G$2)</f>
        <v>0</v>
      </c>
      <c r="J164" s="28">
        <f ca="1" t="shared" si="2"/>
        <v>0</v>
      </c>
      <c r="K164" s="20"/>
      <c r="L164" s="3"/>
      <c r="M164" s="3"/>
    </row>
    <row r="165" s="1" customFormat="1" spans="1:13">
      <c r="A165" s="22">
        <v>167</v>
      </c>
      <c r="B165" s="23" t="s">
        <v>470</v>
      </c>
      <c r="C165" s="41" t="s">
        <v>471</v>
      </c>
      <c r="D165" s="25" t="s">
        <v>438</v>
      </c>
      <c r="E165" s="28" t="s">
        <v>199</v>
      </c>
      <c r="F165" s="26" t="s">
        <v>197</v>
      </c>
      <c r="G165" s="27">
        <f>SUMIF(物料月初库存!$C$3:$C$303,$B165,物料月初库存!$F$3:$F$303)</f>
        <v>0</v>
      </c>
      <c r="H165" s="28">
        <f>SUMIF(半成品入库明细!$D$2:$D$650,$B165,半成品入库明细!$G$2:$G$650)</f>
        <v>0</v>
      </c>
      <c r="I165" s="28">
        <f ca="1">SUMIF(半成品出库明细!$D$2:$D$558,$B165,半成品出库明细!$G$2:$G$2)</f>
        <v>0</v>
      </c>
      <c r="J165" s="28">
        <f ca="1" t="shared" si="2"/>
        <v>0</v>
      </c>
      <c r="K165" s="20"/>
      <c r="L165" s="3"/>
      <c r="M165" s="3"/>
    </row>
    <row r="166" s="1" customFormat="1" spans="1:13">
      <c r="A166" s="22">
        <v>168</v>
      </c>
      <c r="B166" s="23" t="s">
        <v>472</v>
      </c>
      <c r="C166" s="41" t="s">
        <v>471</v>
      </c>
      <c r="D166" s="25" t="s">
        <v>438</v>
      </c>
      <c r="E166" s="28" t="s">
        <v>201</v>
      </c>
      <c r="F166" s="26" t="s">
        <v>197</v>
      </c>
      <c r="G166" s="27">
        <f>SUMIF(物料月初库存!$C$3:$C$303,$B166,物料月初库存!$F$3:$F$303)</f>
        <v>0</v>
      </c>
      <c r="H166" s="28">
        <f>SUMIF(半成品入库明细!$D$2:$D$650,$B166,半成品入库明细!$G$2:$G$650)</f>
        <v>0</v>
      </c>
      <c r="I166" s="28">
        <f ca="1">SUMIF(半成品出库明细!$D$2:$D$558,$B166,半成品出库明细!$G$2:$G$2)</f>
        <v>0</v>
      </c>
      <c r="J166" s="28">
        <f ca="1" t="shared" si="2"/>
        <v>0</v>
      </c>
      <c r="K166" s="20"/>
      <c r="L166" s="3"/>
      <c r="M166" s="3"/>
    </row>
    <row r="167" s="1" customFormat="1" spans="1:13">
      <c r="A167" s="22">
        <v>169</v>
      </c>
      <c r="B167" s="23" t="s">
        <v>473</v>
      </c>
      <c r="C167" s="41" t="s">
        <v>474</v>
      </c>
      <c r="D167" s="25" t="s">
        <v>438</v>
      </c>
      <c r="E167" s="28" t="s">
        <v>76</v>
      </c>
      <c r="F167" s="26" t="s">
        <v>197</v>
      </c>
      <c r="G167" s="27">
        <f>SUMIF(物料月初库存!$C$3:$C$303,$B167,物料月初库存!$F$3:$F$303)</f>
        <v>0</v>
      </c>
      <c r="H167" s="28">
        <f>SUMIF(半成品入库明细!$D$2:$D$650,$B167,半成品入库明细!$G$2:$G$650)</f>
        <v>0</v>
      </c>
      <c r="I167" s="28">
        <f ca="1">SUMIF(半成品出库明细!$D$2:$D$558,$B167,半成品出库明细!$G$2:$G$2)</f>
        <v>0</v>
      </c>
      <c r="J167" s="28">
        <f ca="1" t="shared" si="2"/>
        <v>0</v>
      </c>
      <c r="K167" s="20"/>
      <c r="L167" s="3"/>
      <c r="M167" s="3"/>
    </row>
    <row r="168" s="1" customFormat="1" spans="1:13">
      <c r="A168" s="22">
        <v>170</v>
      </c>
      <c r="B168" s="23" t="s">
        <v>475</v>
      </c>
      <c r="C168" s="41" t="s">
        <v>474</v>
      </c>
      <c r="D168" s="25" t="s">
        <v>438</v>
      </c>
      <c r="E168" s="28" t="s">
        <v>316</v>
      </c>
      <c r="F168" s="26" t="s">
        <v>197</v>
      </c>
      <c r="G168" s="27">
        <f>SUMIF(物料月初库存!$C$3:$C$303,$B168,物料月初库存!$F$3:$F$303)</f>
        <v>0</v>
      </c>
      <c r="H168" s="28">
        <f>SUMIF(半成品入库明细!$D$2:$D$650,$B168,半成品入库明细!$G$2:$G$650)</f>
        <v>0</v>
      </c>
      <c r="I168" s="28">
        <f ca="1">SUMIF(半成品出库明细!$D$2:$D$558,$B168,半成品出库明细!$G$2:$G$2)</f>
        <v>0</v>
      </c>
      <c r="J168" s="28">
        <f ca="1" t="shared" si="2"/>
        <v>0</v>
      </c>
      <c r="K168" s="20"/>
      <c r="L168" s="3"/>
      <c r="M168" s="3"/>
    </row>
    <row r="169" s="1" customFormat="1" spans="1:13">
      <c r="A169" s="22">
        <v>171</v>
      </c>
      <c r="B169" s="23" t="s">
        <v>476</v>
      </c>
      <c r="C169" s="41" t="s">
        <v>474</v>
      </c>
      <c r="D169" s="25" t="s">
        <v>438</v>
      </c>
      <c r="E169" s="28" t="s">
        <v>443</v>
      </c>
      <c r="F169" s="26" t="s">
        <v>197</v>
      </c>
      <c r="G169" s="27">
        <f>SUMIF(物料月初库存!$C$3:$C$303,$B169,物料月初库存!$F$3:$F$303)</f>
        <v>0</v>
      </c>
      <c r="H169" s="28">
        <f>SUMIF(半成品入库明细!$D$2:$D$650,$B169,半成品入库明细!$G$2:$G$650)</f>
        <v>0</v>
      </c>
      <c r="I169" s="28">
        <f ca="1">SUMIF(半成品出库明细!$D$2:$D$558,$B169,半成品出库明细!$G$2:$G$2)</f>
        <v>0</v>
      </c>
      <c r="J169" s="28">
        <f ca="1" t="shared" si="2"/>
        <v>0</v>
      </c>
      <c r="K169" s="20"/>
      <c r="L169" s="3"/>
      <c r="M169" s="3"/>
    </row>
    <row r="170" s="1" customFormat="1" spans="1:13">
      <c r="A170" s="22">
        <v>172</v>
      </c>
      <c r="B170" s="23" t="s">
        <v>477</v>
      </c>
      <c r="C170" s="41" t="s">
        <v>478</v>
      </c>
      <c r="D170" s="25" t="s">
        <v>438</v>
      </c>
      <c r="E170" s="28" t="s">
        <v>76</v>
      </c>
      <c r="F170" s="26" t="s">
        <v>197</v>
      </c>
      <c r="G170" s="27">
        <f>SUMIF(物料月初库存!$C$3:$C$303,$B170,物料月初库存!$F$3:$F$303)</f>
        <v>0</v>
      </c>
      <c r="H170" s="28">
        <f>SUMIF(半成品入库明细!$D$2:$D$650,$B170,半成品入库明细!$G$2:$G$650)</f>
        <v>0</v>
      </c>
      <c r="I170" s="28">
        <f ca="1">SUMIF(半成品出库明细!$D$2:$D$558,$B170,半成品出库明细!$G$2:$G$2)</f>
        <v>0</v>
      </c>
      <c r="J170" s="28">
        <f ca="1" t="shared" si="2"/>
        <v>0</v>
      </c>
      <c r="K170" s="20"/>
      <c r="L170" s="3"/>
      <c r="M170" s="3"/>
    </row>
    <row r="171" s="1" customFormat="1" spans="1:13">
      <c r="A171" s="22">
        <v>173</v>
      </c>
      <c r="B171" s="23" t="s">
        <v>479</v>
      </c>
      <c r="C171" s="41" t="s">
        <v>478</v>
      </c>
      <c r="D171" s="25" t="s">
        <v>438</v>
      </c>
      <c r="E171" s="19" t="s">
        <v>440</v>
      </c>
      <c r="F171" s="26" t="s">
        <v>197</v>
      </c>
      <c r="G171" s="27">
        <f>SUMIF(物料月初库存!$C$3:$C$303,$B171,物料月初库存!$F$3:$F$303)</f>
        <v>0</v>
      </c>
      <c r="H171" s="28">
        <f>SUMIF(半成品入库明细!$D$2:$D$650,$B171,半成品入库明细!$G$2:$G$650)</f>
        <v>0</v>
      </c>
      <c r="I171" s="28">
        <f ca="1">SUMIF(半成品出库明细!$D$2:$D$558,$B171,半成品出库明细!$G$2:$G$2)</f>
        <v>0</v>
      </c>
      <c r="J171" s="28">
        <f ca="1" t="shared" si="2"/>
        <v>0</v>
      </c>
      <c r="K171" s="20"/>
      <c r="L171" s="3"/>
      <c r="M171" s="3"/>
    </row>
    <row r="172" s="1" customFormat="1" spans="1:13">
      <c r="A172" s="22">
        <v>174</v>
      </c>
      <c r="B172" s="23" t="s">
        <v>480</v>
      </c>
      <c r="C172" s="41" t="s">
        <v>478</v>
      </c>
      <c r="D172" s="25" t="s">
        <v>438</v>
      </c>
      <c r="E172" s="28" t="s">
        <v>316</v>
      </c>
      <c r="F172" s="26" t="s">
        <v>197</v>
      </c>
      <c r="G172" s="27">
        <f>SUMIF(物料月初库存!$C$3:$C$303,$B172,物料月初库存!$F$3:$F$303)</f>
        <v>0</v>
      </c>
      <c r="H172" s="28">
        <f>SUMIF(半成品入库明细!$D$2:$D$650,$B172,半成品入库明细!$G$2:$G$650)</f>
        <v>0</v>
      </c>
      <c r="I172" s="28">
        <f ca="1">SUMIF(半成品出库明细!$D$2:$D$558,$B172,半成品出库明细!$G$2:$G$2)</f>
        <v>0</v>
      </c>
      <c r="J172" s="28">
        <f ca="1" t="shared" si="2"/>
        <v>0</v>
      </c>
      <c r="K172" s="20"/>
      <c r="L172" s="3"/>
      <c r="M172" s="3"/>
    </row>
    <row r="173" s="1" customFormat="1" spans="1:13">
      <c r="A173" s="22">
        <v>175</v>
      </c>
      <c r="B173" s="23" t="s">
        <v>481</v>
      </c>
      <c r="C173" s="41" t="s">
        <v>478</v>
      </c>
      <c r="D173" s="25" t="s">
        <v>438</v>
      </c>
      <c r="E173" s="28" t="s">
        <v>201</v>
      </c>
      <c r="F173" s="26" t="s">
        <v>197</v>
      </c>
      <c r="G173" s="27">
        <f>SUMIF(物料月初库存!$C$3:$C$303,$B173,物料月初库存!$F$3:$F$303)</f>
        <v>0</v>
      </c>
      <c r="H173" s="28">
        <f>SUMIF(半成品入库明细!$D$2:$D$650,$B173,半成品入库明细!$G$2:$G$650)</f>
        <v>0</v>
      </c>
      <c r="I173" s="28">
        <f ca="1">SUMIF(半成品出库明细!$D$2:$D$558,$B173,半成品出库明细!$G$2:$G$2)</f>
        <v>0</v>
      </c>
      <c r="J173" s="28">
        <f ca="1" t="shared" si="2"/>
        <v>0</v>
      </c>
      <c r="K173" s="20"/>
      <c r="L173" s="3"/>
      <c r="M173" s="3"/>
    </row>
    <row r="174" s="1" customFormat="1" spans="1:13">
      <c r="A174" s="22">
        <v>176</v>
      </c>
      <c r="B174" s="23" t="s">
        <v>482</v>
      </c>
      <c r="C174" s="41" t="s">
        <v>483</v>
      </c>
      <c r="D174" s="25" t="s">
        <v>438</v>
      </c>
      <c r="E174" s="19" t="s">
        <v>76</v>
      </c>
      <c r="F174" s="26" t="s">
        <v>197</v>
      </c>
      <c r="G174" s="27">
        <f>SUMIF(物料月初库存!$C$3:$C$303,$B174,物料月初库存!$F$3:$F$303)</f>
        <v>0</v>
      </c>
      <c r="H174" s="28">
        <f>SUMIF(半成品入库明细!$D$2:$D$650,$B174,半成品入库明细!$G$2:$G$650)</f>
        <v>0</v>
      </c>
      <c r="I174" s="28">
        <f ca="1">SUMIF(半成品出库明细!$D$2:$D$558,$B174,半成品出库明细!$G$2:$G$2)</f>
        <v>0</v>
      </c>
      <c r="J174" s="28">
        <f ca="1" t="shared" si="2"/>
        <v>0</v>
      </c>
      <c r="K174" s="20"/>
      <c r="L174" s="3"/>
      <c r="M174" s="3"/>
    </row>
    <row r="175" s="1" customFormat="1" spans="1:13">
      <c r="A175" s="22"/>
      <c r="B175" s="23" t="s">
        <v>484</v>
      </c>
      <c r="C175" s="41" t="s">
        <v>483</v>
      </c>
      <c r="D175" s="25" t="s">
        <v>438</v>
      </c>
      <c r="E175" s="19" t="s">
        <v>485</v>
      </c>
      <c r="F175" s="26" t="s">
        <v>197</v>
      </c>
      <c r="G175" s="27">
        <f>SUMIF(物料月初库存!$C$3:$C$303,$B175,物料月初库存!$F$3:$F$303)</f>
        <v>0</v>
      </c>
      <c r="H175" s="28">
        <f>SUMIF(半成品入库明细!$D$2:$D$650,$B175,半成品入库明细!$G$2:$G$650)</f>
        <v>0</v>
      </c>
      <c r="I175" s="28">
        <f ca="1">SUMIF(半成品出库明细!$D$2:$D$558,$B175,半成品出库明细!$G$2:$G$2)</f>
        <v>0</v>
      </c>
      <c r="J175" s="28">
        <f ca="1" t="shared" si="2"/>
        <v>0</v>
      </c>
      <c r="K175" s="57" t="s">
        <v>486</v>
      </c>
      <c r="L175" s="3"/>
      <c r="M175" s="3"/>
    </row>
    <row r="176" s="1" customFormat="1" spans="1:13">
      <c r="A176" s="22">
        <v>177</v>
      </c>
      <c r="B176" s="23" t="s">
        <v>487</v>
      </c>
      <c r="C176" s="41" t="s">
        <v>483</v>
      </c>
      <c r="D176" s="25" t="s">
        <v>438</v>
      </c>
      <c r="E176" s="50" t="s">
        <v>488</v>
      </c>
      <c r="F176" s="26" t="s">
        <v>197</v>
      </c>
      <c r="G176" s="27">
        <f>SUMIF(物料月初库存!$C$3:$C$303,$B176,物料月初库存!$F$3:$F$303)</f>
        <v>0</v>
      </c>
      <c r="H176" s="28">
        <f>SUMIF(半成品入库明细!$D$2:$D$650,$B176,半成品入库明细!$G$2:$G$650)</f>
        <v>0</v>
      </c>
      <c r="I176" s="28">
        <f ca="1">SUMIF(半成品出库明细!$D$2:$D$558,$B176,半成品出库明细!$G$2:$G$2)</f>
        <v>0</v>
      </c>
      <c r="J176" s="28">
        <f ca="1" t="shared" si="2"/>
        <v>0</v>
      </c>
      <c r="K176" s="58" t="s">
        <v>489</v>
      </c>
      <c r="L176" s="59"/>
      <c r="M176" s="3"/>
    </row>
    <row r="177" s="1" customFormat="1" spans="1:13">
      <c r="A177" s="22">
        <v>179</v>
      </c>
      <c r="B177" s="23" t="s">
        <v>490</v>
      </c>
      <c r="C177" s="41" t="s">
        <v>483</v>
      </c>
      <c r="D177" s="25" t="s">
        <v>438</v>
      </c>
      <c r="E177" s="50" t="s">
        <v>491</v>
      </c>
      <c r="F177" s="26" t="s">
        <v>197</v>
      </c>
      <c r="G177" s="27">
        <f>SUMIF(物料月初库存!$C$3:$C$303,$B177,物料月初库存!$F$3:$F$303)</f>
        <v>0</v>
      </c>
      <c r="H177" s="28">
        <f>SUMIF(半成品入库明细!$D$2:$D$650,$B177,半成品入库明细!$G$2:$G$650)</f>
        <v>0</v>
      </c>
      <c r="I177" s="28">
        <f ca="1">SUMIF(半成品出库明细!$D$2:$D$558,$B177,半成品出库明细!$G$2:$G$2)</f>
        <v>0</v>
      </c>
      <c r="J177" s="28">
        <f ca="1" t="shared" si="2"/>
        <v>0</v>
      </c>
      <c r="K177" s="55" t="s">
        <v>183</v>
      </c>
      <c r="L177" s="59" t="s">
        <v>202</v>
      </c>
      <c r="M177" s="3"/>
    </row>
    <row r="178" s="1" customFormat="1" spans="1:13">
      <c r="A178" s="22">
        <v>180</v>
      </c>
      <c r="B178" s="23" t="s">
        <v>492</v>
      </c>
      <c r="C178" s="24" t="s">
        <v>493</v>
      </c>
      <c r="D178" s="25" t="s">
        <v>438</v>
      </c>
      <c r="E178" s="28" t="s">
        <v>76</v>
      </c>
      <c r="F178" s="26" t="s">
        <v>197</v>
      </c>
      <c r="G178" s="27">
        <f>SUMIF(物料月初库存!$C$3:$C$303,$B178,物料月初库存!$F$3:$F$303)</f>
        <v>0</v>
      </c>
      <c r="H178" s="28">
        <f>SUMIF(半成品入库明细!$D$2:$D$650,$B178,半成品入库明细!$G$2:$G$650)</f>
        <v>0</v>
      </c>
      <c r="I178" s="28">
        <f ca="1">SUMIF(半成品出库明细!$D$2:$D$558,$B178,半成品出库明细!$G$2:$G$2)</f>
        <v>0</v>
      </c>
      <c r="J178" s="28">
        <f ca="1" t="shared" si="2"/>
        <v>0</v>
      </c>
      <c r="K178" s="20"/>
      <c r="L178" s="3"/>
      <c r="M178" s="3"/>
    </row>
    <row r="179" s="1" customFormat="1" spans="1:13">
      <c r="A179" s="22">
        <v>181</v>
      </c>
      <c r="B179" s="23" t="s">
        <v>494</v>
      </c>
      <c r="C179" s="24" t="s">
        <v>493</v>
      </c>
      <c r="D179" s="25" t="s">
        <v>438</v>
      </c>
      <c r="E179" s="28" t="s">
        <v>199</v>
      </c>
      <c r="F179" s="26" t="s">
        <v>197</v>
      </c>
      <c r="G179" s="27">
        <f>SUMIF(物料月初库存!$C$3:$C$303,$B179,物料月初库存!$F$3:$F$303)</f>
        <v>0</v>
      </c>
      <c r="H179" s="28">
        <f>SUMIF(半成品入库明细!$D$2:$D$650,$B179,半成品入库明细!$G$2:$G$650)</f>
        <v>0</v>
      </c>
      <c r="I179" s="28">
        <f ca="1">SUMIF(半成品出库明细!$D$2:$D$558,$B179,半成品出库明细!$G$2:$G$2)</f>
        <v>0</v>
      </c>
      <c r="J179" s="28">
        <f ca="1" t="shared" si="2"/>
        <v>0</v>
      </c>
      <c r="K179" s="20" t="s">
        <v>495</v>
      </c>
      <c r="L179" s="3"/>
      <c r="M179" s="3"/>
    </row>
    <row r="180" s="1" customFormat="1" spans="1:13">
      <c r="A180" s="22">
        <v>182</v>
      </c>
      <c r="B180" s="23" t="s">
        <v>496</v>
      </c>
      <c r="C180" s="24" t="s">
        <v>493</v>
      </c>
      <c r="D180" s="25" t="s">
        <v>438</v>
      </c>
      <c r="E180" s="28" t="s">
        <v>316</v>
      </c>
      <c r="F180" s="26" t="s">
        <v>197</v>
      </c>
      <c r="G180" s="27">
        <f>SUMIF(物料月初库存!$C$3:$C$303,$B180,物料月初库存!$F$3:$F$303)</f>
        <v>0</v>
      </c>
      <c r="H180" s="28">
        <f>SUMIF(半成品入库明细!$D$2:$D$650,$B180,半成品入库明细!$G$2:$G$650)</f>
        <v>0</v>
      </c>
      <c r="I180" s="28">
        <f ca="1">SUMIF(半成品出库明细!$D$2:$D$558,$B180,半成品出库明细!$G$2:$G$2)</f>
        <v>0</v>
      </c>
      <c r="J180" s="28">
        <f ca="1" t="shared" si="2"/>
        <v>0</v>
      </c>
      <c r="K180" s="20" t="s">
        <v>495</v>
      </c>
      <c r="L180" s="3"/>
      <c r="M180" s="3"/>
    </row>
    <row r="181" s="1" customFormat="1" spans="1:13">
      <c r="A181" s="22">
        <v>183</v>
      </c>
      <c r="B181" s="23" t="s">
        <v>497</v>
      </c>
      <c r="C181" s="24" t="s">
        <v>493</v>
      </c>
      <c r="D181" s="25" t="s">
        <v>438</v>
      </c>
      <c r="E181" s="28" t="s">
        <v>256</v>
      </c>
      <c r="F181" s="26" t="s">
        <v>197</v>
      </c>
      <c r="G181" s="27">
        <f>SUMIF(物料月初库存!$C$3:$C$303,$B181,物料月初库存!$F$3:$F$303)</f>
        <v>0</v>
      </c>
      <c r="H181" s="28">
        <f>SUMIF(半成品入库明细!$D$2:$D$650,$B181,半成品入库明细!$G$2:$G$650)</f>
        <v>0</v>
      </c>
      <c r="I181" s="28">
        <f ca="1">SUMIF(半成品出库明细!$D$2:$D$558,$B181,半成品出库明细!$G$2:$G$2)</f>
        <v>0</v>
      </c>
      <c r="J181" s="28">
        <f ca="1" t="shared" si="2"/>
        <v>0</v>
      </c>
      <c r="K181" s="20"/>
      <c r="L181" s="3"/>
      <c r="M181" s="3"/>
    </row>
    <row r="182" s="1" customFormat="1" spans="1:13">
      <c r="A182" s="22">
        <v>184</v>
      </c>
      <c r="B182" s="23" t="s">
        <v>498</v>
      </c>
      <c r="C182" s="24" t="s">
        <v>499</v>
      </c>
      <c r="D182" s="25" t="s">
        <v>438</v>
      </c>
      <c r="E182" s="28" t="s">
        <v>76</v>
      </c>
      <c r="F182" s="26" t="s">
        <v>197</v>
      </c>
      <c r="G182" s="27">
        <f>SUMIF(物料月初库存!$C$3:$C$303,$B182,物料月初库存!$F$3:$F$303)</f>
        <v>0</v>
      </c>
      <c r="H182" s="28">
        <f>SUMIF(半成品入库明细!$D$2:$D$650,$B182,半成品入库明细!$G$2:$G$650)</f>
        <v>0</v>
      </c>
      <c r="I182" s="28">
        <f ca="1">SUMIF(半成品出库明细!$D$2:$D$558,$B182,半成品出库明细!$G$2:$G$2)</f>
        <v>0</v>
      </c>
      <c r="J182" s="28">
        <f ca="1" t="shared" si="2"/>
        <v>0</v>
      </c>
      <c r="K182" s="20"/>
      <c r="L182" s="3"/>
      <c r="M182" s="3"/>
    </row>
    <row r="183" s="1" customFormat="1" spans="1:13">
      <c r="A183" s="22">
        <v>185</v>
      </c>
      <c r="B183" s="23" t="s">
        <v>500</v>
      </c>
      <c r="C183" s="24" t="s">
        <v>499</v>
      </c>
      <c r="D183" s="25" t="s">
        <v>438</v>
      </c>
      <c r="E183" s="28" t="s">
        <v>199</v>
      </c>
      <c r="F183" s="26" t="s">
        <v>197</v>
      </c>
      <c r="G183" s="27">
        <f>SUMIF(物料月初库存!$C$3:$C$303,$B183,物料月初库存!$F$3:$F$303)</f>
        <v>0</v>
      </c>
      <c r="H183" s="28">
        <f>SUMIF(半成品入库明细!$D$2:$D$650,$B183,半成品入库明细!$G$2:$G$650)</f>
        <v>0</v>
      </c>
      <c r="I183" s="28">
        <f ca="1">SUMIF(半成品出库明细!$D$2:$D$558,$B183,半成品出库明细!$G$2:$G$2)</f>
        <v>0</v>
      </c>
      <c r="J183" s="28">
        <f ca="1" t="shared" si="2"/>
        <v>0</v>
      </c>
      <c r="K183" s="20"/>
      <c r="L183" s="3"/>
      <c r="M183" s="3"/>
    </row>
    <row r="184" s="1" customFormat="1" spans="1:13">
      <c r="A184" s="22">
        <v>186</v>
      </c>
      <c r="B184" s="23" t="s">
        <v>501</v>
      </c>
      <c r="C184" s="24" t="s">
        <v>499</v>
      </c>
      <c r="D184" s="25" t="s">
        <v>438</v>
      </c>
      <c r="E184" s="28" t="s">
        <v>316</v>
      </c>
      <c r="F184" s="26" t="s">
        <v>197</v>
      </c>
      <c r="G184" s="27">
        <f>SUMIF(物料月初库存!$C$3:$C$303,$B184,物料月初库存!$F$3:$F$303)</f>
        <v>0</v>
      </c>
      <c r="H184" s="28">
        <f>SUMIF(半成品入库明细!$D$2:$D$650,$B184,半成品入库明细!$G$2:$G$650)</f>
        <v>0</v>
      </c>
      <c r="I184" s="28">
        <f ca="1">SUMIF(半成品出库明细!$D$2:$D$558,$B184,半成品出库明细!$G$2:$G$2)</f>
        <v>0</v>
      </c>
      <c r="J184" s="28">
        <f ca="1" t="shared" si="2"/>
        <v>0</v>
      </c>
      <c r="K184" s="20"/>
      <c r="L184" s="3"/>
      <c r="M184" s="3"/>
    </row>
    <row r="185" s="1" customFormat="1" spans="1:13">
      <c r="A185" s="22">
        <v>187</v>
      </c>
      <c r="B185" s="23" t="s">
        <v>502</v>
      </c>
      <c r="C185" s="24" t="s">
        <v>499</v>
      </c>
      <c r="D185" s="25" t="s">
        <v>438</v>
      </c>
      <c r="E185" s="28" t="s">
        <v>256</v>
      </c>
      <c r="F185" s="26" t="s">
        <v>197</v>
      </c>
      <c r="G185" s="27">
        <f>SUMIF(物料月初库存!$C$3:$C$303,$B185,物料月初库存!$F$3:$F$303)</f>
        <v>0</v>
      </c>
      <c r="H185" s="28">
        <f>SUMIF(半成品入库明细!$D$2:$D$650,$B185,半成品入库明细!$G$2:$G$650)</f>
        <v>0</v>
      </c>
      <c r="I185" s="28">
        <f ca="1">SUMIF(半成品出库明细!$D$2:$D$558,$B185,半成品出库明细!$G$2:$G$2)</f>
        <v>0</v>
      </c>
      <c r="J185" s="28">
        <f ca="1" t="shared" si="2"/>
        <v>0</v>
      </c>
      <c r="K185" s="20"/>
      <c r="L185" s="3"/>
      <c r="M185" s="3"/>
    </row>
    <row r="186" s="1" customFormat="1" spans="1:13">
      <c r="A186" s="22">
        <v>188</v>
      </c>
      <c r="B186" s="23" t="s">
        <v>503</v>
      </c>
      <c r="C186" s="25" t="s">
        <v>504</v>
      </c>
      <c r="D186" s="25" t="s">
        <v>438</v>
      </c>
      <c r="E186" s="28" t="s">
        <v>76</v>
      </c>
      <c r="F186" s="26" t="s">
        <v>197</v>
      </c>
      <c r="G186" s="27">
        <f>SUMIF(物料月初库存!$C$3:$C$303,$B186,物料月初库存!$F$3:$F$303)</f>
        <v>0</v>
      </c>
      <c r="H186" s="28">
        <f>SUMIF(半成品入库明细!$D$2:$D$650,$B186,半成品入库明细!$G$2:$G$650)</f>
        <v>0</v>
      </c>
      <c r="I186" s="28">
        <f ca="1">SUMIF(半成品出库明细!$D$2:$D$558,$B186,半成品出库明细!$G$2:$G$2)</f>
        <v>0</v>
      </c>
      <c r="J186" s="28">
        <f ca="1" t="shared" si="2"/>
        <v>0</v>
      </c>
      <c r="K186" s="20"/>
      <c r="L186" s="3"/>
      <c r="M186" s="3"/>
    </row>
    <row r="187" s="1" customFormat="1" spans="1:13">
      <c r="A187" s="22">
        <v>189</v>
      </c>
      <c r="B187" s="23" t="s">
        <v>505</v>
      </c>
      <c r="C187" s="25" t="s">
        <v>504</v>
      </c>
      <c r="D187" s="25" t="s">
        <v>438</v>
      </c>
      <c r="E187" s="28" t="s">
        <v>316</v>
      </c>
      <c r="F187" s="26" t="s">
        <v>197</v>
      </c>
      <c r="G187" s="27">
        <f>SUMIF(物料月初库存!$C$3:$C$303,$B187,物料月初库存!$F$3:$F$303)</f>
        <v>0</v>
      </c>
      <c r="H187" s="28">
        <f>SUMIF(半成品入库明细!$D$2:$D$650,$B187,半成品入库明细!$G$2:$G$650)</f>
        <v>0</v>
      </c>
      <c r="I187" s="28">
        <f ca="1">SUMIF(半成品出库明细!$D$2:$D$558,$B187,半成品出库明细!$G$2:$G$2)</f>
        <v>0</v>
      </c>
      <c r="J187" s="28">
        <f ca="1" t="shared" si="2"/>
        <v>0</v>
      </c>
      <c r="K187" s="20"/>
      <c r="L187" s="3"/>
      <c r="M187" s="3"/>
    </row>
    <row r="188" s="1" customFormat="1" spans="1:13">
      <c r="A188" s="22">
        <v>190</v>
      </c>
      <c r="B188" s="23" t="s">
        <v>506</v>
      </c>
      <c r="C188" s="25" t="s">
        <v>504</v>
      </c>
      <c r="D188" s="25" t="s">
        <v>438</v>
      </c>
      <c r="E188" s="28" t="s">
        <v>507</v>
      </c>
      <c r="F188" s="26" t="s">
        <v>197</v>
      </c>
      <c r="G188" s="27">
        <f>SUMIF(物料月初库存!$C$3:$C$303,$B188,物料月初库存!$F$3:$F$303)</f>
        <v>0</v>
      </c>
      <c r="H188" s="28">
        <f>SUMIF(半成品入库明细!$D$2:$D$650,$B188,半成品入库明细!$G$2:$G$650)</f>
        <v>0</v>
      </c>
      <c r="I188" s="28">
        <f ca="1">SUMIF(半成品出库明细!$D$2:$D$558,$B188,半成品出库明细!$G$2:$G$2)</f>
        <v>0</v>
      </c>
      <c r="J188" s="28">
        <f ca="1" t="shared" si="2"/>
        <v>0</v>
      </c>
      <c r="K188" s="20"/>
      <c r="L188" s="3"/>
      <c r="M188" s="3"/>
    </row>
    <row r="189" s="1" customFormat="1" spans="1:13">
      <c r="A189" s="22">
        <v>191</v>
      </c>
      <c r="B189" s="23" t="s">
        <v>508</v>
      </c>
      <c r="C189" s="25" t="s">
        <v>504</v>
      </c>
      <c r="D189" s="25" t="s">
        <v>438</v>
      </c>
      <c r="E189" s="28" t="s">
        <v>256</v>
      </c>
      <c r="F189" s="26" t="s">
        <v>197</v>
      </c>
      <c r="G189" s="27">
        <f>SUMIF(物料月初库存!$C$3:$C$303,$B189,物料月初库存!$F$3:$F$303)</f>
        <v>0</v>
      </c>
      <c r="H189" s="28">
        <f>SUMIF(半成品入库明细!$D$2:$D$650,$B189,半成品入库明细!$G$2:$G$650)</f>
        <v>0</v>
      </c>
      <c r="I189" s="28">
        <f ca="1">SUMIF(半成品出库明细!$D$2:$D$558,$B189,半成品出库明细!$G$2:$G$2)</f>
        <v>0</v>
      </c>
      <c r="J189" s="28">
        <f ca="1" t="shared" si="2"/>
        <v>0</v>
      </c>
      <c r="K189" s="20"/>
      <c r="L189" s="3"/>
      <c r="M189" s="3"/>
    </row>
    <row r="190" s="1" customFormat="1" spans="1:13">
      <c r="A190" s="22">
        <v>192</v>
      </c>
      <c r="B190" s="23" t="s">
        <v>509</v>
      </c>
      <c r="C190" s="25" t="s">
        <v>504</v>
      </c>
      <c r="D190" s="25" t="s">
        <v>438</v>
      </c>
      <c r="E190" s="28" t="s">
        <v>359</v>
      </c>
      <c r="F190" s="26" t="s">
        <v>197</v>
      </c>
      <c r="G190" s="27">
        <f>SUMIF(物料月初库存!$C$3:$C$303,$B190,物料月初库存!$F$3:$F$303)</f>
        <v>0</v>
      </c>
      <c r="H190" s="28">
        <f>SUMIF(半成品入库明细!$D$2:$D$650,$B190,半成品入库明细!$G$2:$G$650)</f>
        <v>0</v>
      </c>
      <c r="I190" s="28">
        <f ca="1">SUMIF(半成品出库明细!$D$2:$D$558,$B190,半成品出库明细!$G$2:$G$2)</f>
        <v>0</v>
      </c>
      <c r="J190" s="28">
        <f ca="1" t="shared" si="2"/>
        <v>0</v>
      </c>
      <c r="K190" s="20"/>
      <c r="L190" s="3"/>
      <c r="M190" s="3"/>
    </row>
    <row r="191" s="1" customFormat="1" spans="1:13">
      <c r="A191" s="60">
        <v>193</v>
      </c>
      <c r="B191" s="36" t="s">
        <v>510</v>
      </c>
      <c r="C191" s="33" t="s">
        <v>511</v>
      </c>
      <c r="D191" s="33" t="s">
        <v>438</v>
      </c>
      <c r="E191" s="28" t="s">
        <v>76</v>
      </c>
      <c r="F191" s="26" t="s">
        <v>197</v>
      </c>
      <c r="G191" s="27">
        <f>SUMIF(物料月初库存!$C$3:$C$303,$B191,物料月初库存!$F$3:$F$303)</f>
        <v>0</v>
      </c>
      <c r="H191" s="28">
        <f>SUMIF(半成品入库明细!$D$2:$D$650,$B191,半成品入库明细!$G$2:$G$650)</f>
        <v>0</v>
      </c>
      <c r="I191" s="28">
        <f ca="1">SUMIF(半成品出库明细!$D$2:$D$558,$B191,半成品出库明细!$G$2:$G$2)</f>
        <v>0</v>
      </c>
      <c r="J191" s="28">
        <f ca="1" t="shared" si="2"/>
        <v>0</v>
      </c>
      <c r="K191" s="20"/>
      <c r="L191" s="3"/>
      <c r="M191" s="3"/>
    </row>
    <row r="192" s="1" customFormat="1" spans="1:13">
      <c r="A192" s="60">
        <v>194</v>
      </c>
      <c r="B192" s="36" t="s">
        <v>512</v>
      </c>
      <c r="C192" s="33" t="s">
        <v>511</v>
      </c>
      <c r="D192" s="33" t="s">
        <v>438</v>
      </c>
      <c r="E192" s="28" t="s">
        <v>326</v>
      </c>
      <c r="F192" s="26" t="s">
        <v>197</v>
      </c>
      <c r="G192" s="27">
        <f>SUMIF(物料月初库存!$C$3:$C$303,$B192,物料月初库存!$F$3:$F$303)</f>
        <v>0</v>
      </c>
      <c r="H192" s="28">
        <f>SUMIF(半成品入库明细!$D$2:$D$650,$B192,半成品入库明细!$G$2:$G$650)</f>
        <v>0</v>
      </c>
      <c r="I192" s="28">
        <f ca="1">SUMIF(半成品出库明细!$D$2:$D$558,$B192,半成品出库明细!$G$2:$G$2)</f>
        <v>0</v>
      </c>
      <c r="J192" s="28">
        <f ca="1" t="shared" ref="J192:J255" si="3">G192+H192-I192</f>
        <v>0</v>
      </c>
      <c r="K192" s="20"/>
      <c r="L192" s="3"/>
      <c r="M192" s="3"/>
    </row>
    <row r="193" s="1" customFormat="1" spans="1:13">
      <c r="A193" s="60">
        <v>195</v>
      </c>
      <c r="B193" s="33" t="s">
        <v>513</v>
      </c>
      <c r="C193" s="33" t="s">
        <v>511</v>
      </c>
      <c r="D193" s="33" t="s">
        <v>438</v>
      </c>
      <c r="E193" s="26" t="s">
        <v>316</v>
      </c>
      <c r="F193" s="27" t="s">
        <v>197</v>
      </c>
      <c r="G193" s="27">
        <f>SUMIF(物料月初库存!$C$3:$C$303,$B193,物料月初库存!$F$3:$F$303)</f>
        <v>0</v>
      </c>
      <c r="H193" s="25">
        <f>SUMIF(半成品入库明细!$D$2:$D$650,$B193,半成品入库明细!$G$2:$G$650)</f>
        <v>0</v>
      </c>
      <c r="I193" s="28">
        <f ca="1">SUMIF(半成品出库明细!$D$2:$D$558,$B193,半成品出库明细!$G$2:$G$2)</f>
        <v>0</v>
      </c>
      <c r="J193" s="28">
        <f ca="1" t="shared" si="3"/>
        <v>0</v>
      </c>
      <c r="K193" s="20"/>
      <c r="L193" s="3"/>
      <c r="M193" s="3"/>
    </row>
    <row r="194" s="1" customFormat="1" spans="1:13">
      <c r="A194" s="60">
        <v>196</v>
      </c>
      <c r="B194" s="33" t="s">
        <v>514</v>
      </c>
      <c r="C194" s="33" t="s">
        <v>511</v>
      </c>
      <c r="D194" s="33" t="s">
        <v>438</v>
      </c>
      <c r="E194" s="26" t="s">
        <v>507</v>
      </c>
      <c r="F194" s="27" t="s">
        <v>197</v>
      </c>
      <c r="G194" s="27">
        <f>SUMIF(物料月初库存!$C$3:$C$303,$B194,物料月初库存!$F$3:$F$303)</f>
        <v>0</v>
      </c>
      <c r="H194" s="25">
        <f>SUMIF(半成品入库明细!$D$2:$D$650,$B194,半成品入库明细!$G$2:$G$650)</f>
        <v>0</v>
      </c>
      <c r="I194" s="28">
        <f ca="1">SUMIF(半成品出库明细!$D$2:$D$558,$B194,半成品出库明细!$G$2:$G$2)</f>
        <v>0</v>
      </c>
      <c r="J194" s="28">
        <f ca="1" t="shared" si="3"/>
        <v>0</v>
      </c>
      <c r="K194" s="20"/>
      <c r="L194" s="3"/>
      <c r="M194" s="3"/>
    </row>
    <row r="195" s="1" customFormat="1" spans="1:13">
      <c r="A195" s="22">
        <v>197</v>
      </c>
      <c r="B195" s="25" t="s">
        <v>515</v>
      </c>
      <c r="C195" s="25" t="s">
        <v>511</v>
      </c>
      <c r="D195" s="25" t="s">
        <v>438</v>
      </c>
      <c r="E195" s="26" t="s">
        <v>256</v>
      </c>
      <c r="F195" s="27" t="s">
        <v>197</v>
      </c>
      <c r="G195" s="27">
        <f>SUMIF(物料月初库存!$C$3:$C$303,$B195,物料月初库存!$F$3:$F$303)</f>
        <v>0</v>
      </c>
      <c r="H195" s="25">
        <f>SUMIF(半成品入库明细!$D$2:$D$650,$B195,半成品入库明细!$G$2:$G$650)</f>
        <v>0</v>
      </c>
      <c r="I195" s="28">
        <f ca="1">SUMIF(半成品出库明细!$D$2:$D$558,$B195,半成品出库明细!$G$2:$G$2)</f>
        <v>0</v>
      </c>
      <c r="J195" s="28">
        <f ca="1" t="shared" si="3"/>
        <v>0</v>
      </c>
      <c r="K195" s="20"/>
      <c r="L195" s="3"/>
      <c r="M195" s="3"/>
    </row>
    <row r="196" s="1" customFormat="1" spans="1:13">
      <c r="A196" s="22">
        <v>198</v>
      </c>
      <c r="B196" s="25" t="s">
        <v>516</v>
      </c>
      <c r="C196" s="25" t="s">
        <v>517</v>
      </c>
      <c r="D196" s="28" t="s">
        <v>438</v>
      </c>
      <c r="E196" s="26" t="s">
        <v>76</v>
      </c>
      <c r="F196" s="27" t="s">
        <v>197</v>
      </c>
      <c r="G196" s="27">
        <f>SUMIF(物料月初库存!$C$3:$C$303,$B196,物料月初库存!$F$3:$F$303)</f>
        <v>0</v>
      </c>
      <c r="H196" s="25">
        <f>SUMIF(半成品入库明细!$D$2:$D$650,$B196,半成品入库明细!$G$2:$G$650)</f>
        <v>0</v>
      </c>
      <c r="I196" s="28">
        <f ca="1">SUMIF(半成品出库明细!$D$2:$D$558,$B196,半成品出库明细!$G$2:$G$2)</f>
        <v>0</v>
      </c>
      <c r="J196" s="28">
        <f ca="1" t="shared" si="3"/>
        <v>0</v>
      </c>
      <c r="K196" s="20"/>
      <c r="L196" s="3"/>
      <c r="M196" s="3"/>
    </row>
    <row r="197" s="1" customFormat="1" spans="1:13">
      <c r="A197" s="22">
        <v>199</v>
      </c>
      <c r="B197" s="25" t="s">
        <v>518</v>
      </c>
      <c r="C197" s="25" t="s">
        <v>517</v>
      </c>
      <c r="D197" s="28" t="s">
        <v>438</v>
      </c>
      <c r="E197" s="26" t="s">
        <v>316</v>
      </c>
      <c r="F197" s="27" t="s">
        <v>197</v>
      </c>
      <c r="G197" s="27">
        <f>SUMIF(物料月初库存!$C$3:$C$303,$B197,物料月初库存!$F$3:$F$303)</f>
        <v>0</v>
      </c>
      <c r="H197" s="25">
        <f>SUMIF(半成品入库明细!$D$2:$D$650,$B197,半成品入库明细!$G$2:$G$650)</f>
        <v>0</v>
      </c>
      <c r="I197" s="28">
        <f ca="1">SUMIF(半成品出库明细!$D$2:$D$558,$B197,半成品出库明细!$G$2:$G$2)</f>
        <v>0</v>
      </c>
      <c r="J197" s="28">
        <f ca="1" t="shared" si="3"/>
        <v>0</v>
      </c>
      <c r="K197" s="20"/>
      <c r="L197" s="3"/>
      <c r="M197" s="3"/>
    </row>
    <row r="198" s="1" customFormat="1" spans="1:13">
      <c r="A198" s="22">
        <v>200</v>
      </c>
      <c r="B198" s="25" t="s">
        <v>519</v>
      </c>
      <c r="C198" s="25" t="s">
        <v>517</v>
      </c>
      <c r="D198" s="28" t="s">
        <v>438</v>
      </c>
      <c r="E198" s="26" t="s">
        <v>520</v>
      </c>
      <c r="F198" s="27" t="s">
        <v>197</v>
      </c>
      <c r="G198" s="25">
        <f>SUMIF(物料月初库存!$C$3:$C$303,$B198,物料月初库存!$F$3:$F$303)</f>
        <v>0</v>
      </c>
      <c r="H198" s="25">
        <f>SUMIF(半成品入库明细!$D$2:$D$650,$B198,半成品入库明细!$G$2:$G$650)</f>
        <v>0</v>
      </c>
      <c r="I198" s="28">
        <f ca="1">SUMIF(半成品出库明细!$D$2:$D$558,$B198,半成品出库明细!$G$2:$G$2)</f>
        <v>0</v>
      </c>
      <c r="J198" s="28">
        <f ca="1" t="shared" si="3"/>
        <v>0</v>
      </c>
      <c r="K198" s="20"/>
      <c r="L198" s="3"/>
      <c r="M198" s="3"/>
    </row>
    <row r="199" s="1" customFormat="1" spans="1:13">
      <c r="A199" s="22">
        <v>201</v>
      </c>
      <c r="B199" s="25" t="s">
        <v>521</v>
      </c>
      <c r="C199" s="25" t="s">
        <v>517</v>
      </c>
      <c r="D199" s="28" t="s">
        <v>438</v>
      </c>
      <c r="E199" s="26" t="s">
        <v>256</v>
      </c>
      <c r="F199" s="27" t="s">
        <v>197</v>
      </c>
      <c r="G199" s="25">
        <f>SUMIF(物料月初库存!$C$3:$C$303,$B199,物料月初库存!$F$3:$F$303)</f>
        <v>0</v>
      </c>
      <c r="H199" s="25">
        <f>SUMIF(半成品入库明细!$D$2:$D$650,$B199,半成品入库明细!$G$2:$G$650)</f>
        <v>0</v>
      </c>
      <c r="I199" s="28">
        <f ca="1">SUMIF(半成品出库明细!$D$2:$D$558,$B199,半成品出库明细!$G$2:$G$2)</f>
        <v>0</v>
      </c>
      <c r="J199" s="28">
        <f ca="1" t="shared" si="3"/>
        <v>0</v>
      </c>
      <c r="K199" s="20"/>
      <c r="L199" s="3"/>
      <c r="M199" s="3"/>
    </row>
    <row r="200" s="1" customFormat="1" spans="1:13">
      <c r="A200" s="22">
        <v>202</v>
      </c>
      <c r="B200" s="25" t="s">
        <v>522</v>
      </c>
      <c r="C200" s="25" t="s">
        <v>523</v>
      </c>
      <c r="D200" s="28" t="s">
        <v>438</v>
      </c>
      <c r="E200" s="26" t="s">
        <v>76</v>
      </c>
      <c r="F200" s="27" t="s">
        <v>197</v>
      </c>
      <c r="G200" s="25">
        <f>SUMIF(物料月初库存!$C$3:$C$303,$B200,物料月初库存!$F$3:$F$303)</f>
        <v>0</v>
      </c>
      <c r="H200" s="25">
        <f>SUMIF(半成品入库明细!$D$2:$D$650,$B200,半成品入库明细!$G$2:$G$650)</f>
        <v>0</v>
      </c>
      <c r="I200" s="28">
        <f ca="1">SUMIF(半成品出库明细!$D$2:$D$558,$B200,半成品出库明细!$G$2:$G$2)</f>
        <v>0</v>
      </c>
      <c r="J200" s="28">
        <f ca="1" t="shared" si="3"/>
        <v>0</v>
      </c>
      <c r="K200" s="20"/>
      <c r="L200" s="3"/>
      <c r="M200" s="3"/>
    </row>
    <row r="201" s="1" customFormat="1" spans="1:13">
      <c r="A201" s="22">
        <v>206</v>
      </c>
      <c r="B201" s="23" t="s">
        <v>524</v>
      </c>
      <c r="C201" s="24" t="s">
        <v>523</v>
      </c>
      <c r="D201" s="25" t="s">
        <v>438</v>
      </c>
      <c r="E201" s="19" t="s">
        <v>525</v>
      </c>
      <c r="F201" s="26" t="s">
        <v>197</v>
      </c>
      <c r="G201" s="27">
        <f>SUMIF(物料月初库存!$C$3:$C$303,$B201,物料月初库存!$F$3:$F$303)</f>
        <v>0</v>
      </c>
      <c r="H201" s="28">
        <f>SUMIF(半成品入库明细!$D$2:$D$650,$B201,半成品入库明细!$G$2:$G$650)</f>
        <v>0</v>
      </c>
      <c r="I201" s="28">
        <f ca="1">SUMIF(半成品出库明细!$D$2:$D$558,$B201,半成品出库明细!$G$2:$G$2)</f>
        <v>0</v>
      </c>
      <c r="J201" s="28">
        <f ca="1" t="shared" si="3"/>
        <v>0</v>
      </c>
      <c r="K201" s="55" t="s">
        <v>526</v>
      </c>
      <c r="L201" s="3"/>
      <c r="M201" s="3"/>
    </row>
    <row r="202" s="1" customFormat="1" spans="1:13">
      <c r="A202" s="22">
        <v>205</v>
      </c>
      <c r="B202" s="23" t="s">
        <v>527</v>
      </c>
      <c r="C202" s="25" t="s">
        <v>523</v>
      </c>
      <c r="D202" s="25" t="s">
        <v>438</v>
      </c>
      <c r="E202" s="28" t="s">
        <v>485</v>
      </c>
      <c r="F202" s="26" t="s">
        <v>197</v>
      </c>
      <c r="G202" s="27">
        <f>SUMIF(物料月初库存!$C$3:$C$303,$B202,物料月初库存!$F$3:$F$303)</f>
        <v>0</v>
      </c>
      <c r="H202" s="28">
        <f>SUMIF(半成品入库明细!$D$2:$D$650,$B202,半成品入库明细!$G$2:$G$650)</f>
        <v>0</v>
      </c>
      <c r="I202" s="28">
        <f ca="1">SUMIF(半成品出库明细!$D$2:$D$558,$B202,半成品出库明细!$G$2:$G$2)</f>
        <v>0</v>
      </c>
      <c r="J202" s="28">
        <f ca="1" t="shared" si="3"/>
        <v>0</v>
      </c>
      <c r="K202" s="55" t="s">
        <v>528</v>
      </c>
      <c r="L202" s="3"/>
      <c r="M202" s="3"/>
    </row>
    <row r="203" s="1" customFormat="1" spans="1:13">
      <c r="A203" s="22"/>
      <c r="B203" s="23" t="s">
        <v>529</v>
      </c>
      <c r="C203" s="24" t="s">
        <v>523</v>
      </c>
      <c r="D203" s="25" t="s">
        <v>438</v>
      </c>
      <c r="E203" s="19" t="s">
        <v>199</v>
      </c>
      <c r="F203" s="26" t="s">
        <v>197</v>
      </c>
      <c r="G203" s="27">
        <f>SUMIF(物料月初库存!$C$3:$C$303,$B203,物料月初库存!$F$3:$F$303)</f>
        <v>0</v>
      </c>
      <c r="H203" s="28">
        <f>SUMIF(半成品入库明细!$D$2:$D$650,$B203,半成品入库明细!$G$2:$G$650)</f>
        <v>0</v>
      </c>
      <c r="I203" s="28">
        <f ca="1">SUMIF(半成品出库明细!$D$2:$D$558,$B203,半成品出库明细!$G$2:$G$2)</f>
        <v>0</v>
      </c>
      <c r="J203" s="28">
        <f ca="1" t="shared" si="3"/>
        <v>0</v>
      </c>
      <c r="K203" s="55" t="s">
        <v>530</v>
      </c>
      <c r="L203" s="3"/>
      <c r="M203" s="3"/>
    </row>
    <row r="204" s="1" customFormat="1" spans="1:13">
      <c r="A204" s="22">
        <v>207</v>
      </c>
      <c r="B204" s="23" t="s">
        <v>531</v>
      </c>
      <c r="C204" s="25" t="s">
        <v>523</v>
      </c>
      <c r="D204" s="25" t="s">
        <v>438</v>
      </c>
      <c r="E204" s="19" t="s">
        <v>256</v>
      </c>
      <c r="F204" s="26" t="s">
        <v>197</v>
      </c>
      <c r="G204" s="27">
        <f>SUMIF(物料月初库存!$C$3:$C$303,$B204,物料月初库存!$F$3:$F$303)</f>
        <v>0</v>
      </c>
      <c r="H204" s="28">
        <f>SUMIF(半成品入库明细!$D$2:$D$650,$B204,半成品入库明细!$G$2:$G$650)</f>
        <v>0</v>
      </c>
      <c r="I204" s="28">
        <f ca="1">SUMIF(半成品出库明细!$D$2:$D$558,$B204,半成品出库明细!$G$2:$G$2)</f>
        <v>0</v>
      </c>
      <c r="J204" s="28">
        <f ca="1" t="shared" si="3"/>
        <v>0</v>
      </c>
      <c r="K204" s="55" t="s">
        <v>532</v>
      </c>
      <c r="L204" s="3"/>
      <c r="M204" s="3"/>
    </row>
    <row r="205" s="1" customFormat="1" spans="1:13">
      <c r="A205" s="22">
        <v>208</v>
      </c>
      <c r="B205" s="23" t="s">
        <v>533</v>
      </c>
      <c r="C205" s="24" t="s">
        <v>534</v>
      </c>
      <c r="D205" s="25" t="s">
        <v>438</v>
      </c>
      <c r="E205" s="19" t="s">
        <v>76</v>
      </c>
      <c r="F205" s="26" t="s">
        <v>197</v>
      </c>
      <c r="G205" s="27">
        <f>SUMIF(物料月初库存!$C$3:$C$303,$B205,物料月初库存!$F$3:$F$303)</f>
        <v>0</v>
      </c>
      <c r="H205" s="28">
        <f>SUMIF(半成品入库明细!$D$2:$D$650,$B205,半成品入库明细!$G$2:$G$650)</f>
        <v>0</v>
      </c>
      <c r="I205" s="28">
        <f ca="1">SUMIF(半成品出库明细!$D$2:$D$558,$B205,半成品出库明细!$G$2:$G$2)</f>
        <v>0</v>
      </c>
      <c r="J205" s="28">
        <f ca="1" t="shared" si="3"/>
        <v>0</v>
      </c>
      <c r="K205" s="61" t="s">
        <v>535</v>
      </c>
      <c r="L205" s="3"/>
      <c r="M205" s="3"/>
    </row>
    <row r="206" s="1" customFormat="1" spans="1:13">
      <c r="A206" s="22">
        <v>209</v>
      </c>
      <c r="B206" s="23" t="s">
        <v>536</v>
      </c>
      <c r="C206" s="24" t="s">
        <v>534</v>
      </c>
      <c r="D206" s="25" t="s">
        <v>438</v>
      </c>
      <c r="E206" s="19" t="s">
        <v>537</v>
      </c>
      <c r="F206" s="26" t="s">
        <v>197</v>
      </c>
      <c r="G206" s="27">
        <f>SUMIF(物料月初库存!$C$3:$C$303,$B206,物料月初库存!$F$3:$F$303)</f>
        <v>0</v>
      </c>
      <c r="H206" s="28">
        <f>SUMIF(半成品入库明细!$D$2:$D$650,$B206,半成品入库明细!$G$2:$G$650)</f>
        <v>0</v>
      </c>
      <c r="I206" s="28">
        <f ca="1">SUMIF(半成品出库明细!$D$2:$D$558,$B206,半成品出库明细!$G$2:$G$2)</f>
        <v>0</v>
      </c>
      <c r="J206" s="28">
        <f ca="1" t="shared" si="3"/>
        <v>0</v>
      </c>
      <c r="K206" s="20" t="s">
        <v>333</v>
      </c>
      <c r="L206" s="3"/>
      <c r="M206" s="3"/>
    </row>
    <row r="207" s="1" customFormat="1" spans="1:13">
      <c r="A207" s="22">
        <v>211</v>
      </c>
      <c r="B207" s="23" t="s">
        <v>538</v>
      </c>
      <c r="C207" s="24" t="s">
        <v>534</v>
      </c>
      <c r="D207" s="25" t="s">
        <v>438</v>
      </c>
      <c r="E207" s="19" t="s">
        <v>539</v>
      </c>
      <c r="F207" s="26" t="s">
        <v>197</v>
      </c>
      <c r="G207" s="27">
        <f>SUMIF(物料月初库存!$C$3:$C$303,$B207,物料月初库存!$F$3:$F$303)</f>
        <v>0</v>
      </c>
      <c r="H207" s="28">
        <f>SUMIF(半成品入库明细!$D$2:$D$650,$B207,半成品入库明细!$G$2:$G$650)</f>
        <v>0</v>
      </c>
      <c r="I207" s="28">
        <f ca="1">SUMIF(半成品出库明细!$D$2:$D$558,$B207,半成品出库明细!$G$2:$G$2)</f>
        <v>0</v>
      </c>
      <c r="J207" s="28">
        <f ca="1" t="shared" si="3"/>
        <v>0</v>
      </c>
      <c r="K207" s="55" t="s">
        <v>183</v>
      </c>
      <c r="L207" s="59" t="s">
        <v>202</v>
      </c>
      <c r="M207" s="3"/>
    </row>
    <row r="208" s="1" customFormat="1" spans="1:13">
      <c r="A208" s="22">
        <v>212</v>
      </c>
      <c r="B208" s="23" t="s">
        <v>540</v>
      </c>
      <c r="C208" s="24" t="s">
        <v>541</v>
      </c>
      <c r="D208" s="25" t="s">
        <v>438</v>
      </c>
      <c r="E208" s="19" t="s">
        <v>76</v>
      </c>
      <c r="F208" s="26" t="s">
        <v>197</v>
      </c>
      <c r="G208" s="27">
        <f>SUMIF(物料月初库存!$C$3:$C$303,$B208,物料月初库存!$F$3:$F$303)</f>
        <v>0</v>
      </c>
      <c r="H208" s="28">
        <f>SUMIF(半成品入库明细!$D$2:$D$650,$B208,半成品入库明细!$G$2:$G$650)</f>
        <v>0</v>
      </c>
      <c r="I208" s="28">
        <f ca="1">SUMIF(半成品出库明细!$D$2:$D$558,$B208,半成品出库明细!$G$2:$G$2)</f>
        <v>0</v>
      </c>
      <c r="J208" s="28">
        <f ca="1" t="shared" si="3"/>
        <v>0</v>
      </c>
      <c r="K208" s="20"/>
      <c r="L208" s="3"/>
      <c r="M208" s="3"/>
    </row>
    <row r="209" s="1" customFormat="1" spans="1:13">
      <c r="A209" s="22"/>
      <c r="B209" s="62" t="s">
        <v>542</v>
      </c>
      <c r="C209" s="63" t="s">
        <v>541</v>
      </c>
      <c r="D209" s="64" t="s">
        <v>438</v>
      </c>
      <c r="E209" s="65" t="s">
        <v>537</v>
      </c>
      <c r="F209" s="66" t="s">
        <v>197</v>
      </c>
      <c r="G209" s="67">
        <f>SUMIF(物料月初库存!$C$3:$C$303,$B209,物料月初库存!$F$3:$F$303)</f>
        <v>0</v>
      </c>
      <c r="H209" s="68">
        <f>SUMIF(半成品入库明细!$D$2:$D$650,$B209,半成品入库明细!$G$2:$G$650)</f>
        <v>0</v>
      </c>
      <c r="I209" s="68">
        <f ca="1">SUMIF(半成品出库明细!$D$2:$D$558,$B209,半成品出库明细!$G$2:$G$2)</f>
        <v>0</v>
      </c>
      <c r="J209" s="68">
        <f ca="1" t="shared" si="3"/>
        <v>0</v>
      </c>
      <c r="K209" s="69" t="s">
        <v>543</v>
      </c>
      <c r="L209" s="3"/>
      <c r="M209" s="3"/>
    </row>
    <row r="210" s="1" customFormat="1" ht="18" customHeight="1" spans="1:13">
      <c r="A210" s="22">
        <v>214</v>
      </c>
      <c r="B210" s="70" t="s">
        <v>544</v>
      </c>
      <c r="C210" s="71" t="s">
        <v>541</v>
      </c>
      <c r="D210" s="72" t="s">
        <v>438</v>
      </c>
      <c r="E210" s="73" t="s">
        <v>545</v>
      </c>
      <c r="F210" s="74" t="s">
        <v>197</v>
      </c>
      <c r="G210" s="75">
        <f>SUMIF(物料月初库存!$C$3:$C$303,$B210,物料月初库存!$F$3:$F$303)</f>
        <v>0</v>
      </c>
      <c r="H210" s="76">
        <f>SUMIF(半成品入库明细!$D$2:$D$650,$B210,半成品入库明细!$G$2:$G$650)</f>
        <v>0</v>
      </c>
      <c r="I210" s="76">
        <f ca="1">SUMIF(半成品出库明细!$D$2:$D$558,$B210,半成品出库明细!$G$2:$G$2)</f>
        <v>0</v>
      </c>
      <c r="J210" s="76">
        <f ca="1" t="shared" si="3"/>
        <v>0</v>
      </c>
      <c r="K210" s="77" t="s">
        <v>546</v>
      </c>
      <c r="L210" s="19"/>
      <c r="M210" s="3"/>
    </row>
    <row r="211" s="1" customFormat="1" spans="1:13">
      <c r="A211" s="22">
        <v>217</v>
      </c>
      <c r="B211" s="23" t="s">
        <v>547</v>
      </c>
      <c r="C211" s="24" t="s">
        <v>541</v>
      </c>
      <c r="D211" s="25" t="s">
        <v>438</v>
      </c>
      <c r="E211" s="19" t="s">
        <v>548</v>
      </c>
      <c r="F211" s="26" t="s">
        <v>197</v>
      </c>
      <c r="G211" s="27">
        <f>SUMIF(物料月初库存!$C$3:$C$303,$B211,物料月初库存!$F$3:$F$303)</f>
        <v>0</v>
      </c>
      <c r="H211" s="28">
        <f>SUMIF(半成品入库明细!$D$2:$D$650,$B211,半成品入库明细!$G$2:$G$650)</f>
        <v>0</v>
      </c>
      <c r="I211" s="28">
        <f ca="1">SUMIF(半成品出库明细!$D$2:$D$558,$B211,半成品出库明细!$G$2:$G$2)</f>
        <v>0</v>
      </c>
      <c r="J211" s="28">
        <f ca="1" t="shared" si="3"/>
        <v>0</v>
      </c>
      <c r="K211" s="61" t="s">
        <v>549</v>
      </c>
      <c r="L211" s="34" t="s">
        <v>202</v>
      </c>
      <c r="M211" s="3"/>
    </row>
    <row r="212" s="1" customFormat="1" spans="1:13">
      <c r="A212" s="22">
        <v>218</v>
      </c>
      <c r="B212" s="23" t="s">
        <v>550</v>
      </c>
      <c r="C212" s="24" t="s">
        <v>551</v>
      </c>
      <c r="D212" s="25" t="s">
        <v>438</v>
      </c>
      <c r="E212" s="19" t="s">
        <v>76</v>
      </c>
      <c r="F212" s="26" t="s">
        <v>197</v>
      </c>
      <c r="G212" s="27">
        <f>SUMIF(物料月初库存!$C$3:$C$303,$B212,物料月初库存!$F$3:$F$303)</f>
        <v>0</v>
      </c>
      <c r="H212" s="28">
        <f>SUMIF(半成品入库明细!$D$2:$D$650,$B212,半成品入库明细!$G$2:$G$650)</f>
        <v>0</v>
      </c>
      <c r="I212" s="28">
        <f ca="1">SUMIF(半成品出库明细!$D$2:$D$558,$B212,半成品出库明细!$G$2:$G$2)</f>
        <v>0</v>
      </c>
      <c r="J212" s="28">
        <f ca="1" t="shared" si="3"/>
        <v>0</v>
      </c>
      <c r="K212" s="20"/>
      <c r="L212" s="3"/>
      <c r="M212" s="3"/>
    </row>
    <row r="213" s="1" customFormat="1" spans="1:13">
      <c r="A213" s="22">
        <v>219</v>
      </c>
      <c r="B213" s="23" t="s">
        <v>552</v>
      </c>
      <c r="C213" s="24" t="s">
        <v>551</v>
      </c>
      <c r="D213" s="25" t="s">
        <v>438</v>
      </c>
      <c r="E213" s="28" t="s">
        <v>537</v>
      </c>
      <c r="F213" s="26" t="s">
        <v>197</v>
      </c>
      <c r="G213" s="27">
        <f>SUMIF(物料月初库存!$C$3:$C$303,$B213,物料月初库存!$F$3:$F$303)</f>
        <v>0</v>
      </c>
      <c r="H213" s="28">
        <f>SUMIF(半成品入库明细!$D$2:$D$650,$B213,半成品入库明细!$G$2:$G$650)</f>
        <v>0</v>
      </c>
      <c r="I213" s="28">
        <f ca="1">SUMIF(半成品出库明细!$D$2:$D$558,$B213,半成品出库明细!$G$2:$G$2)</f>
        <v>0</v>
      </c>
      <c r="J213" s="28">
        <f ca="1" t="shared" si="3"/>
        <v>0</v>
      </c>
      <c r="K213" s="78" t="s">
        <v>553</v>
      </c>
      <c r="L213" s="3"/>
      <c r="M213" s="3"/>
    </row>
    <row r="214" s="1" customFormat="1" spans="1:13">
      <c r="A214" s="22">
        <v>220</v>
      </c>
      <c r="B214" s="23" t="s">
        <v>554</v>
      </c>
      <c r="C214" s="24" t="s">
        <v>551</v>
      </c>
      <c r="D214" s="25" t="s">
        <v>438</v>
      </c>
      <c r="E214" s="28" t="s">
        <v>443</v>
      </c>
      <c r="F214" s="26" t="s">
        <v>197</v>
      </c>
      <c r="G214" s="27">
        <f>SUMIF(物料月初库存!$C$3:$C$303,$B214,物料月初库存!$F$3:$F$303)</f>
        <v>0</v>
      </c>
      <c r="H214" s="28">
        <f>SUMIF(半成品入库明细!$D$2:$D$650,$B214,半成品入库明细!$G$2:$G$650)</f>
        <v>0</v>
      </c>
      <c r="I214" s="28">
        <f ca="1">SUMIF(半成品出库明细!$D$2:$D$558,$B214,半成品出库明细!$G$2:$G$2)</f>
        <v>0</v>
      </c>
      <c r="J214" s="28">
        <f ca="1" t="shared" si="3"/>
        <v>0</v>
      </c>
      <c r="K214" s="55" t="s">
        <v>555</v>
      </c>
      <c r="L214" s="3"/>
      <c r="M214" s="3"/>
    </row>
    <row r="215" s="1" customFormat="1" spans="1:13">
      <c r="A215" s="22">
        <v>221</v>
      </c>
      <c r="B215" s="23" t="s">
        <v>556</v>
      </c>
      <c r="C215" s="25" t="s">
        <v>557</v>
      </c>
      <c r="D215" s="25" t="s">
        <v>438</v>
      </c>
      <c r="E215" s="28" t="s">
        <v>76</v>
      </c>
      <c r="F215" s="26" t="s">
        <v>197</v>
      </c>
      <c r="G215" s="27">
        <f>SUMIF(物料月初库存!$C$3:$C$303,$B215,物料月初库存!$F$3:$F$303)</f>
        <v>0</v>
      </c>
      <c r="H215" s="28">
        <f>SUMIF(半成品入库明细!$D$2:$D$650,$B215,半成品入库明细!$G$2:$G$650)</f>
        <v>0</v>
      </c>
      <c r="I215" s="28">
        <f ca="1">SUMIF(半成品出库明细!$D$2:$D$558,$B215,半成品出库明细!$G$2:$G$2)</f>
        <v>0</v>
      </c>
      <c r="J215" s="28">
        <f ca="1" t="shared" si="3"/>
        <v>0</v>
      </c>
      <c r="K215" s="20"/>
      <c r="L215" s="3"/>
      <c r="M215" s="3"/>
    </row>
    <row r="216" s="1" customFormat="1" spans="1:13">
      <c r="A216" s="22">
        <v>222</v>
      </c>
      <c r="B216" s="23" t="s">
        <v>558</v>
      </c>
      <c r="C216" s="25" t="s">
        <v>557</v>
      </c>
      <c r="D216" s="25" t="s">
        <v>438</v>
      </c>
      <c r="E216" s="28" t="s">
        <v>287</v>
      </c>
      <c r="F216" s="26" t="s">
        <v>197</v>
      </c>
      <c r="G216" s="27">
        <f>SUMIF(物料月初库存!$C$3:$C$303,$B216,物料月初库存!$F$3:$F$303)</f>
        <v>0</v>
      </c>
      <c r="H216" s="28">
        <f>SUMIF(半成品入库明细!$D$2:$D$650,$B216,半成品入库明细!$G$2:$G$650)</f>
        <v>0</v>
      </c>
      <c r="I216" s="28">
        <f ca="1">SUMIF(半成品出库明细!$D$2:$D$558,$B216,半成品出库明细!$G$2:$G$2)</f>
        <v>0</v>
      </c>
      <c r="J216" s="28">
        <f ca="1" t="shared" si="3"/>
        <v>0</v>
      </c>
      <c r="K216" s="20"/>
      <c r="L216" s="3"/>
      <c r="M216" s="3"/>
    </row>
    <row r="217" s="1" customFormat="1" spans="1:13">
      <c r="A217" s="22">
        <v>223</v>
      </c>
      <c r="B217" s="23" t="s">
        <v>559</v>
      </c>
      <c r="C217" s="25" t="s">
        <v>557</v>
      </c>
      <c r="D217" s="25" t="s">
        <v>438</v>
      </c>
      <c r="E217" s="19" t="s">
        <v>560</v>
      </c>
      <c r="F217" s="26" t="s">
        <v>197</v>
      </c>
      <c r="G217" s="27">
        <f>SUMIF(物料月初库存!$C$3:$C$303,$B217,物料月初库存!$F$3:$F$303)</f>
        <v>0</v>
      </c>
      <c r="H217" s="28">
        <f>SUMIF(半成品入库明细!$D$2:$D$650,$B217,半成品入库明细!$G$2:$G$650)</f>
        <v>0</v>
      </c>
      <c r="I217" s="28">
        <f ca="1">SUMIF(半成品出库明细!$D$2:$D$558,$B217,半成品出库明细!$G$2:$G$2)</f>
        <v>0</v>
      </c>
      <c r="J217" s="28">
        <f ca="1" t="shared" si="3"/>
        <v>0</v>
      </c>
      <c r="K217" s="20"/>
      <c r="L217" s="3"/>
      <c r="M217" s="3"/>
    </row>
    <row r="218" s="1" customFormat="1" spans="1:13">
      <c r="A218" s="22">
        <v>224</v>
      </c>
      <c r="B218" s="23" t="s">
        <v>561</v>
      </c>
      <c r="C218" s="25" t="s">
        <v>557</v>
      </c>
      <c r="D218" s="25" t="s">
        <v>438</v>
      </c>
      <c r="E218" s="50" t="s">
        <v>562</v>
      </c>
      <c r="F218" s="26" t="s">
        <v>197</v>
      </c>
      <c r="G218" s="27">
        <f>SUMIF(物料月初库存!$C$3:$C$303,$B218,物料月初库存!$F$3:$F$303)</f>
        <v>0</v>
      </c>
      <c r="H218" s="28">
        <f>SUMIF(半成品入库明细!$D$2:$D$650,$B218,半成品入库明细!$G$2:$G$650)</f>
        <v>0</v>
      </c>
      <c r="I218" s="28">
        <f ca="1">SUMIF(半成品出库明细!$D$2:$D$558,$B218,半成品出库明细!$G$2:$G$2)</f>
        <v>0</v>
      </c>
      <c r="J218" s="28">
        <f ca="1" t="shared" si="3"/>
        <v>0</v>
      </c>
      <c r="K218" s="20"/>
      <c r="L218" s="3"/>
      <c r="M218" s="3"/>
    </row>
    <row r="219" s="1" customFormat="1" spans="1:13">
      <c r="A219" s="22">
        <v>225</v>
      </c>
      <c r="B219" s="23" t="s">
        <v>563</v>
      </c>
      <c r="C219" s="25" t="s">
        <v>564</v>
      </c>
      <c r="D219" s="25" t="s">
        <v>438</v>
      </c>
      <c r="E219" s="19" t="s">
        <v>76</v>
      </c>
      <c r="F219" s="26" t="s">
        <v>197</v>
      </c>
      <c r="G219" s="27">
        <f>SUMIF(物料月初库存!$C$3:$C$303,$B219,物料月初库存!$F$3:$F$303)</f>
        <v>0</v>
      </c>
      <c r="H219" s="28">
        <f>SUMIF(半成品入库明细!$D$2:$D$650,$B219,半成品入库明细!$G$2:$G$650)</f>
        <v>0</v>
      </c>
      <c r="I219" s="28">
        <f ca="1">SUMIF(半成品出库明细!$D$2:$D$558,$B219,半成品出库明细!$G$2:$G$2)</f>
        <v>0</v>
      </c>
      <c r="J219" s="28">
        <f ca="1" t="shared" si="3"/>
        <v>0</v>
      </c>
      <c r="K219" s="20"/>
      <c r="L219" s="3"/>
      <c r="M219" s="3"/>
    </row>
    <row r="220" s="1" customFormat="1" spans="1:13">
      <c r="A220" s="22">
        <v>226</v>
      </c>
      <c r="B220" s="23" t="s">
        <v>565</v>
      </c>
      <c r="C220" s="25" t="s">
        <v>564</v>
      </c>
      <c r="D220" s="25" t="s">
        <v>438</v>
      </c>
      <c r="E220" s="28" t="s">
        <v>287</v>
      </c>
      <c r="F220" s="26" t="s">
        <v>197</v>
      </c>
      <c r="G220" s="27">
        <f>SUMIF(物料月初库存!$C$3:$C$303,$B220,物料月初库存!$F$3:$F$303)</f>
        <v>0</v>
      </c>
      <c r="H220" s="28">
        <f>SUMIF(半成品入库明细!$D$2:$D$650,$B220,半成品入库明细!$G$2:$G$650)</f>
        <v>0</v>
      </c>
      <c r="I220" s="28">
        <f ca="1">SUMIF(半成品出库明细!$D$2:$D$558,$B220,半成品出库明细!$G$2:$G$2)</f>
        <v>0</v>
      </c>
      <c r="J220" s="28">
        <f ca="1" t="shared" si="3"/>
        <v>0</v>
      </c>
      <c r="K220" s="20"/>
      <c r="L220" s="3"/>
      <c r="M220" s="3"/>
    </row>
    <row r="221" s="1" customFormat="1" spans="1:13">
      <c r="A221" s="22">
        <v>227</v>
      </c>
      <c r="B221" s="23" t="s">
        <v>566</v>
      </c>
      <c r="C221" s="25" t="s">
        <v>564</v>
      </c>
      <c r="D221" s="25" t="s">
        <v>438</v>
      </c>
      <c r="E221" s="19" t="s">
        <v>560</v>
      </c>
      <c r="F221" s="26" t="s">
        <v>197</v>
      </c>
      <c r="G221" s="27">
        <f>SUMIF(物料月初库存!$C$3:$C$303,$B221,物料月初库存!$F$3:$F$303)</f>
        <v>0</v>
      </c>
      <c r="H221" s="28">
        <f>SUMIF(半成品入库明细!$D$2:$D$650,$B221,半成品入库明细!$G$2:$G$650)</f>
        <v>0</v>
      </c>
      <c r="I221" s="28">
        <f ca="1">SUMIF(半成品出库明细!$D$2:$D$558,$B221,半成品出库明细!$G$2:$G$2)</f>
        <v>0</v>
      </c>
      <c r="J221" s="28">
        <f ca="1" t="shared" si="3"/>
        <v>0</v>
      </c>
      <c r="K221" s="20"/>
      <c r="L221" s="3"/>
      <c r="M221" s="3"/>
    </row>
    <row r="222" s="1" customFormat="1" spans="1:13">
      <c r="A222" s="22">
        <v>228</v>
      </c>
      <c r="B222" s="23" t="s">
        <v>567</v>
      </c>
      <c r="C222" s="25" t="s">
        <v>564</v>
      </c>
      <c r="D222" s="25" t="s">
        <v>438</v>
      </c>
      <c r="E222" s="50" t="s">
        <v>562</v>
      </c>
      <c r="F222" s="26" t="s">
        <v>197</v>
      </c>
      <c r="G222" s="27">
        <f>SUMIF(物料月初库存!$C$3:$C$303,$B222,物料月初库存!$F$3:$F$303)</f>
        <v>0</v>
      </c>
      <c r="H222" s="28">
        <f>SUMIF(半成品入库明细!$D$2:$D$650,$B222,半成品入库明细!$G$2:$G$650)</f>
        <v>0</v>
      </c>
      <c r="I222" s="28">
        <f ca="1">SUMIF(半成品出库明细!$D$2:$D$558,$B222,半成品出库明细!$G$2:$G$2)</f>
        <v>0</v>
      </c>
      <c r="J222" s="28">
        <f ca="1" t="shared" si="3"/>
        <v>0</v>
      </c>
      <c r="K222" s="20"/>
      <c r="L222" s="3"/>
      <c r="M222" s="3"/>
    </row>
    <row r="223" s="1" customFormat="1" spans="1:13">
      <c r="A223" s="22">
        <v>229</v>
      </c>
      <c r="B223" s="23" t="s">
        <v>568</v>
      </c>
      <c r="C223" s="52" t="s">
        <v>569</v>
      </c>
      <c r="D223" s="25" t="s">
        <v>438</v>
      </c>
      <c r="E223" s="19" t="s">
        <v>76</v>
      </c>
      <c r="F223" s="26" t="s">
        <v>197</v>
      </c>
      <c r="G223" s="27">
        <f>SUMIF(物料月初库存!$C$3:$C$303,$B223,物料月初库存!$F$3:$F$303)</f>
        <v>0</v>
      </c>
      <c r="H223" s="28">
        <f>SUMIF(半成品入库明细!$D$2:$D$650,$B223,半成品入库明细!$G$2:$G$650)</f>
        <v>0</v>
      </c>
      <c r="I223" s="28">
        <f ca="1">SUMIF(半成品出库明细!$D$2:$D$558,$B223,半成品出库明细!$G$2:$G$2)</f>
        <v>0</v>
      </c>
      <c r="J223" s="28">
        <f ca="1" t="shared" si="3"/>
        <v>0</v>
      </c>
      <c r="K223" s="20"/>
      <c r="L223" s="3"/>
      <c r="M223" s="3"/>
    </row>
    <row r="224" s="1" customFormat="1" spans="1:13">
      <c r="A224" s="22">
        <v>230</v>
      </c>
      <c r="B224" s="23" t="s">
        <v>570</v>
      </c>
      <c r="C224" s="52" t="s">
        <v>569</v>
      </c>
      <c r="D224" s="25" t="s">
        <v>438</v>
      </c>
      <c r="E224" s="49" t="s">
        <v>316</v>
      </c>
      <c r="F224" s="26" t="s">
        <v>197</v>
      </c>
      <c r="G224" s="27">
        <f>SUMIF(物料月初库存!$C$3:$C$303,$B224,物料月初库存!$F$3:$F$303)</f>
        <v>0</v>
      </c>
      <c r="H224" s="28">
        <f>SUMIF(半成品入库明细!$D$2:$D$650,$B224,半成品入库明细!$G$2:$G$650)</f>
        <v>0</v>
      </c>
      <c r="I224" s="28">
        <f ca="1">SUMIF(半成品出库明细!$D$2:$D$558,$B224,半成品出库明细!$G$2:$G$2)</f>
        <v>0</v>
      </c>
      <c r="J224" s="28">
        <f ca="1" t="shared" si="3"/>
        <v>0</v>
      </c>
      <c r="K224" s="20"/>
      <c r="L224" s="3"/>
      <c r="M224" s="3"/>
    </row>
    <row r="225" s="1" customFormat="1" spans="1:13">
      <c r="A225" s="22">
        <v>231</v>
      </c>
      <c r="B225" s="23" t="s">
        <v>571</v>
      </c>
      <c r="C225" s="25" t="s">
        <v>569</v>
      </c>
      <c r="D225" s="25" t="s">
        <v>438</v>
      </c>
      <c r="E225" s="50" t="s">
        <v>572</v>
      </c>
      <c r="F225" s="26" t="s">
        <v>197</v>
      </c>
      <c r="G225" s="27">
        <f>SUMIF(物料月初库存!$C$3:$C$303,$B225,物料月初库存!$F$3:$F$303)</f>
        <v>0</v>
      </c>
      <c r="H225" s="28">
        <f>SUMIF(半成品入库明细!$D$2:$D$650,$B225,半成品入库明细!$G$2:$G$650)</f>
        <v>0</v>
      </c>
      <c r="I225" s="28">
        <f ca="1">SUMIF(半成品出库明细!$D$2:$D$558,$B225,半成品出库明细!$G$2:$G$2)</f>
        <v>0</v>
      </c>
      <c r="J225" s="28">
        <f ca="1" t="shared" si="3"/>
        <v>0</v>
      </c>
      <c r="K225" s="20"/>
      <c r="L225" s="3"/>
      <c r="M225" s="3"/>
    </row>
    <row r="226" s="1" customFormat="1" spans="1:13">
      <c r="A226" s="22">
        <v>232</v>
      </c>
      <c r="B226" s="23" t="s">
        <v>573</v>
      </c>
      <c r="C226" s="52" t="s">
        <v>569</v>
      </c>
      <c r="D226" s="25" t="s">
        <v>438</v>
      </c>
      <c r="E226" s="19" t="s">
        <v>256</v>
      </c>
      <c r="F226" s="26" t="s">
        <v>197</v>
      </c>
      <c r="G226" s="27">
        <f>SUMIF(物料月初库存!$C$3:$C$303,$B226,物料月初库存!$F$3:$F$303)</f>
        <v>0</v>
      </c>
      <c r="H226" s="28">
        <f>SUMIF(半成品入库明细!$D$2:$D$650,$B226,半成品入库明细!$G$2:$G$650)</f>
        <v>0</v>
      </c>
      <c r="I226" s="28">
        <f ca="1">SUMIF(半成品出库明细!$D$2:$D$558,$B226,半成品出库明细!$G$2:$G$2)</f>
        <v>0</v>
      </c>
      <c r="J226" s="28">
        <f ca="1" t="shared" si="3"/>
        <v>0</v>
      </c>
      <c r="K226" s="20"/>
      <c r="L226" s="3"/>
      <c r="M226" s="3"/>
    </row>
    <row r="227" s="1" customFormat="1" spans="1:13">
      <c r="A227" s="22">
        <v>233</v>
      </c>
      <c r="B227" s="23" t="s">
        <v>574</v>
      </c>
      <c r="C227" s="25" t="s">
        <v>569</v>
      </c>
      <c r="D227" s="25" t="s">
        <v>438</v>
      </c>
      <c r="E227" s="50" t="s">
        <v>575</v>
      </c>
      <c r="F227" s="26" t="s">
        <v>197</v>
      </c>
      <c r="G227" s="27">
        <f>SUMIF(物料月初库存!$C$3:$C$303,$B227,物料月初库存!$F$3:$F$303)</f>
        <v>0</v>
      </c>
      <c r="H227" s="28">
        <f>SUMIF(半成品入库明细!$D$2:$D$650,$B227,半成品入库明细!$G$2:$G$650)</f>
        <v>0</v>
      </c>
      <c r="I227" s="28">
        <f ca="1">SUMIF(半成品出库明细!$D$2:$D$558,$B227,半成品出库明细!$G$2:$G$2)</f>
        <v>0</v>
      </c>
      <c r="J227" s="28">
        <f ca="1" t="shared" si="3"/>
        <v>0</v>
      </c>
      <c r="K227" s="20"/>
      <c r="L227" s="3"/>
      <c r="M227" s="3"/>
    </row>
    <row r="228" s="1" customFormat="1" spans="1:13">
      <c r="A228" s="22">
        <v>234</v>
      </c>
      <c r="B228" s="23" t="s">
        <v>576</v>
      </c>
      <c r="C228" s="41" t="s">
        <v>577</v>
      </c>
      <c r="D228" s="25" t="s">
        <v>438</v>
      </c>
      <c r="E228" s="19" t="s">
        <v>76</v>
      </c>
      <c r="F228" s="26" t="s">
        <v>197</v>
      </c>
      <c r="G228" s="27">
        <f>SUMIF(物料月初库存!$C$3:$C$303,$B228,物料月初库存!$F$3:$F$303)</f>
        <v>0</v>
      </c>
      <c r="H228" s="28">
        <f>SUMIF(半成品入库明细!$D$2:$D$650,$B228,半成品入库明细!$G$2:$G$650)</f>
        <v>0</v>
      </c>
      <c r="I228" s="28">
        <f ca="1">SUMIF(半成品出库明细!$D$2:$D$558,$B228,半成品出库明细!$G$2:$G$2)</f>
        <v>0</v>
      </c>
      <c r="J228" s="28">
        <f ca="1" t="shared" si="3"/>
        <v>0</v>
      </c>
      <c r="K228" s="20"/>
      <c r="L228" s="3"/>
      <c r="M228" s="3"/>
    </row>
    <row r="229" s="1" customFormat="1" spans="1:13">
      <c r="A229" s="22">
        <v>235</v>
      </c>
      <c r="B229" s="23" t="s">
        <v>578</v>
      </c>
      <c r="C229" s="41" t="s">
        <v>577</v>
      </c>
      <c r="D229" s="25" t="s">
        <v>438</v>
      </c>
      <c r="E229" s="28" t="s">
        <v>537</v>
      </c>
      <c r="F229" s="26" t="s">
        <v>197</v>
      </c>
      <c r="G229" s="27">
        <f>SUMIF(物料月初库存!$C$3:$C$303,$B229,物料月初库存!$F$3:$F$303)</f>
        <v>0</v>
      </c>
      <c r="H229" s="28">
        <f>SUMIF(半成品入库明细!$D$2:$D$650,$B229,半成品入库明细!$G$2:$G$650)</f>
        <v>0</v>
      </c>
      <c r="I229" s="28">
        <f ca="1">SUMIF(半成品出库明细!$D$2:$D$558,$B229,半成品出库明细!$G$2:$G$2)</f>
        <v>0</v>
      </c>
      <c r="J229" s="28">
        <f ca="1" t="shared" si="3"/>
        <v>0</v>
      </c>
      <c r="K229" s="20" t="s">
        <v>327</v>
      </c>
      <c r="L229" s="3"/>
      <c r="M229" s="3"/>
    </row>
    <row r="230" s="1" customFormat="1" spans="1:13">
      <c r="A230" s="22">
        <v>236</v>
      </c>
      <c r="B230" s="23" t="s">
        <v>579</v>
      </c>
      <c r="C230" s="41" t="s">
        <v>577</v>
      </c>
      <c r="D230" s="25" t="s">
        <v>438</v>
      </c>
      <c r="E230" s="28" t="s">
        <v>443</v>
      </c>
      <c r="F230" s="26" t="s">
        <v>197</v>
      </c>
      <c r="G230" s="27">
        <f>SUMIF(物料月初库存!$C$3:$C$303,$B230,物料月初库存!$F$3:$F$303)</f>
        <v>0</v>
      </c>
      <c r="H230" s="28">
        <f>SUMIF(半成品入库明细!$D$2:$D$650,$B230,半成品入库明细!$G$2:$G$650)</f>
        <v>0</v>
      </c>
      <c r="I230" s="28">
        <f ca="1">SUMIF(半成品出库明细!$D$2:$D$558,$B230,半成品出库明细!$G$2:$G$2)</f>
        <v>0</v>
      </c>
      <c r="J230" s="28">
        <f ca="1" t="shared" si="3"/>
        <v>0</v>
      </c>
      <c r="K230" s="20"/>
      <c r="L230" s="3"/>
      <c r="M230" s="3"/>
    </row>
    <row r="231" s="1" customFormat="1" spans="1:13">
      <c r="A231" s="22">
        <v>237</v>
      </c>
      <c r="B231" s="23" t="s">
        <v>580</v>
      </c>
      <c r="C231" s="41" t="s">
        <v>581</v>
      </c>
      <c r="D231" s="25" t="s">
        <v>438</v>
      </c>
      <c r="E231" s="19" t="s">
        <v>76</v>
      </c>
      <c r="F231" s="26" t="s">
        <v>197</v>
      </c>
      <c r="G231" s="27">
        <f>SUMIF(物料月初库存!$C$3:$C$303,$B231,物料月初库存!$F$3:$F$303)</f>
        <v>0</v>
      </c>
      <c r="H231" s="28">
        <f>SUMIF(半成品入库明细!$D$2:$D$650,$B231,半成品入库明细!$G$2:$G$650)</f>
        <v>0</v>
      </c>
      <c r="I231" s="28">
        <f ca="1">SUMIF(半成品出库明细!$D$2:$D$558,$B231,半成品出库明细!$G$2:$G$2)</f>
        <v>0</v>
      </c>
      <c r="J231" s="28">
        <f ca="1" t="shared" si="3"/>
        <v>0</v>
      </c>
      <c r="K231" s="20"/>
      <c r="L231" s="3"/>
      <c r="M231" s="3"/>
    </row>
    <row r="232" s="1" customFormat="1" spans="1:13">
      <c r="A232" s="22">
        <v>238</v>
      </c>
      <c r="B232" s="23" t="s">
        <v>582</v>
      </c>
      <c r="C232" s="41" t="s">
        <v>581</v>
      </c>
      <c r="D232" s="25" t="s">
        <v>438</v>
      </c>
      <c r="E232" s="50" t="s">
        <v>583</v>
      </c>
      <c r="F232" s="26" t="s">
        <v>197</v>
      </c>
      <c r="G232" s="27">
        <f>SUMIF(物料月初库存!$C$3:$C$303,$B232,物料月初库存!$F$3:$F$303)</f>
        <v>0</v>
      </c>
      <c r="H232" s="28">
        <f>SUMIF(半成品入库明细!$D$2:$D$650,$B232,半成品入库明细!$G$2:$G$650)</f>
        <v>0</v>
      </c>
      <c r="I232" s="28">
        <f ca="1">SUMIF(半成品出库明细!$D$2:$D$558,$B232,半成品出库明细!$G$2:$G$2)</f>
        <v>0</v>
      </c>
      <c r="J232" s="28">
        <f ca="1" t="shared" si="3"/>
        <v>0</v>
      </c>
      <c r="K232" s="20" t="s">
        <v>327</v>
      </c>
      <c r="L232" s="3"/>
      <c r="M232" s="3"/>
    </row>
    <row r="233" s="1" customFormat="1" spans="1:13">
      <c r="A233" s="22">
        <v>239</v>
      </c>
      <c r="B233" s="23" t="s">
        <v>584</v>
      </c>
      <c r="C233" s="41" t="s">
        <v>581</v>
      </c>
      <c r="D233" s="25" t="s">
        <v>438</v>
      </c>
      <c r="E233" s="28" t="s">
        <v>201</v>
      </c>
      <c r="F233" s="26" t="s">
        <v>197</v>
      </c>
      <c r="G233" s="27">
        <f>SUMIF(物料月初库存!$C$3:$C$303,$B233,物料月初库存!$F$3:$F$303)</f>
        <v>0</v>
      </c>
      <c r="H233" s="28">
        <f>SUMIF(半成品入库明细!$D$2:$D$650,$B233,半成品入库明细!$G$2:$G$650)</f>
        <v>0</v>
      </c>
      <c r="I233" s="28">
        <f ca="1">SUMIF(半成品出库明细!$D$2:$D$558,$B233,半成品出库明细!$G$2:$G$2)</f>
        <v>0</v>
      </c>
      <c r="J233" s="28">
        <f ca="1" t="shared" si="3"/>
        <v>0</v>
      </c>
      <c r="K233" s="20" t="s">
        <v>183</v>
      </c>
      <c r="L233" s="59" t="s">
        <v>202</v>
      </c>
      <c r="M233" s="3"/>
    </row>
    <row r="234" s="1" customFormat="1" spans="1:13">
      <c r="A234" s="22">
        <v>240</v>
      </c>
      <c r="B234" s="23" t="s">
        <v>585</v>
      </c>
      <c r="C234" s="41" t="s">
        <v>586</v>
      </c>
      <c r="D234" s="25" t="s">
        <v>438</v>
      </c>
      <c r="E234" s="19" t="s">
        <v>76</v>
      </c>
      <c r="F234" s="26" t="s">
        <v>197</v>
      </c>
      <c r="G234" s="27">
        <f>SUMIF(物料月初库存!$C$3:$C$303,$B234,物料月初库存!$F$3:$F$303)</f>
        <v>0</v>
      </c>
      <c r="H234" s="28">
        <f>SUMIF(半成品入库明细!$D$2:$D$650,$B234,半成品入库明细!$G$2:$G$650)</f>
        <v>0</v>
      </c>
      <c r="I234" s="28">
        <f ca="1">SUMIF(半成品出库明细!$D$2:$D$558,$B234,半成品出库明细!$G$2:$G$2)</f>
        <v>0</v>
      </c>
      <c r="J234" s="28">
        <f ca="1" t="shared" si="3"/>
        <v>0</v>
      </c>
      <c r="K234" s="20"/>
      <c r="L234" s="3"/>
      <c r="M234" s="3"/>
    </row>
    <row r="235" s="1" customFormat="1" spans="1:13">
      <c r="A235" s="22">
        <v>241</v>
      </c>
      <c r="B235" s="23" t="s">
        <v>587</v>
      </c>
      <c r="C235" s="41" t="s">
        <v>586</v>
      </c>
      <c r="D235" s="25" t="s">
        <v>438</v>
      </c>
      <c r="E235" s="19" t="s">
        <v>235</v>
      </c>
      <c r="F235" s="26" t="s">
        <v>197</v>
      </c>
      <c r="G235" s="27">
        <f>SUMIF(物料月初库存!$C$3:$C$303,$B235,物料月初库存!$F$3:$F$303)</f>
        <v>0</v>
      </c>
      <c r="H235" s="28">
        <f>SUMIF(半成品入库明细!$D$2:$D$650,$B235,半成品入库明细!$G$2:$G$650)</f>
        <v>0</v>
      </c>
      <c r="I235" s="28">
        <f ca="1">SUMIF(半成品出库明细!$D$2:$D$558,$B235,半成品出库明细!$G$2:$G$2)</f>
        <v>0</v>
      </c>
      <c r="J235" s="28">
        <f ca="1" t="shared" si="3"/>
        <v>0</v>
      </c>
      <c r="K235" s="79" t="s">
        <v>146</v>
      </c>
      <c r="L235" s="3"/>
      <c r="M235" s="3"/>
    </row>
    <row r="236" s="1" customFormat="1" spans="1:13">
      <c r="A236" s="22">
        <v>242</v>
      </c>
      <c r="B236" s="23" t="s">
        <v>588</v>
      </c>
      <c r="C236" s="41" t="s">
        <v>586</v>
      </c>
      <c r="D236" s="25" t="s">
        <v>438</v>
      </c>
      <c r="E236" s="19" t="s">
        <v>267</v>
      </c>
      <c r="F236" s="26" t="s">
        <v>197</v>
      </c>
      <c r="G236" s="27">
        <f>SUMIF(物料月初库存!$C$3:$C$303,$B236,物料月初库存!$F$3:$F$303)</f>
        <v>0</v>
      </c>
      <c r="H236" s="28">
        <f>SUMIF(半成品入库明细!$D$2:$D$650,$B236,半成品入库明细!$G$2:$G$650)</f>
        <v>0</v>
      </c>
      <c r="I236" s="28">
        <f ca="1">SUMIF(半成品出库明细!$D$2:$D$558,$B236,半成品出库明细!$G$2:$G$2)</f>
        <v>0</v>
      </c>
      <c r="J236" s="28">
        <f ca="1" t="shared" si="3"/>
        <v>0</v>
      </c>
      <c r="K236" s="79"/>
      <c r="L236" s="3"/>
      <c r="M236" s="3"/>
    </row>
    <row r="237" s="1" customFormat="1" spans="1:13">
      <c r="A237" s="22">
        <v>243</v>
      </c>
      <c r="B237" s="23" t="s">
        <v>589</v>
      </c>
      <c r="C237" s="41" t="s">
        <v>586</v>
      </c>
      <c r="D237" s="25" t="s">
        <v>438</v>
      </c>
      <c r="E237" s="19" t="s">
        <v>201</v>
      </c>
      <c r="F237" s="26" t="s">
        <v>197</v>
      </c>
      <c r="G237" s="27">
        <f>SUMIF(物料月初库存!$C$3:$C$303,$B237,物料月初库存!$F$3:$F$303)</f>
        <v>0</v>
      </c>
      <c r="H237" s="28">
        <f>SUMIF(半成品入库明细!$D$2:$D$650,$B237,半成品入库明细!$G$2:$G$650)</f>
        <v>0</v>
      </c>
      <c r="I237" s="28">
        <f ca="1">SUMIF(半成品出库明细!$D$2:$D$558,$B237,半成品出库明细!$G$2:$G$2)</f>
        <v>0</v>
      </c>
      <c r="J237" s="28">
        <f ca="1" t="shared" si="3"/>
        <v>0</v>
      </c>
      <c r="K237" s="20" t="s">
        <v>183</v>
      </c>
      <c r="L237" s="3"/>
      <c r="M237" s="3"/>
    </row>
    <row r="238" s="1" customFormat="1" spans="1:13">
      <c r="A238" s="22">
        <v>244</v>
      </c>
      <c r="B238" s="23" t="s">
        <v>590</v>
      </c>
      <c r="C238" s="41" t="s">
        <v>591</v>
      </c>
      <c r="D238" s="25" t="s">
        <v>438</v>
      </c>
      <c r="E238" s="19" t="s">
        <v>76</v>
      </c>
      <c r="F238" s="26" t="s">
        <v>197</v>
      </c>
      <c r="G238" s="27">
        <f>SUMIF(物料月初库存!$C$3:$C$303,$B238,物料月初库存!$F$3:$F$303)</f>
        <v>0</v>
      </c>
      <c r="H238" s="28">
        <f>SUMIF(半成品入库明细!$D$2:$D$650,$B238,半成品入库明细!$G$2:$G$650)</f>
        <v>0</v>
      </c>
      <c r="I238" s="28">
        <f ca="1">SUMIF(半成品出库明细!$D$2:$D$558,$B238,半成品出库明细!$G$2:$G$2)</f>
        <v>0</v>
      </c>
      <c r="J238" s="28">
        <f ca="1" t="shared" si="3"/>
        <v>0</v>
      </c>
      <c r="K238" s="20"/>
      <c r="L238" s="3"/>
      <c r="M238" s="3"/>
    </row>
    <row r="239" s="1" customFormat="1" spans="1:13">
      <c r="A239" s="22">
        <v>245</v>
      </c>
      <c r="B239" s="23" t="s">
        <v>592</v>
      </c>
      <c r="C239" s="41" t="s">
        <v>591</v>
      </c>
      <c r="D239" s="25" t="s">
        <v>438</v>
      </c>
      <c r="E239" s="28" t="s">
        <v>254</v>
      </c>
      <c r="F239" s="26" t="s">
        <v>197</v>
      </c>
      <c r="G239" s="27">
        <f>SUMIF(物料月初库存!$C$3:$C$303,$B239,物料月初库存!$F$3:$F$303)</f>
        <v>0</v>
      </c>
      <c r="H239" s="28">
        <f>SUMIF(半成品入库明细!$D$2:$D$650,$B239,半成品入库明细!$G$2:$G$650)</f>
        <v>0</v>
      </c>
      <c r="I239" s="28">
        <f ca="1">SUMIF(半成品出库明细!$D$2:$D$558,$B239,半成品出库明细!$G$2:$G$2)</f>
        <v>0</v>
      </c>
      <c r="J239" s="28">
        <f ca="1" t="shared" si="3"/>
        <v>0</v>
      </c>
      <c r="K239" s="56" t="s">
        <v>593</v>
      </c>
      <c r="L239" s="3"/>
      <c r="M239" s="3"/>
    </row>
    <row r="240" s="1" customFormat="1" spans="1:13">
      <c r="A240" s="22">
        <v>246</v>
      </c>
      <c r="B240" s="23" t="s">
        <v>594</v>
      </c>
      <c r="C240" s="41" t="s">
        <v>591</v>
      </c>
      <c r="D240" s="25" t="s">
        <v>438</v>
      </c>
      <c r="E240" s="19" t="s">
        <v>201</v>
      </c>
      <c r="F240" s="26" t="s">
        <v>197</v>
      </c>
      <c r="G240" s="27">
        <f>SUMIF(物料月初库存!$C$3:$C$303,$B240,物料月初库存!$F$3:$F$303)</f>
        <v>0</v>
      </c>
      <c r="H240" s="28">
        <f>SUMIF(半成品入库明细!$D$2:$D$650,$B240,半成品入库明细!$G$2:$G$650)</f>
        <v>0</v>
      </c>
      <c r="I240" s="28">
        <f ca="1">SUMIF(半成品出库明细!$D$2:$D$558,$B240,半成品出库明细!$G$2:$G$2)</f>
        <v>0</v>
      </c>
      <c r="J240" s="28">
        <f ca="1" t="shared" si="3"/>
        <v>0</v>
      </c>
      <c r="K240" s="55" t="s">
        <v>183</v>
      </c>
      <c r="L240" s="3"/>
      <c r="M240" s="3"/>
    </row>
    <row r="241" s="1" customFormat="1" spans="1:13">
      <c r="A241" s="22">
        <v>247</v>
      </c>
      <c r="B241" s="23" t="s">
        <v>595</v>
      </c>
      <c r="C241" s="41" t="s">
        <v>591</v>
      </c>
      <c r="D241" s="25" t="s">
        <v>438</v>
      </c>
      <c r="E241" s="80" t="s">
        <v>596</v>
      </c>
      <c r="F241" s="26" t="s">
        <v>197</v>
      </c>
      <c r="G241" s="27">
        <f>SUMIF(物料月初库存!$C$3:$C$303,$B241,物料月初库存!$F$3:$F$303)</f>
        <v>0</v>
      </c>
      <c r="H241" s="28">
        <f>SUMIF(半成品入库明细!$D$2:$D$650,$B241,半成品入库明细!$G$2:$G$650)</f>
        <v>0</v>
      </c>
      <c r="I241" s="28">
        <f ca="1">SUMIF(半成品出库明细!$D$2:$D$558,$B241,半成品出库明细!$G$2:$G$2)</f>
        <v>0</v>
      </c>
      <c r="J241" s="28">
        <f ca="1" t="shared" si="3"/>
        <v>0</v>
      </c>
      <c r="K241" s="20"/>
      <c r="L241" s="3"/>
      <c r="M241" s="3"/>
    </row>
    <row r="242" s="1" customFormat="1" spans="1:13">
      <c r="A242" s="22">
        <v>248</v>
      </c>
      <c r="B242" s="23" t="s">
        <v>597</v>
      </c>
      <c r="C242" s="41" t="s">
        <v>598</v>
      </c>
      <c r="D242" s="25" t="s">
        <v>438</v>
      </c>
      <c r="E242" s="19" t="s">
        <v>76</v>
      </c>
      <c r="F242" s="26" t="s">
        <v>197</v>
      </c>
      <c r="G242" s="27">
        <f>SUMIF(物料月初库存!$C$3:$C$303,$B242,物料月初库存!$F$3:$F$303)</f>
        <v>0</v>
      </c>
      <c r="H242" s="28">
        <f>SUMIF(半成品入库明细!$D$2:$D$650,$B242,半成品入库明细!$G$2:$G$650)</f>
        <v>0</v>
      </c>
      <c r="I242" s="28">
        <f ca="1">SUMIF(半成品出库明细!$D$2:$D$558,$B242,半成品出库明细!$G$2:$G$2)</f>
        <v>0</v>
      </c>
      <c r="J242" s="28">
        <f ca="1" t="shared" si="3"/>
        <v>0</v>
      </c>
      <c r="K242" s="20"/>
      <c r="L242" s="3"/>
      <c r="M242" s="3"/>
    </row>
    <row r="243" s="1" customFormat="1" spans="1:13">
      <c r="A243" s="22">
        <v>249</v>
      </c>
      <c r="B243" s="23" t="s">
        <v>599</v>
      </c>
      <c r="C243" s="41" t="s">
        <v>598</v>
      </c>
      <c r="D243" s="25" t="s">
        <v>438</v>
      </c>
      <c r="E243" s="19" t="s">
        <v>199</v>
      </c>
      <c r="F243" s="26" t="s">
        <v>197</v>
      </c>
      <c r="G243" s="27">
        <f>SUMIF(物料月初库存!$C$3:$C$303,$B243,物料月初库存!$F$3:$F$303)</f>
        <v>0</v>
      </c>
      <c r="H243" s="28">
        <f>SUMIF(半成品入库明细!$D$2:$D$650,$B243,半成品入库明细!$G$2:$G$650)</f>
        <v>0</v>
      </c>
      <c r="I243" s="28">
        <f ca="1">SUMIF(半成品出库明细!$D$2:$D$558,$B243,半成品出库明细!$G$2:$G$2)</f>
        <v>0</v>
      </c>
      <c r="J243" s="28">
        <f ca="1" t="shared" si="3"/>
        <v>0</v>
      </c>
      <c r="K243" s="20"/>
      <c r="L243" s="3"/>
      <c r="M243" s="3"/>
    </row>
    <row r="244" s="1" customFormat="1" spans="1:13">
      <c r="A244" s="22">
        <v>250</v>
      </c>
      <c r="B244" s="23" t="s">
        <v>600</v>
      </c>
      <c r="C244" s="41" t="s">
        <v>598</v>
      </c>
      <c r="D244" s="25" t="s">
        <v>438</v>
      </c>
      <c r="E244" s="19" t="s">
        <v>539</v>
      </c>
      <c r="F244" s="26" t="s">
        <v>197</v>
      </c>
      <c r="G244" s="27">
        <f>SUMIF(物料月初库存!$C$3:$C$303,$B244,物料月初库存!$F$3:$F$303)</f>
        <v>0</v>
      </c>
      <c r="H244" s="28">
        <f>SUMIF(半成品入库明细!$D$2:$D$650,$B244,半成品入库明细!$G$2:$G$650)</f>
        <v>0</v>
      </c>
      <c r="I244" s="28">
        <f ca="1">SUMIF(半成品出库明细!$D$2:$D$558,$B244,半成品出库明细!$G$2:$G$2)</f>
        <v>0</v>
      </c>
      <c r="J244" s="28">
        <f ca="1" t="shared" si="3"/>
        <v>0</v>
      </c>
      <c r="K244" s="20" t="s">
        <v>202</v>
      </c>
      <c r="L244" s="3"/>
      <c r="M244" s="3"/>
    </row>
    <row r="245" s="1" customFormat="1" spans="1:13">
      <c r="A245" s="22">
        <v>251</v>
      </c>
      <c r="B245" s="23" t="s">
        <v>601</v>
      </c>
      <c r="C245" s="41" t="s">
        <v>598</v>
      </c>
      <c r="D245" s="25" t="s">
        <v>438</v>
      </c>
      <c r="E245" s="80" t="s">
        <v>596</v>
      </c>
      <c r="F245" s="26" t="s">
        <v>197</v>
      </c>
      <c r="G245" s="27">
        <f>SUMIF(物料月初库存!$C$3:$C$303,$B245,物料月初库存!$F$3:$F$303)</f>
        <v>0</v>
      </c>
      <c r="H245" s="28">
        <f>SUMIF(半成品入库明细!$D$2:$D$650,$B245,半成品入库明细!$G$2:$G$650)</f>
        <v>0</v>
      </c>
      <c r="I245" s="28">
        <f ca="1">SUMIF(半成品出库明细!$D$2:$D$558,$B245,半成品出库明细!$G$2:$G$2)</f>
        <v>0</v>
      </c>
      <c r="J245" s="28">
        <f ca="1" t="shared" si="3"/>
        <v>0</v>
      </c>
      <c r="K245" s="20" t="s">
        <v>602</v>
      </c>
      <c r="L245" s="3"/>
      <c r="M245" s="3"/>
    </row>
    <row r="246" s="1" customFormat="1" spans="1:13">
      <c r="A246" s="22">
        <v>252</v>
      </c>
      <c r="B246" s="23" t="s">
        <v>603</v>
      </c>
      <c r="C246" s="24" t="s">
        <v>604</v>
      </c>
      <c r="D246" s="25" t="s">
        <v>438</v>
      </c>
      <c r="E246" s="19" t="s">
        <v>76</v>
      </c>
      <c r="F246" s="26" t="s">
        <v>197</v>
      </c>
      <c r="G246" s="27">
        <f>SUMIF(物料月初库存!$C$3:$C$303,$B246,物料月初库存!$F$3:$F$303)</f>
        <v>0</v>
      </c>
      <c r="H246" s="28">
        <f>SUMIF(半成品入库明细!$D$2:$D$650,$B246,半成品入库明细!$G$2:$G$650)</f>
        <v>0</v>
      </c>
      <c r="I246" s="28">
        <f ca="1">SUMIF(半成品出库明细!$D$2:$D$558,$B246,半成品出库明细!$G$2:$G$2)</f>
        <v>0</v>
      </c>
      <c r="J246" s="28">
        <f ca="1" t="shared" si="3"/>
        <v>0</v>
      </c>
      <c r="K246" s="20"/>
      <c r="L246" s="3"/>
      <c r="M246" s="3"/>
    </row>
    <row r="247" s="1" customFormat="1" spans="1:13">
      <c r="A247" s="22">
        <v>253</v>
      </c>
      <c r="B247" s="23" t="s">
        <v>605</v>
      </c>
      <c r="C247" s="41" t="s">
        <v>604</v>
      </c>
      <c r="D247" s="25" t="s">
        <v>438</v>
      </c>
      <c r="E247" s="28" t="s">
        <v>326</v>
      </c>
      <c r="F247" s="26" t="s">
        <v>197</v>
      </c>
      <c r="G247" s="27">
        <f>SUMIF(物料月初库存!$C$3:$C$303,$B247,物料月初库存!$F$3:$F$303)</f>
        <v>0</v>
      </c>
      <c r="H247" s="28">
        <f>SUMIF(半成品入库明细!$D$2:$D$650,$B247,半成品入库明细!$G$2:$G$650)</f>
        <v>0</v>
      </c>
      <c r="I247" s="28">
        <f ca="1">SUMIF(半成品出库明细!$D$2:$D$558,$B247,半成品出库明细!$G$2:$G$2)</f>
        <v>0</v>
      </c>
      <c r="J247" s="28">
        <f ca="1" t="shared" si="3"/>
        <v>0</v>
      </c>
      <c r="K247" s="81" t="s">
        <v>495</v>
      </c>
      <c r="L247" s="3"/>
      <c r="M247" s="3"/>
    </row>
    <row r="248" s="1" customFormat="1" spans="1:13">
      <c r="A248" s="22">
        <v>254</v>
      </c>
      <c r="B248" s="23" t="s">
        <v>606</v>
      </c>
      <c r="C248" s="41" t="s">
        <v>604</v>
      </c>
      <c r="D248" s="25" t="s">
        <v>438</v>
      </c>
      <c r="E248" s="50" t="s">
        <v>607</v>
      </c>
      <c r="F248" s="26" t="s">
        <v>197</v>
      </c>
      <c r="G248" s="27">
        <f>SUMIF(物料月初库存!$C$3:$C$303,$B248,物料月初库存!$F$3:$F$303)</f>
        <v>0</v>
      </c>
      <c r="H248" s="28">
        <f>SUMIF(半成品入库明细!$D$2:$D$650,$B248,半成品入库明细!$G$2:$G$650)</f>
        <v>0</v>
      </c>
      <c r="I248" s="28">
        <f ca="1">SUMIF(半成品出库明细!$D$2:$D$558,$B248,半成品出库明细!$G$2:$G$2)</f>
        <v>0</v>
      </c>
      <c r="J248" s="28">
        <f ca="1" t="shared" si="3"/>
        <v>0</v>
      </c>
      <c r="K248" s="82" t="s">
        <v>608</v>
      </c>
      <c r="L248" s="3"/>
      <c r="M248" s="3"/>
    </row>
    <row r="249" s="1" customFormat="1" spans="1:13">
      <c r="A249" s="22">
        <v>256</v>
      </c>
      <c r="B249" s="23" t="s">
        <v>609</v>
      </c>
      <c r="C249" s="41" t="s">
        <v>604</v>
      </c>
      <c r="D249" s="25" t="s">
        <v>438</v>
      </c>
      <c r="E249" s="28" t="s">
        <v>201</v>
      </c>
      <c r="F249" s="26" t="s">
        <v>197</v>
      </c>
      <c r="G249" s="27">
        <f>SUMIF(物料月初库存!$C$3:$C$303,$B249,物料月初库存!$F$3:$F$303)</f>
        <v>0</v>
      </c>
      <c r="H249" s="28">
        <f>SUMIF(半成品入库明细!$D$2:$D$650,$B249,半成品入库明细!$G$2:$G$650)</f>
        <v>0</v>
      </c>
      <c r="I249" s="28">
        <f ca="1">SUMIF(半成品出库明细!$D$2:$D$558,$B249,半成品出库明细!$G$2:$G$2)</f>
        <v>0</v>
      </c>
      <c r="J249" s="28">
        <f ca="1" t="shared" si="3"/>
        <v>0</v>
      </c>
      <c r="K249" s="20"/>
      <c r="L249" s="3"/>
      <c r="M249" s="3"/>
    </row>
    <row r="250" s="1" customFormat="1" spans="1:13">
      <c r="A250" s="22">
        <v>257</v>
      </c>
      <c r="B250" s="23" t="s">
        <v>610</v>
      </c>
      <c r="C250" s="24" t="s">
        <v>611</v>
      </c>
      <c r="D250" s="25" t="s">
        <v>438</v>
      </c>
      <c r="E250" s="19" t="s">
        <v>76</v>
      </c>
      <c r="F250" s="26" t="s">
        <v>197</v>
      </c>
      <c r="G250" s="27">
        <f>SUMIF(物料月初库存!$C$3:$C$303,$B250,物料月初库存!$F$3:$F$303)</f>
        <v>0</v>
      </c>
      <c r="H250" s="28">
        <f>SUMIF(半成品入库明细!$D$2:$D$650,$B250,半成品入库明细!$G$2:$G$650)</f>
        <v>0</v>
      </c>
      <c r="I250" s="28">
        <f ca="1">SUMIF(半成品出库明细!$D$2:$D$558,$B250,半成品出库明细!$G$2:$G$2)</f>
        <v>0</v>
      </c>
      <c r="J250" s="28">
        <f ca="1" t="shared" si="3"/>
        <v>0</v>
      </c>
      <c r="K250" s="20"/>
      <c r="L250" s="3"/>
      <c r="M250" s="3"/>
    </row>
    <row r="251" s="1" customFormat="1" spans="1:13">
      <c r="A251" s="22">
        <v>258</v>
      </c>
      <c r="B251" s="23" t="s">
        <v>11</v>
      </c>
      <c r="C251" s="24" t="s">
        <v>611</v>
      </c>
      <c r="D251" s="25" t="s">
        <v>438</v>
      </c>
      <c r="E251" s="28" t="s">
        <v>326</v>
      </c>
      <c r="F251" s="26" t="s">
        <v>197</v>
      </c>
      <c r="G251" s="27">
        <f>SUMIF(物料月初库存!$C$3:$C$303,$B251,物料月初库存!$F$3:$F$303)</f>
        <v>1380</v>
      </c>
      <c r="H251" s="28">
        <f>SUMIF(半成品入库明细!$D$2:$D$650,$B251,半成品入库明细!$G$2:$G$650)</f>
        <v>0</v>
      </c>
      <c r="I251" s="28">
        <f ca="1">SUMIF(半成品出库明细!$D$2:$D$558,$B251,半成品出库明细!$G$2:$G$2)</f>
        <v>0</v>
      </c>
      <c r="J251" s="28">
        <f ca="1" t="shared" si="3"/>
        <v>1380</v>
      </c>
      <c r="K251" s="83" t="s">
        <v>495</v>
      </c>
      <c r="L251" s="3"/>
      <c r="M251" s="3"/>
    </row>
    <row r="252" s="1" customFormat="1" spans="1:13">
      <c r="A252" s="22">
        <v>259</v>
      </c>
      <c r="B252" s="23" t="s">
        <v>12</v>
      </c>
      <c r="C252" s="24" t="s">
        <v>611</v>
      </c>
      <c r="D252" s="25" t="s">
        <v>438</v>
      </c>
      <c r="E252" s="19" t="s">
        <v>464</v>
      </c>
      <c r="F252" s="26" t="s">
        <v>197</v>
      </c>
      <c r="G252" s="27">
        <f>SUMIF(物料月初库存!$C$3:$C$303,$B252,物料月初库存!$F$3:$F$303)</f>
        <v>799</v>
      </c>
      <c r="H252" s="28">
        <f>SUMIF(半成品入库明细!$D$2:$D$650,$B252,半成品入库明细!$G$2:$G$650)</f>
        <v>0</v>
      </c>
      <c r="I252" s="28">
        <f ca="1">SUMIF(半成品出库明细!$D$2:$D$558,$B252,半成品出库明细!$G$2:$G$2)</f>
        <v>0</v>
      </c>
      <c r="J252" s="28">
        <f ca="1" t="shared" si="3"/>
        <v>799</v>
      </c>
      <c r="K252" s="83"/>
      <c r="L252" s="3"/>
      <c r="M252" s="3"/>
    </row>
    <row r="253" s="1" customFormat="1" spans="1:13">
      <c r="A253" s="22">
        <v>260</v>
      </c>
      <c r="B253" s="23" t="s">
        <v>612</v>
      </c>
      <c r="C253" s="24" t="s">
        <v>611</v>
      </c>
      <c r="D253" s="25" t="s">
        <v>438</v>
      </c>
      <c r="E253" s="28" t="s">
        <v>449</v>
      </c>
      <c r="F253" s="26" t="s">
        <v>197</v>
      </c>
      <c r="G253" s="27">
        <f>SUMIF(物料月初库存!$C$3:$C$303,$B253,物料月初库存!$F$3:$F$303)</f>
        <v>0</v>
      </c>
      <c r="H253" s="28">
        <f>SUMIF(半成品入库明细!$D$2:$D$650,$B253,半成品入库明细!$G$2:$G$650)</f>
        <v>0</v>
      </c>
      <c r="I253" s="28">
        <f ca="1">SUMIF(半成品出库明细!$D$2:$D$558,$B253,半成品出库明细!$G$2:$G$2)</f>
        <v>0</v>
      </c>
      <c r="J253" s="28">
        <f ca="1" t="shared" si="3"/>
        <v>0</v>
      </c>
      <c r="K253" s="20"/>
      <c r="L253" s="3"/>
      <c r="M253" s="3"/>
    </row>
    <row r="254" s="1" customFormat="1" spans="1:13">
      <c r="A254" s="22">
        <v>261</v>
      </c>
      <c r="B254" s="23" t="s">
        <v>613</v>
      </c>
      <c r="C254" s="41" t="s">
        <v>614</v>
      </c>
      <c r="D254" s="25" t="s">
        <v>438</v>
      </c>
      <c r="E254" s="28" t="s">
        <v>76</v>
      </c>
      <c r="F254" s="26" t="s">
        <v>197</v>
      </c>
      <c r="G254" s="27">
        <f>SUMIF(物料月初库存!$C$3:$C$303,$B254,物料月初库存!$F$3:$F$303)</f>
        <v>0</v>
      </c>
      <c r="H254" s="28">
        <f>SUMIF(半成品入库明细!$D$2:$D$650,$B254,半成品入库明细!$G$2:$G$650)</f>
        <v>0</v>
      </c>
      <c r="I254" s="28">
        <f ca="1">SUMIF(半成品出库明细!$D$2:$D$558,$B254,半成品出库明细!$G$2:$G$2)</f>
        <v>0</v>
      </c>
      <c r="J254" s="28">
        <f ca="1" t="shared" si="3"/>
        <v>0</v>
      </c>
      <c r="K254" s="20"/>
      <c r="L254" s="3"/>
      <c r="M254" s="3"/>
    </row>
    <row r="255" s="1" customFormat="1" spans="1:13">
      <c r="A255" s="22">
        <v>262</v>
      </c>
      <c r="B255" s="23" t="s">
        <v>615</v>
      </c>
      <c r="C255" s="41" t="s">
        <v>614</v>
      </c>
      <c r="D255" s="25" t="s">
        <v>438</v>
      </c>
      <c r="E255" s="28" t="s">
        <v>616</v>
      </c>
      <c r="F255" s="26" t="s">
        <v>197</v>
      </c>
      <c r="G255" s="27">
        <f>SUMIF(物料月初库存!$C$3:$C$303,$B255,物料月初库存!$F$3:$F$303)</f>
        <v>0</v>
      </c>
      <c r="H255" s="28">
        <f>SUMIF(半成品入库明细!$D$2:$D$650,$B255,半成品入库明细!$G$2:$G$650)</f>
        <v>0</v>
      </c>
      <c r="I255" s="28">
        <f ca="1">SUMIF(半成品出库明细!$D$2:$D$558,$B255,半成品出库明细!$G$2:$G$2)</f>
        <v>0</v>
      </c>
      <c r="J255" s="28">
        <f ca="1" t="shared" si="3"/>
        <v>0</v>
      </c>
      <c r="K255" s="20"/>
      <c r="L255" s="3"/>
      <c r="M255" s="3"/>
    </row>
    <row r="256" s="1" customFormat="1" spans="1:13">
      <c r="A256" s="22">
        <v>263</v>
      </c>
      <c r="B256" s="23" t="s">
        <v>617</v>
      </c>
      <c r="C256" s="41" t="s">
        <v>614</v>
      </c>
      <c r="D256" s="25" t="s">
        <v>438</v>
      </c>
      <c r="E256" s="28" t="s">
        <v>326</v>
      </c>
      <c r="F256" s="26" t="s">
        <v>197</v>
      </c>
      <c r="G256" s="27">
        <f>SUMIF(物料月初库存!$C$3:$C$303,$B256,物料月初库存!$F$3:$F$303)</f>
        <v>0</v>
      </c>
      <c r="H256" s="28">
        <f>SUMIF(半成品入库明细!$D$2:$D$650,$B256,半成品入库明细!$G$2:$G$650)</f>
        <v>0</v>
      </c>
      <c r="I256" s="28">
        <f ca="1">SUMIF(半成品出库明细!$D$2:$D$558,$B256,半成品出库明细!$G$2:$G$2)</f>
        <v>0</v>
      </c>
      <c r="J256" s="28">
        <f ca="1" t="shared" ref="J256:J281" si="4">G256+H256-I256</f>
        <v>0</v>
      </c>
      <c r="K256" s="20"/>
      <c r="L256" s="3"/>
      <c r="M256" s="3"/>
    </row>
    <row r="257" s="1" customFormat="1" spans="1:13">
      <c r="A257" s="22">
        <v>264</v>
      </c>
      <c r="B257" s="23" t="s">
        <v>618</v>
      </c>
      <c r="C257" s="41" t="s">
        <v>614</v>
      </c>
      <c r="D257" s="25" t="s">
        <v>438</v>
      </c>
      <c r="E257" s="28" t="s">
        <v>316</v>
      </c>
      <c r="F257" s="26" t="s">
        <v>197</v>
      </c>
      <c r="G257" s="27">
        <f>SUMIF(物料月初库存!$C$3:$C$303,$B257,物料月初库存!$F$3:$F$303)</f>
        <v>0</v>
      </c>
      <c r="H257" s="28">
        <f>SUMIF(半成品入库明细!$D$2:$D$650,$B257,半成品入库明细!$G$2:$G$650)</f>
        <v>0</v>
      </c>
      <c r="I257" s="28">
        <f ca="1">SUMIF(半成品出库明细!$D$2:$D$558,$B257,半成品出库明细!$G$2:$G$2)</f>
        <v>0</v>
      </c>
      <c r="J257" s="28">
        <f ca="1" t="shared" si="4"/>
        <v>0</v>
      </c>
      <c r="K257" s="20"/>
      <c r="L257" s="3"/>
      <c r="M257" s="3"/>
    </row>
    <row r="258" s="1" customFormat="1" spans="1:13">
      <c r="A258" s="22">
        <v>265</v>
      </c>
      <c r="B258" s="23" t="s">
        <v>619</v>
      </c>
      <c r="C258" s="41" t="s">
        <v>614</v>
      </c>
      <c r="D258" s="25" t="s">
        <v>438</v>
      </c>
      <c r="E258" s="28" t="s">
        <v>464</v>
      </c>
      <c r="F258" s="26" t="s">
        <v>197</v>
      </c>
      <c r="G258" s="27">
        <f>SUMIF(物料月初库存!$C$3:$C$303,$B258,物料月初库存!$F$3:$F$303)</f>
        <v>0</v>
      </c>
      <c r="H258" s="28">
        <f>SUMIF(半成品入库明细!$D$2:$D$650,$B258,半成品入库明细!$G$2:$G$650)</f>
        <v>0</v>
      </c>
      <c r="I258" s="28">
        <f ca="1">SUMIF(半成品出库明细!$D$2:$D$558,$B258,半成品出库明细!$G$2:$G$2)</f>
        <v>0</v>
      </c>
      <c r="J258" s="28">
        <f ca="1" t="shared" si="4"/>
        <v>0</v>
      </c>
      <c r="K258" s="20"/>
      <c r="L258" s="3"/>
      <c r="M258" s="3"/>
    </row>
    <row r="259" s="1" customFormat="1" spans="1:13">
      <c r="A259" s="22">
        <v>266</v>
      </c>
      <c r="B259" s="23" t="s">
        <v>620</v>
      </c>
      <c r="C259" s="41" t="s">
        <v>614</v>
      </c>
      <c r="D259" s="25" t="s">
        <v>438</v>
      </c>
      <c r="E259" s="28" t="s">
        <v>443</v>
      </c>
      <c r="F259" s="26" t="s">
        <v>197</v>
      </c>
      <c r="G259" s="27">
        <f>SUMIF(物料月初库存!$C$3:$C$303,$B259,物料月初库存!$F$3:$F$303)</f>
        <v>0</v>
      </c>
      <c r="H259" s="28">
        <f>SUMIF(半成品入库明细!$D$2:$D$650,$B259,半成品入库明细!$G$2:$G$650)</f>
        <v>0</v>
      </c>
      <c r="I259" s="28">
        <f ca="1">SUMIF(半成品出库明细!$D$2:$D$558,$B259,半成品出库明细!$G$2:$G$2)</f>
        <v>0</v>
      </c>
      <c r="J259" s="28">
        <f ca="1" t="shared" si="4"/>
        <v>0</v>
      </c>
      <c r="K259" s="20"/>
      <c r="L259" s="3"/>
      <c r="M259" s="3"/>
    </row>
    <row r="260" s="1" customFormat="1" spans="1:13">
      <c r="A260" s="22">
        <v>267</v>
      </c>
      <c r="B260" s="23" t="s">
        <v>621</v>
      </c>
      <c r="C260" s="24" t="s">
        <v>622</v>
      </c>
      <c r="D260" s="25" t="s">
        <v>438</v>
      </c>
      <c r="E260" s="28" t="s">
        <v>76</v>
      </c>
      <c r="F260" s="26" t="s">
        <v>197</v>
      </c>
      <c r="G260" s="27">
        <f>SUMIF(物料月初库存!$C$3:$C$303,$B260,物料月初库存!$F$3:$F$303)</f>
        <v>0</v>
      </c>
      <c r="H260" s="28">
        <f>SUMIF(半成品入库明细!$D$2:$D$650,$B260,半成品入库明细!$G$2:$G$650)</f>
        <v>0</v>
      </c>
      <c r="I260" s="28">
        <f ca="1">SUMIF(半成品出库明细!$D$2:$D$558,$B260,半成品出库明细!$G$2:$G$2)</f>
        <v>0</v>
      </c>
      <c r="J260" s="28">
        <f ca="1" t="shared" si="4"/>
        <v>0</v>
      </c>
      <c r="K260" s="20"/>
      <c r="L260" s="3"/>
      <c r="M260" s="3"/>
    </row>
    <row r="261" s="1" customFormat="1" spans="1:13">
      <c r="A261" s="22">
        <v>268</v>
      </c>
      <c r="B261" s="23" t="s">
        <v>623</v>
      </c>
      <c r="C261" s="41" t="s">
        <v>622</v>
      </c>
      <c r="D261" s="25" t="s">
        <v>438</v>
      </c>
      <c r="E261" s="28" t="s">
        <v>326</v>
      </c>
      <c r="F261" s="26" t="s">
        <v>197</v>
      </c>
      <c r="G261" s="27">
        <f>SUMIF(物料月初库存!$C$3:$C$303,$B261,物料月初库存!$F$3:$F$303)</f>
        <v>0</v>
      </c>
      <c r="H261" s="28">
        <f>SUMIF(半成品入库明细!$D$2:$D$650,$B261,半成品入库明细!$G$2:$G$650)</f>
        <v>0</v>
      </c>
      <c r="I261" s="28">
        <f ca="1">SUMIF(半成品出库明细!$D$2:$D$558,$B261,半成品出库明细!$G$2:$G$2)</f>
        <v>0</v>
      </c>
      <c r="J261" s="28">
        <f ca="1" t="shared" si="4"/>
        <v>0</v>
      </c>
      <c r="K261" s="81" t="s">
        <v>624</v>
      </c>
      <c r="L261" s="3"/>
      <c r="M261" s="3"/>
    </row>
    <row r="262" s="1" customFormat="1" spans="1:13">
      <c r="A262" s="22">
        <v>269</v>
      </c>
      <c r="B262" s="23" t="s">
        <v>625</v>
      </c>
      <c r="C262" s="41" t="s">
        <v>622</v>
      </c>
      <c r="D262" s="25" t="s">
        <v>438</v>
      </c>
      <c r="E262" s="28" t="s">
        <v>464</v>
      </c>
      <c r="F262" s="26" t="s">
        <v>197</v>
      </c>
      <c r="G262" s="27">
        <f>SUMIF(物料月初库存!$C$3:$C$303,$B262,物料月初库存!$F$3:$F$303)</f>
        <v>0</v>
      </c>
      <c r="H262" s="28">
        <f>SUMIF(半成品入库明细!$D$2:$D$650,$B262,半成品入库明细!$G$2:$G$650)</f>
        <v>0</v>
      </c>
      <c r="I262" s="28">
        <f ca="1">SUMIF(半成品出库明细!$D$2:$D$558,$B262,半成品出库明细!$G$2:$G$2)</f>
        <v>0</v>
      </c>
      <c r="J262" s="28">
        <f ca="1" t="shared" si="4"/>
        <v>0</v>
      </c>
      <c r="K262" s="81" t="s">
        <v>624</v>
      </c>
      <c r="L262" s="3"/>
      <c r="M262" s="3"/>
    </row>
    <row r="263" s="1" customFormat="1" spans="1:13">
      <c r="A263" s="22">
        <v>270</v>
      </c>
      <c r="B263" s="23" t="s">
        <v>626</v>
      </c>
      <c r="C263" s="41" t="s">
        <v>622</v>
      </c>
      <c r="D263" s="25" t="s">
        <v>438</v>
      </c>
      <c r="E263" s="28" t="s">
        <v>443</v>
      </c>
      <c r="F263" s="26" t="s">
        <v>197</v>
      </c>
      <c r="G263" s="27">
        <f>SUMIF(物料月初库存!$C$3:$C$303,$B263,物料月初库存!$F$3:$F$303)</f>
        <v>0</v>
      </c>
      <c r="H263" s="28">
        <f>SUMIF(半成品入库明细!$D$2:$D$650,$B263,半成品入库明细!$G$2:$G$650)</f>
        <v>0</v>
      </c>
      <c r="I263" s="28">
        <f ca="1">SUMIF(半成品出库明细!$D$2:$D$558,$B263,半成品出库明细!$G$2:$G$2)</f>
        <v>0</v>
      </c>
      <c r="J263" s="28">
        <f ca="1" t="shared" si="4"/>
        <v>0</v>
      </c>
      <c r="K263" s="20"/>
      <c r="L263" s="3"/>
      <c r="M263" s="3"/>
    </row>
    <row r="264" s="1" customFormat="1" spans="1:13">
      <c r="A264" s="22"/>
      <c r="B264" s="23" t="s">
        <v>627</v>
      </c>
      <c r="C264" s="84" t="s">
        <v>628</v>
      </c>
      <c r="D264" s="25" t="s">
        <v>629</v>
      </c>
      <c r="E264" s="19" t="s">
        <v>76</v>
      </c>
      <c r="F264" s="26" t="s">
        <v>197</v>
      </c>
      <c r="G264" s="27">
        <f>SUMIF(物料月初库存!$C$3:$C$303,$B264,物料月初库存!$F$3:$F$303)</f>
        <v>0</v>
      </c>
      <c r="H264" s="28">
        <f>SUMIF(半成品入库明细!$D$2:$D$650,$B264,半成品入库明细!$G$2:$G$650)</f>
        <v>0</v>
      </c>
      <c r="I264" s="28">
        <f ca="1">SUMIF(半成品出库明细!$D$2:$D$558,$B264,半成品出库明细!$G$2:$G$2)</f>
        <v>0</v>
      </c>
      <c r="J264" s="28">
        <f ca="1" t="shared" si="4"/>
        <v>0</v>
      </c>
      <c r="K264" s="20"/>
      <c r="L264" s="3"/>
      <c r="M264" s="3"/>
    </row>
    <row r="265" s="1" customFormat="1" spans="1:13">
      <c r="A265" s="22"/>
      <c r="B265" s="23" t="s">
        <v>630</v>
      </c>
      <c r="C265" s="84" t="s">
        <v>628</v>
      </c>
      <c r="D265" s="25" t="s">
        <v>629</v>
      </c>
      <c r="E265" s="19" t="s">
        <v>356</v>
      </c>
      <c r="F265" s="26" t="s">
        <v>197</v>
      </c>
      <c r="G265" s="27">
        <f>SUMIF(物料月初库存!$C$3:$C$303,$B265,物料月初库存!$F$3:$F$303)</f>
        <v>0</v>
      </c>
      <c r="H265" s="28">
        <f>SUMIF(半成品入库明细!$D$2:$D$650,$B265,半成品入库明细!$G$2:$G$650)</f>
        <v>0</v>
      </c>
      <c r="I265" s="28">
        <f ca="1">SUMIF(半成品出库明细!$D$2:$D$558,$B265,半成品出库明细!$G$2:$G$2)</f>
        <v>0</v>
      </c>
      <c r="J265" s="28">
        <f ca="1" t="shared" si="4"/>
        <v>0</v>
      </c>
      <c r="K265" s="20" t="s">
        <v>113</v>
      </c>
      <c r="L265" s="3"/>
      <c r="M265" s="3"/>
    </row>
    <row r="266" s="1" customFormat="1" spans="1:13">
      <c r="A266" s="22"/>
      <c r="B266" s="23" t="s">
        <v>631</v>
      </c>
      <c r="C266" s="84" t="s">
        <v>628</v>
      </c>
      <c r="D266" s="25" t="s">
        <v>629</v>
      </c>
      <c r="E266" s="19" t="s">
        <v>225</v>
      </c>
      <c r="F266" s="26" t="s">
        <v>197</v>
      </c>
      <c r="G266" s="27">
        <f>SUMIF(物料月初库存!$C$3:$C$303,$B266,物料月初库存!$F$3:$F$303)</f>
        <v>0</v>
      </c>
      <c r="H266" s="28">
        <f>SUMIF(半成品入库明细!$D$2:$D$650,$B266,半成品入库明细!$G$2:$G$650)</f>
        <v>0</v>
      </c>
      <c r="I266" s="28">
        <f ca="1">SUMIF(半成品出库明细!$D$2:$D$558,$B266,半成品出库明细!$G$2:$G$2)</f>
        <v>0</v>
      </c>
      <c r="J266" s="28">
        <f ca="1" t="shared" si="4"/>
        <v>0</v>
      </c>
      <c r="K266" s="85" t="s">
        <v>632</v>
      </c>
      <c r="L266" s="3"/>
      <c r="M266" s="3"/>
    </row>
    <row r="267" s="1" customFormat="1" spans="1:13">
      <c r="A267" s="22"/>
      <c r="B267" s="23" t="s">
        <v>633</v>
      </c>
      <c r="C267" s="84" t="s">
        <v>628</v>
      </c>
      <c r="D267" s="25" t="s">
        <v>629</v>
      </c>
      <c r="E267" s="19" t="s">
        <v>353</v>
      </c>
      <c r="F267" s="26" t="s">
        <v>197</v>
      </c>
      <c r="G267" s="27">
        <f>SUMIF(物料月初库存!$C$3:$C$303,$B267,物料月初库存!$F$3:$F$303)</f>
        <v>0</v>
      </c>
      <c r="H267" s="28">
        <f>SUMIF(半成品入库明细!$D$2:$D$650,$B267,半成品入库明细!$G$2:$G$650)</f>
        <v>0</v>
      </c>
      <c r="I267" s="28">
        <f ca="1">SUMIF(半成品出库明细!$D$2:$D$558,$B267,半成品出库明细!$G$2:$G$2)</f>
        <v>0</v>
      </c>
      <c r="J267" s="28">
        <f ca="1" t="shared" si="4"/>
        <v>0</v>
      </c>
      <c r="K267" s="85" t="s">
        <v>634</v>
      </c>
      <c r="L267" s="3"/>
      <c r="M267" s="3"/>
    </row>
    <row r="268" s="1" customFormat="1" ht="15" customHeight="1" spans="1:13">
      <c r="A268" s="22"/>
      <c r="B268" s="23" t="s">
        <v>635</v>
      </c>
      <c r="C268" s="24" t="s">
        <v>636</v>
      </c>
      <c r="D268" s="25" t="s">
        <v>637</v>
      </c>
      <c r="E268" s="19" t="s">
        <v>76</v>
      </c>
      <c r="F268" s="26" t="s">
        <v>197</v>
      </c>
      <c r="G268" s="27">
        <f>SUMIF(物料月初库存!$C$3:$C$303,$B268,物料月初库存!$F$3:$F$303)</f>
        <v>0</v>
      </c>
      <c r="H268" s="28">
        <f>SUMIF(半成品入库明细!$D$2:$D$650,$B268,半成品入库明细!$G$2:$G$650)</f>
        <v>0</v>
      </c>
      <c r="I268" s="28">
        <f ca="1">SUMIF(半成品出库明细!$D$2:$D$558,$B268,半成品出库明细!$G$2:$G$2)</f>
        <v>0</v>
      </c>
      <c r="J268" s="28">
        <f ca="1" t="shared" si="4"/>
        <v>0</v>
      </c>
      <c r="K268" s="55"/>
      <c r="L268" s="3"/>
      <c r="M268" s="3"/>
    </row>
    <row r="269" s="1" customFormat="1" spans="1:13">
      <c r="A269" s="22"/>
      <c r="B269" s="23" t="s">
        <v>638</v>
      </c>
      <c r="C269" s="24" t="s">
        <v>636</v>
      </c>
      <c r="D269" s="25" t="s">
        <v>637</v>
      </c>
      <c r="E269" s="19" t="s">
        <v>256</v>
      </c>
      <c r="F269" s="26" t="s">
        <v>197</v>
      </c>
      <c r="G269" s="27">
        <f>SUMIF(物料月初库存!$C$3:$C$303,$B269,物料月初库存!$F$3:$F$303)</f>
        <v>0</v>
      </c>
      <c r="H269" s="28">
        <f>SUMIF(半成品入库明细!$D$2:$D$650,$B269,半成品入库明细!$G$2:$G$650)</f>
        <v>0</v>
      </c>
      <c r="I269" s="28">
        <f ca="1">SUMIF(半成品出库明细!$D$2:$D$558,$B269,半成品出库明细!$G$2:$G$2)</f>
        <v>0</v>
      </c>
      <c r="J269" s="28">
        <f ca="1" t="shared" si="4"/>
        <v>0</v>
      </c>
      <c r="K269" s="55"/>
      <c r="L269" s="3"/>
      <c r="M269" s="3"/>
    </row>
    <row r="270" s="1" customFormat="1" spans="1:13">
      <c r="A270" s="22"/>
      <c r="B270" s="23" t="s">
        <v>639</v>
      </c>
      <c r="C270" s="24" t="s">
        <v>640</v>
      </c>
      <c r="D270" s="25" t="s">
        <v>641</v>
      </c>
      <c r="E270" s="19" t="s">
        <v>76</v>
      </c>
      <c r="F270" s="26" t="s">
        <v>197</v>
      </c>
      <c r="G270" s="27">
        <f>SUMIF(物料月初库存!$C$3:$C$303,$B270,物料月初库存!$F$3:$F$303)</f>
        <v>0</v>
      </c>
      <c r="H270" s="28">
        <f>SUMIF(半成品入库明细!$D$2:$D$650,$B270,半成品入库明细!$G$2:$G$650)</f>
        <v>0</v>
      </c>
      <c r="I270" s="28">
        <f ca="1">SUMIF(半成品出库明细!$D$2:$D$558,$B270,半成品出库明细!$G$2:$G$2)</f>
        <v>0</v>
      </c>
      <c r="J270" s="28">
        <f ca="1" t="shared" si="4"/>
        <v>0</v>
      </c>
      <c r="K270" s="55">
        <v>1</v>
      </c>
      <c r="L270" s="86" t="s">
        <v>642</v>
      </c>
      <c r="M270" s="3"/>
    </row>
    <row r="271" s="1" customFormat="1" spans="1:13">
      <c r="A271" s="22"/>
      <c r="B271" s="36" t="s">
        <v>643</v>
      </c>
      <c r="C271" s="87" t="s">
        <v>640</v>
      </c>
      <c r="D271" s="33" t="s">
        <v>641</v>
      </c>
      <c r="E271" s="37" t="s">
        <v>644</v>
      </c>
      <c r="F271" s="38" t="s">
        <v>197</v>
      </c>
      <c r="G271" s="39">
        <f>SUMIF(物料月初库存!$C$3:$C$303,$B271,物料月初库存!$F$3:$F$303)</f>
        <v>0</v>
      </c>
      <c r="H271" s="40">
        <f>SUMIF(半成品入库明细!$D$2:$D$650,$B271,半成品入库明细!$G$2:$G$650)</f>
        <v>0</v>
      </c>
      <c r="I271" s="40">
        <f ca="1">SUMIF(半成品出库明细!$D$2:$D$558,$B271,半成品出库明细!$G$2:$G$2)</f>
        <v>0</v>
      </c>
      <c r="J271" s="40">
        <f ca="1" t="shared" si="4"/>
        <v>0</v>
      </c>
      <c r="K271" s="88" t="s">
        <v>645</v>
      </c>
      <c r="L271" s="89">
        <v>3</v>
      </c>
      <c r="M271" s="3"/>
    </row>
    <row r="272" s="1" customFormat="1" spans="1:13">
      <c r="A272" s="22"/>
      <c r="B272" s="23" t="s">
        <v>646</v>
      </c>
      <c r="C272" s="24" t="s">
        <v>640</v>
      </c>
      <c r="D272" s="25" t="s">
        <v>641</v>
      </c>
      <c r="E272" s="19" t="s">
        <v>647</v>
      </c>
      <c r="F272" s="26" t="s">
        <v>197</v>
      </c>
      <c r="G272" s="27">
        <f>SUMIF(物料月初库存!$C$3:$C$303,$B272,物料月初库存!$F$3:$F$303)</f>
        <v>0</v>
      </c>
      <c r="H272" s="28">
        <f>SUMIF(半成品入库明细!$D$2:$D$650,$B272,半成品入库明细!$G$2:$G$650)</f>
        <v>0</v>
      </c>
      <c r="I272" s="28">
        <f ca="1">SUMIF(半成品出库明细!$D$2:$D$558,$B272,半成品出库明细!$G$2:$G$2)</f>
        <v>0</v>
      </c>
      <c r="J272" s="28">
        <f ca="1" t="shared" si="4"/>
        <v>0</v>
      </c>
      <c r="K272" s="90" t="s">
        <v>648</v>
      </c>
      <c r="L272" s="89">
        <v>2</v>
      </c>
      <c r="M272" s="3"/>
    </row>
    <row r="273" s="1" customFormat="1" ht="18" customHeight="1" spans="1:13">
      <c r="A273" s="22"/>
      <c r="B273" s="23" t="s">
        <v>649</v>
      </c>
      <c r="C273" s="24" t="s">
        <v>640</v>
      </c>
      <c r="D273" s="25" t="s">
        <v>641</v>
      </c>
      <c r="E273" s="19" t="s">
        <v>650</v>
      </c>
      <c r="F273" s="26" t="s">
        <v>197</v>
      </c>
      <c r="G273" s="27">
        <f>SUMIF(物料月初库存!$C$3:$C$303,$B273,物料月初库存!$F$3:$F$303)</f>
        <v>0</v>
      </c>
      <c r="H273" s="28">
        <f>SUMIF(半成品入库明细!$D$2:$D$650,$B273,半成品入库明细!$G$2:$G$650)</f>
        <v>0</v>
      </c>
      <c r="I273" s="28">
        <f ca="1">SUMIF(半成品出库明细!$D$2:$D$558,$B273,半成品出库明细!$G$2:$G$2)</f>
        <v>0</v>
      </c>
      <c r="J273" s="28">
        <f ca="1" t="shared" si="4"/>
        <v>0</v>
      </c>
      <c r="K273" s="55" t="s">
        <v>651</v>
      </c>
      <c r="L273" s="89">
        <v>4</v>
      </c>
      <c r="M273" s="3"/>
    </row>
    <row r="274" s="1" customFormat="1" spans="1:13">
      <c r="A274" s="22"/>
      <c r="B274" s="23" t="s">
        <v>652</v>
      </c>
      <c r="C274" s="24" t="s">
        <v>640</v>
      </c>
      <c r="D274" s="25" t="s">
        <v>641</v>
      </c>
      <c r="E274" s="19" t="s">
        <v>201</v>
      </c>
      <c r="F274" s="26" t="s">
        <v>197</v>
      </c>
      <c r="G274" s="27">
        <f>SUMIF(物料月初库存!$C$3:$C$303,$B274,物料月初库存!$F$3:$F$303)</f>
        <v>0</v>
      </c>
      <c r="H274" s="28">
        <f>SUMIF(半成品入库明细!$D$2:$D$650,$B274,半成品入库明细!$G$2:$G$650)</f>
        <v>0</v>
      </c>
      <c r="I274" s="28">
        <f ca="1">SUMIF(半成品出库明细!$D$2:$D$558,$B274,半成品出库明细!$G$2:$G$2)</f>
        <v>0</v>
      </c>
      <c r="J274" s="28">
        <f ca="1" t="shared" si="4"/>
        <v>0</v>
      </c>
      <c r="K274" s="55" t="s">
        <v>183</v>
      </c>
      <c r="L274" s="89">
        <v>5</v>
      </c>
      <c r="M274" s="3"/>
    </row>
    <row r="275" s="1" customFormat="1" spans="1:13">
      <c r="A275" s="22"/>
      <c r="B275" s="23" t="s">
        <v>653</v>
      </c>
      <c r="C275" s="24" t="s">
        <v>640</v>
      </c>
      <c r="D275" s="25" t="s">
        <v>641</v>
      </c>
      <c r="E275" s="19" t="s">
        <v>256</v>
      </c>
      <c r="F275" s="26" t="s">
        <v>197</v>
      </c>
      <c r="G275" s="27">
        <f>SUMIF(物料月初库存!$C$3:$C$303,$B275,物料月初库存!$F$3:$F$303)</f>
        <v>0</v>
      </c>
      <c r="H275" s="28">
        <f>SUMIF(半成品入库明细!$D$2:$D$650,$B275,半成品入库明细!$G$2:$G$650)</f>
        <v>0</v>
      </c>
      <c r="I275" s="28">
        <f ca="1">SUMIF(半成品出库明细!$D$2:$D$558,$B275,半成品出库明细!$G$2:$G$2)</f>
        <v>0</v>
      </c>
      <c r="J275" s="28">
        <f ca="1" t="shared" si="4"/>
        <v>0</v>
      </c>
      <c r="K275" s="55" t="s">
        <v>654</v>
      </c>
      <c r="L275" s="89">
        <v>6</v>
      </c>
      <c r="M275" s="3"/>
    </row>
    <row r="276" s="1" customFormat="1" spans="1:13">
      <c r="A276" s="22"/>
      <c r="B276" s="23" t="s">
        <v>655</v>
      </c>
      <c r="C276" s="24" t="s">
        <v>656</v>
      </c>
      <c r="D276" s="25" t="s">
        <v>641</v>
      </c>
      <c r="E276" s="19" t="s">
        <v>76</v>
      </c>
      <c r="F276" s="26" t="s">
        <v>197</v>
      </c>
      <c r="G276" s="27">
        <f>SUMIF(物料月初库存!$C$3:$C$303,$B276,物料月初库存!$F$3:$F$303)</f>
        <v>0</v>
      </c>
      <c r="H276" s="28">
        <f>SUMIF(半成品入库明细!$D$2:$D$650,$B276,半成品入库明细!$G$2:$G$650)</f>
        <v>0</v>
      </c>
      <c r="I276" s="28">
        <f ca="1">SUMIF(半成品出库明细!$D$2:$D$558,$B276,半成品出库明细!$G$2:$G$2)</f>
        <v>0</v>
      </c>
      <c r="J276" s="28">
        <f ca="1" t="shared" si="4"/>
        <v>0</v>
      </c>
      <c r="K276" s="55">
        <v>1</v>
      </c>
      <c r="L276" s="3"/>
      <c r="M276" s="3"/>
    </row>
    <row r="277" s="1" customFormat="1" spans="1:13">
      <c r="A277" s="22"/>
      <c r="B277" s="23" t="s">
        <v>657</v>
      </c>
      <c r="C277" s="24" t="s">
        <v>656</v>
      </c>
      <c r="D277" s="25" t="s">
        <v>641</v>
      </c>
      <c r="E277" s="19" t="s">
        <v>647</v>
      </c>
      <c r="F277" s="26" t="s">
        <v>197</v>
      </c>
      <c r="G277" s="27">
        <f>SUMIF(物料月初库存!$C$3:$C$303,$B277,物料月初库存!$F$3:$F$303)</f>
        <v>0</v>
      </c>
      <c r="H277" s="28">
        <f>SUMIF(半成品入库明细!$D$2:$D$650,$B277,半成品入库明细!$G$2:$G$650)</f>
        <v>0</v>
      </c>
      <c r="I277" s="28">
        <f ca="1">SUMIF(半成品出库明细!$D$2:$D$558,$B277,半成品出库明细!$G$2:$G$2)</f>
        <v>0</v>
      </c>
      <c r="J277" s="28">
        <f ca="1" t="shared" si="4"/>
        <v>0</v>
      </c>
      <c r="K277" s="90" t="s">
        <v>658</v>
      </c>
      <c r="L277" s="3"/>
      <c r="M277" s="3"/>
    </row>
    <row r="278" s="1" customFormat="1" spans="1:13">
      <c r="A278" s="22"/>
      <c r="B278" s="23" t="s">
        <v>659</v>
      </c>
      <c r="C278" s="24" t="s">
        <v>656</v>
      </c>
      <c r="D278" s="25" t="s">
        <v>641</v>
      </c>
      <c r="E278" s="19" t="s">
        <v>650</v>
      </c>
      <c r="F278" s="26" t="s">
        <v>197</v>
      </c>
      <c r="G278" s="27">
        <f>SUMIF(物料月初库存!$C$3:$C$303,$B278,物料月初库存!$F$3:$F$303)</f>
        <v>0</v>
      </c>
      <c r="H278" s="28">
        <f>SUMIF(半成品入库明细!$D$2:$D$650,$B278,半成品入库明细!$G$2:$G$650)</f>
        <v>0</v>
      </c>
      <c r="I278" s="28">
        <f ca="1">SUMIF(半成品出库明细!$D$2:$D$558,$B278,半成品出库明细!$G$2:$G$2)</f>
        <v>0</v>
      </c>
      <c r="J278" s="28">
        <f ca="1" t="shared" si="4"/>
        <v>0</v>
      </c>
      <c r="K278" s="32" t="s">
        <v>660</v>
      </c>
      <c r="L278" s="3"/>
      <c r="M278" s="3"/>
    </row>
    <row r="279" s="1" customFormat="1" spans="1:13">
      <c r="A279" s="22"/>
      <c r="B279" s="23" t="s">
        <v>661</v>
      </c>
      <c r="C279" s="24" t="s">
        <v>656</v>
      </c>
      <c r="D279" s="25" t="s">
        <v>641</v>
      </c>
      <c r="E279" s="19" t="s">
        <v>449</v>
      </c>
      <c r="F279" s="26" t="s">
        <v>197</v>
      </c>
      <c r="G279" s="27">
        <f>SUMIF(物料月初库存!$C$3:$C$303,$B279,物料月初库存!$F$3:$F$303)</f>
        <v>0</v>
      </c>
      <c r="H279" s="28">
        <f>SUMIF(半成品入库明细!$D$2:$D$650,$B279,半成品入库明细!$G$2:$G$650)</f>
        <v>0</v>
      </c>
      <c r="I279" s="28">
        <f ca="1">SUMIF(半成品出库明细!$D$2:$D$558,$B279,半成品出库明细!$G$2:$G$2)</f>
        <v>0</v>
      </c>
      <c r="J279" s="28">
        <f ca="1" t="shared" si="4"/>
        <v>0</v>
      </c>
      <c r="K279" s="55" t="s">
        <v>183</v>
      </c>
      <c r="L279" s="3"/>
      <c r="M279" s="3"/>
    </row>
    <row r="280" s="1" customFormat="1" spans="1:13">
      <c r="A280" s="22"/>
      <c r="B280" s="23" t="s">
        <v>662</v>
      </c>
      <c r="C280" s="84" t="s">
        <v>663</v>
      </c>
      <c r="D280" s="25" t="s">
        <v>629</v>
      </c>
      <c r="E280" s="19" t="s">
        <v>76</v>
      </c>
      <c r="F280" s="26" t="s">
        <v>197</v>
      </c>
      <c r="G280" s="27">
        <f>SUMIF(物料月初库存!$C$3:$C$303,$B280,物料月初库存!$F$3:$F$303)</f>
        <v>0</v>
      </c>
      <c r="H280" s="28">
        <f>SUMIF(半成品入库明细!$D$2:$D$650,$B280,半成品入库明细!$G$2:$G$650)</f>
        <v>0</v>
      </c>
      <c r="I280" s="28">
        <f ca="1">SUMIF(半成品出库明细!$D$2:$D$558,$B280,半成品出库明细!$G$2:$G$2)</f>
        <v>0</v>
      </c>
      <c r="J280" s="28">
        <f ca="1" t="shared" si="4"/>
        <v>0</v>
      </c>
      <c r="K280" s="55"/>
      <c r="L280" s="3"/>
      <c r="M280" s="3"/>
    </row>
    <row r="281" s="1" customFormat="1" spans="1:13">
      <c r="A281" s="22"/>
      <c r="B281" s="23" t="s">
        <v>664</v>
      </c>
      <c r="C281" s="84" t="s">
        <v>663</v>
      </c>
      <c r="D281" s="25" t="s">
        <v>629</v>
      </c>
      <c r="E281" s="19" t="s">
        <v>225</v>
      </c>
      <c r="F281" s="26" t="s">
        <v>197</v>
      </c>
      <c r="G281" s="27">
        <f>SUMIF(物料月初库存!$C$3:$C$303,$B281,物料月初库存!$F$3:$F$303)</f>
        <v>0</v>
      </c>
      <c r="H281" s="28">
        <f>SUMIF(半成品入库明细!$D$2:$D$650,$B281,半成品入库明细!$G$2:$G$650)</f>
        <v>0</v>
      </c>
      <c r="I281" s="28">
        <f ca="1">SUMIF(半成品出库明细!$D$2:$D$558,$B281,半成品出库明细!$G$2:$G$2)</f>
        <v>0</v>
      </c>
      <c r="J281" s="28">
        <f ca="1" t="shared" si="4"/>
        <v>0</v>
      </c>
      <c r="K281" s="55" t="s">
        <v>92</v>
      </c>
      <c r="L281" s="3"/>
      <c r="M281" s="3"/>
    </row>
    <row r="282" s="1" customFormat="1" spans="1:13">
      <c r="A282" s="22"/>
      <c r="B282" s="23" t="s">
        <v>665</v>
      </c>
      <c r="C282" s="84" t="s">
        <v>663</v>
      </c>
      <c r="D282" s="25" t="s">
        <v>629</v>
      </c>
      <c r="E282" s="19" t="s">
        <v>316</v>
      </c>
      <c r="F282" s="26" t="s">
        <v>197</v>
      </c>
      <c r="G282" s="27">
        <f>SUMIF(物料月初库存!$C$3:$C$303,$B282,物料月初库存!$F$3:$F$303)</f>
        <v>0</v>
      </c>
      <c r="H282" s="28">
        <f>SUMIF(半成品入库明细!$D$2:$D$650,$B282,半成品入库明细!$G$2:$G$650)</f>
        <v>0</v>
      </c>
      <c r="I282" s="28">
        <f ca="1">SUMIF(半成品出库明细!$D$2:$D$558,$B282,半成品出库明细!$G$2:$G$2)</f>
        <v>0</v>
      </c>
      <c r="J282" s="28">
        <f ca="1" t="shared" ref="J282:J327" si="5">G282+H282-I282</f>
        <v>0</v>
      </c>
      <c r="K282" s="55" t="s">
        <v>666</v>
      </c>
      <c r="L282" s="3"/>
      <c r="M282" s="3"/>
    </row>
    <row r="283" s="1" customFormat="1" spans="1:13">
      <c r="A283" s="22"/>
      <c r="B283" s="23" t="s">
        <v>667</v>
      </c>
      <c r="C283" s="84" t="s">
        <v>668</v>
      </c>
      <c r="D283" s="25" t="s">
        <v>629</v>
      </c>
      <c r="E283" s="19" t="s">
        <v>76</v>
      </c>
      <c r="F283" s="26" t="s">
        <v>197</v>
      </c>
      <c r="G283" s="27">
        <f>SUMIF(物料月初库存!$C$3:$C$303,$B283,物料月初库存!$F$3:$F$303)</f>
        <v>0</v>
      </c>
      <c r="H283" s="28">
        <f>SUMIF(半成品入库明细!$D$2:$D$650,$B283,半成品入库明细!$G$2:$G$650)</f>
        <v>0</v>
      </c>
      <c r="I283" s="28">
        <f ca="1">SUMIF(半成品出库明细!$D$2:$D$558,$B283,半成品出库明细!$G$2:$G$2)</f>
        <v>0</v>
      </c>
      <c r="J283" s="28">
        <f ca="1" t="shared" si="5"/>
        <v>0</v>
      </c>
      <c r="K283" s="55"/>
      <c r="L283" s="3"/>
      <c r="M283" s="3"/>
    </row>
    <row r="284" s="1" customFormat="1" spans="1:13">
      <c r="A284" s="22"/>
      <c r="B284" s="23" t="s">
        <v>669</v>
      </c>
      <c r="C284" s="84" t="s">
        <v>668</v>
      </c>
      <c r="D284" s="25" t="s">
        <v>629</v>
      </c>
      <c r="E284" s="19" t="s">
        <v>670</v>
      </c>
      <c r="F284" s="26" t="s">
        <v>197</v>
      </c>
      <c r="G284" s="27">
        <f>SUMIF(物料月初库存!$C$3:$C$303,$B284,物料月初库存!$F$3:$F$303)</f>
        <v>0</v>
      </c>
      <c r="H284" s="28">
        <f>SUMIF(半成品入库明细!$D$2:$D$650,$B284,半成品入库明细!$G$2:$G$650)</f>
        <v>0</v>
      </c>
      <c r="I284" s="28">
        <f ca="1">SUMIF(半成品出库明细!$D$2:$D$558,$B284,半成品出库明细!$G$2:$G$2)</f>
        <v>0</v>
      </c>
      <c r="J284" s="28">
        <f ca="1" t="shared" si="5"/>
        <v>0</v>
      </c>
      <c r="K284" s="79" t="s">
        <v>671</v>
      </c>
      <c r="L284" s="3"/>
      <c r="M284" s="3"/>
    </row>
    <row r="285" s="1" customFormat="1" spans="1:13">
      <c r="A285" s="22"/>
      <c r="B285" s="23" t="s">
        <v>672</v>
      </c>
      <c r="C285" s="84" t="s">
        <v>668</v>
      </c>
      <c r="D285" s="25" t="s">
        <v>629</v>
      </c>
      <c r="E285" s="19" t="s">
        <v>225</v>
      </c>
      <c r="F285" s="26" t="s">
        <v>197</v>
      </c>
      <c r="G285" s="27">
        <f>SUMIF(物料月初库存!$C$3:$C$303,$B285,物料月初库存!$F$3:$F$303)</f>
        <v>0</v>
      </c>
      <c r="H285" s="28">
        <f>SUMIF(半成品入库明细!$D$2:$D$650,$B285,半成品入库明细!$G$2:$G$650)</f>
        <v>0</v>
      </c>
      <c r="I285" s="28">
        <f ca="1">SUMIF(半成品出库明细!$D$2:$D$558,$B285,半成品出库明细!$G$2:$G$2)</f>
        <v>0</v>
      </c>
      <c r="J285" s="28">
        <f ca="1" t="shared" si="5"/>
        <v>0</v>
      </c>
      <c r="K285" s="55" t="s">
        <v>92</v>
      </c>
      <c r="L285" s="3"/>
      <c r="M285" s="3"/>
    </row>
    <row r="286" s="1" customFormat="1" spans="1:13">
      <c r="A286" s="22"/>
      <c r="B286" s="23" t="s">
        <v>673</v>
      </c>
      <c r="C286" s="84" t="s">
        <v>668</v>
      </c>
      <c r="D286" s="25" t="s">
        <v>629</v>
      </c>
      <c r="E286" s="19" t="s">
        <v>353</v>
      </c>
      <c r="F286" s="26" t="s">
        <v>197</v>
      </c>
      <c r="G286" s="27">
        <f>SUMIF(物料月初库存!$C$3:$C$303,$B286,物料月初库存!$F$3:$F$303)</f>
        <v>0</v>
      </c>
      <c r="H286" s="28">
        <f>SUMIF(半成品入库明细!$D$2:$D$650,$B286,半成品入库明细!$G$2:$G$650)</f>
        <v>0</v>
      </c>
      <c r="I286" s="28">
        <f ca="1">SUMIF(半成品出库明细!$D$2:$D$558,$B286,半成品出库明细!$G$2:$G$2)</f>
        <v>0</v>
      </c>
      <c r="J286" s="28">
        <f ca="1" t="shared" si="5"/>
        <v>0</v>
      </c>
      <c r="K286" s="55" t="s">
        <v>674</v>
      </c>
      <c r="L286" s="3"/>
      <c r="M286" s="3"/>
    </row>
    <row r="287" s="1" customFormat="1" spans="1:13">
      <c r="A287" s="22"/>
      <c r="B287" s="23" t="s">
        <v>675</v>
      </c>
      <c r="C287" s="84" t="s">
        <v>676</v>
      </c>
      <c r="D287" s="25" t="s">
        <v>629</v>
      </c>
      <c r="E287" s="19" t="s">
        <v>76</v>
      </c>
      <c r="F287" s="26" t="s">
        <v>197</v>
      </c>
      <c r="G287" s="27">
        <f>SUMIF(物料月初库存!$C$3:$C$303,$B287,物料月初库存!$F$3:$F$303)</f>
        <v>0</v>
      </c>
      <c r="H287" s="28">
        <f>SUMIF(半成品入库明细!$D$2:$D$650,$B287,半成品入库明细!$G$2:$G$650)</f>
        <v>0</v>
      </c>
      <c r="I287" s="28">
        <f ca="1">SUMIF(半成品出库明细!$D$2:$D$558,$B287,半成品出库明细!$G$2:$G$2)</f>
        <v>0</v>
      </c>
      <c r="J287" s="28">
        <f ca="1" t="shared" si="5"/>
        <v>0</v>
      </c>
      <c r="K287" s="55"/>
      <c r="L287" s="3"/>
      <c r="M287" s="3"/>
    </row>
    <row r="288" s="1" customFormat="1" spans="1:13">
      <c r="A288" s="22"/>
      <c r="B288" s="23" t="s">
        <v>677</v>
      </c>
      <c r="C288" s="84" t="s">
        <v>676</v>
      </c>
      <c r="D288" s="25" t="s">
        <v>629</v>
      </c>
      <c r="E288" s="19" t="s">
        <v>225</v>
      </c>
      <c r="F288" s="26" t="s">
        <v>197</v>
      </c>
      <c r="G288" s="27">
        <f>SUMIF(物料月初库存!$C$3:$C$303,$B288,物料月初库存!$F$3:$F$303)</f>
        <v>0</v>
      </c>
      <c r="H288" s="28">
        <f>SUMIF(半成品入库明细!$D$2:$D$650,$B288,半成品入库明细!$G$2:$G$650)</f>
        <v>0</v>
      </c>
      <c r="I288" s="28">
        <f ca="1">SUMIF(半成品出库明细!$D$2:$D$558,$B288,半成品出库明细!$G$2:$G$2)</f>
        <v>0</v>
      </c>
      <c r="J288" s="28">
        <f ca="1" t="shared" si="5"/>
        <v>0</v>
      </c>
      <c r="K288" s="55" t="s">
        <v>92</v>
      </c>
      <c r="L288" s="3"/>
      <c r="M288" s="3"/>
    </row>
    <row r="289" s="1" customFormat="1" spans="1:13">
      <c r="A289" s="22"/>
      <c r="B289" s="23" t="s">
        <v>678</v>
      </c>
      <c r="C289" s="84" t="s">
        <v>676</v>
      </c>
      <c r="D289" s="25" t="s">
        <v>629</v>
      </c>
      <c r="E289" s="19" t="s">
        <v>353</v>
      </c>
      <c r="F289" s="26" t="s">
        <v>197</v>
      </c>
      <c r="G289" s="27">
        <f>SUMIF(物料月初库存!$C$3:$C$303,$B289,物料月初库存!$F$3:$F$303)</f>
        <v>0</v>
      </c>
      <c r="H289" s="28">
        <f>SUMIF(半成品入库明细!$D$2:$D$650,$B289,半成品入库明细!$G$2:$G$650)</f>
        <v>0</v>
      </c>
      <c r="I289" s="28">
        <f ca="1">SUMIF(半成品出库明细!$D$2:$D$558,$B289,半成品出库明细!$G$2:$G$2)</f>
        <v>0</v>
      </c>
      <c r="J289" s="28">
        <f ca="1" t="shared" si="5"/>
        <v>0</v>
      </c>
      <c r="K289" s="55" t="s">
        <v>674</v>
      </c>
      <c r="L289" s="3"/>
      <c r="M289" s="3"/>
    </row>
    <row r="290" s="1" customFormat="1" spans="1:13">
      <c r="A290" s="22"/>
      <c r="B290" s="23" t="s">
        <v>679</v>
      </c>
      <c r="C290" s="84" t="s">
        <v>680</v>
      </c>
      <c r="D290" s="25" t="s">
        <v>629</v>
      </c>
      <c r="E290" s="19" t="s">
        <v>76</v>
      </c>
      <c r="F290" s="26" t="s">
        <v>197</v>
      </c>
      <c r="G290" s="27">
        <f>SUMIF(物料月初库存!$C$3:$C$303,$B290,物料月初库存!$F$3:$F$303)</f>
        <v>0</v>
      </c>
      <c r="H290" s="28">
        <f>SUMIF(半成品入库明细!$D$2:$D$650,$B290,半成品入库明细!$G$2:$G$650)</f>
        <v>0</v>
      </c>
      <c r="I290" s="28">
        <f ca="1">SUMIF(半成品出库明细!$D$2:$D$558,$B290,半成品出库明细!$G$2:$G$2)</f>
        <v>0</v>
      </c>
      <c r="J290" s="28">
        <f ca="1" t="shared" si="5"/>
        <v>0</v>
      </c>
      <c r="K290" s="55"/>
      <c r="L290" s="3"/>
      <c r="M290" s="3"/>
    </row>
    <row r="291" s="1" customFormat="1" spans="1:13">
      <c r="A291" s="22"/>
      <c r="B291" s="23" t="s">
        <v>681</v>
      </c>
      <c r="C291" s="84" t="s">
        <v>680</v>
      </c>
      <c r="D291" s="25" t="s">
        <v>629</v>
      </c>
      <c r="E291" s="19" t="s">
        <v>225</v>
      </c>
      <c r="F291" s="26" t="s">
        <v>197</v>
      </c>
      <c r="G291" s="27">
        <f>SUMIF(物料月初库存!$C$3:$C$303,$B291,物料月初库存!$F$3:$F$303)</f>
        <v>0</v>
      </c>
      <c r="H291" s="28">
        <f>SUMIF(半成品入库明细!$D$2:$D$650,$B291,半成品入库明细!$G$2:$G$650)</f>
        <v>0</v>
      </c>
      <c r="I291" s="28">
        <f ca="1">SUMIF(半成品出库明细!$D$2:$D$558,$B291,半成品出库明细!$G$2:$G$2)</f>
        <v>0</v>
      </c>
      <c r="J291" s="28">
        <f ca="1" t="shared" si="5"/>
        <v>0</v>
      </c>
      <c r="K291" s="55" t="s">
        <v>92</v>
      </c>
      <c r="L291" s="3"/>
      <c r="M291" s="3"/>
    </row>
    <row r="292" s="1" customFormat="1" spans="1:13">
      <c r="A292" s="22"/>
      <c r="B292" s="23" t="s">
        <v>682</v>
      </c>
      <c r="C292" s="84" t="s">
        <v>680</v>
      </c>
      <c r="D292" s="25" t="s">
        <v>629</v>
      </c>
      <c r="E292" s="19" t="s">
        <v>353</v>
      </c>
      <c r="F292" s="26" t="s">
        <v>197</v>
      </c>
      <c r="G292" s="27">
        <f>SUMIF(物料月初库存!$C$3:$C$303,$B292,物料月初库存!$F$3:$F$303)</f>
        <v>0</v>
      </c>
      <c r="H292" s="28">
        <f>SUMIF(半成品入库明细!$D$2:$D$650,$B292,半成品入库明细!$G$2:$G$650)</f>
        <v>0</v>
      </c>
      <c r="I292" s="28">
        <f ca="1">SUMIF(半成品出库明细!$D$2:$D$558,$B292,半成品出库明细!$G$2:$G$2)</f>
        <v>0</v>
      </c>
      <c r="J292" s="28">
        <f ca="1" t="shared" si="5"/>
        <v>0</v>
      </c>
      <c r="K292" s="55" t="s">
        <v>666</v>
      </c>
      <c r="L292" s="3"/>
      <c r="M292" s="3"/>
    </row>
    <row r="293" s="1" customFormat="1" spans="1:13">
      <c r="A293" s="22"/>
      <c r="B293" s="23" t="s">
        <v>683</v>
      </c>
      <c r="C293" s="84" t="s">
        <v>684</v>
      </c>
      <c r="D293" s="25" t="s">
        <v>685</v>
      </c>
      <c r="E293" s="19" t="s">
        <v>76</v>
      </c>
      <c r="F293" s="26" t="s">
        <v>197</v>
      </c>
      <c r="G293" s="27">
        <f>SUMIF(物料月初库存!$C$3:$C$303,$B293,物料月初库存!$F$3:$F$303)</f>
        <v>0</v>
      </c>
      <c r="H293" s="28">
        <f>SUMIF(半成品入库明细!$D$2:$D$650,$B293,半成品入库明细!$G$2:$G$650)</f>
        <v>0</v>
      </c>
      <c r="I293" s="28">
        <f ca="1">SUMIF(半成品出库明细!$D$2:$D$558,$B293,半成品出库明细!$G$2:$G$2)</f>
        <v>0</v>
      </c>
      <c r="J293" s="28">
        <f ca="1" t="shared" si="5"/>
        <v>0</v>
      </c>
      <c r="K293" s="55"/>
      <c r="L293" s="3"/>
      <c r="M293" s="3"/>
    </row>
    <row r="294" s="1" customFormat="1" spans="1:13">
      <c r="A294" s="22"/>
      <c r="B294" s="23" t="s">
        <v>686</v>
      </c>
      <c r="C294" s="84" t="s">
        <v>684</v>
      </c>
      <c r="D294" s="25" t="s">
        <v>685</v>
      </c>
      <c r="E294" s="19" t="s">
        <v>316</v>
      </c>
      <c r="F294" s="26" t="s">
        <v>197</v>
      </c>
      <c r="G294" s="27">
        <f>SUMIF(物料月初库存!$C$3:$C$303,$B294,物料月初库存!$F$3:$F$303)</f>
        <v>0</v>
      </c>
      <c r="H294" s="28">
        <f>SUMIF(半成品入库明细!$D$2:$D$650,$B294,半成品入库明细!$G$2:$G$650)</f>
        <v>0</v>
      </c>
      <c r="I294" s="28">
        <f ca="1">SUMIF(半成品出库明细!$D$2:$D$558,$B294,半成品出库明细!$G$2:$G$2)</f>
        <v>0</v>
      </c>
      <c r="J294" s="28">
        <f ca="1" t="shared" si="5"/>
        <v>0</v>
      </c>
      <c r="K294" s="91" t="s">
        <v>687</v>
      </c>
      <c r="L294" s="3"/>
      <c r="M294" s="3"/>
    </row>
    <row r="295" s="1" customFormat="1" spans="1:13">
      <c r="A295" s="22"/>
      <c r="B295" s="23" t="s">
        <v>688</v>
      </c>
      <c r="C295" s="84" t="s">
        <v>684</v>
      </c>
      <c r="D295" s="25" t="s">
        <v>685</v>
      </c>
      <c r="E295" s="19" t="s">
        <v>356</v>
      </c>
      <c r="F295" s="26" t="s">
        <v>197</v>
      </c>
      <c r="G295" s="27">
        <f>SUMIF(物料月初库存!$C$3:$C$303,$B295,物料月初库存!$F$3:$F$303)</f>
        <v>0</v>
      </c>
      <c r="H295" s="28">
        <f>SUMIF(半成品入库明细!$D$2:$D$650,$B295,半成品入库明细!$G$2:$G$650)</f>
        <v>0</v>
      </c>
      <c r="I295" s="28">
        <f ca="1">SUMIF(半成品出库明细!$D$2:$D$558,$B295,半成品出库明细!$G$2:$G$2)</f>
        <v>0</v>
      </c>
      <c r="J295" s="28">
        <f ca="1" t="shared" si="5"/>
        <v>0</v>
      </c>
      <c r="K295" s="55" t="s">
        <v>689</v>
      </c>
      <c r="L295" s="3"/>
      <c r="M295" s="3"/>
    </row>
    <row r="296" s="1" customFormat="1" spans="1:13">
      <c r="A296" s="22"/>
      <c r="B296" s="36" t="s">
        <v>690</v>
      </c>
      <c r="C296" s="92" t="s">
        <v>684</v>
      </c>
      <c r="D296" s="33" t="s">
        <v>685</v>
      </c>
      <c r="E296" s="37" t="s">
        <v>691</v>
      </c>
      <c r="F296" s="38" t="s">
        <v>197</v>
      </c>
      <c r="G296" s="39">
        <f>SUMIF(物料月初库存!$C$3:$C$303,$B296,物料月初库存!$F$3:$F$303)</f>
        <v>0</v>
      </c>
      <c r="H296" s="40">
        <f>SUMIF(半成品入库明细!$D$2:$D$650,$B296,半成品入库明细!$G$2:$G$650)</f>
        <v>0</v>
      </c>
      <c r="I296" s="40">
        <f ca="1">SUMIF(半成品出库明细!$D$2:$D$558,$B296,半成品出库明细!$G$2:$G$2)</f>
        <v>0</v>
      </c>
      <c r="J296" s="40">
        <f ca="1" t="shared" si="5"/>
        <v>0</v>
      </c>
      <c r="K296" s="79" t="s">
        <v>92</v>
      </c>
      <c r="L296" s="93" t="s">
        <v>692</v>
      </c>
      <c r="M296" s="3"/>
    </row>
    <row r="297" s="1" customFormat="1" spans="1:13">
      <c r="A297" s="22"/>
      <c r="B297" s="36" t="s">
        <v>693</v>
      </c>
      <c r="C297" s="92" t="s">
        <v>684</v>
      </c>
      <c r="D297" s="33" t="s">
        <v>685</v>
      </c>
      <c r="E297" s="37" t="s">
        <v>267</v>
      </c>
      <c r="F297" s="38" t="s">
        <v>197</v>
      </c>
      <c r="G297" s="39">
        <f>SUMIF(物料月初库存!$C$3:$C$303,$B297,物料月初库存!$F$3:$F$303)</f>
        <v>0</v>
      </c>
      <c r="H297" s="40">
        <f>SUMIF(半成品入库明细!$D$2:$D$650,$B297,半成品入库明细!$G$2:$G$650)</f>
        <v>0</v>
      </c>
      <c r="I297" s="40">
        <f ca="1">SUMIF(半成品出库明细!$D$2:$D$558,$B297,半成品出库明细!$G$2:$G$2)</f>
        <v>0</v>
      </c>
      <c r="J297" s="40">
        <f ca="1" t="shared" si="5"/>
        <v>0</v>
      </c>
      <c r="K297" s="79" t="s">
        <v>146</v>
      </c>
      <c r="L297" s="93"/>
      <c r="M297" s="3"/>
    </row>
    <row r="298" s="1" customFormat="1" spans="1:13">
      <c r="A298" s="22"/>
      <c r="B298" s="23" t="s">
        <v>694</v>
      </c>
      <c r="C298" s="84" t="s">
        <v>684</v>
      </c>
      <c r="D298" s="25" t="s">
        <v>685</v>
      </c>
      <c r="E298" s="19" t="s">
        <v>695</v>
      </c>
      <c r="F298" s="26" t="s">
        <v>197</v>
      </c>
      <c r="G298" s="27">
        <f>SUMIF(物料月初库存!$C$3:$C$303,$B298,物料月初库存!$F$3:$F$303)</f>
        <v>0</v>
      </c>
      <c r="H298" s="28">
        <f>SUMIF(半成品入库明细!$D$2:$D$650,$B298,半成品入库明细!$G$2:$G$650)</f>
        <v>0</v>
      </c>
      <c r="I298" s="28">
        <f ca="1">SUMIF(半成品出库明细!$D$2:$D$558,$B298,半成品出库明细!$G$2:$G$2)</f>
        <v>0</v>
      </c>
      <c r="J298" s="28">
        <f ca="1" t="shared" si="5"/>
        <v>0</v>
      </c>
      <c r="K298" s="55" t="s">
        <v>168</v>
      </c>
      <c r="L298" s="3"/>
      <c r="M298" s="3"/>
    </row>
    <row r="299" s="1" customFormat="1" spans="1:13">
      <c r="A299" s="22"/>
      <c r="B299" s="23" t="s">
        <v>696</v>
      </c>
      <c r="C299" s="94" t="s">
        <v>697</v>
      </c>
      <c r="D299" s="25" t="s">
        <v>438</v>
      </c>
      <c r="E299" s="19" t="s">
        <v>76</v>
      </c>
      <c r="F299" s="26" t="s">
        <v>197</v>
      </c>
      <c r="G299" s="27">
        <f>SUMIF(物料月初库存!$C$3:$C$303,$B299,物料月初库存!$F$3:$F$303)</f>
        <v>0</v>
      </c>
      <c r="H299" s="28">
        <f>SUMIF(半成品入库明细!$D$2:$D$650,$B299,半成品入库明细!$G$2:$G$650)</f>
        <v>0</v>
      </c>
      <c r="I299" s="28">
        <f ca="1">SUMIF(半成品出库明细!$D$2:$D$558,$B299,半成品出库明细!$G$2:$G$2)</f>
        <v>0</v>
      </c>
      <c r="J299" s="28">
        <f ca="1" t="shared" si="5"/>
        <v>0</v>
      </c>
      <c r="K299" s="55"/>
      <c r="L299" s="3"/>
      <c r="M299" s="3"/>
    </row>
    <row r="300" s="1" customFormat="1" spans="1:13">
      <c r="A300" s="22"/>
      <c r="B300" s="23" t="s">
        <v>698</v>
      </c>
      <c r="C300" s="94" t="s">
        <v>697</v>
      </c>
      <c r="D300" s="25" t="s">
        <v>438</v>
      </c>
      <c r="E300" s="19" t="s">
        <v>699</v>
      </c>
      <c r="F300" s="26" t="s">
        <v>197</v>
      </c>
      <c r="G300" s="27">
        <f>SUMIF(物料月初库存!$C$3:$C$303,$B300,物料月初库存!$F$3:$F$303)</f>
        <v>0</v>
      </c>
      <c r="H300" s="28">
        <f>SUMIF(半成品入库明细!$D$2:$D$650,$B300,半成品入库明细!$G$2:$G$650)</f>
        <v>0</v>
      </c>
      <c r="I300" s="28">
        <f ca="1">SUMIF(半成品出库明细!$D$2:$D$558,$B300,半成品出库明细!$G$2:$G$2)</f>
        <v>0</v>
      </c>
      <c r="J300" s="28">
        <f ca="1" t="shared" si="5"/>
        <v>0</v>
      </c>
      <c r="K300" s="55" t="s">
        <v>146</v>
      </c>
      <c r="L300" s="3"/>
      <c r="M300" s="3"/>
    </row>
    <row r="301" s="1" customFormat="1" spans="1:13">
      <c r="A301" s="22"/>
      <c r="B301" s="23" t="s">
        <v>700</v>
      </c>
      <c r="C301" s="94" t="s">
        <v>697</v>
      </c>
      <c r="D301" s="25" t="s">
        <v>438</v>
      </c>
      <c r="E301" s="19" t="s">
        <v>449</v>
      </c>
      <c r="F301" s="26" t="s">
        <v>197</v>
      </c>
      <c r="G301" s="27">
        <f>SUMIF(物料月初库存!$C$3:$C$303,$B301,物料月初库存!$F$3:$F$303)</f>
        <v>0</v>
      </c>
      <c r="H301" s="28">
        <f>SUMIF(半成品入库明细!$D$2:$D$650,$B301,半成品入库明细!$G$2:$G$650)</f>
        <v>0</v>
      </c>
      <c r="I301" s="28">
        <f ca="1">SUMIF(半成品出库明细!$D$2:$D$558,$B301,半成品出库明细!$G$2:$G$2)</f>
        <v>0</v>
      </c>
      <c r="J301" s="28">
        <f ca="1" t="shared" si="5"/>
        <v>0</v>
      </c>
      <c r="K301" s="55" t="s">
        <v>701</v>
      </c>
      <c r="L301" s="3"/>
      <c r="M301" s="3"/>
    </row>
    <row r="302" s="1" customFormat="1" spans="1:13">
      <c r="A302" s="22"/>
      <c r="B302" s="23" t="s">
        <v>702</v>
      </c>
      <c r="C302" s="84" t="s">
        <v>703</v>
      </c>
      <c r="D302" s="25" t="s">
        <v>438</v>
      </c>
      <c r="E302" s="19" t="s">
        <v>76</v>
      </c>
      <c r="F302" s="26" t="s">
        <v>197</v>
      </c>
      <c r="G302" s="27">
        <f>SUMIF(物料月初库存!$C$3:$C$303,$B302,物料月初库存!$F$3:$F$303)</f>
        <v>0</v>
      </c>
      <c r="H302" s="28">
        <f>SUMIF(半成品入库明细!$D$2:$D$650,$B302,半成品入库明细!$G$2:$G$650)</f>
        <v>0</v>
      </c>
      <c r="I302" s="28">
        <f ca="1">SUMIF(半成品出库明细!$D$2:$D$558,$B302,半成品出库明细!$G$2:$G$2)</f>
        <v>0</v>
      </c>
      <c r="J302" s="28">
        <f ca="1" t="shared" si="5"/>
        <v>0</v>
      </c>
      <c r="K302" s="55" t="s">
        <v>704</v>
      </c>
      <c r="L302" s="3"/>
      <c r="M302" s="3"/>
    </row>
    <row r="303" s="1" customFormat="1" spans="1:13">
      <c r="A303" s="22"/>
      <c r="B303" s="23" t="s">
        <v>705</v>
      </c>
      <c r="C303" s="84" t="s">
        <v>703</v>
      </c>
      <c r="D303" s="25" t="s">
        <v>438</v>
      </c>
      <c r="E303" s="19" t="s">
        <v>699</v>
      </c>
      <c r="F303" s="26" t="s">
        <v>197</v>
      </c>
      <c r="G303" s="27">
        <f>SUMIF(物料月初库存!$C$3:$C$303,$B303,物料月初库存!$F$3:$F$303)</f>
        <v>0</v>
      </c>
      <c r="H303" s="28">
        <f>SUMIF(半成品入库明细!$D$2:$D$650,$B303,半成品入库明细!$G$2:$G$650)</f>
        <v>0</v>
      </c>
      <c r="I303" s="28">
        <f ca="1">SUMIF(半成品出库明细!$D$2:$D$558,$B303,半成品出库明细!$G$2:$G$2)</f>
        <v>0</v>
      </c>
      <c r="J303" s="28">
        <f ca="1" t="shared" si="5"/>
        <v>0</v>
      </c>
      <c r="K303" s="55" t="s">
        <v>146</v>
      </c>
      <c r="L303" s="3"/>
      <c r="M303" s="3"/>
    </row>
    <row r="304" s="1" customFormat="1" spans="1:13">
      <c r="A304" s="22"/>
      <c r="B304" s="23" t="s">
        <v>706</v>
      </c>
      <c r="C304" s="84" t="s">
        <v>703</v>
      </c>
      <c r="D304" s="25" t="s">
        <v>438</v>
      </c>
      <c r="E304" s="19" t="s">
        <v>449</v>
      </c>
      <c r="F304" s="26" t="s">
        <v>197</v>
      </c>
      <c r="G304" s="27">
        <f>SUMIF(物料月初库存!$C$3:$C$303,$B304,物料月初库存!$F$3:$F$303)</f>
        <v>0</v>
      </c>
      <c r="H304" s="28">
        <f>SUMIF(半成品入库明细!$D$2:$D$650,$B304,半成品入库明细!$G$2:$G$650)</f>
        <v>0</v>
      </c>
      <c r="I304" s="28">
        <f ca="1">SUMIF(半成品出库明细!$D$2:$D$558,$B304,半成品出库明细!$G$2:$G$2)</f>
        <v>0</v>
      </c>
      <c r="J304" s="28">
        <f ca="1" t="shared" si="5"/>
        <v>0</v>
      </c>
      <c r="K304" s="55" t="s">
        <v>701</v>
      </c>
      <c r="L304" s="3"/>
      <c r="M304" s="3"/>
    </row>
    <row r="305" s="1" customFormat="1" spans="1:13">
      <c r="A305" s="22"/>
      <c r="B305" s="23" t="s">
        <v>707</v>
      </c>
      <c r="C305" s="84" t="s">
        <v>708</v>
      </c>
      <c r="D305" s="25" t="s">
        <v>438</v>
      </c>
      <c r="E305" s="19" t="s">
        <v>76</v>
      </c>
      <c r="F305" s="26" t="s">
        <v>197</v>
      </c>
      <c r="G305" s="27">
        <f>SUMIF(物料月初库存!$C$3:$C$303,$B305,物料月初库存!$F$3:$F$303)</f>
        <v>0</v>
      </c>
      <c r="H305" s="28">
        <f>SUMIF(半成品入库明细!$D$2:$D$650,$B305,半成品入库明细!$G$2:$G$650)</f>
        <v>0</v>
      </c>
      <c r="I305" s="28">
        <f ca="1">SUMIF(半成品出库明细!$D$2:$D$558,$B305,半成品出库明细!$G$2:$G$2)</f>
        <v>0</v>
      </c>
      <c r="J305" s="28">
        <f ca="1" t="shared" si="5"/>
        <v>0</v>
      </c>
      <c r="K305" s="55"/>
      <c r="L305" s="3"/>
      <c r="M305" s="3"/>
    </row>
    <row r="306" s="1" customFormat="1" spans="1:13">
      <c r="A306" s="22"/>
      <c r="B306" s="23" t="s">
        <v>709</v>
      </c>
      <c r="C306" s="84" t="s">
        <v>708</v>
      </c>
      <c r="D306" s="25" t="s">
        <v>438</v>
      </c>
      <c r="E306" s="19" t="s">
        <v>644</v>
      </c>
      <c r="F306" s="26" t="s">
        <v>197</v>
      </c>
      <c r="G306" s="27">
        <f>SUMIF(物料月初库存!$C$3:$C$303,$B306,物料月初库存!$F$3:$F$303)</f>
        <v>0</v>
      </c>
      <c r="H306" s="28">
        <f>SUMIF(半成品入库明细!$D$2:$D$650,$B306,半成品入库明细!$G$2:$G$650)</f>
        <v>0</v>
      </c>
      <c r="I306" s="28">
        <f ca="1">SUMIF(半成品出库明细!$D$2:$D$558,$B306,半成品出库明细!$G$2:$G$2)</f>
        <v>0</v>
      </c>
      <c r="J306" s="28">
        <f ca="1" t="shared" si="5"/>
        <v>0</v>
      </c>
      <c r="K306" s="55" t="s">
        <v>710</v>
      </c>
      <c r="L306" s="3"/>
      <c r="M306" s="3"/>
    </row>
    <row r="307" s="1" customFormat="1" spans="1:13">
      <c r="A307" s="22"/>
      <c r="B307" s="23" t="s">
        <v>711</v>
      </c>
      <c r="C307" s="84" t="s">
        <v>708</v>
      </c>
      <c r="D307" s="25" t="s">
        <v>438</v>
      </c>
      <c r="E307" s="19" t="s">
        <v>449</v>
      </c>
      <c r="F307" s="26" t="s">
        <v>197</v>
      </c>
      <c r="G307" s="27">
        <f>SUMIF(物料月初库存!$C$3:$C$303,$B307,物料月初库存!$F$3:$F$303)</f>
        <v>0</v>
      </c>
      <c r="H307" s="28">
        <f>SUMIF(半成品入库明细!$D$2:$D$650,$B307,半成品入库明细!$G$2:$G$650)</f>
        <v>0</v>
      </c>
      <c r="I307" s="28">
        <f ca="1">SUMIF(半成品出库明细!$D$2:$D$558,$B307,半成品出库明细!$G$2:$G$2)</f>
        <v>0</v>
      </c>
      <c r="J307" s="28">
        <f ca="1" t="shared" si="5"/>
        <v>0</v>
      </c>
      <c r="K307" s="55" t="s">
        <v>701</v>
      </c>
      <c r="L307" s="3"/>
      <c r="M307" s="3"/>
    </row>
    <row r="308" s="1" customFormat="1" spans="1:13">
      <c r="A308" s="22"/>
      <c r="B308" s="23" t="s">
        <v>13</v>
      </c>
      <c r="C308" s="84" t="s">
        <v>712</v>
      </c>
      <c r="D308" s="25" t="s">
        <v>438</v>
      </c>
      <c r="E308" s="19" t="s">
        <v>76</v>
      </c>
      <c r="F308" s="26" t="s">
        <v>197</v>
      </c>
      <c r="G308" s="27">
        <f>SUMIF(物料月初库存!$C$3:$C$303,$B308,物料月初库存!$F$3:$F$303)</f>
        <v>200</v>
      </c>
      <c r="H308" s="28">
        <f>SUMIF(半成品入库明细!$D$2:$D$650,$B308,半成品入库明细!$G$2:$G$650)</f>
        <v>0</v>
      </c>
      <c r="I308" s="28">
        <f ca="1">SUMIF(半成品出库明细!$D$2:$D$558,$B308,半成品出库明细!$G$2:$G$2)</f>
        <v>0</v>
      </c>
      <c r="J308" s="28">
        <f ca="1" t="shared" si="5"/>
        <v>200</v>
      </c>
      <c r="K308" s="55"/>
      <c r="L308" s="3"/>
      <c r="M308" s="3"/>
    </row>
    <row r="309" s="1" customFormat="1" spans="1:13">
      <c r="A309" s="22"/>
      <c r="B309" s="23" t="s">
        <v>713</v>
      </c>
      <c r="C309" s="84" t="s">
        <v>712</v>
      </c>
      <c r="D309" s="25" t="s">
        <v>438</v>
      </c>
      <c r="E309" s="19" t="s">
        <v>356</v>
      </c>
      <c r="F309" s="26" t="s">
        <v>197</v>
      </c>
      <c r="G309" s="27">
        <f>SUMIF(物料月初库存!$C$3:$C$303,$B309,物料月初库存!$F$3:$F$303)</f>
        <v>0</v>
      </c>
      <c r="H309" s="28">
        <f>SUMIF(半成品入库明细!$D$2:$D$650,$B309,半成品入库明细!$G$2:$G$650)</f>
        <v>0</v>
      </c>
      <c r="I309" s="28">
        <f ca="1">SUMIF(半成品出库明细!$D$2:$D$558,$B309,半成品出库明细!$G$2:$G$2)</f>
        <v>0</v>
      </c>
      <c r="J309" s="28">
        <f ca="1" t="shared" si="5"/>
        <v>0</v>
      </c>
      <c r="K309" s="55"/>
      <c r="L309" s="3"/>
      <c r="M309" s="3"/>
    </row>
    <row r="310" s="1" customFormat="1" spans="1:13">
      <c r="A310" s="22"/>
      <c r="B310" s="23" t="s">
        <v>714</v>
      </c>
      <c r="C310" s="84" t="s">
        <v>715</v>
      </c>
      <c r="D310" s="25" t="s">
        <v>438</v>
      </c>
      <c r="E310" s="19" t="s">
        <v>76</v>
      </c>
      <c r="F310" s="26" t="s">
        <v>197</v>
      </c>
      <c r="G310" s="27">
        <f>SUMIF(物料月初库存!$C$3:$C$303,$B310,物料月初库存!$F$3:$F$303)</f>
        <v>0</v>
      </c>
      <c r="H310" s="28">
        <f>SUMIF(半成品入库明细!$D$2:$D$650,$B310,半成品入库明细!$G$2:$G$650)</f>
        <v>0</v>
      </c>
      <c r="I310" s="28">
        <f ca="1">SUMIF(半成品出库明细!$D$2:$D$558,$B310,半成品出库明细!$G$2:$G$2)</f>
        <v>0</v>
      </c>
      <c r="J310" s="28">
        <f ca="1" t="shared" si="5"/>
        <v>0</v>
      </c>
      <c r="K310" s="55"/>
      <c r="L310" s="3"/>
      <c r="M310" s="3"/>
    </row>
    <row r="311" s="1" customFormat="1" spans="1:13">
      <c r="A311" s="22"/>
      <c r="B311" s="23" t="s">
        <v>716</v>
      </c>
      <c r="C311" s="84" t="s">
        <v>715</v>
      </c>
      <c r="D311" s="25" t="s">
        <v>438</v>
      </c>
      <c r="E311" s="19" t="s">
        <v>199</v>
      </c>
      <c r="F311" s="26" t="s">
        <v>197</v>
      </c>
      <c r="G311" s="27">
        <f>SUMIF(物料月初库存!$C$3:$C$303,$B311,物料月初库存!$F$3:$F$303)</f>
        <v>0</v>
      </c>
      <c r="H311" s="28">
        <f>SUMIF(半成品入库明细!$D$2:$D$650,$B311,半成品入库明细!$G$2:$G$650)</f>
        <v>0</v>
      </c>
      <c r="I311" s="28">
        <f ca="1">SUMIF(半成品出库明细!$D$2:$D$558,$B311,半成品出库明细!$G$2:$G$2)</f>
        <v>0</v>
      </c>
      <c r="J311" s="28">
        <f ca="1" t="shared" si="5"/>
        <v>0</v>
      </c>
      <c r="K311" s="55" t="s">
        <v>173</v>
      </c>
      <c r="L311" s="3"/>
      <c r="M311" s="3"/>
    </row>
    <row r="312" s="1" customFormat="1" spans="1:13">
      <c r="A312" s="22"/>
      <c r="B312" s="23" t="s">
        <v>717</v>
      </c>
      <c r="C312" s="84" t="s">
        <v>715</v>
      </c>
      <c r="D312" s="25" t="s">
        <v>438</v>
      </c>
      <c r="E312" s="19" t="s">
        <v>449</v>
      </c>
      <c r="F312" s="26" t="s">
        <v>197</v>
      </c>
      <c r="G312" s="27">
        <f>SUMIF(物料月初库存!$C$3:$C$303,$B312,物料月初库存!$F$3:$F$303)</f>
        <v>0</v>
      </c>
      <c r="H312" s="28">
        <f>SUMIF(半成品入库明细!$D$2:$D$650,$B312,半成品入库明细!$G$2:$G$650)</f>
        <v>0</v>
      </c>
      <c r="I312" s="28">
        <f ca="1">SUMIF(半成品出库明细!$D$2:$D$558,$B312,半成品出库明细!$G$2:$G$2)</f>
        <v>0</v>
      </c>
      <c r="J312" s="28">
        <f ca="1" t="shared" si="5"/>
        <v>0</v>
      </c>
      <c r="K312" s="55" t="s">
        <v>701</v>
      </c>
      <c r="L312" s="3"/>
      <c r="M312" s="3"/>
    </row>
    <row r="313" s="1" customFormat="1" spans="1:13">
      <c r="A313" s="22"/>
      <c r="B313" s="23" t="s">
        <v>718</v>
      </c>
      <c r="C313" s="84" t="s">
        <v>719</v>
      </c>
      <c r="D313" s="25" t="s">
        <v>438</v>
      </c>
      <c r="E313" s="19" t="s">
        <v>76</v>
      </c>
      <c r="F313" s="26" t="s">
        <v>197</v>
      </c>
      <c r="G313" s="27">
        <f>SUMIF(物料月初库存!$C$3:$C$303,$B313,物料月初库存!$F$3:$F$303)</f>
        <v>0</v>
      </c>
      <c r="H313" s="28">
        <f>SUMIF(半成品入库明细!$D$2:$D$650,$B313,半成品入库明细!$G$2:$G$650)</f>
        <v>0</v>
      </c>
      <c r="I313" s="28">
        <f ca="1">SUMIF(半成品出库明细!$D$2:$D$558,$B313,半成品出库明细!$G$2:$G$2)</f>
        <v>0</v>
      </c>
      <c r="J313" s="28">
        <f ca="1" t="shared" si="5"/>
        <v>0</v>
      </c>
      <c r="K313" s="55"/>
      <c r="L313" s="3"/>
      <c r="M313" s="3"/>
    </row>
    <row r="314" s="1" customFormat="1" spans="1:13">
      <c r="A314" s="22"/>
      <c r="B314" s="23" t="s">
        <v>720</v>
      </c>
      <c r="C314" s="84" t="s">
        <v>719</v>
      </c>
      <c r="D314" s="25" t="s">
        <v>438</v>
      </c>
      <c r="E314" s="19" t="s">
        <v>644</v>
      </c>
      <c r="F314" s="26" t="s">
        <v>197</v>
      </c>
      <c r="G314" s="27">
        <f>SUMIF(物料月初库存!$C$3:$C$303,$B314,物料月初库存!$F$3:$F$303)</f>
        <v>0</v>
      </c>
      <c r="H314" s="28">
        <f>SUMIF(半成品入库明细!$D$2:$D$650,$B314,半成品入库明细!$G$2:$G$650)</f>
        <v>0</v>
      </c>
      <c r="I314" s="28">
        <f ca="1">SUMIF(半成品出库明细!$D$2:$D$558,$B314,半成品出库明细!$G$2:$G$2)</f>
        <v>0</v>
      </c>
      <c r="J314" s="28">
        <f ca="1" t="shared" si="5"/>
        <v>0</v>
      </c>
      <c r="K314" s="55" t="s">
        <v>173</v>
      </c>
      <c r="L314" s="3"/>
      <c r="M314" s="3"/>
    </row>
    <row r="315" s="1" customFormat="1" spans="1:13">
      <c r="A315" s="22"/>
      <c r="B315" s="23" t="s">
        <v>721</v>
      </c>
      <c r="C315" s="84" t="s">
        <v>719</v>
      </c>
      <c r="D315" s="25" t="s">
        <v>438</v>
      </c>
      <c r="E315" s="19" t="s">
        <v>449</v>
      </c>
      <c r="F315" s="26" t="s">
        <v>197</v>
      </c>
      <c r="G315" s="27">
        <f>SUMIF(物料月初库存!$C$3:$C$303,$B315,物料月初库存!$F$3:$F$303)</f>
        <v>0</v>
      </c>
      <c r="H315" s="28">
        <f>SUMIF(半成品入库明细!$D$2:$D$650,$B315,半成品入库明细!$G$2:$G$650)</f>
        <v>0</v>
      </c>
      <c r="I315" s="28">
        <f ca="1">SUMIF(半成品出库明细!$D$2:$D$558,$B315,半成品出库明细!$G$2:$G$2)</f>
        <v>0</v>
      </c>
      <c r="J315" s="28">
        <f ca="1" t="shared" si="5"/>
        <v>0</v>
      </c>
      <c r="K315" s="55" t="s">
        <v>183</v>
      </c>
      <c r="L315" s="3"/>
      <c r="M315" s="3"/>
    </row>
    <row r="316" s="1" customFormat="1" spans="1:13">
      <c r="A316" s="22"/>
      <c r="B316" s="23" t="s">
        <v>722</v>
      </c>
      <c r="C316" s="84" t="s">
        <v>723</v>
      </c>
      <c r="D316" s="25" t="s">
        <v>438</v>
      </c>
      <c r="E316" s="19" t="s">
        <v>76</v>
      </c>
      <c r="F316" s="26" t="s">
        <v>197</v>
      </c>
      <c r="G316" s="27">
        <f>SUMIF(物料月初库存!$C$3:$C$303,$B316,物料月初库存!$F$3:$F$303)</f>
        <v>0</v>
      </c>
      <c r="H316" s="28">
        <f>SUMIF(半成品入库明细!$D$2:$D$650,$B316,半成品入库明细!$G$2:$G$650)</f>
        <v>0</v>
      </c>
      <c r="I316" s="28">
        <f ca="1">SUMIF(半成品出库明细!$D$2:$D$558,$B316,半成品出库明细!$G$2:$G$2)</f>
        <v>0</v>
      </c>
      <c r="J316" s="28">
        <f ca="1" t="shared" si="5"/>
        <v>0</v>
      </c>
      <c r="K316" s="55"/>
      <c r="L316" s="3"/>
      <c r="M316" s="3"/>
    </row>
    <row r="317" s="1" customFormat="1" spans="1:13">
      <c r="A317" s="22"/>
      <c r="B317" s="23" t="s">
        <v>724</v>
      </c>
      <c r="C317" s="84" t="s">
        <v>723</v>
      </c>
      <c r="D317" s="25" t="s">
        <v>438</v>
      </c>
      <c r="E317" s="19" t="s">
        <v>644</v>
      </c>
      <c r="F317" s="26" t="s">
        <v>197</v>
      </c>
      <c r="G317" s="27">
        <f>SUMIF(物料月初库存!$C$3:$C$303,$B317,物料月初库存!$F$3:$F$303)</f>
        <v>0</v>
      </c>
      <c r="H317" s="28">
        <f>SUMIF(半成品入库明细!$D$2:$D$650,$B317,半成品入库明细!$G$2:$G$650)</f>
        <v>0</v>
      </c>
      <c r="I317" s="28">
        <f ca="1">SUMIF(半成品出库明细!$D$2:$D$558,$B317,半成品出库明细!$G$2:$G$2)</f>
        <v>0</v>
      </c>
      <c r="J317" s="28">
        <f ca="1" t="shared" si="5"/>
        <v>0</v>
      </c>
      <c r="K317" s="55" t="s">
        <v>173</v>
      </c>
      <c r="L317" s="3"/>
      <c r="M317" s="3"/>
    </row>
    <row r="318" s="1" customFormat="1" spans="1:13">
      <c r="A318" s="22"/>
      <c r="B318" s="23" t="s">
        <v>725</v>
      </c>
      <c r="C318" s="84" t="s">
        <v>723</v>
      </c>
      <c r="D318" s="25" t="s">
        <v>438</v>
      </c>
      <c r="E318" s="19" t="s">
        <v>449</v>
      </c>
      <c r="F318" s="26" t="s">
        <v>197</v>
      </c>
      <c r="G318" s="27">
        <f>SUMIF(物料月初库存!$C$3:$C$303,$B318,物料月初库存!$F$3:$F$303)</f>
        <v>0</v>
      </c>
      <c r="H318" s="28">
        <f>SUMIF(半成品入库明细!$D$2:$D$650,$B318,半成品入库明细!$G$2:$G$650)</f>
        <v>0</v>
      </c>
      <c r="I318" s="28">
        <f ca="1">SUMIF(半成品出库明细!$D$2:$D$558,$B318,半成品出库明细!$G$2:$G$2)</f>
        <v>0</v>
      </c>
      <c r="J318" s="28">
        <f ca="1" t="shared" si="5"/>
        <v>0</v>
      </c>
      <c r="K318" s="55" t="s">
        <v>183</v>
      </c>
      <c r="L318" s="3"/>
      <c r="M318" s="3"/>
    </row>
    <row r="319" s="1" customFormat="1" spans="1:13">
      <c r="A319" s="22">
        <v>271</v>
      </c>
      <c r="B319" s="23" t="s">
        <v>726</v>
      </c>
      <c r="C319" s="24" t="s">
        <v>727</v>
      </c>
      <c r="D319" s="25" t="s">
        <v>728</v>
      </c>
      <c r="E319" s="19" t="s">
        <v>76</v>
      </c>
      <c r="F319" s="26" t="s">
        <v>197</v>
      </c>
      <c r="G319" s="27">
        <f>SUMIF(物料月初库存!$C$3:$C$303,$B319,物料月初库存!$F$3:$F$303)</f>
        <v>0</v>
      </c>
      <c r="H319" s="28">
        <f>SUMIF(半成品入库明细!$D$2:$D$650,$B319,半成品入库明细!$G$2:$G$650)</f>
        <v>0</v>
      </c>
      <c r="I319" s="28">
        <f ca="1">SUMIF(半成品出库明细!$D$2:$D$558,$B319,半成品出库明细!$G$2:$G$2)</f>
        <v>0</v>
      </c>
      <c r="J319" s="28">
        <f ca="1" t="shared" si="5"/>
        <v>0</v>
      </c>
      <c r="L319" s="3"/>
      <c r="M319" s="3"/>
    </row>
    <row r="320" s="1" customFormat="1" spans="1:13">
      <c r="A320" s="22">
        <v>272</v>
      </c>
      <c r="B320" s="23" t="s">
        <v>729</v>
      </c>
      <c r="C320" s="24" t="s">
        <v>730</v>
      </c>
      <c r="D320" s="25" t="s">
        <v>728</v>
      </c>
      <c r="E320" s="19" t="s">
        <v>235</v>
      </c>
      <c r="F320" s="26" t="s">
        <v>197</v>
      </c>
      <c r="G320" s="27">
        <f>SUMIF(物料月初库存!$C$3:$C$303,$B320,物料月初库存!$F$3:$F$303)</f>
        <v>0</v>
      </c>
      <c r="H320" s="28">
        <f>SUMIF(半成品入库明细!$D$2:$D$650,$B320,半成品入库明细!$G$2:$G$650)</f>
        <v>0</v>
      </c>
      <c r="I320" s="28">
        <f ca="1">SUMIF(半成品出库明细!$D$2:$D$558,$B320,半成品出库明细!$G$2:$G$2)</f>
        <v>0</v>
      </c>
      <c r="J320" s="28">
        <f ca="1" t="shared" si="5"/>
        <v>0</v>
      </c>
      <c r="K320" s="20"/>
      <c r="L320" s="3"/>
      <c r="M320" s="3"/>
    </row>
    <row r="321" s="1" customFormat="1" spans="1:13">
      <c r="A321" s="22">
        <v>273</v>
      </c>
      <c r="B321" s="23" t="s">
        <v>731</v>
      </c>
      <c r="C321" s="24" t="s">
        <v>730</v>
      </c>
      <c r="D321" s="25" t="s">
        <v>728</v>
      </c>
      <c r="E321" s="49" t="s">
        <v>316</v>
      </c>
      <c r="F321" s="26" t="s">
        <v>197</v>
      </c>
      <c r="G321" s="27">
        <f>SUMIF(物料月初库存!$C$3:$C$303,$B321,物料月初库存!$F$3:$F$303)</f>
        <v>0</v>
      </c>
      <c r="H321" s="28">
        <f>SUMIF(半成品入库明细!$D$2:$D$650,$B321,半成品入库明细!$G$2:$G$650)</f>
        <v>0</v>
      </c>
      <c r="I321" s="28">
        <f ca="1">SUMIF(半成品出库明细!$D$2:$D$558,$B321,半成品出库明细!$G$2:$G$2)</f>
        <v>0</v>
      </c>
      <c r="J321" s="28">
        <f ca="1" t="shared" si="5"/>
        <v>0</v>
      </c>
      <c r="K321" s="20"/>
      <c r="L321" s="3"/>
      <c r="M321" s="3"/>
    </row>
    <row r="322" s="1" customFormat="1" spans="1:13">
      <c r="A322" s="22">
        <v>274</v>
      </c>
      <c r="B322" s="23" t="s">
        <v>732</v>
      </c>
      <c r="C322" s="24" t="s">
        <v>730</v>
      </c>
      <c r="D322" s="25" t="s">
        <v>728</v>
      </c>
      <c r="E322" s="19" t="s">
        <v>733</v>
      </c>
      <c r="F322" s="26" t="s">
        <v>197</v>
      </c>
      <c r="G322" s="27">
        <f>SUMIF(物料月初库存!$C$3:$C$303,$B322,物料月初库存!$F$3:$F$303)</f>
        <v>0</v>
      </c>
      <c r="H322" s="28">
        <f>SUMIF(半成品入库明细!$D$2:$D$650,$B322,半成品入库明细!$G$2:$G$650)</f>
        <v>0</v>
      </c>
      <c r="I322" s="28">
        <f ca="1">SUMIF(半成品出库明细!$D$2:$D$558,$B322,半成品出库明细!$G$2:$G$2)</f>
        <v>0</v>
      </c>
      <c r="J322" s="28">
        <f ca="1" t="shared" si="5"/>
        <v>0</v>
      </c>
      <c r="K322" s="20"/>
      <c r="L322" s="3"/>
      <c r="M322" s="3"/>
    </row>
    <row r="323" s="1" customFormat="1" spans="1:13">
      <c r="A323" s="22">
        <v>275</v>
      </c>
      <c r="B323" s="23" t="s">
        <v>734</v>
      </c>
      <c r="C323" s="24" t="s">
        <v>730</v>
      </c>
      <c r="D323" s="25" t="s">
        <v>728</v>
      </c>
      <c r="E323" s="19" t="s">
        <v>256</v>
      </c>
      <c r="F323" s="26" t="s">
        <v>197</v>
      </c>
      <c r="G323" s="27">
        <f>SUMIF(物料月初库存!$C$3:$C$303,$B323,物料月初库存!$F$3:$F$303)</f>
        <v>0</v>
      </c>
      <c r="H323" s="28">
        <f>SUMIF(半成品入库明细!$D$2:$D$650,$B323,半成品入库明细!$G$2:$G$650)</f>
        <v>0</v>
      </c>
      <c r="I323" s="28">
        <f ca="1">SUMIF(半成品出库明细!$D$2:$D$558,$B323,半成品出库明细!$G$2:$G$2)</f>
        <v>0</v>
      </c>
      <c r="J323" s="28">
        <f ca="1" t="shared" si="5"/>
        <v>0</v>
      </c>
      <c r="K323" s="20"/>
      <c r="L323" s="3"/>
      <c r="M323" s="3"/>
    </row>
    <row r="324" s="1" customFormat="1" spans="1:13">
      <c r="A324" s="22">
        <v>276</v>
      </c>
      <c r="B324" s="23" t="s">
        <v>735</v>
      </c>
      <c r="C324" s="24" t="s">
        <v>736</v>
      </c>
      <c r="D324" s="25" t="s">
        <v>728</v>
      </c>
      <c r="E324" s="19" t="s">
        <v>76</v>
      </c>
      <c r="F324" s="26" t="s">
        <v>197</v>
      </c>
      <c r="G324" s="27">
        <f>SUMIF(物料月初库存!$C$3:$C$303,$B324,物料月初库存!$F$3:$F$303)</f>
        <v>0</v>
      </c>
      <c r="H324" s="28">
        <f>SUMIF(半成品入库明细!$D$2:$D$650,$B324,半成品入库明细!$G$2:$G$650)</f>
        <v>0</v>
      </c>
      <c r="I324" s="28">
        <f ca="1">SUMIF(半成品出库明细!$D$2:$D$558,$B324,半成品出库明细!$G$2:$G$2)</f>
        <v>0</v>
      </c>
      <c r="J324" s="28">
        <f ca="1" t="shared" si="5"/>
        <v>0</v>
      </c>
      <c r="K324" s="20"/>
      <c r="L324" s="3"/>
      <c r="M324" s="3"/>
    </row>
    <row r="325" s="1" customFormat="1" spans="1:13">
      <c r="A325" s="22">
        <v>277</v>
      </c>
      <c r="B325" s="23" t="s">
        <v>737</v>
      </c>
      <c r="C325" s="24" t="s">
        <v>736</v>
      </c>
      <c r="D325" s="25" t="s">
        <v>728</v>
      </c>
      <c r="E325" s="19" t="s">
        <v>235</v>
      </c>
      <c r="F325" s="26" t="s">
        <v>197</v>
      </c>
      <c r="G325" s="27">
        <f>SUMIF(物料月初库存!$C$3:$C$303,$B325,物料月初库存!$F$3:$F$303)</f>
        <v>0</v>
      </c>
      <c r="H325" s="28">
        <f>SUMIF(半成品入库明细!$D$2:$D$650,$B325,半成品入库明细!$G$2:$G$650)</f>
        <v>0</v>
      </c>
      <c r="I325" s="28">
        <f ca="1">SUMIF(半成品出库明细!$D$2:$D$558,$B325,半成品出库明细!$G$2:$G$2)</f>
        <v>0</v>
      </c>
      <c r="J325" s="28">
        <f ca="1" t="shared" si="5"/>
        <v>0</v>
      </c>
      <c r="K325" s="20"/>
      <c r="L325" s="3"/>
      <c r="M325" s="3"/>
    </row>
    <row r="326" s="1" customFormat="1" spans="1:13">
      <c r="A326" s="22">
        <v>278</v>
      </c>
      <c r="B326" s="23" t="s">
        <v>738</v>
      </c>
      <c r="C326" s="24" t="s">
        <v>736</v>
      </c>
      <c r="D326" s="25" t="s">
        <v>728</v>
      </c>
      <c r="E326" s="49" t="s">
        <v>316</v>
      </c>
      <c r="F326" s="26" t="s">
        <v>197</v>
      </c>
      <c r="G326" s="27">
        <f>SUMIF(物料月初库存!$C$3:$C$303,$B326,物料月初库存!$F$3:$F$303)</f>
        <v>0</v>
      </c>
      <c r="H326" s="28">
        <f>SUMIF(半成品入库明细!$D$2:$D$650,$B326,半成品入库明细!$G$2:$G$650)</f>
        <v>0</v>
      </c>
      <c r="I326" s="28">
        <f ca="1">SUMIF(半成品出库明细!$D$2:$D$558,$B326,半成品出库明细!$G$2:$G$2)</f>
        <v>0</v>
      </c>
      <c r="J326" s="28">
        <f ca="1" t="shared" si="5"/>
        <v>0</v>
      </c>
      <c r="K326" s="20"/>
      <c r="L326" s="3"/>
      <c r="M326" s="3"/>
    </row>
    <row r="327" s="1" customFormat="1" spans="1:13">
      <c r="A327" s="22">
        <v>279</v>
      </c>
      <c r="B327" s="23" t="s">
        <v>739</v>
      </c>
      <c r="C327" s="24" t="s">
        <v>736</v>
      </c>
      <c r="D327" s="25" t="s">
        <v>728</v>
      </c>
      <c r="E327" s="19" t="s">
        <v>733</v>
      </c>
      <c r="F327" s="26" t="s">
        <v>197</v>
      </c>
      <c r="G327" s="27">
        <f>SUMIF(物料月初库存!$C$3:$C$303,$B327,物料月初库存!$F$3:$F$303)</f>
        <v>0</v>
      </c>
      <c r="H327" s="28">
        <f>SUMIF(半成品入库明细!$D$2:$D$650,$B327,半成品入库明细!$G$2:$G$650)</f>
        <v>0</v>
      </c>
      <c r="I327" s="28">
        <f ca="1">SUMIF(半成品出库明细!$D$2:$D$558,$B327,半成品出库明细!$G$2:$G$2)</f>
        <v>0</v>
      </c>
      <c r="J327" s="28">
        <f ca="1" t="shared" si="5"/>
        <v>0</v>
      </c>
      <c r="K327" s="20"/>
      <c r="L327" s="3"/>
      <c r="M327" s="3"/>
    </row>
    <row r="328" s="1" customFormat="1" spans="1:13">
      <c r="A328" s="22">
        <v>280</v>
      </c>
      <c r="B328" s="23" t="s">
        <v>740</v>
      </c>
      <c r="C328" s="24" t="s">
        <v>736</v>
      </c>
      <c r="D328" s="25" t="s">
        <v>728</v>
      </c>
      <c r="E328" s="19" t="s">
        <v>256</v>
      </c>
      <c r="F328" s="26" t="s">
        <v>197</v>
      </c>
      <c r="G328" s="27">
        <f>SUMIF(物料月初库存!$C$3:$C$303,$B328,物料月初库存!$F$3:$F$303)</f>
        <v>0</v>
      </c>
      <c r="H328" s="28">
        <f>SUMIF(半成品入库明细!$D$2:$D$650,$B328,半成品入库明细!$G$2:$G$650)</f>
        <v>0</v>
      </c>
      <c r="I328" s="28">
        <f ca="1">SUMIF(半成品出库明细!$D$2:$D$558,$B328,半成品出库明细!$G$2:$G$2)</f>
        <v>0</v>
      </c>
      <c r="J328" s="28">
        <f ca="1" t="shared" ref="J328:J391" si="6">G328+H328-I328</f>
        <v>0</v>
      </c>
      <c r="K328" s="20"/>
      <c r="L328" s="3"/>
      <c r="M328" s="3"/>
    </row>
    <row r="329" s="1" customFormat="1" spans="1:13">
      <c r="A329" s="22">
        <v>281</v>
      </c>
      <c r="B329" s="23" t="s">
        <v>741</v>
      </c>
      <c r="C329" s="95" t="s">
        <v>742</v>
      </c>
      <c r="D329" s="25" t="s">
        <v>743</v>
      </c>
      <c r="E329" s="19" t="s">
        <v>76</v>
      </c>
      <c r="F329" s="26" t="s">
        <v>197</v>
      </c>
      <c r="G329" s="27">
        <f>SUMIF(物料月初库存!$C$3:$C$303,$B329,物料月初库存!$F$3:$F$303)</f>
        <v>0</v>
      </c>
      <c r="H329" s="28">
        <f>SUMIF(半成品入库明细!$D$2:$D$650,$B329,半成品入库明细!$G$2:$G$650)</f>
        <v>0</v>
      </c>
      <c r="I329" s="28">
        <f ca="1">SUMIF(半成品出库明细!$D$2:$D$558,$B329,半成品出库明细!$G$2:$G$2)</f>
        <v>0</v>
      </c>
      <c r="J329" s="28">
        <f ca="1" t="shared" si="6"/>
        <v>0</v>
      </c>
      <c r="K329" s="20"/>
      <c r="L329" s="3"/>
      <c r="M329" s="3"/>
    </row>
    <row r="330" s="1" customFormat="1" spans="1:13">
      <c r="A330" s="22">
        <v>282</v>
      </c>
      <c r="B330" s="23" t="s">
        <v>744</v>
      </c>
      <c r="C330" s="95" t="s">
        <v>742</v>
      </c>
      <c r="D330" s="25" t="s">
        <v>743</v>
      </c>
      <c r="E330" s="49" t="s">
        <v>316</v>
      </c>
      <c r="F330" s="26" t="s">
        <v>197</v>
      </c>
      <c r="G330" s="27">
        <f>SUMIF(物料月初库存!$C$3:$C$303,$B330,物料月初库存!$F$3:$F$303)</f>
        <v>0</v>
      </c>
      <c r="H330" s="28">
        <f>SUMIF(半成品入库明细!$D$2:$D$650,$B330,半成品入库明细!$G$2:$G$650)</f>
        <v>0</v>
      </c>
      <c r="I330" s="28">
        <f ca="1">SUMIF(半成品出库明细!$D$2:$D$558,$B330,半成品出库明细!$G$2:$G$2)</f>
        <v>0</v>
      </c>
      <c r="J330" s="28">
        <f ca="1" t="shared" si="6"/>
        <v>0</v>
      </c>
      <c r="K330" s="20"/>
      <c r="L330" s="3"/>
      <c r="M330" s="3"/>
    </row>
    <row r="331" s="1" customFormat="1" spans="1:13">
      <c r="A331" s="22">
        <v>283</v>
      </c>
      <c r="B331" s="23" t="s">
        <v>745</v>
      </c>
      <c r="C331" s="95" t="s">
        <v>742</v>
      </c>
      <c r="D331" s="25" t="s">
        <v>743</v>
      </c>
      <c r="E331" s="19" t="s">
        <v>733</v>
      </c>
      <c r="F331" s="26" t="s">
        <v>197</v>
      </c>
      <c r="G331" s="27">
        <f>SUMIF(物料月初库存!$C$3:$C$303,$B331,物料月初库存!$F$3:$F$303)</f>
        <v>0</v>
      </c>
      <c r="H331" s="28">
        <f>SUMIF(半成品入库明细!$D$2:$D$650,$B331,半成品入库明细!$G$2:$G$650)</f>
        <v>0</v>
      </c>
      <c r="I331" s="28">
        <f ca="1">SUMIF(半成品出库明细!$D$2:$D$558,$B331,半成品出库明细!$G$2:$G$2)</f>
        <v>0</v>
      </c>
      <c r="J331" s="28">
        <f ca="1" t="shared" si="6"/>
        <v>0</v>
      </c>
      <c r="K331" s="20"/>
      <c r="L331" s="3"/>
      <c r="M331" s="3"/>
    </row>
    <row r="332" s="1" customFormat="1" spans="1:13">
      <c r="A332" s="22">
        <v>284</v>
      </c>
      <c r="B332" s="23" t="s">
        <v>746</v>
      </c>
      <c r="C332" s="95" t="s">
        <v>742</v>
      </c>
      <c r="D332" s="25" t="s">
        <v>743</v>
      </c>
      <c r="E332" s="19" t="s">
        <v>256</v>
      </c>
      <c r="F332" s="26" t="s">
        <v>197</v>
      </c>
      <c r="G332" s="27">
        <f>SUMIF(物料月初库存!$C$3:$C$303,$B332,物料月初库存!$F$3:$F$303)</f>
        <v>0</v>
      </c>
      <c r="H332" s="28">
        <f>SUMIF(半成品入库明细!$D$2:$D$650,$B332,半成品入库明细!$G$2:$G$650)</f>
        <v>0</v>
      </c>
      <c r="I332" s="28">
        <f ca="1">SUMIF(半成品出库明细!$D$2:$D$558,$B332,半成品出库明细!$G$2:$G$2)</f>
        <v>0</v>
      </c>
      <c r="J332" s="28">
        <f ca="1" t="shared" si="6"/>
        <v>0</v>
      </c>
      <c r="K332" s="20"/>
      <c r="L332" s="3"/>
      <c r="M332" s="3"/>
    </row>
    <row r="333" s="1" customFormat="1" spans="1:13">
      <c r="A333" s="22">
        <v>285</v>
      </c>
      <c r="B333" s="23" t="s">
        <v>747</v>
      </c>
      <c r="C333" s="41" t="s">
        <v>748</v>
      </c>
      <c r="D333" s="25" t="s">
        <v>749</v>
      </c>
      <c r="E333" s="19" t="s">
        <v>76</v>
      </c>
      <c r="F333" s="26" t="s">
        <v>197</v>
      </c>
      <c r="G333" s="27">
        <f>SUMIF(物料月初库存!$C$3:$C$303,$B333,物料月初库存!$F$3:$F$303)</f>
        <v>0</v>
      </c>
      <c r="H333" s="28">
        <f>SUMIF(半成品入库明细!$D$2:$D$650,$B333,半成品入库明细!$G$2:$G$650)</f>
        <v>0</v>
      </c>
      <c r="I333" s="28">
        <f ca="1">SUMIF(半成品出库明细!$D$2:$D$558,$B333,半成品出库明细!$G$2:$G$2)</f>
        <v>0</v>
      </c>
      <c r="J333" s="28">
        <f ca="1" t="shared" si="6"/>
        <v>0</v>
      </c>
      <c r="K333" s="20"/>
      <c r="L333" s="3"/>
      <c r="M333" s="3"/>
    </row>
    <row r="334" s="1" customFormat="1" spans="1:13">
      <c r="A334" s="22">
        <v>286</v>
      </c>
      <c r="B334" s="23" t="s">
        <v>750</v>
      </c>
      <c r="C334" s="41" t="s">
        <v>751</v>
      </c>
      <c r="D334" s="25" t="s">
        <v>752</v>
      </c>
      <c r="E334" s="19" t="s">
        <v>76</v>
      </c>
      <c r="F334" s="26" t="s">
        <v>197</v>
      </c>
      <c r="G334" s="27">
        <f>SUMIF(物料月初库存!$C$3:$C$303,$B334,物料月初库存!$F$3:$F$303)</f>
        <v>0</v>
      </c>
      <c r="H334" s="28">
        <f>SUMIF(半成品入库明细!$D$2:$D$650,$B334,半成品入库明细!$G$2:$G$650)</f>
        <v>0</v>
      </c>
      <c r="I334" s="28">
        <f ca="1">SUMIF(半成品出库明细!$D$2:$D$558,$B334,半成品出库明细!$G$2:$G$2)</f>
        <v>0</v>
      </c>
      <c r="J334" s="28">
        <f ca="1" t="shared" si="6"/>
        <v>0</v>
      </c>
      <c r="K334" s="20"/>
      <c r="L334" s="3"/>
      <c r="M334" s="3"/>
    </row>
    <row r="335" s="1" customFormat="1" spans="1:13">
      <c r="A335" s="22">
        <v>287</v>
      </c>
      <c r="B335" s="23" t="s">
        <v>753</v>
      </c>
      <c r="C335" s="41" t="s">
        <v>751</v>
      </c>
      <c r="D335" s="25" t="s">
        <v>752</v>
      </c>
      <c r="E335" s="19" t="s">
        <v>235</v>
      </c>
      <c r="F335" s="26" t="s">
        <v>197</v>
      </c>
      <c r="G335" s="27">
        <f>SUMIF(物料月初库存!$C$3:$C$303,$B335,物料月初库存!$F$3:$F$303)</f>
        <v>0</v>
      </c>
      <c r="H335" s="28">
        <f>SUMIF(半成品入库明细!$D$2:$D$650,$B335,半成品入库明细!$G$2:$G$650)</f>
        <v>0</v>
      </c>
      <c r="I335" s="28">
        <f ca="1">SUMIF(半成品出库明细!$D$2:$D$558,$B335,半成品出库明细!$G$2:$G$2)</f>
        <v>0</v>
      </c>
      <c r="J335" s="28">
        <f ca="1" t="shared" si="6"/>
        <v>0</v>
      </c>
      <c r="K335" s="20"/>
      <c r="L335" s="3"/>
      <c r="M335" s="3"/>
    </row>
    <row r="336" s="1" customFormat="1" ht="17.1" customHeight="1" spans="1:13">
      <c r="A336" s="22">
        <v>288</v>
      </c>
      <c r="B336" s="23" t="s">
        <v>754</v>
      </c>
      <c r="C336" s="41" t="s">
        <v>751</v>
      </c>
      <c r="D336" s="25" t="s">
        <v>752</v>
      </c>
      <c r="E336" s="19" t="s">
        <v>670</v>
      </c>
      <c r="F336" s="26" t="s">
        <v>197</v>
      </c>
      <c r="G336" s="27">
        <f>SUMIF(物料月初库存!$C$3:$C$303,$B336,物料月初库存!$F$3:$F$303)</f>
        <v>0</v>
      </c>
      <c r="H336" s="28">
        <f>SUMIF(半成品入库明细!$D$2:$D$650,$B336,半成品入库明细!$G$2:$G$650)</f>
        <v>0</v>
      </c>
      <c r="I336" s="28">
        <f ca="1">SUMIF(半成品出库明细!$D$2:$D$558,$B336,半成品出库明细!$G$2:$G$2)</f>
        <v>0</v>
      </c>
      <c r="J336" s="28">
        <f ca="1" t="shared" si="6"/>
        <v>0</v>
      </c>
      <c r="K336" s="20"/>
      <c r="L336" s="3"/>
      <c r="M336" s="3"/>
    </row>
    <row r="337" s="1" customFormat="1" spans="1:13">
      <c r="A337" s="22">
        <v>289</v>
      </c>
      <c r="B337" s="23" t="s">
        <v>755</v>
      </c>
      <c r="C337" s="41" t="s">
        <v>751</v>
      </c>
      <c r="D337" s="25" t="s">
        <v>752</v>
      </c>
      <c r="E337" s="28" t="s">
        <v>443</v>
      </c>
      <c r="F337" s="26" t="s">
        <v>197</v>
      </c>
      <c r="G337" s="27">
        <f>SUMIF(物料月初库存!$C$3:$C$303,$B337,物料月初库存!$F$3:$F$303)</f>
        <v>0</v>
      </c>
      <c r="H337" s="28">
        <f>SUMIF(半成品入库明细!$D$2:$D$650,$B337,半成品入库明细!$G$2:$G$650)</f>
        <v>0</v>
      </c>
      <c r="I337" s="28">
        <f ca="1">SUMIF(半成品出库明细!$D$2:$D$558,$B337,半成品出库明细!$G$2:$G$2)</f>
        <v>0</v>
      </c>
      <c r="J337" s="28">
        <f ca="1" t="shared" si="6"/>
        <v>0</v>
      </c>
      <c r="K337" s="20"/>
      <c r="L337" s="3"/>
      <c r="M337" s="3"/>
    </row>
    <row r="338" s="1" customFormat="1" spans="1:13">
      <c r="A338" s="22">
        <v>290</v>
      </c>
      <c r="B338" s="23" t="s">
        <v>756</v>
      </c>
      <c r="C338" s="41" t="s">
        <v>757</v>
      </c>
      <c r="D338" s="25" t="s">
        <v>752</v>
      </c>
      <c r="E338" s="19" t="s">
        <v>76</v>
      </c>
      <c r="F338" s="26" t="s">
        <v>197</v>
      </c>
      <c r="G338" s="27">
        <f>SUMIF(物料月初库存!$C$3:$C$303,$B338,物料月初库存!$F$3:$F$303)</f>
        <v>0</v>
      </c>
      <c r="H338" s="28">
        <f>SUMIF(半成品入库明细!$D$2:$D$650,$B338,半成品入库明细!$G$2:$G$650)</f>
        <v>0</v>
      </c>
      <c r="I338" s="28">
        <f ca="1">SUMIF(半成品出库明细!$D$2:$D$558,$B338,半成品出库明细!$G$2:$G$2)</f>
        <v>0</v>
      </c>
      <c r="J338" s="28">
        <f ca="1" t="shared" si="6"/>
        <v>0</v>
      </c>
      <c r="K338" s="20"/>
      <c r="L338" s="3"/>
      <c r="M338" s="3"/>
    </row>
    <row r="339" s="1" customFormat="1" spans="1:13">
      <c r="A339" s="22">
        <v>291</v>
      </c>
      <c r="B339" s="23" t="s">
        <v>758</v>
      </c>
      <c r="C339" s="41" t="s">
        <v>757</v>
      </c>
      <c r="D339" s="25" t="s">
        <v>752</v>
      </c>
      <c r="E339" s="19" t="s">
        <v>235</v>
      </c>
      <c r="F339" s="26" t="s">
        <v>197</v>
      </c>
      <c r="G339" s="27">
        <f>SUMIF(物料月初库存!$C$3:$C$303,$B339,物料月初库存!$F$3:$F$303)</f>
        <v>0</v>
      </c>
      <c r="H339" s="28">
        <f>SUMIF(半成品入库明细!$D$2:$D$650,$B339,半成品入库明细!$G$2:$G$650)</f>
        <v>0</v>
      </c>
      <c r="I339" s="28">
        <f ca="1">SUMIF(半成品出库明细!$D$2:$D$558,$B339,半成品出库明细!$G$2:$G$2)</f>
        <v>0</v>
      </c>
      <c r="J339" s="28">
        <f ca="1" t="shared" si="6"/>
        <v>0</v>
      </c>
      <c r="K339" s="20"/>
      <c r="L339" s="3"/>
      <c r="M339" s="3"/>
    </row>
    <row r="340" s="1" customFormat="1" spans="1:13">
      <c r="A340" s="22">
        <v>292</v>
      </c>
      <c r="B340" s="23" t="s">
        <v>759</v>
      </c>
      <c r="C340" s="41" t="s">
        <v>757</v>
      </c>
      <c r="D340" s="25" t="s">
        <v>752</v>
      </c>
      <c r="E340" s="19" t="s">
        <v>670</v>
      </c>
      <c r="F340" s="26" t="s">
        <v>197</v>
      </c>
      <c r="G340" s="27">
        <f>SUMIF(物料月初库存!$C$3:$C$303,$B340,物料月初库存!$F$3:$F$303)</f>
        <v>0</v>
      </c>
      <c r="H340" s="28">
        <f>SUMIF(半成品入库明细!$D$2:$D$650,$B340,半成品入库明细!$G$2:$G$650)</f>
        <v>0</v>
      </c>
      <c r="I340" s="28">
        <f ca="1">SUMIF(半成品出库明细!$D$2:$D$558,$B340,半成品出库明细!$G$2:$G$2)</f>
        <v>0</v>
      </c>
      <c r="J340" s="28">
        <f ca="1" t="shared" si="6"/>
        <v>0</v>
      </c>
      <c r="K340" s="20"/>
      <c r="L340" s="3"/>
      <c r="M340" s="3"/>
    </row>
    <row r="341" s="1" customFormat="1" spans="1:13">
      <c r="A341" s="22">
        <v>293</v>
      </c>
      <c r="B341" s="23" t="s">
        <v>760</v>
      </c>
      <c r="C341" s="41" t="s">
        <v>757</v>
      </c>
      <c r="D341" s="25" t="s">
        <v>752</v>
      </c>
      <c r="E341" s="28" t="s">
        <v>443</v>
      </c>
      <c r="F341" s="26" t="s">
        <v>197</v>
      </c>
      <c r="G341" s="27">
        <f>SUMIF(物料月初库存!$C$3:$C$303,$B341,物料月初库存!$F$3:$F$303)</f>
        <v>0</v>
      </c>
      <c r="H341" s="28">
        <f>SUMIF(半成品入库明细!$D$2:$D$650,$B341,半成品入库明细!$G$2:$G$650)</f>
        <v>0</v>
      </c>
      <c r="I341" s="28">
        <f ca="1">SUMIF(半成品出库明细!$D$2:$D$558,$B341,半成品出库明细!$G$2:$G$2)</f>
        <v>0</v>
      </c>
      <c r="J341" s="28">
        <f ca="1" t="shared" si="6"/>
        <v>0</v>
      </c>
      <c r="K341" s="20"/>
      <c r="L341" s="3"/>
      <c r="M341" s="3"/>
    </row>
    <row r="342" s="1" customFormat="1" spans="1:13">
      <c r="A342" s="22">
        <v>294</v>
      </c>
      <c r="B342" s="23" t="s">
        <v>761</v>
      </c>
      <c r="C342" s="41" t="s">
        <v>762</v>
      </c>
      <c r="D342" s="25" t="s">
        <v>752</v>
      </c>
      <c r="E342" s="19" t="s">
        <v>76</v>
      </c>
      <c r="F342" s="26" t="s">
        <v>197</v>
      </c>
      <c r="G342" s="27">
        <f>SUMIF(物料月初库存!$C$3:$C$303,$B342,物料月初库存!$F$3:$F$303)</f>
        <v>0</v>
      </c>
      <c r="H342" s="28">
        <f>SUMIF(半成品入库明细!$D$2:$D$650,$B342,半成品入库明细!$G$2:$G$650)</f>
        <v>0</v>
      </c>
      <c r="I342" s="28">
        <f ca="1">SUMIF(半成品出库明细!$D$2:$D$558,$B342,半成品出库明细!$G$2:$G$2)</f>
        <v>0</v>
      </c>
      <c r="J342" s="28">
        <f ca="1" t="shared" si="6"/>
        <v>0</v>
      </c>
      <c r="K342" s="20"/>
      <c r="L342" s="3"/>
      <c r="M342" s="3"/>
    </row>
    <row r="343" s="1" customFormat="1" spans="1:13">
      <c r="A343" s="22">
        <v>295</v>
      </c>
      <c r="B343" s="23" t="s">
        <v>763</v>
      </c>
      <c r="C343" s="41" t="s">
        <v>762</v>
      </c>
      <c r="D343" s="25" t="s">
        <v>752</v>
      </c>
      <c r="E343" s="19" t="s">
        <v>235</v>
      </c>
      <c r="F343" s="26" t="s">
        <v>197</v>
      </c>
      <c r="G343" s="27">
        <f>SUMIF(物料月初库存!$C$3:$C$303,$B343,物料月初库存!$F$3:$F$303)</f>
        <v>0</v>
      </c>
      <c r="H343" s="28">
        <f>SUMIF(半成品入库明细!$D$2:$D$650,$B343,半成品入库明细!$G$2:$G$650)</f>
        <v>0</v>
      </c>
      <c r="I343" s="28">
        <f ca="1">SUMIF(半成品出库明细!$D$2:$D$558,$B343,半成品出库明细!$G$2:$G$2)</f>
        <v>0</v>
      </c>
      <c r="J343" s="28">
        <f ca="1" t="shared" si="6"/>
        <v>0</v>
      </c>
      <c r="K343" s="20"/>
      <c r="L343" s="3"/>
      <c r="M343" s="3"/>
    </row>
    <row r="344" s="1" customFormat="1" spans="1:13">
      <c r="A344" s="22">
        <v>296</v>
      </c>
      <c r="B344" s="23" t="s">
        <v>764</v>
      </c>
      <c r="C344" s="41" t="s">
        <v>762</v>
      </c>
      <c r="D344" s="25" t="s">
        <v>752</v>
      </c>
      <c r="E344" s="19" t="s">
        <v>670</v>
      </c>
      <c r="F344" s="26" t="s">
        <v>197</v>
      </c>
      <c r="G344" s="27">
        <f>SUMIF(物料月初库存!$C$3:$C$303,$B344,物料月初库存!$F$3:$F$303)</f>
        <v>0</v>
      </c>
      <c r="H344" s="28">
        <f>SUMIF(半成品入库明细!$D$2:$D$650,$B344,半成品入库明细!$G$2:$G$650)</f>
        <v>0</v>
      </c>
      <c r="I344" s="28">
        <f ca="1">SUMIF(半成品出库明细!$D$2:$D$558,$B344,半成品出库明细!$G$2:$G$2)</f>
        <v>0</v>
      </c>
      <c r="J344" s="28">
        <f ca="1" t="shared" si="6"/>
        <v>0</v>
      </c>
      <c r="K344" s="20"/>
      <c r="L344" s="3"/>
      <c r="M344" s="3"/>
    </row>
    <row r="345" s="1" customFormat="1" spans="1:13">
      <c r="A345" s="22">
        <v>297</v>
      </c>
      <c r="B345" s="23" t="s">
        <v>765</v>
      </c>
      <c r="C345" s="41" t="s">
        <v>762</v>
      </c>
      <c r="D345" s="25" t="s">
        <v>752</v>
      </c>
      <c r="E345" s="28" t="s">
        <v>443</v>
      </c>
      <c r="F345" s="26" t="s">
        <v>197</v>
      </c>
      <c r="G345" s="27">
        <f>SUMIF(物料月初库存!$C$3:$C$303,$B345,物料月初库存!$F$3:$F$303)</f>
        <v>0</v>
      </c>
      <c r="H345" s="28">
        <f>SUMIF(半成品入库明细!$D$2:$D$650,$B345,半成品入库明细!$G$2:$G$650)</f>
        <v>0</v>
      </c>
      <c r="I345" s="28">
        <f ca="1">SUMIF(半成品出库明细!$D$2:$D$558,$B345,半成品出库明细!$G$2:$G$2)</f>
        <v>0</v>
      </c>
      <c r="J345" s="28">
        <f ca="1" t="shared" si="6"/>
        <v>0</v>
      </c>
      <c r="K345" s="20"/>
      <c r="L345" s="3"/>
      <c r="M345" s="3"/>
    </row>
    <row r="346" s="1" customFormat="1" spans="1:13">
      <c r="A346" s="22">
        <v>298</v>
      </c>
      <c r="B346" s="23" t="s">
        <v>766</v>
      </c>
      <c r="C346" s="41" t="s">
        <v>767</v>
      </c>
      <c r="D346" s="25" t="s">
        <v>752</v>
      </c>
      <c r="E346" s="19" t="s">
        <v>76</v>
      </c>
      <c r="F346" s="26" t="s">
        <v>197</v>
      </c>
      <c r="G346" s="27">
        <f>SUMIF(物料月初库存!$C$3:$C$303,$B346,物料月初库存!$F$3:$F$303)</f>
        <v>0</v>
      </c>
      <c r="H346" s="28">
        <f>SUMIF(半成品入库明细!$D$2:$D$650,$B346,半成品入库明细!$G$2:$G$650)</f>
        <v>0</v>
      </c>
      <c r="I346" s="28">
        <f ca="1">SUMIF(半成品出库明细!$D$2:$D$558,$B346,半成品出库明细!$G$2:$G$2)</f>
        <v>0</v>
      </c>
      <c r="J346" s="28">
        <f ca="1" t="shared" si="6"/>
        <v>0</v>
      </c>
      <c r="K346" s="20"/>
      <c r="L346" s="3"/>
      <c r="M346" s="3"/>
    </row>
    <row r="347" s="1" customFormat="1" spans="1:13">
      <c r="A347" s="22">
        <v>299</v>
      </c>
      <c r="B347" s="23" t="s">
        <v>768</v>
      </c>
      <c r="C347" s="41" t="s">
        <v>767</v>
      </c>
      <c r="D347" s="25" t="s">
        <v>752</v>
      </c>
      <c r="E347" s="19" t="s">
        <v>235</v>
      </c>
      <c r="F347" s="26" t="s">
        <v>197</v>
      </c>
      <c r="G347" s="27">
        <f>SUMIF(物料月初库存!$C$3:$C$303,$B347,物料月初库存!$F$3:$F$303)</f>
        <v>0</v>
      </c>
      <c r="H347" s="28">
        <f>SUMIF(半成品入库明细!$D$2:$D$650,$B347,半成品入库明细!$G$2:$G$650)</f>
        <v>0</v>
      </c>
      <c r="I347" s="28">
        <f ca="1">SUMIF(半成品出库明细!$D$2:$D$558,$B347,半成品出库明细!$G$2:$G$2)</f>
        <v>0</v>
      </c>
      <c r="J347" s="28">
        <f ca="1" t="shared" si="6"/>
        <v>0</v>
      </c>
      <c r="K347" s="20"/>
      <c r="L347" s="3"/>
      <c r="M347" s="3"/>
    </row>
    <row r="348" s="1" customFormat="1" spans="1:13">
      <c r="A348" s="22">
        <v>300</v>
      </c>
      <c r="B348" s="23" t="s">
        <v>769</v>
      </c>
      <c r="C348" s="41" t="s">
        <v>767</v>
      </c>
      <c r="D348" s="25" t="s">
        <v>752</v>
      </c>
      <c r="E348" s="19" t="s">
        <v>670</v>
      </c>
      <c r="F348" s="26" t="s">
        <v>197</v>
      </c>
      <c r="G348" s="27">
        <f>SUMIF(物料月初库存!$C$3:$C$303,$B348,物料月初库存!$F$3:$F$303)</f>
        <v>0</v>
      </c>
      <c r="H348" s="28">
        <f>SUMIF(半成品入库明细!$D$2:$D$650,$B348,半成品入库明细!$G$2:$G$650)</f>
        <v>0</v>
      </c>
      <c r="I348" s="28">
        <f ca="1">SUMIF(半成品出库明细!$D$2:$D$558,$B348,半成品出库明细!$G$2:$G$2)</f>
        <v>0</v>
      </c>
      <c r="J348" s="28">
        <f ca="1" t="shared" si="6"/>
        <v>0</v>
      </c>
      <c r="K348" s="20"/>
      <c r="L348" s="3"/>
      <c r="M348" s="3"/>
    </row>
    <row r="349" s="1" customFormat="1" spans="1:13">
      <c r="A349" s="22">
        <v>301</v>
      </c>
      <c r="B349" s="23" t="s">
        <v>770</v>
      </c>
      <c r="C349" s="41" t="s">
        <v>767</v>
      </c>
      <c r="D349" s="25" t="s">
        <v>752</v>
      </c>
      <c r="E349" s="28" t="s">
        <v>443</v>
      </c>
      <c r="F349" s="26" t="s">
        <v>197</v>
      </c>
      <c r="G349" s="27">
        <f>SUMIF(物料月初库存!$C$3:$C$303,$B349,物料月初库存!$F$3:$F$303)</f>
        <v>0</v>
      </c>
      <c r="H349" s="28">
        <f>SUMIF(半成品入库明细!$D$2:$D$650,$B349,半成品入库明细!$G$2:$G$650)</f>
        <v>0</v>
      </c>
      <c r="I349" s="28">
        <f ca="1">SUMIF(半成品出库明细!$D$2:$D$558,$B349,半成品出库明细!$G$2:$G$2)</f>
        <v>0</v>
      </c>
      <c r="J349" s="28">
        <f ca="1" t="shared" si="6"/>
        <v>0</v>
      </c>
      <c r="K349" s="20"/>
      <c r="L349" s="3"/>
      <c r="M349" s="3"/>
    </row>
    <row r="350" s="1" customFormat="1" spans="1:13">
      <c r="A350" s="22">
        <v>302</v>
      </c>
      <c r="B350" s="23" t="s">
        <v>771</v>
      </c>
      <c r="C350" s="25" t="s">
        <v>772</v>
      </c>
      <c r="D350" s="25" t="s">
        <v>773</v>
      </c>
      <c r="E350" s="19" t="s">
        <v>76</v>
      </c>
      <c r="F350" s="26" t="s">
        <v>197</v>
      </c>
      <c r="G350" s="27">
        <f>SUMIF(物料月初库存!$C$3:$C$303,$B350,物料月初库存!$F$3:$F$303)</f>
        <v>0</v>
      </c>
      <c r="H350" s="28">
        <f>SUMIF(半成品入库明细!$D$2:$D$650,$B350,半成品入库明细!$G$2:$G$650)</f>
        <v>0</v>
      </c>
      <c r="I350" s="28">
        <f ca="1">SUMIF(半成品出库明细!$D$2:$D$558,$B350,半成品出库明细!$G$2:$G$2)</f>
        <v>0</v>
      </c>
      <c r="J350" s="28">
        <f ca="1" t="shared" si="6"/>
        <v>0</v>
      </c>
      <c r="K350" s="20"/>
      <c r="L350" s="3"/>
      <c r="M350" s="3"/>
    </row>
    <row r="351" s="1" customFormat="1" spans="1:13">
      <c r="A351" s="22">
        <v>303</v>
      </c>
      <c r="B351" s="23" t="s">
        <v>774</v>
      </c>
      <c r="C351" s="52" t="s">
        <v>772</v>
      </c>
      <c r="D351" s="25" t="s">
        <v>773</v>
      </c>
      <c r="E351" s="34" t="s">
        <v>202</v>
      </c>
      <c r="F351" s="26" t="s">
        <v>197</v>
      </c>
      <c r="G351" s="27">
        <f>SUMIF(物料月初库存!$C$3:$C$303,$B351,物料月初库存!$F$3:$F$303)</f>
        <v>0</v>
      </c>
      <c r="H351" s="28">
        <f>SUMIF(半成品入库明细!$D$2:$D$650,$B351,半成品入库明细!$G$2:$G$650)</f>
        <v>0</v>
      </c>
      <c r="I351" s="28">
        <f ca="1">SUMIF(半成品出库明细!$D$2:$D$558,$B351,半成品出库明细!$G$2:$G$2)</f>
        <v>0</v>
      </c>
      <c r="J351" s="28">
        <f ca="1" t="shared" si="6"/>
        <v>0</v>
      </c>
      <c r="K351" s="20"/>
      <c r="L351" s="3"/>
      <c r="M351" s="3"/>
    </row>
    <row r="352" s="1" customFormat="1" spans="1:13">
      <c r="A352" s="22">
        <v>304</v>
      </c>
      <c r="B352" s="23" t="s">
        <v>775</v>
      </c>
      <c r="C352" s="52" t="s">
        <v>776</v>
      </c>
      <c r="D352" s="25" t="s">
        <v>773</v>
      </c>
      <c r="E352" s="19" t="s">
        <v>76</v>
      </c>
      <c r="F352" s="26" t="s">
        <v>197</v>
      </c>
      <c r="G352" s="27">
        <f>SUMIF(物料月初库存!$C$3:$C$303,$B352,物料月初库存!$F$3:$F$303)</f>
        <v>0</v>
      </c>
      <c r="H352" s="28">
        <f>SUMIF(半成品入库明细!$D$2:$D$650,$B352,半成品入库明细!$G$2:$G$650)</f>
        <v>0</v>
      </c>
      <c r="I352" s="28">
        <f ca="1">SUMIF(半成品出库明细!$D$2:$D$558,$B352,半成品出库明细!$G$2:$G$2)</f>
        <v>0</v>
      </c>
      <c r="J352" s="28">
        <f ca="1" t="shared" si="6"/>
        <v>0</v>
      </c>
      <c r="K352" s="20"/>
      <c r="L352" s="3"/>
      <c r="M352" s="3"/>
    </row>
    <row r="353" s="1" customFormat="1" spans="1:13">
      <c r="A353" s="22">
        <v>305</v>
      </c>
      <c r="B353" s="23" t="s">
        <v>777</v>
      </c>
      <c r="C353" s="52" t="s">
        <v>776</v>
      </c>
      <c r="D353" s="25" t="s">
        <v>773</v>
      </c>
      <c r="E353" s="34" t="s">
        <v>202</v>
      </c>
      <c r="F353" s="26" t="s">
        <v>197</v>
      </c>
      <c r="G353" s="27">
        <f>SUMIF(物料月初库存!$C$3:$C$303,$B353,物料月初库存!$F$3:$F$303)</f>
        <v>0</v>
      </c>
      <c r="H353" s="28">
        <f>SUMIF(半成品入库明细!$D$2:$D$650,$B353,半成品入库明细!$G$2:$G$650)</f>
        <v>0</v>
      </c>
      <c r="I353" s="28">
        <f ca="1">SUMIF(半成品出库明细!$D$2:$D$558,$B353,半成品出库明细!$G$2:$G$2)</f>
        <v>0</v>
      </c>
      <c r="J353" s="28">
        <f ca="1" t="shared" si="6"/>
        <v>0</v>
      </c>
      <c r="K353" s="20"/>
      <c r="L353" s="3"/>
      <c r="M353" s="3"/>
    </row>
    <row r="354" s="1" customFormat="1" spans="1:13">
      <c r="A354" s="22">
        <v>306</v>
      </c>
      <c r="B354" s="23" t="s">
        <v>778</v>
      </c>
      <c r="C354" s="52" t="s">
        <v>779</v>
      </c>
      <c r="D354" s="25" t="s">
        <v>773</v>
      </c>
      <c r="E354" s="19" t="s">
        <v>76</v>
      </c>
      <c r="F354" s="26" t="s">
        <v>197</v>
      </c>
      <c r="G354" s="27">
        <f>SUMIF(物料月初库存!$C$3:$C$303,$B354,物料月初库存!$F$3:$F$303)</f>
        <v>0</v>
      </c>
      <c r="H354" s="28">
        <f>SUMIF(半成品入库明细!$D$2:$D$650,$B354,半成品入库明细!$G$2:$G$650)</f>
        <v>0</v>
      </c>
      <c r="I354" s="28">
        <f ca="1">SUMIF(半成品出库明细!$D$2:$D$558,$B354,半成品出库明细!$G$2:$G$2)</f>
        <v>0</v>
      </c>
      <c r="J354" s="28">
        <f ca="1" t="shared" si="6"/>
        <v>0</v>
      </c>
      <c r="K354" s="20"/>
      <c r="L354" s="3"/>
      <c r="M354" s="3"/>
    </row>
    <row r="355" s="1" customFormat="1" spans="1:13">
      <c r="A355" s="22">
        <v>307</v>
      </c>
      <c r="B355" s="23" t="s">
        <v>780</v>
      </c>
      <c r="C355" s="52" t="s">
        <v>779</v>
      </c>
      <c r="D355" s="25" t="s">
        <v>773</v>
      </c>
      <c r="E355" s="34" t="s">
        <v>202</v>
      </c>
      <c r="F355" s="26" t="s">
        <v>197</v>
      </c>
      <c r="G355" s="27">
        <f>SUMIF(物料月初库存!$C$3:$C$303,$B355,物料月初库存!$F$3:$F$303)</f>
        <v>0</v>
      </c>
      <c r="H355" s="28">
        <f>SUMIF(半成品入库明细!$D$2:$D$650,$B355,半成品入库明细!$G$2:$G$650)</f>
        <v>0</v>
      </c>
      <c r="I355" s="28">
        <f ca="1">SUMIF(半成品出库明细!$D$2:$D$558,$B355,半成品出库明细!$G$2:$G$2)</f>
        <v>0</v>
      </c>
      <c r="J355" s="28">
        <f ca="1" t="shared" si="6"/>
        <v>0</v>
      </c>
      <c r="K355" s="20"/>
      <c r="L355" s="3"/>
      <c r="M355" s="3"/>
    </row>
    <row r="356" s="1" customFormat="1" spans="1:13">
      <c r="A356" s="22">
        <v>308</v>
      </c>
      <c r="B356" s="23" t="s">
        <v>781</v>
      </c>
      <c r="C356" s="52" t="s">
        <v>782</v>
      </c>
      <c r="D356" s="25" t="s">
        <v>773</v>
      </c>
      <c r="E356" s="19" t="s">
        <v>76</v>
      </c>
      <c r="F356" s="26" t="s">
        <v>197</v>
      </c>
      <c r="G356" s="27">
        <f>SUMIF(物料月初库存!$C$3:$C$303,$B356,物料月初库存!$F$3:$F$303)</f>
        <v>0</v>
      </c>
      <c r="H356" s="28">
        <f>SUMIF(半成品入库明细!$D$2:$D$650,$B356,半成品入库明细!$G$2:$G$650)</f>
        <v>0</v>
      </c>
      <c r="I356" s="28">
        <f ca="1">SUMIF(半成品出库明细!$D$2:$D$558,$B356,半成品出库明细!$G$2:$G$2)</f>
        <v>0</v>
      </c>
      <c r="J356" s="28">
        <f ca="1" t="shared" si="6"/>
        <v>0</v>
      </c>
      <c r="K356" s="20"/>
      <c r="L356" s="3"/>
      <c r="M356" s="3"/>
    </row>
    <row r="357" s="1" customFormat="1" spans="1:13">
      <c r="A357" s="22">
        <v>309</v>
      </c>
      <c r="B357" s="23" t="s">
        <v>783</v>
      </c>
      <c r="C357" s="52" t="s">
        <v>782</v>
      </c>
      <c r="D357" s="25" t="s">
        <v>773</v>
      </c>
      <c r="E357" s="34" t="s">
        <v>202</v>
      </c>
      <c r="F357" s="26" t="s">
        <v>197</v>
      </c>
      <c r="G357" s="27">
        <f>SUMIF(物料月初库存!$C$3:$C$303,$B357,物料月初库存!$F$3:$F$303)</f>
        <v>0</v>
      </c>
      <c r="H357" s="28">
        <f>SUMIF(半成品入库明细!$D$2:$D$650,$B357,半成品入库明细!$G$2:$G$650)</f>
        <v>0</v>
      </c>
      <c r="I357" s="28">
        <f ca="1">SUMIF(半成品出库明细!$D$2:$D$558,$B357,半成品出库明细!$G$2:$G$2)</f>
        <v>0</v>
      </c>
      <c r="J357" s="28">
        <f ca="1" t="shared" si="6"/>
        <v>0</v>
      </c>
      <c r="K357" s="20"/>
      <c r="L357" s="3"/>
      <c r="M357" s="3"/>
    </row>
    <row r="358" s="1" customFormat="1" spans="1:13">
      <c r="A358" s="22">
        <v>310</v>
      </c>
      <c r="B358" s="23" t="s">
        <v>784</v>
      </c>
      <c r="C358" s="52" t="s">
        <v>785</v>
      </c>
      <c r="D358" s="25" t="s">
        <v>773</v>
      </c>
      <c r="E358" s="19" t="s">
        <v>76</v>
      </c>
      <c r="F358" s="26" t="s">
        <v>197</v>
      </c>
      <c r="G358" s="27">
        <f>SUMIF(物料月初库存!$C$3:$C$303,$B358,物料月初库存!$F$3:$F$303)</f>
        <v>0</v>
      </c>
      <c r="H358" s="28">
        <f>SUMIF(半成品入库明细!$D$2:$D$650,$B358,半成品入库明细!$G$2:$G$650)</f>
        <v>0</v>
      </c>
      <c r="I358" s="28">
        <f ca="1">SUMIF(半成品出库明细!$D$2:$D$558,$B358,半成品出库明细!$G$2:$G$2)</f>
        <v>0</v>
      </c>
      <c r="J358" s="28">
        <f ca="1" t="shared" si="6"/>
        <v>0</v>
      </c>
      <c r="K358" s="20"/>
      <c r="L358" s="3"/>
      <c r="M358" s="3"/>
    </row>
    <row r="359" s="1" customFormat="1" spans="1:13">
      <c r="A359" s="22">
        <v>311</v>
      </c>
      <c r="B359" s="23" t="s">
        <v>786</v>
      </c>
      <c r="C359" s="52" t="s">
        <v>785</v>
      </c>
      <c r="D359" s="25" t="s">
        <v>773</v>
      </c>
      <c r="E359" s="34" t="s">
        <v>202</v>
      </c>
      <c r="F359" s="26" t="s">
        <v>197</v>
      </c>
      <c r="G359" s="27">
        <f>SUMIF(物料月初库存!$C$3:$C$303,$B359,物料月初库存!$F$3:$F$303)</f>
        <v>0</v>
      </c>
      <c r="H359" s="28">
        <f>SUMIF(半成品入库明细!$D$2:$D$650,$B359,半成品入库明细!$G$2:$G$650)</f>
        <v>0</v>
      </c>
      <c r="I359" s="28">
        <f ca="1">SUMIF(半成品出库明细!$D$2:$D$558,$B359,半成品出库明细!$G$2:$G$2)</f>
        <v>0</v>
      </c>
      <c r="J359" s="28">
        <f ca="1" t="shared" si="6"/>
        <v>0</v>
      </c>
      <c r="K359" s="20"/>
      <c r="L359" s="3"/>
      <c r="M359" s="3"/>
    </row>
    <row r="360" s="1" customFormat="1" spans="1:13">
      <c r="A360" s="22">
        <v>312</v>
      </c>
      <c r="B360" s="23" t="s">
        <v>787</v>
      </c>
      <c r="C360" s="52" t="s">
        <v>788</v>
      </c>
      <c r="D360" s="25" t="s">
        <v>773</v>
      </c>
      <c r="E360" s="19" t="s">
        <v>76</v>
      </c>
      <c r="F360" s="26" t="s">
        <v>197</v>
      </c>
      <c r="G360" s="27">
        <f>SUMIF(物料月初库存!$C$3:$C$303,$B360,物料月初库存!$F$3:$F$303)</f>
        <v>0</v>
      </c>
      <c r="H360" s="28">
        <f>SUMIF(半成品入库明细!$D$2:$D$650,$B360,半成品入库明细!$G$2:$G$650)</f>
        <v>0</v>
      </c>
      <c r="I360" s="28">
        <f ca="1">SUMIF(半成品出库明细!$D$2:$D$558,$B360,半成品出库明细!$G$2:$G$2)</f>
        <v>0</v>
      </c>
      <c r="J360" s="28">
        <f ca="1" t="shared" si="6"/>
        <v>0</v>
      </c>
      <c r="K360" s="20"/>
      <c r="L360" s="3"/>
      <c r="M360" s="3"/>
    </row>
    <row r="361" s="1" customFormat="1" spans="1:13">
      <c r="A361" s="22">
        <v>313</v>
      </c>
      <c r="B361" s="23" t="s">
        <v>789</v>
      </c>
      <c r="C361" s="52" t="s">
        <v>788</v>
      </c>
      <c r="D361" s="25" t="s">
        <v>773</v>
      </c>
      <c r="E361" s="34" t="s">
        <v>202</v>
      </c>
      <c r="F361" s="26" t="s">
        <v>197</v>
      </c>
      <c r="G361" s="27">
        <f>SUMIF(物料月初库存!$C$3:$C$303,$B361,物料月初库存!$F$3:$F$303)</f>
        <v>0</v>
      </c>
      <c r="H361" s="28">
        <f>SUMIF(半成品入库明细!$D$2:$D$650,$B361,半成品入库明细!$G$2:$G$650)</f>
        <v>0</v>
      </c>
      <c r="I361" s="28">
        <f ca="1">SUMIF(半成品出库明细!$D$2:$D$558,$B361,半成品出库明细!$G$2:$G$2)</f>
        <v>0</v>
      </c>
      <c r="J361" s="28">
        <f ca="1" t="shared" si="6"/>
        <v>0</v>
      </c>
      <c r="K361" s="20"/>
      <c r="L361" s="3"/>
      <c r="M361" s="3"/>
    </row>
    <row r="362" s="1" customFormat="1" spans="1:13">
      <c r="A362" s="22">
        <v>314</v>
      </c>
      <c r="B362" s="23" t="s">
        <v>790</v>
      </c>
      <c r="C362" s="52" t="s">
        <v>791</v>
      </c>
      <c r="D362" s="25" t="s">
        <v>773</v>
      </c>
      <c r="E362" s="19" t="s">
        <v>76</v>
      </c>
      <c r="F362" s="26" t="s">
        <v>197</v>
      </c>
      <c r="G362" s="27">
        <f>SUMIF(物料月初库存!$C$3:$C$303,$B362,物料月初库存!$F$3:$F$303)</f>
        <v>0</v>
      </c>
      <c r="H362" s="28">
        <f>SUMIF(半成品入库明细!$D$2:$D$650,$B362,半成品入库明细!$G$2:$G$650)</f>
        <v>0</v>
      </c>
      <c r="I362" s="28">
        <f ca="1">SUMIF(半成品出库明细!$D$2:$D$558,$B362,半成品出库明细!$G$2:$G$2)</f>
        <v>0</v>
      </c>
      <c r="J362" s="28">
        <f ca="1" t="shared" si="6"/>
        <v>0</v>
      </c>
      <c r="K362" s="20"/>
      <c r="L362" s="3"/>
      <c r="M362" s="3"/>
    </row>
    <row r="363" s="1" customFormat="1" spans="1:13">
      <c r="A363" s="22">
        <v>315</v>
      </c>
      <c r="B363" s="23" t="s">
        <v>792</v>
      </c>
      <c r="C363" s="52" t="s">
        <v>791</v>
      </c>
      <c r="D363" s="25" t="s">
        <v>773</v>
      </c>
      <c r="E363" s="34" t="s">
        <v>202</v>
      </c>
      <c r="F363" s="26" t="s">
        <v>197</v>
      </c>
      <c r="G363" s="27">
        <f>SUMIF(物料月初库存!$C$3:$C$303,$B363,物料月初库存!$F$3:$F$303)</f>
        <v>0</v>
      </c>
      <c r="H363" s="28">
        <f>SUMIF(半成品入库明细!$D$2:$D$650,$B363,半成品入库明细!$G$2:$G$650)</f>
        <v>0</v>
      </c>
      <c r="I363" s="28">
        <f ca="1">SUMIF(半成品出库明细!$D$2:$D$558,$B363,半成品出库明细!$G$2:$G$2)</f>
        <v>0</v>
      </c>
      <c r="J363" s="28">
        <f ca="1" t="shared" si="6"/>
        <v>0</v>
      </c>
      <c r="K363" s="20"/>
      <c r="L363" s="3"/>
      <c r="M363" s="3"/>
    </row>
    <row r="364" s="1" customFormat="1" spans="1:13">
      <c r="A364" s="22">
        <v>316</v>
      </c>
      <c r="B364" s="23" t="s">
        <v>793</v>
      </c>
      <c r="C364" s="25" t="s">
        <v>794</v>
      </c>
      <c r="D364" s="25" t="s">
        <v>773</v>
      </c>
      <c r="E364" s="19" t="s">
        <v>76</v>
      </c>
      <c r="F364" s="26" t="s">
        <v>197</v>
      </c>
      <c r="G364" s="27">
        <f>SUMIF(物料月初库存!$C$3:$C$303,$B364,物料月初库存!$F$3:$F$303)</f>
        <v>0</v>
      </c>
      <c r="H364" s="28">
        <f>SUMIF(半成品入库明细!$D$2:$D$650,$B364,半成品入库明细!$G$2:$G$650)</f>
        <v>0</v>
      </c>
      <c r="I364" s="28">
        <f ca="1">SUMIF(半成品出库明细!$D$2:$D$558,$B364,半成品出库明细!$G$2:$G$2)</f>
        <v>0</v>
      </c>
      <c r="J364" s="28">
        <f ca="1" t="shared" si="6"/>
        <v>0</v>
      </c>
      <c r="K364" s="20"/>
      <c r="L364" s="3"/>
      <c r="M364" s="3"/>
    </row>
    <row r="365" s="1" customFormat="1" spans="1:13">
      <c r="A365" s="22">
        <v>317</v>
      </c>
      <c r="B365" s="23" t="s">
        <v>795</v>
      </c>
      <c r="C365" s="25" t="s">
        <v>794</v>
      </c>
      <c r="D365" s="25" t="s">
        <v>773</v>
      </c>
      <c r="E365" s="34" t="s">
        <v>202</v>
      </c>
      <c r="F365" s="26" t="s">
        <v>197</v>
      </c>
      <c r="G365" s="27">
        <f>SUMIF(物料月初库存!$C$3:$C$303,$B365,物料月初库存!$F$3:$F$303)</f>
        <v>0</v>
      </c>
      <c r="H365" s="28">
        <f>SUMIF(半成品入库明细!$D$2:$D$650,$B365,半成品入库明细!$G$2:$G$650)</f>
        <v>0</v>
      </c>
      <c r="I365" s="28">
        <f ca="1">SUMIF(半成品出库明细!$D$2:$D$558,$B365,半成品出库明细!$G$2:$G$2)</f>
        <v>0</v>
      </c>
      <c r="J365" s="28">
        <f ca="1" t="shared" si="6"/>
        <v>0</v>
      </c>
      <c r="K365" s="20"/>
      <c r="L365" s="3"/>
      <c r="M365" s="3"/>
    </row>
    <row r="366" s="1" customFormat="1" spans="1:13">
      <c r="A366" s="22">
        <v>318</v>
      </c>
      <c r="B366" s="23" t="s">
        <v>796</v>
      </c>
      <c r="C366" s="25" t="s">
        <v>797</v>
      </c>
      <c r="D366" s="25" t="s">
        <v>773</v>
      </c>
      <c r="E366" s="19" t="s">
        <v>76</v>
      </c>
      <c r="F366" s="26" t="s">
        <v>197</v>
      </c>
      <c r="G366" s="27">
        <f>SUMIF(物料月初库存!$C$3:$C$303,$B366,物料月初库存!$F$3:$F$303)</f>
        <v>0</v>
      </c>
      <c r="H366" s="28">
        <f>SUMIF(半成品入库明细!$D$2:$D$650,$B366,半成品入库明细!$G$2:$G$650)</f>
        <v>0</v>
      </c>
      <c r="I366" s="28">
        <f ca="1">SUMIF(半成品出库明细!$D$2:$D$558,$B366,半成品出库明细!$G$2:$G$2)</f>
        <v>0</v>
      </c>
      <c r="J366" s="28">
        <f ca="1" t="shared" si="6"/>
        <v>0</v>
      </c>
      <c r="K366" s="20"/>
      <c r="L366" s="3"/>
      <c r="M366" s="3"/>
    </row>
    <row r="367" s="1" customFormat="1" spans="1:13">
      <c r="A367" s="22">
        <v>319</v>
      </c>
      <c r="B367" s="23" t="s">
        <v>798</v>
      </c>
      <c r="C367" s="25" t="s">
        <v>797</v>
      </c>
      <c r="D367" s="25" t="s">
        <v>773</v>
      </c>
      <c r="E367" s="34" t="s">
        <v>202</v>
      </c>
      <c r="F367" s="26" t="s">
        <v>197</v>
      </c>
      <c r="G367" s="27">
        <f>SUMIF(物料月初库存!$C$3:$C$303,$B367,物料月初库存!$F$3:$F$303)</f>
        <v>0</v>
      </c>
      <c r="H367" s="28">
        <f>SUMIF(半成品入库明细!$D$2:$D$650,$B367,半成品入库明细!$G$2:$G$650)</f>
        <v>0</v>
      </c>
      <c r="I367" s="28">
        <f ca="1">SUMIF(半成品出库明细!$D$2:$D$558,$B367,半成品出库明细!$G$2:$G$2)</f>
        <v>0</v>
      </c>
      <c r="J367" s="28">
        <f ca="1" t="shared" si="6"/>
        <v>0</v>
      </c>
      <c r="K367" s="20"/>
      <c r="L367" s="3"/>
      <c r="M367" s="3"/>
    </row>
    <row r="368" s="1" customFormat="1" spans="1:13">
      <c r="A368" s="22">
        <v>320</v>
      </c>
      <c r="B368" s="23" t="s">
        <v>799</v>
      </c>
      <c r="C368" s="25" t="s">
        <v>800</v>
      </c>
      <c r="D368" s="25" t="s">
        <v>773</v>
      </c>
      <c r="E368" s="19" t="s">
        <v>76</v>
      </c>
      <c r="F368" s="26" t="s">
        <v>197</v>
      </c>
      <c r="G368" s="27">
        <f>SUMIF(物料月初库存!$C$3:$C$303,$B368,物料月初库存!$F$3:$F$303)</f>
        <v>0</v>
      </c>
      <c r="H368" s="28">
        <f>SUMIF(半成品入库明细!$D$2:$D$650,$B368,半成品入库明细!$G$2:$G$650)</f>
        <v>0</v>
      </c>
      <c r="I368" s="28">
        <f ca="1">SUMIF(半成品出库明细!$D$2:$D$558,$B368,半成品出库明细!$G$2:$G$2)</f>
        <v>0</v>
      </c>
      <c r="J368" s="28">
        <f ca="1" t="shared" si="6"/>
        <v>0</v>
      </c>
      <c r="K368" s="20"/>
      <c r="L368" s="3"/>
      <c r="M368" s="3"/>
    </row>
    <row r="369" s="1" customFormat="1" spans="1:13">
      <c r="A369" s="22">
        <v>321</v>
      </c>
      <c r="B369" s="23" t="s">
        <v>801</v>
      </c>
      <c r="C369" s="25" t="s">
        <v>800</v>
      </c>
      <c r="D369" s="25" t="s">
        <v>773</v>
      </c>
      <c r="E369" s="34" t="s">
        <v>202</v>
      </c>
      <c r="F369" s="26" t="s">
        <v>197</v>
      </c>
      <c r="G369" s="27">
        <f>SUMIF(物料月初库存!$C$3:$C$303,$B369,物料月初库存!$F$3:$F$303)</f>
        <v>0</v>
      </c>
      <c r="H369" s="28">
        <f>SUMIF(半成品入库明细!$D$2:$D$650,$B369,半成品入库明细!$G$2:$G$650)</f>
        <v>0</v>
      </c>
      <c r="I369" s="28">
        <f ca="1">SUMIF(半成品出库明细!$D$2:$D$558,$B369,半成品出库明细!$G$2:$G$2)</f>
        <v>0</v>
      </c>
      <c r="J369" s="28">
        <f ca="1" t="shared" si="6"/>
        <v>0</v>
      </c>
      <c r="K369" s="20"/>
      <c r="L369" s="3"/>
      <c r="M369" s="3"/>
    </row>
    <row r="370" s="1" customFormat="1" spans="1:13">
      <c r="A370" s="22">
        <v>322</v>
      </c>
      <c r="B370" s="23" t="s">
        <v>802</v>
      </c>
      <c r="C370" s="25" t="s">
        <v>803</v>
      </c>
      <c r="D370" s="25" t="s">
        <v>773</v>
      </c>
      <c r="E370" s="19" t="s">
        <v>76</v>
      </c>
      <c r="F370" s="26" t="s">
        <v>197</v>
      </c>
      <c r="G370" s="27">
        <f>SUMIF(物料月初库存!$C$3:$C$303,$B370,物料月初库存!$F$3:$F$303)</f>
        <v>0</v>
      </c>
      <c r="H370" s="28">
        <f>SUMIF(半成品入库明细!$D$2:$D$650,$B370,半成品入库明细!$G$2:$G$650)</f>
        <v>0</v>
      </c>
      <c r="I370" s="28">
        <f ca="1">SUMIF(半成品出库明细!$D$2:$D$558,$B370,半成品出库明细!$G$2:$G$2)</f>
        <v>0</v>
      </c>
      <c r="J370" s="28">
        <f ca="1" t="shared" si="6"/>
        <v>0</v>
      </c>
      <c r="K370" s="20"/>
      <c r="L370" s="3"/>
      <c r="M370" s="3"/>
    </row>
    <row r="371" s="1" customFormat="1" spans="1:13">
      <c r="A371" s="22">
        <v>323</v>
      </c>
      <c r="B371" s="23" t="s">
        <v>804</v>
      </c>
      <c r="C371" s="25" t="s">
        <v>803</v>
      </c>
      <c r="D371" s="25" t="s">
        <v>773</v>
      </c>
      <c r="E371" s="34" t="s">
        <v>202</v>
      </c>
      <c r="F371" s="26" t="s">
        <v>197</v>
      </c>
      <c r="G371" s="27">
        <f>SUMIF(物料月初库存!$C$3:$C$303,$B371,物料月初库存!$F$3:$F$303)</f>
        <v>0</v>
      </c>
      <c r="H371" s="28">
        <f>SUMIF(半成品入库明细!$D$2:$D$650,$B371,半成品入库明细!$G$2:$G$650)</f>
        <v>0</v>
      </c>
      <c r="I371" s="28">
        <f ca="1">SUMIF(半成品出库明细!$D$2:$D$558,$B371,半成品出库明细!$G$2:$G$2)</f>
        <v>0</v>
      </c>
      <c r="J371" s="28">
        <f ca="1" t="shared" si="6"/>
        <v>0</v>
      </c>
      <c r="K371" s="20"/>
      <c r="L371" s="3"/>
      <c r="M371" s="3"/>
    </row>
    <row r="372" s="1" customFormat="1" spans="1:13">
      <c r="A372" s="22">
        <v>324</v>
      </c>
      <c r="B372" s="23" t="s">
        <v>805</v>
      </c>
      <c r="C372" s="25" t="s">
        <v>806</v>
      </c>
      <c r="D372" s="25" t="s">
        <v>773</v>
      </c>
      <c r="E372" s="19" t="s">
        <v>76</v>
      </c>
      <c r="F372" s="26" t="s">
        <v>197</v>
      </c>
      <c r="G372" s="27">
        <f>SUMIF(物料月初库存!$C$3:$C$303,$B372,物料月初库存!$F$3:$F$303)</f>
        <v>0</v>
      </c>
      <c r="H372" s="28">
        <f>SUMIF(半成品入库明细!$D$2:$D$650,$B372,半成品入库明细!$G$2:$G$650)</f>
        <v>0</v>
      </c>
      <c r="I372" s="28">
        <f ca="1">SUMIF(半成品出库明细!$D$2:$D$558,$B372,半成品出库明细!$G$2:$G$2)</f>
        <v>0</v>
      </c>
      <c r="J372" s="28">
        <f ca="1" t="shared" si="6"/>
        <v>0</v>
      </c>
      <c r="K372" s="20"/>
      <c r="L372" s="3"/>
      <c r="M372" s="3"/>
    </row>
    <row r="373" s="1" customFormat="1" spans="1:13">
      <c r="A373" s="22">
        <v>325</v>
      </c>
      <c r="B373" s="23" t="s">
        <v>807</v>
      </c>
      <c r="C373" s="25" t="s">
        <v>806</v>
      </c>
      <c r="D373" s="25" t="s">
        <v>773</v>
      </c>
      <c r="E373" s="34" t="s">
        <v>202</v>
      </c>
      <c r="F373" s="26" t="s">
        <v>197</v>
      </c>
      <c r="G373" s="27">
        <f>SUMIF(物料月初库存!$C$3:$C$303,$B373,物料月初库存!$F$3:$F$303)</f>
        <v>0</v>
      </c>
      <c r="H373" s="28">
        <f>SUMIF(半成品入库明细!$D$2:$D$650,$B373,半成品入库明细!$G$2:$G$650)</f>
        <v>0</v>
      </c>
      <c r="I373" s="28">
        <f ca="1">SUMIF(半成品出库明细!$D$2:$D$558,$B373,半成品出库明细!$G$2:$G$2)</f>
        <v>0</v>
      </c>
      <c r="J373" s="28">
        <f ca="1" t="shared" si="6"/>
        <v>0</v>
      </c>
      <c r="K373" s="20"/>
      <c r="L373" s="3"/>
      <c r="M373" s="3"/>
    </row>
    <row r="374" s="1" customFormat="1" spans="1:13">
      <c r="A374" s="22">
        <v>326</v>
      </c>
      <c r="B374" s="23" t="s">
        <v>808</v>
      </c>
      <c r="C374" s="25" t="s">
        <v>809</v>
      </c>
      <c r="D374" s="25" t="s">
        <v>773</v>
      </c>
      <c r="E374" s="19" t="s">
        <v>76</v>
      </c>
      <c r="F374" s="26" t="s">
        <v>197</v>
      </c>
      <c r="G374" s="27">
        <f>SUMIF(物料月初库存!$C$3:$C$303,$B374,物料月初库存!$F$3:$F$303)</f>
        <v>0</v>
      </c>
      <c r="H374" s="28">
        <f>SUMIF(半成品入库明细!$D$2:$D$650,$B374,半成品入库明细!$G$2:$G$650)</f>
        <v>0</v>
      </c>
      <c r="I374" s="28">
        <f ca="1">SUMIF(半成品出库明细!$D$2:$D$558,$B374,半成品出库明细!$G$2:$G$2)</f>
        <v>0</v>
      </c>
      <c r="J374" s="28">
        <f ca="1" t="shared" si="6"/>
        <v>0</v>
      </c>
      <c r="K374" s="20"/>
      <c r="L374" s="3"/>
      <c r="M374" s="3"/>
    </row>
    <row r="375" s="1" customFormat="1" spans="1:13">
      <c r="A375" s="22">
        <v>327</v>
      </c>
      <c r="B375" s="23" t="s">
        <v>810</v>
      </c>
      <c r="C375" s="25" t="s">
        <v>809</v>
      </c>
      <c r="D375" s="25" t="s">
        <v>773</v>
      </c>
      <c r="E375" s="34" t="s">
        <v>202</v>
      </c>
      <c r="F375" s="26" t="s">
        <v>197</v>
      </c>
      <c r="G375" s="27">
        <f>SUMIF(物料月初库存!$C$3:$C$303,$B375,物料月初库存!$F$3:$F$303)</f>
        <v>0</v>
      </c>
      <c r="H375" s="28">
        <f>SUMIF(半成品入库明细!$D$2:$D$650,$B375,半成品入库明细!$G$2:$G$650)</f>
        <v>0</v>
      </c>
      <c r="I375" s="28">
        <f ca="1">SUMIF(半成品出库明细!$D$2:$D$558,$B375,半成品出库明细!$G$2:$G$2)</f>
        <v>0</v>
      </c>
      <c r="J375" s="28">
        <f ca="1" t="shared" si="6"/>
        <v>0</v>
      </c>
      <c r="K375" s="20"/>
      <c r="L375" s="3"/>
      <c r="M375" s="3"/>
    </row>
    <row r="376" s="1" customFormat="1" spans="1:13">
      <c r="A376" s="22">
        <v>328</v>
      </c>
      <c r="B376" s="23" t="s">
        <v>811</v>
      </c>
      <c r="C376" s="25" t="s">
        <v>812</v>
      </c>
      <c r="D376" s="25" t="s">
        <v>773</v>
      </c>
      <c r="E376" s="19" t="s">
        <v>76</v>
      </c>
      <c r="F376" s="26" t="s">
        <v>197</v>
      </c>
      <c r="G376" s="27">
        <f>SUMIF(物料月初库存!$C$3:$C$303,$B376,物料月初库存!$F$3:$F$303)</f>
        <v>0</v>
      </c>
      <c r="H376" s="28">
        <f>SUMIF(半成品入库明细!$D$2:$D$650,$B376,半成品入库明细!$G$2:$G$650)</f>
        <v>0</v>
      </c>
      <c r="I376" s="28">
        <f ca="1">SUMIF(半成品出库明细!$D$2:$D$558,$B376,半成品出库明细!$G$2:$G$2)</f>
        <v>0</v>
      </c>
      <c r="J376" s="28">
        <f ca="1" t="shared" si="6"/>
        <v>0</v>
      </c>
      <c r="K376" s="20"/>
      <c r="L376" s="3"/>
      <c r="M376" s="3"/>
    </row>
    <row r="377" s="1" customFormat="1" spans="1:13">
      <c r="A377" s="22">
        <v>329</v>
      </c>
      <c r="B377" s="23" t="s">
        <v>813</v>
      </c>
      <c r="C377" s="25" t="s">
        <v>812</v>
      </c>
      <c r="D377" s="25" t="s">
        <v>773</v>
      </c>
      <c r="E377" s="34" t="s">
        <v>202</v>
      </c>
      <c r="F377" s="26" t="s">
        <v>197</v>
      </c>
      <c r="G377" s="27">
        <f>SUMIF(物料月初库存!$C$3:$C$303,$B377,物料月初库存!$F$3:$F$303)</f>
        <v>0</v>
      </c>
      <c r="H377" s="28">
        <f>SUMIF(半成品入库明细!$D$2:$D$650,$B377,半成品入库明细!$G$2:$G$650)</f>
        <v>0</v>
      </c>
      <c r="I377" s="28">
        <f ca="1">SUMIF(半成品出库明细!$D$2:$D$558,$B377,半成品出库明细!$G$2:$G$2)</f>
        <v>0</v>
      </c>
      <c r="J377" s="28">
        <f ca="1" t="shared" si="6"/>
        <v>0</v>
      </c>
      <c r="K377" s="20"/>
      <c r="L377" s="3"/>
      <c r="M377" s="3"/>
    </row>
    <row r="378" s="1" customFormat="1" spans="1:13">
      <c r="A378" s="22">
        <v>330</v>
      </c>
      <c r="B378" s="23" t="s">
        <v>814</v>
      </c>
      <c r="C378" s="25" t="s">
        <v>815</v>
      </c>
      <c r="D378" s="25" t="s">
        <v>773</v>
      </c>
      <c r="E378" s="19" t="s">
        <v>76</v>
      </c>
      <c r="F378" s="26" t="s">
        <v>197</v>
      </c>
      <c r="G378" s="27">
        <f>SUMIF(物料月初库存!$C$3:$C$303,$B378,物料月初库存!$F$3:$F$303)</f>
        <v>0</v>
      </c>
      <c r="H378" s="28">
        <f>SUMIF(半成品入库明细!$D$2:$D$650,$B378,半成品入库明细!$G$2:$G$650)</f>
        <v>0</v>
      </c>
      <c r="I378" s="28">
        <f ca="1">SUMIF(半成品出库明细!$D$2:$D$558,$B378,半成品出库明细!$G$2:$G$2)</f>
        <v>0</v>
      </c>
      <c r="J378" s="28">
        <f ca="1" t="shared" si="6"/>
        <v>0</v>
      </c>
      <c r="K378" s="20"/>
      <c r="L378" s="3"/>
      <c r="M378" s="3"/>
    </row>
    <row r="379" s="1" customFormat="1" spans="1:13">
      <c r="A379" s="22">
        <v>331</v>
      </c>
      <c r="B379" s="23" t="s">
        <v>816</v>
      </c>
      <c r="C379" s="25" t="s">
        <v>815</v>
      </c>
      <c r="D379" s="25" t="s">
        <v>773</v>
      </c>
      <c r="E379" s="34" t="s">
        <v>202</v>
      </c>
      <c r="F379" s="26" t="s">
        <v>197</v>
      </c>
      <c r="G379" s="27">
        <f>SUMIF(物料月初库存!$C$3:$C$303,$B379,物料月初库存!$F$3:$F$303)</f>
        <v>0</v>
      </c>
      <c r="H379" s="28">
        <f>SUMIF(半成品入库明细!$D$2:$D$650,$B379,半成品入库明细!$G$2:$G$650)</f>
        <v>0</v>
      </c>
      <c r="I379" s="28">
        <f ca="1">SUMIF(半成品出库明细!$D$2:$D$558,$B379,半成品出库明细!$G$2:$G$2)</f>
        <v>0</v>
      </c>
      <c r="J379" s="28">
        <f ca="1" t="shared" si="6"/>
        <v>0</v>
      </c>
      <c r="K379" s="20"/>
      <c r="L379" s="3"/>
      <c r="M379" s="3"/>
    </row>
    <row r="380" s="1" customFormat="1" spans="1:13">
      <c r="A380" s="22">
        <v>332</v>
      </c>
      <c r="B380" s="23" t="s">
        <v>817</v>
      </c>
      <c r="C380" s="25" t="s">
        <v>818</v>
      </c>
      <c r="D380" s="25" t="s">
        <v>773</v>
      </c>
      <c r="E380" s="19" t="s">
        <v>76</v>
      </c>
      <c r="F380" s="26" t="s">
        <v>197</v>
      </c>
      <c r="G380" s="27">
        <f>SUMIF(物料月初库存!$C$3:$C$303,$B380,物料月初库存!$F$3:$F$303)</f>
        <v>0</v>
      </c>
      <c r="H380" s="28">
        <f>SUMIF(半成品入库明细!$D$2:$D$650,$B380,半成品入库明细!$G$2:$G$650)</f>
        <v>0</v>
      </c>
      <c r="I380" s="28">
        <f ca="1">SUMIF(半成品出库明细!$D$2:$D$558,$B380,半成品出库明细!$G$2:$G$2)</f>
        <v>0</v>
      </c>
      <c r="J380" s="28">
        <f ca="1" t="shared" si="6"/>
        <v>0</v>
      </c>
      <c r="K380" s="20"/>
      <c r="L380" s="3"/>
      <c r="M380" s="3"/>
    </row>
    <row r="381" s="1" customFormat="1" spans="1:13">
      <c r="A381" s="22">
        <v>333</v>
      </c>
      <c r="B381" s="23" t="s">
        <v>819</v>
      </c>
      <c r="C381" s="25" t="s">
        <v>818</v>
      </c>
      <c r="D381" s="25" t="s">
        <v>773</v>
      </c>
      <c r="E381" s="34" t="s">
        <v>202</v>
      </c>
      <c r="F381" s="26" t="s">
        <v>197</v>
      </c>
      <c r="G381" s="27">
        <f>SUMIF(物料月初库存!$C$3:$C$303,$B381,物料月初库存!$F$3:$F$303)</f>
        <v>0</v>
      </c>
      <c r="H381" s="28">
        <f>SUMIF(半成品入库明细!$D$2:$D$650,$B381,半成品入库明细!$G$2:$G$650)</f>
        <v>0</v>
      </c>
      <c r="I381" s="28">
        <f ca="1">SUMIF(半成品出库明细!$D$2:$D$558,$B381,半成品出库明细!$G$2:$G$2)</f>
        <v>0</v>
      </c>
      <c r="J381" s="28">
        <f ca="1" t="shared" si="6"/>
        <v>0</v>
      </c>
      <c r="K381" s="20"/>
      <c r="L381" s="3"/>
      <c r="M381" s="3"/>
    </row>
    <row r="382" s="1" customFormat="1" spans="1:13">
      <c r="A382" s="22">
        <v>334</v>
      </c>
      <c r="B382" s="23" t="s">
        <v>820</v>
      </c>
      <c r="C382" s="25" t="s">
        <v>821</v>
      </c>
      <c r="D382" s="25" t="s">
        <v>773</v>
      </c>
      <c r="E382" s="19" t="s">
        <v>76</v>
      </c>
      <c r="F382" s="26" t="s">
        <v>197</v>
      </c>
      <c r="G382" s="27">
        <f>SUMIF(物料月初库存!$C$3:$C$303,$B382,物料月初库存!$F$3:$F$303)</f>
        <v>0</v>
      </c>
      <c r="H382" s="28">
        <f>SUMIF(半成品入库明细!$D$2:$D$650,$B382,半成品入库明细!$G$2:$G$650)</f>
        <v>0</v>
      </c>
      <c r="I382" s="28">
        <f ca="1">SUMIF(半成品出库明细!$D$2:$D$558,$B382,半成品出库明细!$G$2:$G$2)</f>
        <v>0</v>
      </c>
      <c r="J382" s="28">
        <f ca="1" t="shared" si="6"/>
        <v>0</v>
      </c>
      <c r="K382" s="20"/>
      <c r="L382" s="3"/>
      <c r="M382" s="3"/>
    </row>
    <row r="383" s="1" customFormat="1" spans="1:13">
      <c r="A383" s="22">
        <v>335</v>
      </c>
      <c r="B383" s="23" t="s">
        <v>822</v>
      </c>
      <c r="C383" s="25" t="s">
        <v>821</v>
      </c>
      <c r="D383" s="25" t="s">
        <v>773</v>
      </c>
      <c r="E383" s="34" t="s">
        <v>202</v>
      </c>
      <c r="F383" s="26" t="s">
        <v>197</v>
      </c>
      <c r="G383" s="27">
        <f>SUMIF(物料月初库存!$C$3:$C$303,$B383,物料月初库存!$F$3:$F$303)</f>
        <v>0</v>
      </c>
      <c r="H383" s="28">
        <f>SUMIF(半成品入库明细!$D$2:$D$650,$B383,半成品入库明细!$G$2:$G$650)</f>
        <v>0</v>
      </c>
      <c r="I383" s="28">
        <f ca="1">SUMIF(半成品出库明细!$D$2:$D$558,$B383,半成品出库明细!$G$2:$G$2)</f>
        <v>0</v>
      </c>
      <c r="J383" s="28">
        <f ca="1" t="shared" si="6"/>
        <v>0</v>
      </c>
      <c r="K383" s="20"/>
      <c r="L383" s="3"/>
      <c r="M383" s="3"/>
    </row>
    <row r="384" s="1" customFormat="1" spans="1:13">
      <c r="A384" s="22">
        <v>336</v>
      </c>
      <c r="B384" s="23" t="s">
        <v>823</v>
      </c>
      <c r="C384" s="25" t="s">
        <v>824</v>
      </c>
      <c r="D384" s="25" t="s">
        <v>773</v>
      </c>
      <c r="E384" s="19" t="s">
        <v>76</v>
      </c>
      <c r="F384" s="26" t="s">
        <v>197</v>
      </c>
      <c r="G384" s="27">
        <f>SUMIF(物料月初库存!$C$3:$C$303,$B384,物料月初库存!$F$3:$F$303)</f>
        <v>0</v>
      </c>
      <c r="H384" s="28">
        <f>SUMIF(半成品入库明细!$D$2:$D$650,$B384,半成品入库明细!$G$2:$G$650)</f>
        <v>0</v>
      </c>
      <c r="I384" s="28">
        <f ca="1">SUMIF(半成品出库明细!$D$2:$D$558,$B384,半成品出库明细!$G$2:$G$2)</f>
        <v>0</v>
      </c>
      <c r="J384" s="28">
        <f ca="1" t="shared" si="6"/>
        <v>0</v>
      </c>
      <c r="K384" s="20"/>
      <c r="L384" s="3"/>
      <c r="M384" s="3"/>
    </row>
    <row r="385" s="1" customFormat="1" spans="1:13">
      <c r="A385" s="22">
        <v>337</v>
      </c>
      <c r="B385" s="23" t="s">
        <v>825</v>
      </c>
      <c r="C385" s="25" t="s">
        <v>824</v>
      </c>
      <c r="D385" s="25" t="s">
        <v>773</v>
      </c>
      <c r="E385" s="34" t="s">
        <v>202</v>
      </c>
      <c r="F385" s="26" t="s">
        <v>197</v>
      </c>
      <c r="G385" s="27">
        <f>SUMIF(物料月初库存!$C$3:$C$303,$B385,物料月初库存!$F$3:$F$303)</f>
        <v>0</v>
      </c>
      <c r="H385" s="28">
        <f>SUMIF(半成品入库明细!$D$2:$D$650,$B385,半成品入库明细!$G$2:$G$650)</f>
        <v>0</v>
      </c>
      <c r="I385" s="28">
        <f ca="1">SUMIF(半成品出库明细!$D$2:$D$558,$B385,半成品出库明细!$G$2:$G$2)</f>
        <v>0</v>
      </c>
      <c r="J385" s="28">
        <f ca="1" t="shared" si="6"/>
        <v>0</v>
      </c>
      <c r="K385" s="20"/>
      <c r="L385" s="3"/>
      <c r="M385" s="3"/>
    </row>
    <row r="386" s="1" customFormat="1" spans="1:13">
      <c r="A386" s="22">
        <v>338</v>
      </c>
      <c r="B386" s="23" t="s">
        <v>826</v>
      </c>
      <c r="C386" s="25" t="s">
        <v>827</v>
      </c>
      <c r="D386" s="25" t="s">
        <v>773</v>
      </c>
      <c r="E386" s="19" t="s">
        <v>76</v>
      </c>
      <c r="F386" s="26" t="s">
        <v>197</v>
      </c>
      <c r="G386" s="27">
        <f>SUMIF(物料月初库存!$C$3:$C$303,$B386,物料月初库存!$F$3:$F$303)</f>
        <v>0</v>
      </c>
      <c r="H386" s="28">
        <f>SUMIF(半成品入库明细!$D$2:$D$650,$B386,半成品入库明细!$G$2:$G$650)</f>
        <v>0</v>
      </c>
      <c r="I386" s="28">
        <f ca="1">SUMIF(半成品出库明细!$D$2:$D$558,$B386,半成品出库明细!$G$2:$G$2)</f>
        <v>0</v>
      </c>
      <c r="J386" s="28">
        <f ca="1" t="shared" si="6"/>
        <v>0</v>
      </c>
      <c r="K386" s="20"/>
      <c r="L386" s="3"/>
      <c r="M386" s="3"/>
    </row>
    <row r="387" s="1" customFormat="1" spans="1:13">
      <c r="A387" s="22">
        <v>339</v>
      </c>
      <c r="B387" s="23" t="s">
        <v>828</v>
      </c>
      <c r="C387" s="25" t="s">
        <v>827</v>
      </c>
      <c r="D387" s="25" t="s">
        <v>773</v>
      </c>
      <c r="E387" s="34" t="s">
        <v>202</v>
      </c>
      <c r="F387" s="26" t="s">
        <v>197</v>
      </c>
      <c r="G387" s="27">
        <f>SUMIF(物料月初库存!$C$3:$C$303,$B387,物料月初库存!$F$3:$F$303)</f>
        <v>0</v>
      </c>
      <c r="H387" s="28">
        <f>SUMIF(半成品入库明细!$D$2:$D$650,$B387,半成品入库明细!$G$2:$G$650)</f>
        <v>0</v>
      </c>
      <c r="I387" s="28">
        <f ca="1">SUMIF(半成品出库明细!$D$2:$D$558,$B387,半成品出库明细!$G$2:$G$2)</f>
        <v>0</v>
      </c>
      <c r="J387" s="28">
        <f ca="1" t="shared" si="6"/>
        <v>0</v>
      </c>
      <c r="K387" s="20"/>
      <c r="L387" s="3"/>
      <c r="M387" s="3"/>
    </row>
    <row r="388" s="1" customFormat="1" spans="1:13">
      <c r="A388" s="22">
        <v>340</v>
      </c>
      <c r="B388" s="23" t="s">
        <v>829</v>
      </c>
      <c r="C388" s="25" t="s">
        <v>830</v>
      </c>
      <c r="D388" s="25" t="s">
        <v>773</v>
      </c>
      <c r="E388" s="19" t="s">
        <v>76</v>
      </c>
      <c r="F388" s="26" t="s">
        <v>197</v>
      </c>
      <c r="G388" s="27">
        <f>SUMIF(物料月初库存!$C$3:$C$303,$B388,物料月初库存!$F$3:$F$303)</f>
        <v>0</v>
      </c>
      <c r="H388" s="28">
        <f>SUMIF(半成品入库明细!$D$2:$D$650,$B388,半成品入库明细!$G$2:$G$650)</f>
        <v>0</v>
      </c>
      <c r="I388" s="28">
        <f ca="1">SUMIF(半成品出库明细!$D$2:$D$558,$B388,半成品出库明细!$G$2:$G$2)</f>
        <v>0</v>
      </c>
      <c r="J388" s="28">
        <f ca="1" t="shared" si="6"/>
        <v>0</v>
      </c>
      <c r="K388" s="20"/>
      <c r="L388" s="3"/>
      <c r="M388" s="3"/>
    </row>
    <row r="389" s="1" customFormat="1" spans="1:13">
      <c r="A389" s="22">
        <v>341</v>
      </c>
      <c r="B389" s="23" t="s">
        <v>831</v>
      </c>
      <c r="C389" s="25" t="s">
        <v>830</v>
      </c>
      <c r="D389" s="25" t="s">
        <v>773</v>
      </c>
      <c r="E389" s="34" t="s">
        <v>202</v>
      </c>
      <c r="F389" s="26" t="s">
        <v>197</v>
      </c>
      <c r="G389" s="27">
        <f>SUMIF(物料月初库存!$C$3:$C$303,$B389,物料月初库存!$F$3:$F$303)</f>
        <v>0</v>
      </c>
      <c r="H389" s="28">
        <f>SUMIF(半成品入库明细!$D$2:$D$650,$B389,半成品入库明细!$G$2:$G$650)</f>
        <v>0</v>
      </c>
      <c r="I389" s="28">
        <f ca="1">SUMIF(半成品出库明细!$D$2:$D$558,$B389,半成品出库明细!$G$2:$G$2)</f>
        <v>0</v>
      </c>
      <c r="J389" s="28">
        <f ca="1" t="shared" si="6"/>
        <v>0</v>
      </c>
      <c r="K389" s="20"/>
      <c r="L389" s="3"/>
      <c r="M389" s="3"/>
    </row>
    <row r="390" s="1" customFormat="1" spans="1:13">
      <c r="A390" s="22">
        <v>342</v>
      </c>
      <c r="B390" s="23" t="s">
        <v>832</v>
      </c>
      <c r="C390" s="24" t="s">
        <v>833</v>
      </c>
      <c r="D390" s="25" t="s">
        <v>834</v>
      </c>
      <c r="E390" s="19" t="s">
        <v>76</v>
      </c>
      <c r="F390" s="26" t="s">
        <v>197</v>
      </c>
      <c r="G390" s="27">
        <f>SUMIF(物料月初库存!$C$3:$C$303,$B390,物料月初库存!$F$3:$F$303)</f>
        <v>0</v>
      </c>
      <c r="H390" s="28">
        <f>SUMIF(半成品入库明细!$D$2:$D$650,$B390,半成品入库明细!$G$2:$G$650)</f>
        <v>0</v>
      </c>
      <c r="I390" s="28">
        <f ca="1">SUMIF(半成品出库明细!$D$2:$D$558,$B390,半成品出库明细!$G$2:$G$2)</f>
        <v>0</v>
      </c>
      <c r="J390" s="28">
        <f ca="1" t="shared" si="6"/>
        <v>0</v>
      </c>
      <c r="K390" s="20"/>
      <c r="L390" s="3"/>
      <c r="M390" s="3"/>
    </row>
    <row r="391" s="1" customFormat="1" spans="1:13">
      <c r="A391" s="22">
        <v>343</v>
      </c>
      <c r="B391" s="23" t="s">
        <v>835</v>
      </c>
      <c r="C391" s="24" t="s">
        <v>833</v>
      </c>
      <c r="D391" s="25" t="s">
        <v>834</v>
      </c>
      <c r="E391" s="19" t="s">
        <v>235</v>
      </c>
      <c r="F391" s="26" t="s">
        <v>197</v>
      </c>
      <c r="G391" s="27">
        <f>SUMIF(物料月初库存!$C$3:$C$303,$B391,物料月初库存!$F$3:$F$303)</f>
        <v>0</v>
      </c>
      <c r="H391" s="28">
        <f>SUMIF(半成品入库明细!$D$2:$D$650,$B391,半成品入库明细!$G$2:$G$650)</f>
        <v>0</v>
      </c>
      <c r="I391" s="28">
        <f ca="1">SUMIF(半成品出库明细!$D$2:$D$558,$B391,半成品出库明细!$G$2:$G$2)</f>
        <v>0</v>
      </c>
      <c r="J391" s="28">
        <f ca="1" t="shared" si="6"/>
        <v>0</v>
      </c>
      <c r="K391" s="20"/>
      <c r="L391" s="3"/>
      <c r="M391" s="3"/>
    </row>
    <row r="392" s="1" customFormat="1" spans="1:13">
      <c r="A392" s="22">
        <v>344</v>
      </c>
      <c r="B392" s="23" t="s">
        <v>836</v>
      </c>
      <c r="C392" s="24" t="s">
        <v>833</v>
      </c>
      <c r="D392" s="25" t="s">
        <v>834</v>
      </c>
      <c r="E392" s="19" t="s">
        <v>316</v>
      </c>
      <c r="F392" s="26" t="s">
        <v>197</v>
      </c>
      <c r="G392" s="27">
        <f>SUMIF(物料月初库存!$C$3:$C$303,$B392,物料月初库存!$F$3:$F$303)</f>
        <v>0</v>
      </c>
      <c r="H392" s="28">
        <f>SUMIF(半成品入库明细!$D$2:$D$650,$B392,半成品入库明细!$G$2:$G$650)</f>
        <v>0</v>
      </c>
      <c r="I392" s="28">
        <f ca="1">SUMIF(半成品出库明细!$D$2:$D$558,$B392,半成品出库明细!$G$2:$G$2)</f>
        <v>0</v>
      </c>
      <c r="J392" s="28">
        <f ca="1" t="shared" ref="J392:J455" si="7">G392+H392-I392</f>
        <v>0</v>
      </c>
      <c r="K392" s="20"/>
      <c r="L392" s="3"/>
      <c r="M392" s="3"/>
    </row>
    <row r="393" s="1" customFormat="1" spans="1:13">
      <c r="A393" s="22">
        <v>345</v>
      </c>
      <c r="B393" s="23" t="s">
        <v>837</v>
      </c>
      <c r="C393" s="24" t="s">
        <v>833</v>
      </c>
      <c r="D393" s="25" t="s">
        <v>834</v>
      </c>
      <c r="E393" s="19" t="s">
        <v>733</v>
      </c>
      <c r="F393" s="26" t="s">
        <v>197</v>
      </c>
      <c r="G393" s="27">
        <f>SUMIF(物料月初库存!$C$3:$C$303,$B393,物料月初库存!$F$3:$F$303)</f>
        <v>0</v>
      </c>
      <c r="H393" s="28">
        <f>SUMIF(半成品入库明细!$D$2:$D$650,$B393,半成品入库明细!$G$2:$G$650)</f>
        <v>0</v>
      </c>
      <c r="I393" s="28">
        <f ca="1">SUMIF(半成品出库明细!$D$2:$D$558,$B393,半成品出库明细!$G$2:$G$2)</f>
        <v>0</v>
      </c>
      <c r="J393" s="28">
        <f ca="1" t="shared" si="7"/>
        <v>0</v>
      </c>
      <c r="K393" s="20"/>
      <c r="L393" s="3"/>
      <c r="M393" s="3"/>
    </row>
    <row r="394" s="1" customFormat="1" spans="1:13">
      <c r="A394" s="22">
        <v>346</v>
      </c>
      <c r="B394" s="23" t="s">
        <v>838</v>
      </c>
      <c r="C394" s="24" t="s">
        <v>833</v>
      </c>
      <c r="D394" s="25" t="s">
        <v>834</v>
      </c>
      <c r="E394" s="19" t="s">
        <v>839</v>
      </c>
      <c r="F394" s="26" t="s">
        <v>197</v>
      </c>
      <c r="G394" s="27">
        <f>SUMIF(物料月初库存!$C$3:$C$303,$B394,物料月初库存!$F$3:$F$303)</f>
        <v>0</v>
      </c>
      <c r="H394" s="28">
        <f>SUMIF(半成品入库明细!$D$2:$D$650,$B394,半成品入库明细!$G$2:$G$650)</f>
        <v>0</v>
      </c>
      <c r="I394" s="28">
        <f ca="1">SUMIF(半成品出库明细!$D$2:$D$558,$B394,半成品出库明细!$G$2:$G$2)</f>
        <v>0</v>
      </c>
      <c r="J394" s="28">
        <f ca="1" t="shared" si="7"/>
        <v>0</v>
      </c>
      <c r="K394" s="20"/>
      <c r="L394" s="3"/>
      <c r="M394" s="3"/>
    </row>
    <row r="395" s="1" customFormat="1" spans="1:13">
      <c r="A395" s="22">
        <v>347</v>
      </c>
      <c r="B395" s="23" t="s">
        <v>840</v>
      </c>
      <c r="C395" s="24" t="s">
        <v>833</v>
      </c>
      <c r="D395" s="25" t="s">
        <v>834</v>
      </c>
      <c r="E395" s="19" t="s">
        <v>256</v>
      </c>
      <c r="F395" s="26" t="s">
        <v>197</v>
      </c>
      <c r="G395" s="27">
        <f>SUMIF(物料月初库存!$C$3:$C$303,$B395,物料月初库存!$F$3:$F$303)</f>
        <v>0</v>
      </c>
      <c r="H395" s="28">
        <f>SUMIF(半成品入库明细!$D$2:$D$650,$B395,半成品入库明细!$G$2:$G$650)</f>
        <v>0</v>
      </c>
      <c r="I395" s="28">
        <f ca="1">SUMIF(半成品出库明细!$D$2:$D$558,$B395,半成品出库明细!$G$2:$G$2)</f>
        <v>0</v>
      </c>
      <c r="J395" s="28">
        <f ca="1" t="shared" si="7"/>
        <v>0</v>
      </c>
      <c r="K395" s="20"/>
      <c r="L395" s="3"/>
      <c r="M395" s="3"/>
    </row>
    <row r="396" s="1" customFormat="1" spans="1:13">
      <c r="A396" s="22">
        <v>348</v>
      </c>
      <c r="B396" s="23" t="s">
        <v>841</v>
      </c>
      <c r="C396" s="24" t="s">
        <v>842</v>
      </c>
      <c r="D396" s="25" t="s">
        <v>834</v>
      </c>
      <c r="E396" s="19" t="s">
        <v>76</v>
      </c>
      <c r="F396" s="26" t="s">
        <v>197</v>
      </c>
      <c r="G396" s="27">
        <f>SUMIF(物料月初库存!$C$3:$C$303,$B396,物料月初库存!$F$3:$F$303)</f>
        <v>0</v>
      </c>
      <c r="H396" s="28">
        <f>SUMIF(半成品入库明细!$D$2:$D$650,$B396,半成品入库明细!$G$2:$G$650)</f>
        <v>0</v>
      </c>
      <c r="I396" s="28">
        <f ca="1">SUMIF(半成品出库明细!$D$2:$D$558,$B396,半成品出库明细!$G$2:$G$2)</f>
        <v>0</v>
      </c>
      <c r="J396" s="28">
        <f ca="1" t="shared" si="7"/>
        <v>0</v>
      </c>
      <c r="K396" s="20"/>
      <c r="L396" s="3"/>
      <c r="M396" s="3"/>
    </row>
    <row r="397" s="1" customFormat="1" spans="1:13">
      <c r="A397" s="22">
        <v>349</v>
      </c>
      <c r="B397" s="23" t="s">
        <v>843</v>
      </c>
      <c r="C397" s="24" t="s">
        <v>842</v>
      </c>
      <c r="D397" s="25" t="s">
        <v>834</v>
      </c>
      <c r="E397" s="19" t="s">
        <v>235</v>
      </c>
      <c r="F397" s="26" t="s">
        <v>197</v>
      </c>
      <c r="G397" s="27">
        <f>SUMIF(物料月初库存!$C$3:$C$303,$B397,物料月初库存!$F$3:$F$303)</f>
        <v>0</v>
      </c>
      <c r="H397" s="28">
        <f>SUMIF(半成品入库明细!$D$2:$D$650,$B397,半成品入库明细!$G$2:$G$650)</f>
        <v>0</v>
      </c>
      <c r="I397" s="28">
        <f ca="1">SUMIF(半成品出库明细!$D$2:$D$558,$B397,半成品出库明细!$G$2:$G$2)</f>
        <v>0</v>
      </c>
      <c r="J397" s="28">
        <f ca="1" t="shared" si="7"/>
        <v>0</v>
      </c>
      <c r="K397" s="20"/>
      <c r="L397" s="3"/>
      <c r="M397" s="3"/>
    </row>
    <row r="398" s="1" customFormat="1" spans="1:13">
      <c r="A398" s="22">
        <v>350</v>
      </c>
      <c r="B398" s="23" t="s">
        <v>844</v>
      </c>
      <c r="C398" s="24" t="s">
        <v>842</v>
      </c>
      <c r="D398" s="25" t="s">
        <v>834</v>
      </c>
      <c r="E398" s="19" t="s">
        <v>316</v>
      </c>
      <c r="F398" s="26" t="s">
        <v>197</v>
      </c>
      <c r="G398" s="27">
        <f>SUMIF(物料月初库存!$C$3:$C$303,$B398,物料月初库存!$F$3:$F$303)</f>
        <v>0</v>
      </c>
      <c r="H398" s="28">
        <f>SUMIF(半成品入库明细!$D$2:$D$650,$B398,半成品入库明细!$G$2:$G$650)</f>
        <v>0</v>
      </c>
      <c r="I398" s="28">
        <f ca="1">SUMIF(半成品出库明细!$D$2:$D$558,$B398,半成品出库明细!$G$2:$G$2)</f>
        <v>0</v>
      </c>
      <c r="J398" s="28">
        <f ca="1" t="shared" si="7"/>
        <v>0</v>
      </c>
      <c r="K398" s="20"/>
      <c r="L398" s="3"/>
      <c r="M398" s="3"/>
    </row>
    <row r="399" s="1" customFormat="1" spans="1:13">
      <c r="A399" s="22">
        <v>351</v>
      </c>
      <c r="B399" s="23" t="s">
        <v>845</v>
      </c>
      <c r="C399" s="24" t="s">
        <v>842</v>
      </c>
      <c r="D399" s="25" t="s">
        <v>834</v>
      </c>
      <c r="E399" s="19" t="s">
        <v>733</v>
      </c>
      <c r="F399" s="26" t="s">
        <v>197</v>
      </c>
      <c r="G399" s="27">
        <f>SUMIF(物料月初库存!$C$3:$C$303,$B399,物料月初库存!$F$3:$F$303)</f>
        <v>0</v>
      </c>
      <c r="H399" s="28">
        <f>SUMIF(半成品入库明细!$D$2:$D$650,$B399,半成品入库明细!$G$2:$G$650)</f>
        <v>0</v>
      </c>
      <c r="I399" s="28">
        <f ca="1">SUMIF(半成品出库明细!$D$2:$D$558,$B399,半成品出库明细!$G$2:$G$2)</f>
        <v>0</v>
      </c>
      <c r="J399" s="28">
        <f ca="1" t="shared" si="7"/>
        <v>0</v>
      </c>
      <c r="K399" s="20"/>
      <c r="L399" s="3"/>
      <c r="M399" s="3"/>
    </row>
    <row r="400" s="1" customFormat="1" spans="1:13">
      <c r="A400" s="22">
        <v>352</v>
      </c>
      <c r="B400" s="23" t="s">
        <v>846</v>
      </c>
      <c r="C400" s="24" t="s">
        <v>842</v>
      </c>
      <c r="D400" s="25" t="s">
        <v>834</v>
      </c>
      <c r="E400" s="19" t="s">
        <v>839</v>
      </c>
      <c r="F400" s="26" t="s">
        <v>197</v>
      </c>
      <c r="G400" s="27">
        <f>SUMIF(物料月初库存!$C$3:$C$303,$B400,物料月初库存!$F$3:$F$303)</f>
        <v>0</v>
      </c>
      <c r="H400" s="28">
        <f>SUMIF(半成品入库明细!$D$2:$D$650,$B400,半成品入库明细!$G$2:$G$650)</f>
        <v>0</v>
      </c>
      <c r="I400" s="28">
        <f ca="1">SUMIF(半成品出库明细!$D$2:$D$558,$B400,半成品出库明细!$G$2:$G$2)</f>
        <v>0</v>
      </c>
      <c r="J400" s="28">
        <f ca="1" t="shared" si="7"/>
        <v>0</v>
      </c>
      <c r="K400" s="20"/>
      <c r="L400" s="3"/>
      <c r="M400" s="3"/>
    </row>
    <row r="401" s="1" customFormat="1" spans="1:13">
      <c r="A401" s="22">
        <v>353</v>
      </c>
      <c r="B401" s="23" t="s">
        <v>847</v>
      </c>
      <c r="C401" s="24" t="s">
        <v>842</v>
      </c>
      <c r="D401" s="25" t="s">
        <v>834</v>
      </c>
      <c r="E401" s="19" t="s">
        <v>256</v>
      </c>
      <c r="F401" s="26" t="s">
        <v>197</v>
      </c>
      <c r="G401" s="27">
        <f>SUMIF(物料月初库存!$C$3:$C$303,$B401,物料月初库存!$F$3:$F$303)</f>
        <v>0</v>
      </c>
      <c r="H401" s="28">
        <f>SUMIF(半成品入库明细!$D$2:$D$650,$B401,半成品入库明细!$G$2:$G$650)</f>
        <v>0</v>
      </c>
      <c r="I401" s="28">
        <f ca="1">SUMIF(半成品出库明细!$D$2:$D$558,$B401,半成品出库明细!$G$2:$G$2)</f>
        <v>0</v>
      </c>
      <c r="J401" s="28">
        <f ca="1" t="shared" si="7"/>
        <v>0</v>
      </c>
      <c r="K401" s="20"/>
      <c r="L401" s="3"/>
      <c r="M401" s="3"/>
    </row>
    <row r="402" s="1" customFormat="1" spans="1:13">
      <c r="A402" s="22">
        <v>354</v>
      </c>
      <c r="B402" s="23" t="s">
        <v>848</v>
      </c>
      <c r="C402" s="25" t="s">
        <v>849</v>
      </c>
      <c r="D402" s="25" t="s">
        <v>850</v>
      </c>
      <c r="E402" s="19" t="s">
        <v>76</v>
      </c>
      <c r="F402" s="26" t="s">
        <v>197</v>
      </c>
      <c r="G402" s="27">
        <f>SUMIF(物料月初库存!$C$3:$C$303,$B402,物料月初库存!$F$3:$F$303)</f>
        <v>0</v>
      </c>
      <c r="H402" s="28">
        <f>SUMIF(半成品入库明细!$D$2:$D$650,$B402,半成品入库明细!$G$2:$G$650)</f>
        <v>0</v>
      </c>
      <c r="I402" s="28">
        <f ca="1">SUMIF(半成品出库明细!$D$2:$D$558,$B402,半成品出库明细!$G$2:$G$2)</f>
        <v>0</v>
      </c>
      <c r="J402" s="28">
        <f ca="1" t="shared" si="7"/>
        <v>0</v>
      </c>
      <c r="K402" s="20"/>
      <c r="L402" s="3"/>
      <c r="M402" s="3"/>
    </row>
    <row r="403" s="1" customFormat="1" spans="1:13">
      <c r="A403" s="22">
        <v>355</v>
      </c>
      <c r="B403" s="23" t="s">
        <v>851</v>
      </c>
      <c r="C403" s="25" t="s">
        <v>852</v>
      </c>
      <c r="D403" s="25" t="s">
        <v>850</v>
      </c>
      <c r="E403" s="19" t="s">
        <v>76</v>
      </c>
      <c r="F403" s="26" t="s">
        <v>197</v>
      </c>
      <c r="G403" s="27">
        <f>SUMIF(物料月初库存!$C$3:$C$303,$B403,物料月初库存!$F$3:$F$303)</f>
        <v>0</v>
      </c>
      <c r="H403" s="28">
        <f>SUMIF(半成品入库明细!$D$2:$D$650,$B403,半成品入库明细!$G$2:$G$650)</f>
        <v>0</v>
      </c>
      <c r="I403" s="28">
        <f ca="1">SUMIF(半成品出库明细!$D$2:$D$558,$B403,半成品出库明细!$G$2:$G$2)</f>
        <v>0</v>
      </c>
      <c r="J403" s="28">
        <f ca="1" t="shared" si="7"/>
        <v>0</v>
      </c>
      <c r="K403" s="20"/>
      <c r="L403" s="3"/>
      <c r="M403" s="3"/>
    </row>
    <row r="404" s="1" customFormat="1" spans="1:13">
      <c r="A404" s="22">
        <v>356</v>
      </c>
      <c r="B404" s="23" t="s">
        <v>853</v>
      </c>
      <c r="C404" s="41" t="s">
        <v>854</v>
      </c>
      <c r="D404" s="25" t="s">
        <v>850</v>
      </c>
      <c r="E404" s="19" t="s">
        <v>76</v>
      </c>
      <c r="F404" s="26" t="s">
        <v>197</v>
      </c>
      <c r="G404" s="27">
        <f>SUMIF(物料月初库存!$C$3:$C$303,$B404,物料月初库存!$F$3:$F$303)</f>
        <v>0</v>
      </c>
      <c r="H404" s="28">
        <f>SUMIF(半成品入库明细!$D$2:$D$650,$B404,半成品入库明细!$G$2:$G$650)</f>
        <v>0</v>
      </c>
      <c r="I404" s="28">
        <f ca="1">SUMIF(半成品出库明细!$D$2:$D$558,$B404,半成品出库明细!$G$2:$G$2)</f>
        <v>0</v>
      </c>
      <c r="J404" s="28">
        <f ca="1" t="shared" si="7"/>
        <v>0</v>
      </c>
      <c r="K404" s="20"/>
      <c r="L404" s="3"/>
      <c r="M404" s="3"/>
    </row>
    <row r="405" s="1" customFormat="1" spans="1:13">
      <c r="A405" s="22">
        <v>357</v>
      </c>
      <c r="B405" s="23" t="s">
        <v>855</v>
      </c>
      <c r="C405" s="41" t="s">
        <v>856</v>
      </c>
      <c r="D405" s="25" t="s">
        <v>850</v>
      </c>
      <c r="E405" s="19" t="s">
        <v>76</v>
      </c>
      <c r="F405" s="26" t="s">
        <v>197</v>
      </c>
      <c r="G405" s="27">
        <f>SUMIF(物料月初库存!$C$3:$C$303,$B405,物料月初库存!$F$3:$F$303)</f>
        <v>0</v>
      </c>
      <c r="H405" s="28">
        <f>SUMIF(半成品入库明细!$D$2:$D$650,$B405,半成品入库明细!$G$2:$G$650)</f>
        <v>0</v>
      </c>
      <c r="I405" s="28">
        <f ca="1">SUMIF(半成品出库明细!$D$2:$D$558,$B405,半成品出库明细!$G$2:$G$2)</f>
        <v>0</v>
      </c>
      <c r="J405" s="28">
        <f ca="1" t="shared" si="7"/>
        <v>0</v>
      </c>
      <c r="K405" s="20"/>
      <c r="L405" s="3"/>
      <c r="M405" s="3"/>
    </row>
    <row r="406" s="1" customFormat="1" spans="1:13">
      <c r="A406" s="22">
        <v>358</v>
      </c>
      <c r="B406" s="23" t="s">
        <v>857</v>
      </c>
      <c r="C406" s="41" t="s">
        <v>858</v>
      </c>
      <c r="D406" s="25" t="s">
        <v>850</v>
      </c>
      <c r="E406" s="19"/>
      <c r="F406" s="26" t="s">
        <v>197</v>
      </c>
      <c r="G406" s="27">
        <f>SUMIF(物料月初库存!$C$3:$C$303,$B406,物料月初库存!$F$3:$F$303)</f>
        <v>0</v>
      </c>
      <c r="H406" s="28">
        <f>SUMIF(半成品入库明细!$D$2:$D$650,$B406,半成品入库明细!$G$2:$G$650)</f>
        <v>0</v>
      </c>
      <c r="I406" s="28">
        <f ca="1">SUMIF(半成品出库明细!$D$2:$D$558,$B406,半成品出库明细!$G$2:$G$2)</f>
        <v>0</v>
      </c>
      <c r="J406" s="28">
        <f ca="1" t="shared" si="7"/>
        <v>0</v>
      </c>
      <c r="K406" s="20"/>
      <c r="L406" s="3"/>
      <c r="M406" s="3"/>
    </row>
    <row r="407" s="1" customFormat="1" spans="1:13">
      <c r="A407" s="22">
        <v>359</v>
      </c>
      <c r="B407" s="23" t="s">
        <v>859</v>
      </c>
      <c r="C407" s="41" t="s">
        <v>860</v>
      </c>
      <c r="D407" s="25" t="s">
        <v>850</v>
      </c>
      <c r="E407" s="19"/>
      <c r="F407" s="26" t="s">
        <v>197</v>
      </c>
      <c r="G407" s="27">
        <f>SUMIF(物料月初库存!$C$3:$C$303,$B407,物料月初库存!$F$3:$F$303)</f>
        <v>0</v>
      </c>
      <c r="H407" s="28">
        <f>SUMIF(半成品入库明细!$D$2:$D$650,$B407,半成品入库明细!$G$2:$G$650)</f>
        <v>0</v>
      </c>
      <c r="I407" s="28">
        <f ca="1">SUMIF(半成品出库明细!$D$2:$D$558,$B407,半成品出库明细!$G$2:$G$2)</f>
        <v>0</v>
      </c>
      <c r="J407" s="28">
        <f ca="1" t="shared" si="7"/>
        <v>0</v>
      </c>
      <c r="K407" s="20"/>
      <c r="L407" s="3"/>
      <c r="M407" s="3"/>
    </row>
    <row r="408" s="1" customFormat="1" spans="1:13">
      <c r="A408" s="22">
        <v>360</v>
      </c>
      <c r="B408" s="23" t="s">
        <v>861</v>
      </c>
      <c r="C408" s="41" t="s">
        <v>862</v>
      </c>
      <c r="D408" s="25" t="s">
        <v>850</v>
      </c>
      <c r="E408" s="19" t="s">
        <v>76</v>
      </c>
      <c r="F408" s="26" t="s">
        <v>197</v>
      </c>
      <c r="G408" s="27">
        <f>SUMIF(物料月初库存!$C$3:$C$303,$B408,物料月初库存!$F$3:$F$303)</f>
        <v>0</v>
      </c>
      <c r="H408" s="28">
        <f>SUMIF(半成品入库明细!$D$2:$D$650,$B408,半成品入库明细!$G$2:$G$650)</f>
        <v>0</v>
      </c>
      <c r="I408" s="28">
        <f ca="1">SUMIF(半成品出库明细!$D$2:$D$558,$B408,半成品出库明细!$G$2:$G$2)</f>
        <v>0</v>
      </c>
      <c r="J408" s="28">
        <f ca="1" t="shared" si="7"/>
        <v>0</v>
      </c>
      <c r="K408" s="20"/>
      <c r="L408" s="3"/>
      <c r="M408" s="3"/>
    </row>
    <row r="409" s="1" customFormat="1" spans="1:13">
      <c r="A409" s="22">
        <v>361</v>
      </c>
      <c r="B409" s="23" t="s">
        <v>863</v>
      </c>
      <c r="C409" s="41" t="s">
        <v>864</v>
      </c>
      <c r="D409" s="25" t="s">
        <v>850</v>
      </c>
      <c r="E409" s="19" t="s">
        <v>76</v>
      </c>
      <c r="F409" s="26" t="s">
        <v>197</v>
      </c>
      <c r="G409" s="27">
        <f>SUMIF(物料月初库存!$C$3:$C$303,$B409,物料月初库存!$F$3:$F$303)</f>
        <v>0</v>
      </c>
      <c r="H409" s="28">
        <f>SUMIF(半成品入库明细!$D$2:$D$650,$B409,半成品入库明细!$G$2:$G$650)</f>
        <v>0</v>
      </c>
      <c r="I409" s="28">
        <f ca="1">SUMIF(半成品出库明细!$D$2:$D$558,$B409,半成品出库明细!$G$2:$G$2)</f>
        <v>0</v>
      </c>
      <c r="J409" s="28">
        <f ca="1" t="shared" si="7"/>
        <v>0</v>
      </c>
      <c r="K409" s="20"/>
      <c r="L409" s="3"/>
      <c r="M409" s="3"/>
    </row>
    <row r="410" s="1" customFormat="1" spans="1:13">
      <c r="A410" s="22">
        <v>362</v>
      </c>
      <c r="B410" s="23" t="s">
        <v>865</v>
      </c>
      <c r="C410" s="41" t="s">
        <v>866</v>
      </c>
      <c r="D410" s="25" t="s">
        <v>850</v>
      </c>
      <c r="E410" s="19" t="s">
        <v>76</v>
      </c>
      <c r="F410" s="26" t="s">
        <v>197</v>
      </c>
      <c r="G410" s="27">
        <f>SUMIF(物料月初库存!$C$3:$C$303,$B410,物料月初库存!$F$3:$F$303)</f>
        <v>0</v>
      </c>
      <c r="H410" s="28">
        <f>SUMIF(半成品入库明细!$D$2:$D$650,$B410,半成品入库明细!$G$2:$G$650)</f>
        <v>0</v>
      </c>
      <c r="I410" s="28">
        <f ca="1">SUMIF(半成品出库明细!$D$2:$D$558,$B410,半成品出库明细!$G$2:$G$2)</f>
        <v>0</v>
      </c>
      <c r="J410" s="28">
        <f ca="1" t="shared" si="7"/>
        <v>0</v>
      </c>
      <c r="K410" s="20"/>
      <c r="L410" s="3"/>
      <c r="M410" s="3"/>
    </row>
    <row r="411" s="1" customFormat="1" spans="1:13">
      <c r="A411" s="22">
        <v>363</v>
      </c>
      <c r="B411" s="23" t="s">
        <v>867</v>
      </c>
      <c r="C411" s="41" t="s">
        <v>868</v>
      </c>
      <c r="D411" s="25" t="s">
        <v>850</v>
      </c>
      <c r="E411" s="19" t="s">
        <v>76</v>
      </c>
      <c r="F411" s="26" t="s">
        <v>197</v>
      </c>
      <c r="G411" s="27">
        <f>SUMIF(物料月初库存!$C$3:$C$303,$B411,物料月初库存!$F$3:$F$303)</f>
        <v>0</v>
      </c>
      <c r="H411" s="28">
        <f>SUMIF(半成品入库明细!$D$2:$D$650,$B411,半成品入库明细!$G$2:$G$650)</f>
        <v>0</v>
      </c>
      <c r="I411" s="28">
        <f ca="1">SUMIF(半成品出库明细!$D$2:$D$558,$B411,半成品出库明细!$G$2:$G$2)</f>
        <v>0</v>
      </c>
      <c r="J411" s="28">
        <f ca="1" t="shared" si="7"/>
        <v>0</v>
      </c>
      <c r="K411" s="20"/>
      <c r="L411" s="3"/>
      <c r="M411" s="3"/>
    </row>
    <row r="412" s="1" customFormat="1" spans="1:13">
      <c r="A412" s="22">
        <v>364</v>
      </c>
      <c r="B412" s="23" t="s">
        <v>869</v>
      </c>
      <c r="C412" s="41" t="s">
        <v>870</v>
      </c>
      <c r="D412" s="25" t="s">
        <v>850</v>
      </c>
      <c r="E412" s="19" t="s">
        <v>76</v>
      </c>
      <c r="F412" s="26" t="s">
        <v>197</v>
      </c>
      <c r="G412" s="27">
        <f>SUMIF(物料月初库存!$C$3:$C$303,$B412,物料月初库存!$F$3:$F$303)</f>
        <v>0</v>
      </c>
      <c r="H412" s="28">
        <f>SUMIF(半成品入库明细!$D$2:$D$650,$B412,半成品入库明细!$G$2:$G$650)</f>
        <v>0</v>
      </c>
      <c r="I412" s="28">
        <f ca="1">SUMIF(半成品出库明细!$D$2:$D$558,$B412,半成品出库明细!$G$2:$G$2)</f>
        <v>0</v>
      </c>
      <c r="J412" s="28">
        <f ca="1" t="shared" si="7"/>
        <v>0</v>
      </c>
      <c r="K412" s="20"/>
      <c r="L412" s="3"/>
      <c r="M412" s="3"/>
    </row>
    <row r="413" s="4" customFormat="1" spans="1:13">
      <c r="A413" s="22">
        <v>365</v>
      </c>
      <c r="B413" s="23" t="s">
        <v>871</v>
      </c>
      <c r="C413" s="41" t="s">
        <v>872</v>
      </c>
      <c r="D413" s="25" t="s">
        <v>850</v>
      </c>
      <c r="E413" s="19" t="s">
        <v>76</v>
      </c>
      <c r="F413" s="26" t="s">
        <v>197</v>
      </c>
      <c r="G413" s="27">
        <f>SUMIF(物料月初库存!$C$3:$C$303,$B413,物料月初库存!$F$3:$F$303)</f>
        <v>0</v>
      </c>
      <c r="H413" s="28">
        <f>SUMIF(半成品入库明细!$D$2:$D$650,$B413,半成品入库明细!$G$2:$G$650)</f>
        <v>0</v>
      </c>
      <c r="I413" s="28">
        <f ca="1">SUMIF(半成品出库明细!$D$2:$D$558,$B413,半成品出库明细!$G$2:$G$2)</f>
        <v>0</v>
      </c>
      <c r="J413" s="28">
        <f ca="1" t="shared" si="7"/>
        <v>0</v>
      </c>
      <c r="K413" s="96"/>
    </row>
    <row r="414" s="1" customFormat="1" spans="1:13">
      <c r="A414" s="22">
        <v>366</v>
      </c>
      <c r="B414" s="23" t="s">
        <v>873</v>
      </c>
      <c r="C414" s="41" t="s">
        <v>874</v>
      </c>
      <c r="D414" s="25" t="s">
        <v>850</v>
      </c>
      <c r="E414" s="19" t="s">
        <v>76</v>
      </c>
      <c r="F414" s="26" t="s">
        <v>197</v>
      </c>
      <c r="G414" s="27">
        <f>SUMIF(物料月初库存!$C$3:$C$303,$B414,物料月初库存!$F$3:$F$303)</f>
        <v>0</v>
      </c>
      <c r="H414" s="28">
        <f>SUMIF(半成品入库明细!$D$2:$D$650,$B414,半成品入库明细!$G$2:$G$650)</f>
        <v>0</v>
      </c>
      <c r="I414" s="28">
        <f ca="1">SUMIF(半成品出库明细!$D$2:$D$558,$B414,半成品出库明细!$G$2:$G$2)</f>
        <v>0</v>
      </c>
      <c r="J414" s="28">
        <f ca="1" t="shared" si="7"/>
        <v>0</v>
      </c>
      <c r="K414" s="20"/>
      <c r="L414" s="97"/>
      <c r="M414" s="3"/>
    </row>
    <row r="415" s="1" customFormat="1" spans="1:13">
      <c r="A415" s="22">
        <v>367</v>
      </c>
      <c r="B415" s="23" t="s">
        <v>875</v>
      </c>
      <c r="C415" s="41" t="s">
        <v>876</v>
      </c>
      <c r="D415" s="25" t="s">
        <v>850</v>
      </c>
      <c r="E415" s="19" t="s">
        <v>76</v>
      </c>
      <c r="F415" s="26" t="s">
        <v>197</v>
      </c>
      <c r="G415" s="27">
        <f>SUMIF(物料月初库存!$C$3:$C$303,$B415,物料月初库存!$F$3:$F$303)</f>
        <v>0</v>
      </c>
      <c r="H415" s="28">
        <f>SUMIF(半成品入库明细!$D$2:$D$650,$B415,半成品入库明细!$G$2:$G$650)</f>
        <v>0</v>
      </c>
      <c r="I415" s="28">
        <f ca="1">SUMIF(半成品出库明细!$D$2:$D$558,$B415,半成品出库明细!$G$2:$G$2)</f>
        <v>0</v>
      </c>
      <c r="J415" s="28">
        <f ca="1" t="shared" si="7"/>
        <v>0</v>
      </c>
      <c r="K415" s="20"/>
      <c r="L415" s="3"/>
      <c r="M415" s="3"/>
    </row>
    <row r="416" s="1" customFormat="1" spans="1:13">
      <c r="A416" s="22">
        <v>368</v>
      </c>
      <c r="B416" s="23" t="s">
        <v>877</v>
      </c>
      <c r="C416" s="41" t="s">
        <v>878</v>
      </c>
      <c r="D416" s="25" t="s">
        <v>850</v>
      </c>
      <c r="E416" s="19" t="s">
        <v>76</v>
      </c>
      <c r="F416" s="26" t="s">
        <v>197</v>
      </c>
      <c r="G416" s="27">
        <f>SUMIF(物料月初库存!$C$3:$C$303,$B416,物料月初库存!$F$3:$F$303)</f>
        <v>0</v>
      </c>
      <c r="H416" s="28">
        <f>SUMIF(半成品入库明细!$D$2:$D$650,$B416,半成品入库明细!$G$2:$G$650)</f>
        <v>0</v>
      </c>
      <c r="I416" s="28">
        <f ca="1">SUMIF(半成品出库明细!$D$2:$D$558,$B416,半成品出库明细!$G$2:$G$2)</f>
        <v>0</v>
      </c>
      <c r="J416" s="28">
        <f ca="1" t="shared" si="7"/>
        <v>0</v>
      </c>
      <c r="K416" s="20"/>
      <c r="L416" s="3"/>
      <c r="M416" s="3"/>
    </row>
    <row r="417" s="1" customFormat="1" spans="1:13">
      <c r="A417" s="22">
        <v>369</v>
      </c>
      <c r="B417" s="23" t="s">
        <v>879</v>
      </c>
      <c r="C417" s="41" t="s">
        <v>880</v>
      </c>
      <c r="D417" s="25" t="s">
        <v>850</v>
      </c>
      <c r="E417" s="19" t="s">
        <v>76</v>
      </c>
      <c r="F417" s="26" t="s">
        <v>197</v>
      </c>
      <c r="G417" s="27">
        <f>SUMIF(物料月初库存!$C$3:$C$303,$B417,物料月初库存!$F$3:$F$303)</f>
        <v>0</v>
      </c>
      <c r="H417" s="28">
        <f>SUMIF(半成品入库明细!$D$2:$D$650,$B417,半成品入库明细!$G$2:$G$650)</f>
        <v>0</v>
      </c>
      <c r="I417" s="28">
        <f ca="1">SUMIF(半成品出库明细!$D$2:$D$558,$B417,半成品出库明细!$G$2:$G$2)</f>
        <v>0</v>
      </c>
      <c r="J417" s="28">
        <f ca="1" t="shared" si="7"/>
        <v>0</v>
      </c>
      <c r="K417" s="20"/>
      <c r="L417" s="3"/>
      <c r="M417" s="3"/>
    </row>
    <row r="418" s="1" customFormat="1" spans="1:13">
      <c r="A418" s="22">
        <v>370</v>
      </c>
      <c r="B418" s="23" t="s">
        <v>881</v>
      </c>
      <c r="C418" s="41" t="s">
        <v>882</v>
      </c>
      <c r="D418" s="25" t="s">
        <v>850</v>
      </c>
      <c r="E418" s="19" t="s">
        <v>76</v>
      </c>
      <c r="F418" s="26" t="s">
        <v>197</v>
      </c>
      <c r="G418" s="27">
        <f>SUMIF(物料月初库存!$C$3:$C$303,$B418,物料月初库存!$F$3:$F$303)</f>
        <v>0</v>
      </c>
      <c r="H418" s="28">
        <f>SUMIF(半成品入库明细!$D$2:$D$650,$B418,半成品入库明细!$G$2:$G$650)</f>
        <v>0</v>
      </c>
      <c r="I418" s="28">
        <f ca="1">SUMIF(半成品出库明细!$D$2:$D$558,$B418,半成品出库明细!$G$2:$G$2)</f>
        <v>0</v>
      </c>
      <c r="J418" s="28">
        <f ca="1" t="shared" si="7"/>
        <v>0</v>
      </c>
      <c r="K418" s="20"/>
      <c r="L418" s="3"/>
      <c r="M418" s="3"/>
    </row>
    <row r="419" s="1" customFormat="1" spans="1:13">
      <c r="A419" s="22">
        <v>371</v>
      </c>
      <c r="B419" s="23" t="s">
        <v>883</v>
      </c>
      <c r="C419" s="41" t="s">
        <v>884</v>
      </c>
      <c r="D419" s="25" t="s">
        <v>850</v>
      </c>
      <c r="E419" s="19" t="s">
        <v>76</v>
      </c>
      <c r="F419" s="26" t="s">
        <v>197</v>
      </c>
      <c r="G419" s="27">
        <f>SUMIF(物料月初库存!$C$3:$C$303,$B419,物料月初库存!$F$3:$F$303)</f>
        <v>0</v>
      </c>
      <c r="H419" s="28">
        <f>SUMIF(半成品入库明细!$D$2:$D$650,$B419,半成品入库明细!$G$2:$G$650)</f>
        <v>0</v>
      </c>
      <c r="I419" s="28">
        <f ca="1">SUMIF(半成品出库明细!$D$2:$D$558,$B419,半成品出库明细!$G$2:$G$2)</f>
        <v>0</v>
      </c>
      <c r="J419" s="28">
        <f ca="1" t="shared" si="7"/>
        <v>0</v>
      </c>
      <c r="K419" s="20"/>
      <c r="L419" s="3"/>
      <c r="M419" s="3"/>
    </row>
    <row r="420" s="1" customFormat="1" spans="1:13">
      <c r="A420" s="22">
        <v>372</v>
      </c>
      <c r="B420" s="23" t="s">
        <v>885</v>
      </c>
      <c r="C420" s="41" t="s">
        <v>886</v>
      </c>
      <c r="D420" s="25" t="s">
        <v>850</v>
      </c>
      <c r="E420" s="19" t="s">
        <v>76</v>
      </c>
      <c r="F420" s="26" t="s">
        <v>197</v>
      </c>
      <c r="G420" s="27">
        <f>SUMIF(物料月初库存!$C$3:$C$303,$B420,物料月初库存!$F$3:$F$303)</f>
        <v>0</v>
      </c>
      <c r="H420" s="28">
        <f>SUMIF(半成品入库明细!$D$2:$D$650,$B420,半成品入库明细!$G$2:$G$650)</f>
        <v>0</v>
      </c>
      <c r="I420" s="28">
        <f ca="1">SUMIF(半成品出库明细!$D$2:$D$558,$B420,半成品出库明细!$G$2:$G$2)</f>
        <v>0</v>
      </c>
      <c r="J420" s="28">
        <f ca="1" t="shared" si="7"/>
        <v>0</v>
      </c>
      <c r="K420" s="20"/>
      <c r="L420" s="3"/>
      <c r="M420" s="3"/>
    </row>
    <row r="421" s="1" customFormat="1" spans="1:13">
      <c r="A421" s="22">
        <v>373</v>
      </c>
      <c r="B421" s="23" t="s">
        <v>887</v>
      </c>
      <c r="C421" s="41" t="s">
        <v>888</v>
      </c>
      <c r="D421" s="25" t="s">
        <v>850</v>
      </c>
      <c r="E421" s="19" t="s">
        <v>76</v>
      </c>
      <c r="F421" s="26" t="s">
        <v>197</v>
      </c>
      <c r="G421" s="27">
        <f>SUMIF(物料月初库存!$C$3:$C$303,$B421,物料月初库存!$F$3:$F$303)</f>
        <v>0</v>
      </c>
      <c r="H421" s="28">
        <f>SUMIF(半成品入库明细!$D$2:$D$650,$B421,半成品入库明细!$G$2:$G$650)</f>
        <v>0</v>
      </c>
      <c r="I421" s="28">
        <f ca="1">SUMIF(半成品出库明细!$D$2:$D$558,$B421,半成品出库明细!$G$2:$G$2)</f>
        <v>0</v>
      </c>
      <c r="J421" s="28">
        <f ca="1" t="shared" si="7"/>
        <v>0</v>
      </c>
      <c r="K421" s="20"/>
      <c r="L421" s="3"/>
      <c r="M421" s="3"/>
    </row>
    <row r="422" s="1" customFormat="1" spans="1:13">
      <c r="A422" s="22">
        <v>374</v>
      </c>
      <c r="B422" s="23" t="s">
        <v>889</v>
      </c>
      <c r="C422" s="41" t="s">
        <v>890</v>
      </c>
      <c r="D422" s="25" t="s">
        <v>850</v>
      </c>
      <c r="E422" s="19" t="s">
        <v>76</v>
      </c>
      <c r="F422" s="26" t="s">
        <v>197</v>
      </c>
      <c r="G422" s="27">
        <f>SUMIF(物料月初库存!$C$3:$C$303,$B422,物料月初库存!$F$3:$F$303)</f>
        <v>0</v>
      </c>
      <c r="H422" s="28">
        <f>SUMIF(半成品入库明细!$D$2:$D$650,$B422,半成品入库明细!$G$2:$G$650)</f>
        <v>0</v>
      </c>
      <c r="I422" s="28">
        <f ca="1">SUMIF(半成品出库明细!$D$2:$D$558,$B422,半成品出库明细!$G$2:$G$2)</f>
        <v>0</v>
      </c>
      <c r="J422" s="28">
        <f ca="1" t="shared" si="7"/>
        <v>0</v>
      </c>
      <c r="K422" s="20"/>
      <c r="L422" s="3"/>
      <c r="M422" s="3"/>
    </row>
    <row r="423" s="1" customFormat="1" spans="1:13">
      <c r="A423" s="22">
        <v>375</v>
      </c>
      <c r="B423" s="23" t="s">
        <v>891</v>
      </c>
      <c r="C423" s="41" t="s">
        <v>892</v>
      </c>
      <c r="D423" s="25" t="s">
        <v>850</v>
      </c>
      <c r="E423" s="19" t="s">
        <v>76</v>
      </c>
      <c r="F423" s="26" t="s">
        <v>197</v>
      </c>
      <c r="G423" s="27">
        <f>SUMIF(物料月初库存!$C$3:$C$303,$B423,物料月初库存!$F$3:$F$303)</f>
        <v>0</v>
      </c>
      <c r="H423" s="28">
        <f>SUMIF(半成品入库明细!$D$2:$D$650,$B423,半成品入库明细!$G$2:$G$650)</f>
        <v>0</v>
      </c>
      <c r="I423" s="28">
        <f ca="1">SUMIF(半成品出库明细!$D$2:$D$558,$B423,半成品出库明细!$G$2:$G$2)</f>
        <v>0</v>
      </c>
      <c r="J423" s="28">
        <f ca="1" t="shared" si="7"/>
        <v>0</v>
      </c>
      <c r="K423" s="20"/>
      <c r="L423" s="3"/>
      <c r="M423" s="3"/>
    </row>
    <row r="424" s="1" customFormat="1" spans="1:13">
      <c r="A424" s="22">
        <v>376</v>
      </c>
      <c r="B424" s="23" t="s">
        <v>893</v>
      </c>
      <c r="C424" s="41" t="s">
        <v>894</v>
      </c>
      <c r="D424" s="25" t="s">
        <v>850</v>
      </c>
      <c r="E424" s="19" t="s">
        <v>76</v>
      </c>
      <c r="F424" s="26" t="s">
        <v>197</v>
      </c>
      <c r="G424" s="27">
        <f>SUMIF(物料月初库存!$C$3:$C$303,$B424,物料月初库存!$F$3:$F$303)</f>
        <v>0</v>
      </c>
      <c r="H424" s="28">
        <f>SUMIF(半成品入库明细!$D$2:$D$650,$B424,半成品入库明细!$G$2:$G$650)</f>
        <v>0</v>
      </c>
      <c r="I424" s="28">
        <f ca="1">SUMIF(半成品出库明细!$D$2:$D$558,$B424,半成品出库明细!$G$2:$G$2)</f>
        <v>0</v>
      </c>
      <c r="J424" s="28">
        <f ca="1" t="shared" si="7"/>
        <v>0</v>
      </c>
      <c r="K424" s="20"/>
      <c r="L424" s="3"/>
      <c r="M424" s="3"/>
    </row>
    <row r="425" s="1" customFormat="1" spans="1:13">
      <c r="A425" s="22">
        <v>377</v>
      </c>
      <c r="B425" s="23" t="s">
        <v>895</v>
      </c>
      <c r="C425" s="41" t="s">
        <v>896</v>
      </c>
      <c r="D425" s="25" t="s">
        <v>850</v>
      </c>
      <c r="E425" s="19" t="s">
        <v>76</v>
      </c>
      <c r="F425" s="26" t="s">
        <v>197</v>
      </c>
      <c r="G425" s="27">
        <f>SUMIF(物料月初库存!$C$3:$C$303,$B425,物料月初库存!$F$3:$F$303)</f>
        <v>0</v>
      </c>
      <c r="H425" s="28">
        <f>SUMIF(半成品入库明细!$D$2:$D$650,$B425,半成品入库明细!$G$2:$G$650)</f>
        <v>0</v>
      </c>
      <c r="I425" s="28">
        <f ca="1">SUMIF(半成品出库明细!$D$2:$D$558,$B425,半成品出库明细!$G$2:$G$2)</f>
        <v>0</v>
      </c>
      <c r="J425" s="28">
        <f ca="1" t="shared" si="7"/>
        <v>0</v>
      </c>
      <c r="K425" s="20"/>
      <c r="L425" s="3"/>
      <c r="M425" s="3"/>
    </row>
    <row r="426" s="1" customFormat="1" spans="1:13">
      <c r="A426" s="22">
        <v>378</v>
      </c>
      <c r="B426" s="23" t="s">
        <v>897</v>
      </c>
      <c r="C426" s="41" t="s">
        <v>898</v>
      </c>
      <c r="D426" s="25" t="s">
        <v>850</v>
      </c>
      <c r="E426" s="19" t="s">
        <v>76</v>
      </c>
      <c r="F426" s="26" t="s">
        <v>197</v>
      </c>
      <c r="G426" s="27">
        <f>SUMIF(物料月初库存!$C$3:$C$303,$B426,物料月初库存!$F$3:$F$303)</f>
        <v>0</v>
      </c>
      <c r="H426" s="28">
        <f>SUMIF(半成品入库明细!$D$2:$D$650,$B426,半成品入库明细!$G$2:$G$650)</f>
        <v>0</v>
      </c>
      <c r="I426" s="28">
        <f ca="1">SUMIF(半成品出库明细!$D$2:$D$558,$B426,半成品出库明细!$G$2:$G$2)</f>
        <v>0</v>
      </c>
      <c r="J426" s="28">
        <f ca="1" t="shared" si="7"/>
        <v>0</v>
      </c>
      <c r="K426" s="20"/>
      <c r="L426" s="3"/>
      <c r="M426" s="3"/>
    </row>
    <row r="427" s="1" customFormat="1" spans="1:13">
      <c r="A427" s="22">
        <v>379</v>
      </c>
      <c r="B427" s="23" t="s">
        <v>899</v>
      </c>
      <c r="C427" s="41" t="s">
        <v>900</v>
      </c>
      <c r="D427" s="25" t="s">
        <v>850</v>
      </c>
      <c r="E427" s="19" t="s">
        <v>76</v>
      </c>
      <c r="F427" s="26" t="s">
        <v>197</v>
      </c>
      <c r="G427" s="27">
        <f>SUMIF(物料月初库存!$C$3:$C$303,$B427,物料月初库存!$F$3:$F$303)</f>
        <v>0</v>
      </c>
      <c r="H427" s="28">
        <f>SUMIF(半成品入库明细!$D$2:$D$650,$B427,半成品入库明细!$G$2:$G$650)</f>
        <v>0</v>
      </c>
      <c r="I427" s="28">
        <f ca="1">SUMIF(半成品出库明细!$D$2:$D$558,$B427,半成品出库明细!$G$2:$G$2)</f>
        <v>0</v>
      </c>
      <c r="J427" s="28">
        <f ca="1" t="shared" si="7"/>
        <v>0</v>
      </c>
      <c r="K427" s="20"/>
      <c r="L427" s="3"/>
      <c r="M427" s="3"/>
    </row>
    <row r="428" s="1" customFormat="1" spans="1:13">
      <c r="A428" s="22">
        <v>380</v>
      </c>
      <c r="B428" s="23" t="s">
        <v>901</v>
      </c>
      <c r="C428" s="95" t="s">
        <v>902</v>
      </c>
      <c r="D428" s="25" t="s">
        <v>850</v>
      </c>
      <c r="E428" s="19" t="s">
        <v>76</v>
      </c>
      <c r="F428" s="26" t="s">
        <v>197</v>
      </c>
      <c r="G428" s="27">
        <f>SUMIF(物料月初库存!$C$3:$C$303,$B428,物料月初库存!$F$3:$F$303)</f>
        <v>0</v>
      </c>
      <c r="H428" s="28">
        <f>SUMIF(半成品入库明细!$D$2:$D$650,$B428,半成品入库明细!$G$2:$G$650)</f>
        <v>0</v>
      </c>
      <c r="I428" s="28">
        <f ca="1">SUMIF(半成品出库明细!$D$2:$D$558,$B428,半成品出库明细!$G$2:$G$2)</f>
        <v>0</v>
      </c>
      <c r="J428" s="28">
        <f ca="1" t="shared" si="7"/>
        <v>0</v>
      </c>
      <c r="K428" s="20"/>
      <c r="L428" s="3"/>
      <c r="M428" s="3"/>
    </row>
    <row r="429" s="1" customFormat="1" spans="1:13">
      <c r="A429" s="22">
        <v>381</v>
      </c>
      <c r="B429" s="23" t="s">
        <v>903</v>
      </c>
      <c r="C429" s="95" t="s">
        <v>904</v>
      </c>
      <c r="D429" s="25" t="s">
        <v>850</v>
      </c>
      <c r="E429" s="19" t="s">
        <v>76</v>
      </c>
      <c r="F429" s="26" t="s">
        <v>197</v>
      </c>
      <c r="G429" s="27">
        <f>SUMIF(物料月初库存!$C$3:$C$303,$B429,物料月初库存!$F$3:$F$303)</f>
        <v>0</v>
      </c>
      <c r="H429" s="28">
        <f>SUMIF(半成品入库明细!$D$2:$D$650,$B429,半成品入库明细!$G$2:$G$650)</f>
        <v>0</v>
      </c>
      <c r="I429" s="28">
        <f ca="1">SUMIF(半成品出库明细!$D$2:$D$558,$B429,半成品出库明细!$G$2:$G$2)</f>
        <v>0</v>
      </c>
      <c r="J429" s="28">
        <f ca="1" t="shared" si="7"/>
        <v>0</v>
      </c>
      <c r="K429" s="20"/>
      <c r="L429" s="3"/>
      <c r="M429" s="3"/>
    </row>
    <row r="430" s="1" customFormat="1" spans="1:13">
      <c r="A430" s="22">
        <v>382</v>
      </c>
      <c r="B430" s="23" t="s">
        <v>905</v>
      </c>
      <c r="C430" s="95" t="s">
        <v>906</v>
      </c>
      <c r="D430" s="25" t="s">
        <v>850</v>
      </c>
      <c r="E430" s="19" t="s">
        <v>76</v>
      </c>
      <c r="F430" s="26" t="s">
        <v>197</v>
      </c>
      <c r="G430" s="27">
        <f>SUMIF(物料月初库存!$C$3:$C$303,$B430,物料月初库存!$F$3:$F$303)</f>
        <v>0</v>
      </c>
      <c r="H430" s="28">
        <f>SUMIF(半成品入库明细!$D$2:$D$650,$B430,半成品入库明细!$G$2:$G$650)</f>
        <v>0</v>
      </c>
      <c r="I430" s="28">
        <f ca="1">SUMIF(半成品出库明细!$D$2:$D$558,$B430,半成品出库明细!$G$2:$G$2)</f>
        <v>0</v>
      </c>
      <c r="J430" s="28">
        <f ca="1" t="shared" si="7"/>
        <v>0</v>
      </c>
      <c r="K430" s="20"/>
      <c r="L430" s="3"/>
      <c r="M430" s="3"/>
    </row>
    <row r="431" s="1" customFormat="1" spans="1:13">
      <c r="A431" s="22">
        <v>383</v>
      </c>
      <c r="B431" s="23" t="s">
        <v>907</v>
      </c>
      <c r="C431" s="95" t="s">
        <v>908</v>
      </c>
      <c r="D431" s="25" t="s">
        <v>850</v>
      </c>
      <c r="E431" s="19" t="s">
        <v>76</v>
      </c>
      <c r="F431" s="26" t="s">
        <v>197</v>
      </c>
      <c r="G431" s="27">
        <f>SUMIF(物料月初库存!$C$3:$C$303,$B431,物料月初库存!$F$3:$F$303)</f>
        <v>0</v>
      </c>
      <c r="H431" s="28">
        <f>SUMIF(半成品入库明细!$D$2:$D$650,$B431,半成品入库明细!$G$2:$G$650)</f>
        <v>0</v>
      </c>
      <c r="I431" s="28">
        <f ca="1">SUMIF(半成品出库明细!$D$2:$D$558,$B431,半成品出库明细!$G$2:$G$2)</f>
        <v>0</v>
      </c>
      <c r="J431" s="28">
        <f ca="1" t="shared" si="7"/>
        <v>0</v>
      </c>
      <c r="K431" s="20"/>
      <c r="L431" s="3"/>
      <c r="M431" s="3"/>
    </row>
    <row r="432" s="1" customFormat="1" spans="1:13">
      <c r="A432" s="22">
        <v>384</v>
      </c>
      <c r="B432" s="23" t="s">
        <v>909</v>
      </c>
      <c r="C432" s="95" t="s">
        <v>910</v>
      </c>
      <c r="D432" s="25" t="s">
        <v>850</v>
      </c>
      <c r="E432" s="19" t="s">
        <v>76</v>
      </c>
      <c r="F432" s="26" t="s">
        <v>197</v>
      </c>
      <c r="G432" s="27">
        <f>SUMIF(物料月初库存!$C$3:$C$303,$B432,物料月初库存!$F$3:$F$303)</f>
        <v>0</v>
      </c>
      <c r="H432" s="28">
        <f>SUMIF(半成品入库明细!$D$2:$D$650,$B432,半成品入库明细!$G$2:$G$650)</f>
        <v>0</v>
      </c>
      <c r="I432" s="28">
        <f ca="1">SUMIF(半成品出库明细!$D$2:$D$558,$B432,半成品出库明细!$G$2:$G$2)</f>
        <v>0</v>
      </c>
      <c r="J432" s="28">
        <f ca="1" t="shared" si="7"/>
        <v>0</v>
      </c>
      <c r="K432" s="20"/>
      <c r="L432" s="3"/>
      <c r="M432" s="3"/>
    </row>
    <row r="433" s="1" customFormat="1" spans="1:13">
      <c r="A433" s="22">
        <v>385</v>
      </c>
      <c r="B433" s="23" t="s">
        <v>911</v>
      </c>
      <c r="C433" s="95" t="s">
        <v>912</v>
      </c>
      <c r="D433" s="25" t="s">
        <v>850</v>
      </c>
      <c r="E433" s="19" t="s">
        <v>76</v>
      </c>
      <c r="F433" s="26" t="s">
        <v>197</v>
      </c>
      <c r="G433" s="27">
        <f>SUMIF(物料月初库存!$C$3:$C$303,$B433,物料月初库存!$F$3:$F$303)</f>
        <v>0</v>
      </c>
      <c r="H433" s="28">
        <f>SUMIF(半成品入库明细!$D$2:$D$650,$B433,半成品入库明细!$G$2:$G$650)</f>
        <v>0</v>
      </c>
      <c r="I433" s="28">
        <f ca="1">SUMIF(半成品出库明细!$D$2:$D$558,$B433,半成品出库明细!$G$2:$G$2)</f>
        <v>0</v>
      </c>
      <c r="J433" s="28">
        <f ca="1" t="shared" si="7"/>
        <v>0</v>
      </c>
      <c r="K433" s="20"/>
      <c r="L433" s="3"/>
      <c r="M433" s="3"/>
    </row>
    <row r="434" s="1" customFormat="1" spans="1:13">
      <c r="A434" s="22">
        <v>386</v>
      </c>
      <c r="B434" s="23" t="s">
        <v>913</v>
      </c>
      <c r="C434" s="95" t="s">
        <v>914</v>
      </c>
      <c r="D434" s="25" t="s">
        <v>850</v>
      </c>
      <c r="E434" s="19" t="s">
        <v>76</v>
      </c>
      <c r="F434" s="26" t="s">
        <v>197</v>
      </c>
      <c r="G434" s="27">
        <f>SUMIF(物料月初库存!$C$3:$C$303,$B434,物料月初库存!$F$3:$F$303)</f>
        <v>0</v>
      </c>
      <c r="H434" s="28">
        <f>SUMIF(半成品入库明细!$D$2:$D$650,$B434,半成品入库明细!$G$2:$G$650)</f>
        <v>0</v>
      </c>
      <c r="I434" s="28">
        <f ca="1">SUMIF(半成品出库明细!$D$2:$D$558,$B434,半成品出库明细!$G$2:$G$2)</f>
        <v>0</v>
      </c>
      <c r="J434" s="28">
        <f ca="1" t="shared" si="7"/>
        <v>0</v>
      </c>
      <c r="K434" s="20"/>
      <c r="L434" s="3"/>
      <c r="M434" s="3"/>
    </row>
    <row r="435" s="1" customFormat="1" spans="1:13">
      <c r="A435" s="22">
        <v>387</v>
      </c>
      <c r="B435" s="23" t="s">
        <v>915</v>
      </c>
      <c r="C435" s="95" t="s">
        <v>916</v>
      </c>
      <c r="D435" s="25" t="s">
        <v>850</v>
      </c>
      <c r="E435" s="19" t="s">
        <v>76</v>
      </c>
      <c r="F435" s="26" t="s">
        <v>197</v>
      </c>
      <c r="G435" s="27">
        <f>SUMIF(物料月初库存!$C$3:$C$303,$B435,物料月初库存!$F$3:$F$303)</f>
        <v>0</v>
      </c>
      <c r="H435" s="28">
        <f>SUMIF(半成品入库明细!$D$2:$D$650,$B435,半成品入库明细!$G$2:$G$650)</f>
        <v>0</v>
      </c>
      <c r="I435" s="28">
        <f ca="1">SUMIF(半成品出库明细!$D$2:$D$558,$B435,半成品出库明细!$G$2:$G$2)</f>
        <v>0</v>
      </c>
      <c r="J435" s="28">
        <f ca="1" t="shared" si="7"/>
        <v>0</v>
      </c>
      <c r="K435" s="20"/>
      <c r="L435" s="3"/>
      <c r="M435" s="3"/>
    </row>
    <row r="436" s="1" customFormat="1" spans="1:13">
      <c r="A436" s="22">
        <v>388</v>
      </c>
      <c r="B436" s="23" t="s">
        <v>917</v>
      </c>
      <c r="C436" s="95" t="s">
        <v>918</v>
      </c>
      <c r="D436" s="25" t="s">
        <v>850</v>
      </c>
      <c r="E436" s="19" t="s">
        <v>76</v>
      </c>
      <c r="F436" s="26" t="s">
        <v>197</v>
      </c>
      <c r="G436" s="27">
        <f>SUMIF(物料月初库存!$C$3:$C$303,$B436,物料月初库存!$F$3:$F$303)</f>
        <v>0</v>
      </c>
      <c r="H436" s="28">
        <f>SUMIF(半成品入库明细!$D$2:$D$650,$B436,半成品入库明细!$G$2:$G$650)</f>
        <v>0</v>
      </c>
      <c r="I436" s="28">
        <f ca="1">SUMIF(半成品出库明细!$D$2:$D$558,$B436,半成品出库明细!$G$2:$G$2)</f>
        <v>0</v>
      </c>
      <c r="J436" s="28">
        <f ca="1" t="shared" si="7"/>
        <v>0</v>
      </c>
      <c r="K436" s="20"/>
      <c r="L436" s="3"/>
      <c r="M436" s="3"/>
    </row>
    <row r="437" s="1" customFormat="1" spans="1:13">
      <c r="A437" s="22">
        <v>389</v>
      </c>
      <c r="B437" s="23" t="s">
        <v>919</v>
      </c>
      <c r="C437" s="95" t="s">
        <v>920</v>
      </c>
      <c r="D437" s="25" t="s">
        <v>850</v>
      </c>
      <c r="E437" s="19" t="s">
        <v>76</v>
      </c>
      <c r="F437" s="26" t="s">
        <v>197</v>
      </c>
      <c r="G437" s="27">
        <f>SUMIF(物料月初库存!$C$3:$C$303,$B437,物料月初库存!$F$3:$F$303)</f>
        <v>0</v>
      </c>
      <c r="H437" s="28">
        <f>SUMIF(半成品入库明细!$D$2:$D$650,$B437,半成品入库明细!$G$2:$G$650)</f>
        <v>0</v>
      </c>
      <c r="I437" s="28">
        <f ca="1">SUMIF(半成品出库明细!$D$2:$D$558,$B437,半成品出库明细!$G$2:$G$2)</f>
        <v>0</v>
      </c>
      <c r="J437" s="28">
        <f ca="1" t="shared" si="7"/>
        <v>0</v>
      </c>
      <c r="K437" s="20"/>
      <c r="L437" s="3"/>
      <c r="M437" s="3"/>
    </row>
    <row r="438" s="1" customFormat="1" spans="1:13">
      <c r="A438" s="22">
        <v>390</v>
      </c>
      <c r="B438" s="23" t="s">
        <v>921</v>
      </c>
      <c r="C438" s="95" t="s">
        <v>922</v>
      </c>
      <c r="D438" s="25" t="s">
        <v>850</v>
      </c>
      <c r="E438" s="19" t="s">
        <v>76</v>
      </c>
      <c r="F438" s="26" t="s">
        <v>197</v>
      </c>
      <c r="G438" s="27">
        <f>SUMIF(物料月初库存!$C$3:$C$303,$B438,物料月初库存!$F$3:$F$303)</f>
        <v>0</v>
      </c>
      <c r="H438" s="28">
        <f>SUMIF(半成品入库明细!$D$2:$D$650,$B438,半成品入库明细!$G$2:$G$650)</f>
        <v>0</v>
      </c>
      <c r="I438" s="28">
        <f ca="1">SUMIF(半成品出库明细!$D$2:$D$558,$B438,半成品出库明细!$G$2:$G$2)</f>
        <v>0</v>
      </c>
      <c r="J438" s="28">
        <f ca="1" t="shared" si="7"/>
        <v>0</v>
      </c>
      <c r="K438" s="20"/>
      <c r="L438" s="3"/>
      <c r="M438" s="3"/>
    </row>
    <row r="439" s="1" customFormat="1" spans="1:13">
      <c r="A439" s="22">
        <v>391</v>
      </c>
      <c r="B439" s="23" t="s">
        <v>923</v>
      </c>
      <c r="C439" s="95" t="s">
        <v>924</v>
      </c>
      <c r="D439" s="25" t="s">
        <v>850</v>
      </c>
      <c r="E439" s="19" t="s">
        <v>76</v>
      </c>
      <c r="F439" s="26" t="s">
        <v>197</v>
      </c>
      <c r="G439" s="27">
        <f>SUMIF(物料月初库存!$C$3:$C$303,$B439,物料月初库存!$F$3:$F$303)</f>
        <v>0</v>
      </c>
      <c r="H439" s="28">
        <f>SUMIF(半成品入库明细!$D$2:$D$650,$B439,半成品入库明细!$G$2:$G$650)</f>
        <v>0</v>
      </c>
      <c r="I439" s="28">
        <f ca="1">SUMIF(半成品出库明细!$D$2:$D$558,$B439,半成品出库明细!$G$2:$G$2)</f>
        <v>0</v>
      </c>
      <c r="J439" s="28">
        <f ca="1" t="shared" si="7"/>
        <v>0</v>
      </c>
      <c r="K439" s="20"/>
      <c r="L439" s="3"/>
      <c r="M439" s="3"/>
    </row>
    <row r="440" s="1" customFormat="1" spans="1:13">
      <c r="A440" s="22">
        <v>392</v>
      </c>
      <c r="B440" s="23" t="s">
        <v>741</v>
      </c>
      <c r="C440" s="95" t="s">
        <v>925</v>
      </c>
      <c r="D440" s="25" t="s">
        <v>850</v>
      </c>
      <c r="E440" s="19" t="s">
        <v>76</v>
      </c>
      <c r="F440" s="26" t="s">
        <v>197</v>
      </c>
      <c r="G440" s="27">
        <f>SUMIF(物料月初库存!$C$3:$C$303,$B440,物料月初库存!$F$3:$F$303)</f>
        <v>0</v>
      </c>
      <c r="H440" s="28">
        <f>SUMIF(半成品入库明细!$D$2:$D$650,$B440,半成品入库明细!$G$2:$G$650)</f>
        <v>0</v>
      </c>
      <c r="I440" s="28">
        <f ca="1">SUMIF(半成品出库明细!$D$2:$D$558,$B440,半成品出库明细!$G$2:$G$2)</f>
        <v>0</v>
      </c>
      <c r="J440" s="28">
        <f ca="1" t="shared" si="7"/>
        <v>0</v>
      </c>
      <c r="K440" s="20"/>
      <c r="L440" s="3"/>
      <c r="M440" s="3"/>
    </row>
    <row r="441" s="1" customFormat="1" spans="1:13">
      <c r="A441" s="22">
        <v>393</v>
      </c>
      <c r="B441" s="23" t="s">
        <v>926</v>
      </c>
      <c r="C441" s="95" t="s">
        <v>927</v>
      </c>
      <c r="D441" s="25" t="s">
        <v>850</v>
      </c>
      <c r="E441" s="19" t="s">
        <v>76</v>
      </c>
      <c r="F441" s="26" t="s">
        <v>197</v>
      </c>
      <c r="G441" s="27">
        <f>SUMIF(物料月初库存!$C$3:$C$303,$B441,物料月初库存!$F$3:$F$303)</f>
        <v>0</v>
      </c>
      <c r="H441" s="28">
        <f>SUMIF(半成品入库明细!$D$2:$D$650,$B441,半成品入库明细!$G$2:$G$650)</f>
        <v>0</v>
      </c>
      <c r="I441" s="28">
        <f ca="1">SUMIF(半成品出库明细!$D$2:$D$558,$B441,半成品出库明细!$G$2:$G$2)</f>
        <v>0</v>
      </c>
      <c r="J441" s="28">
        <f ca="1" t="shared" si="7"/>
        <v>0</v>
      </c>
      <c r="K441" s="20"/>
      <c r="L441" s="3"/>
      <c r="M441" s="3"/>
    </row>
    <row r="442" s="1" customFormat="1" spans="1:13">
      <c r="A442" s="22">
        <v>394</v>
      </c>
      <c r="B442" s="23" t="s">
        <v>928</v>
      </c>
      <c r="C442" s="95" t="s">
        <v>929</v>
      </c>
      <c r="D442" s="25" t="s">
        <v>850</v>
      </c>
      <c r="E442" s="19" t="s">
        <v>76</v>
      </c>
      <c r="F442" s="26" t="s">
        <v>197</v>
      </c>
      <c r="G442" s="27">
        <f>SUMIF(物料月初库存!$C$3:$C$303,$B442,物料月初库存!$F$3:$F$303)</f>
        <v>0</v>
      </c>
      <c r="H442" s="28">
        <f>SUMIF(半成品入库明细!$D$2:$D$650,$B442,半成品入库明细!$G$2:$G$650)</f>
        <v>0</v>
      </c>
      <c r="I442" s="28">
        <f ca="1">SUMIF(半成品出库明细!$D$2:$D$558,$B442,半成品出库明细!$G$2:$G$2)</f>
        <v>0</v>
      </c>
      <c r="J442" s="28">
        <f ca="1" t="shared" si="7"/>
        <v>0</v>
      </c>
      <c r="K442" s="20"/>
      <c r="L442" s="3"/>
      <c r="M442" s="3"/>
    </row>
    <row r="443" s="1" customFormat="1" spans="1:13">
      <c r="A443" s="22">
        <v>395</v>
      </c>
      <c r="B443" s="23" t="s">
        <v>930</v>
      </c>
      <c r="C443" s="95" t="s">
        <v>931</v>
      </c>
      <c r="D443" s="25" t="s">
        <v>850</v>
      </c>
      <c r="E443" s="19" t="s">
        <v>76</v>
      </c>
      <c r="F443" s="26" t="s">
        <v>197</v>
      </c>
      <c r="G443" s="27">
        <f>SUMIF(物料月初库存!$C$3:$C$303,$B443,物料月初库存!$F$3:$F$303)</f>
        <v>0</v>
      </c>
      <c r="H443" s="28">
        <f>SUMIF(半成品入库明细!$D$2:$D$650,$B443,半成品入库明细!$G$2:$G$650)</f>
        <v>0</v>
      </c>
      <c r="I443" s="28">
        <f ca="1">SUMIF(半成品出库明细!$D$2:$D$558,$B443,半成品出库明细!$G$2:$G$2)</f>
        <v>0</v>
      </c>
      <c r="J443" s="28">
        <f ca="1" t="shared" si="7"/>
        <v>0</v>
      </c>
      <c r="K443" s="20"/>
      <c r="L443" s="3"/>
      <c r="M443" s="3"/>
    </row>
    <row r="444" s="1" customFormat="1" spans="1:13">
      <c r="A444" s="22">
        <v>396</v>
      </c>
      <c r="B444" s="23" t="s">
        <v>932</v>
      </c>
      <c r="C444" s="98" t="s">
        <v>933</v>
      </c>
      <c r="D444" s="25" t="s">
        <v>850</v>
      </c>
      <c r="E444" s="19" t="s">
        <v>76</v>
      </c>
      <c r="F444" s="26" t="s">
        <v>197</v>
      </c>
      <c r="G444" s="27">
        <f>SUMIF(物料月初库存!$C$3:$C$303,$B444,物料月初库存!$F$3:$F$303)</f>
        <v>0</v>
      </c>
      <c r="H444" s="28">
        <f>SUMIF(半成品入库明细!$D$2:$D$650,$B444,半成品入库明细!$G$2:$G$650)</f>
        <v>0</v>
      </c>
      <c r="I444" s="28">
        <f ca="1">SUMIF(半成品出库明细!$D$2:$D$558,$B444,半成品出库明细!$G$2:$G$2)</f>
        <v>0</v>
      </c>
      <c r="J444" s="28">
        <f ca="1" t="shared" si="7"/>
        <v>0</v>
      </c>
      <c r="K444" s="99" t="s">
        <v>934</v>
      </c>
      <c r="L444" s="3"/>
      <c r="M444" s="3"/>
    </row>
    <row r="445" s="1" customFormat="1" spans="1:13">
      <c r="A445" s="22"/>
      <c r="B445" s="23" t="s">
        <v>935</v>
      </c>
      <c r="C445" s="100" t="s">
        <v>936</v>
      </c>
      <c r="D445" s="25" t="s">
        <v>850</v>
      </c>
      <c r="E445" s="19" t="s">
        <v>76</v>
      </c>
      <c r="F445" s="26" t="s">
        <v>197</v>
      </c>
      <c r="G445" s="27">
        <f>SUMIF(物料月初库存!$C$3:$C$303,$B445,物料月初库存!$F$3:$F$303)</f>
        <v>0</v>
      </c>
      <c r="H445" s="28">
        <f>SUMIF(半成品入库明细!$D$2:$D$650,$B445,半成品入库明细!$G$2:$G$650)</f>
        <v>0</v>
      </c>
      <c r="I445" s="28">
        <f ca="1">SUMIF(半成品出库明细!$D$2:$D$558,$B445,半成品出库明细!$G$2:$G$2)</f>
        <v>0</v>
      </c>
      <c r="J445" s="28">
        <f ca="1" t="shared" si="7"/>
        <v>0</v>
      </c>
      <c r="K445" s="101"/>
      <c r="L445" s="3"/>
      <c r="M445" s="3"/>
    </row>
    <row r="446" s="1" customFormat="1" spans="1:13">
      <c r="A446" s="22"/>
      <c r="B446" s="23" t="s">
        <v>937</v>
      </c>
      <c r="C446" s="100" t="s">
        <v>936</v>
      </c>
      <c r="D446" s="25" t="s">
        <v>850</v>
      </c>
      <c r="E446" s="19" t="s">
        <v>316</v>
      </c>
      <c r="F446" s="26" t="s">
        <v>197</v>
      </c>
      <c r="G446" s="27">
        <f>SUMIF(物料月初库存!$C$3:$C$303,$B446,物料月初库存!$F$3:$F$303)</f>
        <v>0</v>
      </c>
      <c r="H446" s="28">
        <f>SUMIF(半成品入库明细!$D$2:$D$650,$B446,半成品入库明细!$G$2:$G$650)</f>
        <v>0</v>
      </c>
      <c r="I446" s="28">
        <f ca="1">SUMIF(半成品出库明细!$D$2:$D$558,$B446,半成品出库明细!$G$2:$G$2)</f>
        <v>0</v>
      </c>
      <c r="J446" s="28">
        <f ca="1" t="shared" si="7"/>
        <v>0</v>
      </c>
      <c r="K446" s="91" t="s">
        <v>938</v>
      </c>
      <c r="L446" s="3"/>
      <c r="M446" s="3"/>
    </row>
    <row r="447" s="1" customFormat="1" spans="1:13">
      <c r="A447" s="22"/>
      <c r="B447" s="23" t="s">
        <v>939</v>
      </c>
      <c r="C447" s="100" t="s">
        <v>936</v>
      </c>
      <c r="D447" s="25" t="s">
        <v>850</v>
      </c>
      <c r="E447" s="19" t="s">
        <v>267</v>
      </c>
      <c r="F447" s="26" t="s">
        <v>197</v>
      </c>
      <c r="G447" s="27">
        <f>SUMIF(物料月初库存!$C$3:$C$303,$B447,物料月初库存!$F$3:$F$303)</f>
        <v>0</v>
      </c>
      <c r="H447" s="28">
        <f>SUMIF(半成品入库明细!$D$2:$D$650,$B447,半成品入库明细!$G$2:$G$650)</f>
        <v>0</v>
      </c>
      <c r="I447" s="28">
        <f ca="1">SUMIF(半成品出库明细!$D$2:$D$558,$B447,半成品出库明细!$G$2:$G$2)</f>
        <v>0</v>
      </c>
      <c r="J447" s="28">
        <f ca="1" t="shared" si="7"/>
        <v>0</v>
      </c>
      <c r="K447" s="55" t="s">
        <v>146</v>
      </c>
      <c r="L447" s="3"/>
      <c r="M447" s="3"/>
    </row>
    <row r="448" s="1" customFormat="1" spans="1:13">
      <c r="A448" s="22"/>
      <c r="B448" s="23" t="s">
        <v>940</v>
      </c>
      <c r="C448" s="100" t="s">
        <v>936</v>
      </c>
      <c r="D448" s="25" t="s">
        <v>850</v>
      </c>
      <c r="E448" s="19" t="s">
        <v>941</v>
      </c>
      <c r="F448" s="26" t="s">
        <v>197</v>
      </c>
      <c r="G448" s="27">
        <f>SUMIF(物料月初库存!$C$3:$C$303,$B448,物料月初库存!$F$3:$F$303)</f>
        <v>0</v>
      </c>
      <c r="H448" s="28">
        <f>SUMIF(半成品入库明细!$D$2:$D$650,$B448,半成品入库明细!$G$2:$G$650)</f>
        <v>0</v>
      </c>
      <c r="I448" s="28">
        <f ca="1">SUMIF(半成品出库明细!$D$2:$D$558,$B448,半成品出库明细!$G$2:$G$2)</f>
        <v>0</v>
      </c>
      <c r="J448" s="28">
        <f ca="1" t="shared" si="7"/>
        <v>0</v>
      </c>
      <c r="K448" s="55" t="s">
        <v>942</v>
      </c>
      <c r="L448" s="3"/>
      <c r="M448" s="3"/>
    </row>
    <row r="449" s="1" customFormat="1" spans="1:13">
      <c r="A449" s="22"/>
      <c r="B449" s="102" t="s">
        <v>943</v>
      </c>
      <c r="C449" s="103" t="s">
        <v>944</v>
      </c>
      <c r="D449" s="25" t="s">
        <v>850</v>
      </c>
      <c r="E449" s="19" t="s">
        <v>76</v>
      </c>
      <c r="F449" s="26" t="s">
        <v>197</v>
      </c>
      <c r="G449" s="27">
        <f>SUMIF(物料月初库存!$C$3:$C$303,$B449,物料月初库存!$F$3:$F$303)</f>
        <v>0</v>
      </c>
      <c r="H449" s="28">
        <f>SUMIF(半成品入库明细!$D$2:$D$650,$B449,半成品入库明细!$G$2:$G$650)</f>
        <v>0</v>
      </c>
      <c r="I449" s="28">
        <f ca="1">SUMIF(半成品出库明细!$D$2:$D$558,$B449,半成品出库明细!$G$2:$G$2)</f>
        <v>0</v>
      </c>
      <c r="J449" s="28">
        <f ca="1" t="shared" si="7"/>
        <v>0</v>
      </c>
      <c r="K449" s="55"/>
      <c r="L449" s="3"/>
      <c r="M449" s="3"/>
    </row>
    <row r="450" s="1" customFormat="1" spans="1:13">
      <c r="A450" s="22"/>
      <c r="B450" s="102" t="s">
        <v>945</v>
      </c>
      <c r="C450" s="103" t="s">
        <v>944</v>
      </c>
      <c r="D450" s="25" t="s">
        <v>850</v>
      </c>
      <c r="E450" s="19" t="s">
        <v>316</v>
      </c>
      <c r="F450" s="26" t="s">
        <v>197</v>
      </c>
      <c r="G450" s="27">
        <f>SUMIF(物料月初库存!$C$3:$C$303,$B450,物料月初库存!$F$3:$F$303)</f>
        <v>0</v>
      </c>
      <c r="H450" s="28">
        <f>SUMIF(半成品入库明细!$D$2:$D$650,$B450,半成品入库明细!$G$2:$G$650)</f>
        <v>0</v>
      </c>
      <c r="I450" s="28">
        <f ca="1">SUMIF(半成品出库明细!$D$2:$D$558,$B450,半成品出库明细!$G$2:$G$2)</f>
        <v>0</v>
      </c>
      <c r="J450" s="28">
        <f ca="1" t="shared" si="7"/>
        <v>0</v>
      </c>
      <c r="K450" s="55" t="s">
        <v>140</v>
      </c>
      <c r="L450" s="3"/>
      <c r="M450" s="3"/>
    </row>
    <row r="451" s="1" customFormat="1" ht="17" customHeight="1" spans="1:13">
      <c r="A451" s="22">
        <v>397</v>
      </c>
      <c r="B451" s="102" t="s">
        <v>946</v>
      </c>
      <c r="C451" s="25" t="s">
        <v>947</v>
      </c>
      <c r="D451" s="25" t="s">
        <v>948</v>
      </c>
      <c r="E451" s="19" t="s">
        <v>76</v>
      </c>
      <c r="F451" s="26" t="s">
        <v>197</v>
      </c>
      <c r="G451" s="27">
        <f>SUMIF(物料月初库存!$C$3:$C$303,$B451,物料月初库存!$F$3:$F$303)</f>
        <v>0</v>
      </c>
      <c r="H451" s="28">
        <f>SUMIF(半成品入库明细!$D$2:$D$650,$B451,半成品入库明细!$G$2:$G$650)</f>
        <v>0</v>
      </c>
      <c r="I451" s="28">
        <f ca="1">SUMIF(半成品出库明细!$D$2:$D$558,$B451,半成品出库明细!$G$2:$G$2)</f>
        <v>0</v>
      </c>
      <c r="J451" s="28">
        <f ca="1" t="shared" si="7"/>
        <v>0</v>
      </c>
      <c r="K451" s="20"/>
      <c r="L451" s="3"/>
      <c r="M451" s="3"/>
    </row>
    <row r="452" s="1" customFormat="1" spans="1:13">
      <c r="A452" s="22">
        <v>398</v>
      </c>
      <c r="B452" s="102" t="s">
        <v>949</v>
      </c>
      <c r="C452" s="25" t="s">
        <v>947</v>
      </c>
      <c r="D452" s="25" t="s">
        <v>948</v>
      </c>
      <c r="E452" s="19" t="s">
        <v>950</v>
      </c>
      <c r="F452" s="26" t="s">
        <v>197</v>
      </c>
      <c r="G452" s="27">
        <f>SUMIF(物料月初库存!$C$3:$C$303,$B452,物料月初库存!$F$3:$F$303)</f>
        <v>0</v>
      </c>
      <c r="H452" s="28">
        <f>SUMIF(半成品入库明细!$D$2:$D$650,$B452,半成品入库明细!$G$2:$G$650)</f>
        <v>0</v>
      </c>
      <c r="I452" s="28">
        <f ca="1">SUMIF(半成品出库明细!$D$2:$D$558,$B452,半成品出库明细!$G$2:$G$2)</f>
        <v>0</v>
      </c>
      <c r="J452" s="28">
        <f ca="1" t="shared" si="7"/>
        <v>0</v>
      </c>
      <c r="K452" s="20" t="s">
        <v>951</v>
      </c>
      <c r="L452" s="3"/>
      <c r="M452" s="3"/>
    </row>
    <row r="453" s="1" customFormat="1" spans="1:13">
      <c r="A453" s="22">
        <v>399</v>
      </c>
      <c r="B453" s="102" t="s">
        <v>952</v>
      </c>
      <c r="C453" s="25" t="s">
        <v>947</v>
      </c>
      <c r="D453" s="25" t="s">
        <v>948</v>
      </c>
      <c r="E453" s="19" t="s">
        <v>353</v>
      </c>
      <c r="F453" s="26" t="s">
        <v>197</v>
      </c>
      <c r="G453" s="27">
        <f>SUMIF(物料月初库存!$C$3:$C$303,$B453,物料月初库存!$F$3:$F$303)</f>
        <v>0</v>
      </c>
      <c r="H453" s="28">
        <f>SUMIF(半成品入库明细!$D$2:$D$650,$B453,半成品入库明细!$G$2:$G$650)</f>
        <v>0</v>
      </c>
      <c r="I453" s="28">
        <f ca="1">SUMIF(半成品出库明细!$D$2:$D$558,$B453,半成品出库明细!$G$2:$G$2)</f>
        <v>0</v>
      </c>
      <c r="J453" s="28">
        <f ca="1" t="shared" si="7"/>
        <v>0</v>
      </c>
      <c r="K453" s="20"/>
      <c r="L453" s="3"/>
      <c r="M453" s="3"/>
    </row>
    <row r="454" s="1" customFormat="1" spans="1:13">
      <c r="A454" s="22">
        <v>400</v>
      </c>
      <c r="B454" s="23" t="s">
        <v>953</v>
      </c>
      <c r="C454" s="25" t="s">
        <v>954</v>
      </c>
      <c r="D454" s="52" t="s">
        <v>955</v>
      </c>
      <c r="E454" s="19" t="s">
        <v>76</v>
      </c>
      <c r="F454" s="26" t="s">
        <v>197</v>
      </c>
      <c r="G454" s="27">
        <f>SUMIF(物料月初库存!$C$3:$C$303,$B454,物料月初库存!$F$3:$F$303)</f>
        <v>0</v>
      </c>
      <c r="H454" s="28">
        <f>SUMIF(半成品入库明细!$D$2:$D$650,$B454,半成品入库明细!$G$2:$G$650)</f>
        <v>0</v>
      </c>
      <c r="I454" s="28">
        <f ca="1">SUMIF(半成品出库明细!$D$2:$D$558,$B454,半成品出库明细!$G$2:$G$2)</f>
        <v>0</v>
      </c>
      <c r="J454" s="28">
        <f ca="1" t="shared" si="7"/>
        <v>0</v>
      </c>
      <c r="K454" s="20"/>
      <c r="L454" s="3"/>
      <c r="M454" s="3"/>
    </row>
    <row r="455" s="1" customFormat="1" spans="1:13">
      <c r="A455" s="22">
        <v>401</v>
      </c>
      <c r="B455" s="23" t="s">
        <v>956</v>
      </c>
      <c r="C455" s="25" t="s">
        <v>957</v>
      </c>
      <c r="D455" s="25" t="s">
        <v>958</v>
      </c>
      <c r="E455" s="19" t="s">
        <v>76</v>
      </c>
      <c r="F455" s="26" t="s">
        <v>197</v>
      </c>
      <c r="G455" s="27">
        <f>SUMIF(物料月初库存!$C$3:$C$303,$B455,物料月初库存!$F$3:$F$303)</f>
        <v>0</v>
      </c>
      <c r="H455" s="28">
        <f>SUMIF(半成品入库明细!$D$2:$D$650,$B455,半成品入库明细!$G$2:$G$650)</f>
        <v>0</v>
      </c>
      <c r="I455" s="28">
        <f ca="1">SUMIF(半成品出库明细!$D$2:$D$558,$B455,半成品出库明细!$G$2:$G$2)</f>
        <v>0</v>
      </c>
      <c r="J455" s="28">
        <f ca="1" t="shared" si="7"/>
        <v>0</v>
      </c>
      <c r="K455" s="20"/>
      <c r="L455" s="19"/>
      <c r="M455" s="3"/>
    </row>
    <row r="456" s="1" customFormat="1" spans="1:13">
      <c r="A456" s="22">
        <v>402</v>
      </c>
      <c r="B456" s="23" t="s">
        <v>959</v>
      </c>
      <c r="C456" s="25" t="s">
        <v>957</v>
      </c>
      <c r="D456" s="25" t="s">
        <v>958</v>
      </c>
      <c r="E456" s="28" t="s">
        <v>691</v>
      </c>
      <c r="F456" s="26" t="s">
        <v>197</v>
      </c>
      <c r="G456" s="27">
        <f>SUMIF(物料月初库存!$C$3:$C$303,$B456,物料月初库存!$F$3:$F$303)</f>
        <v>0</v>
      </c>
      <c r="H456" s="28">
        <f>SUMIF(半成品入库明细!$D$2:$D$650,$B456,半成品入库明细!$G$2:$G$650)</f>
        <v>0</v>
      </c>
      <c r="I456" s="28">
        <f ca="1">SUMIF(半成品出库明细!$D$2:$D$558,$B456,半成品出库明细!$G$2:$G$2)</f>
        <v>0</v>
      </c>
      <c r="J456" s="28">
        <f ca="1" t="shared" ref="J456:J519" si="8">G456+H456-I456</f>
        <v>0</v>
      </c>
      <c r="K456" s="20"/>
      <c r="L456" s="34" t="s">
        <v>202</v>
      </c>
      <c r="M456" s="3"/>
    </row>
    <row r="457" s="1" customFormat="1" spans="1:13">
      <c r="A457" s="22">
        <v>403</v>
      </c>
      <c r="B457" s="23" t="s">
        <v>960</v>
      </c>
      <c r="C457" s="25" t="s">
        <v>961</v>
      </c>
      <c r="D457" s="41" t="s">
        <v>958</v>
      </c>
      <c r="E457" s="19" t="s">
        <v>76</v>
      </c>
      <c r="F457" s="26" t="s">
        <v>197</v>
      </c>
      <c r="G457" s="27">
        <f>SUMIF(物料月初库存!$C$3:$C$303,$B457,物料月初库存!$F$3:$F$303)</f>
        <v>0</v>
      </c>
      <c r="H457" s="28">
        <f>SUMIF(半成品入库明细!$D$2:$D$650,$B457,半成品入库明细!$G$2:$G$650)</f>
        <v>0</v>
      </c>
      <c r="I457" s="28">
        <f ca="1">SUMIF(半成品出库明细!$D$2:$D$558,$B457,半成品出库明细!$G$2:$G$2)</f>
        <v>0</v>
      </c>
      <c r="J457" s="28">
        <f ca="1" t="shared" si="8"/>
        <v>0</v>
      </c>
      <c r="K457" s="20"/>
      <c r="L457" s="19"/>
      <c r="M457" s="3"/>
    </row>
    <row r="458" s="1" customFormat="1" spans="1:13">
      <c r="A458" s="22">
        <v>404</v>
      </c>
      <c r="B458" s="23" t="s">
        <v>962</v>
      </c>
      <c r="C458" s="25" t="s">
        <v>961</v>
      </c>
      <c r="D458" s="41" t="s">
        <v>958</v>
      </c>
      <c r="E458" s="28" t="s">
        <v>691</v>
      </c>
      <c r="F458" s="26" t="s">
        <v>197</v>
      </c>
      <c r="G458" s="27">
        <f>SUMIF(物料月初库存!$C$3:$C$303,$B458,物料月初库存!$F$3:$F$303)</f>
        <v>0</v>
      </c>
      <c r="H458" s="28">
        <f>SUMIF(半成品入库明细!$D$2:$D$650,$B458,半成品入库明细!$G$2:$G$650)</f>
        <v>0</v>
      </c>
      <c r="I458" s="28">
        <f ca="1">SUMIF(半成品出库明细!$D$2:$D$558,$B458,半成品出库明细!$G$2:$G$2)</f>
        <v>0</v>
      </c>
      <c r="J458" s="28">
        <f ca="1" t="shared" si="8"/>
        <v>0</v>
      </c>
      <c r="K458" s="20"/>
      <c r="L458" s="34" t="s">
        <v>202</v>
      </c>
      <c r="M458" s="3"/>
    </row>
    <row r="459" s="1" customFormat="1" spans="1:13">
      <c r="A459" s="22">
        <v>405</v>
      </c>
      <c r="B459" s="23" t="s">
        <v>963</v>
      </c>
      <c r="C459" s="25" t="s">
        <v>964</v>
      </c>
      <c r="D459" s="25" t="s">
        <v>958</v>
      </c>
      <c r="E459" s="19" t="s">
        <v>76</v>
      </c>
      <c r="F459" s="26" t="s">
        <v>197</v>
      </c>
      <c r="G459" s="27">
        <f>SUMIF(物料月初库存!$C$3:$C$303,$B459,物料月初库存!$F$3:$F$303)</f>
        <v>0</v>
      </c>
      <c r="H459" s="28">
        <f>SUMIF(半成品入库明细!$D$2:$D$650,$B459,半成品入库明细!$G$2:$G$650)</f>
        <v>0</v>
      </c>
      <c r="I459" s="28">
        <f ca="1">SUMIF(半成品出库明细!$D$2:$D$558,$B459,半成品出库明细!$G$2:$G$2)</f>
        <v>0</v>
      </c>
      <c r="J459" s="28">
        <f ca="1" t="shared" si="8"/>
        <v>0</v>
      </c>
      <c r="K459" s="20"/>
      <c r="L459" s="19"/>
      <c r="M459" s="3"/>
    </row>
    <row r="460" s="3" customFormat="1" spans="1:13">
      <c r="A460" s="22">
        <v>406</v>
      </c>
      <c r="B460" s="23" t="s">
        <v>965</v>
      </c>
      <c r="C460" s="25" t="s">
        <v>964</v>
      </c>
      <c r="D460" s="25" t="s">
        <v>958</v>
      </c>
      <c r="E460" s="28" t="s">
        <v>691</v>
      </c>
      <c r="F460" s="26" t="s">
        <v>197</v>
      </c>
      <c r="G460" s="27">
        <f>SUMIF(物料月初库存!$C$3:$C$303,$B460,物料月初库存!$F$3:$F$303)</f>
        <v>0</v>
      </c>
      <c r="H460" s="28">
        <f>SUMIF(半成品入库明细!$D$2:$D$650,$B460,半成品入库明细!$G$2:$G$650)</f>
        <v>0</v>
      </c>
      <c r="I460" s="28">
        <f ca="1">SUMIF(半成品出库明细!$D$2:$D$558,$B460,半成品出库明细!$G$2:$G$2)</f>
        <v>0</v>
      </c>
      <c r="J460" s="28">
        <f ca="1" t="shared" si="8"/>
        <v>0</v>
      </c>
      <c r="K460" s="20"/>
      <c r="L460" s="34" t="s">
        <v>202</v>
      </c>
    </row>
    <row r="461" s="3" customFormat="1" spans="1:13">
      <c r="A461" s="22">
        <v>407</v>
      </c>
      <c r="B461" s="23" t="s">
        <v>966</v>
      </c>
      <c r="C461" s="25" t="s">
        <v>964</v>
      </c>
      <c r="D461" s="25" t="s">
        <v>958</v>
      </c>
      <c r="E461" s="19" t="s">
        <v>316</v>
      </c>
      <c r="F461" s="26" t="s">
        <v>197</v>
      </c>
      <c r="G461" s="27">
        <f>SUMIF(物料月初库存!$C$3:$C$303,$B461,物料月初库存!$F$3:$F$303)</f>
        <v>0</v>
      </c>
      <c r="H461" s="28">
        <f>SUMIF(半成品入库明细!$D$2:$D$650,$B461,半成品入库明细!$G$2:$G$650)</f>
        <v>0</v>
      </c>
      <c r="I461" s="28">
        <f ca="1">SUMIF(半成品出库明细!$D$2:$D$558,$B461,半成品出库明细!$G$2:$G$2)</f>
        <v>0</v>
      </c>
      <c r="J461" s="28">
        <f ca="1" t="shared" si="8"/>
        <v>0</v>
      </c>
      <c r="K461" s="20"/>
      <c r="L461" s="104" t="s">
        <v>967</v>
      </c>
    </row>
    <row r="462" s="1" customFormat="1" spans="1:13">
      <c r="A462" s="22">
        <v>408</v>
      </c>
      <c r="B462" s="23" t="s">
        <v>968</v>
      </c>
      <c r="C462" s="25" t="s">
        <v>969</v>
      </c>
      <c r="D462" s="25" t="s">
        <v>958</v>
      </c>
      <c r="E462" s="19" t="s">
        <v>76</v>
      </c>
      <c r="F462" s="26" t="s">
        <v>197</v>
      </c>
      <c r="G462" s="27">
        <f>SUMIF(物料月初库存!$C$3:$C$303,$B462,物料月初库存!$F$3:$F$303)</f>
        <v>0</v>
      </c>
      <c r="H462" s="28">
        <f>SUMIF(半成品入库明细!$D$2:$D$650,$B462,半成品入库明细!$G$2:$G$650)</f>
        <v>0</v>
      </c>
      <c r="I462" s="28">
        <f ca="1">SUMIF(半成品出库明细!$D$2:$D$558,$B462,半成品出库明细!$G$2:$G$2)</f>
        <v>0</v>
      </c>
      <c r="J462" s="28">
        <f ca="1" t="shared" si="8"/>
        <v>0</v>
      </c>
      <c r="K462" s="20"/>
      <c r="L462" s="34" t="s">
        <v>202</v>
      </c>
      <c r="M462" s="3"/>
    </row>
    <row r="463" s="1" customFormat="1" spans="1:13">
      <c r="A463" s="22">
        <v>409</v>
      </c>
      <c r="B463" s="23" t="s">
        <v>970</v>
      </c>
      <c r="C463" s="25" t="s">
        <v>969</v>
      </c>
      <c r="D463" s="25" t="s">
        <v>958</v>
      </c>
      <c r="E463" s="19" t="s">
        <v>691</v>
      </c>
      <c r="F463" s="26" t="s">
        <v>197</v>
      </c>
      <c r="G463" s="27">
        <f>SUMIF(物料月初库存!$C$3:$C$303,$B463,物料月初库存!$F$3:$F$303)</f>
        <v>0</v>
      </c>
      <c r="H463" s="28">
        <f>SUMIF(半成品入库明细!$D$2:$D$650,$B463,半成品入库明细!$G$2:$G$650)</f>
        <v>0</v>
      </c>
      <c r="I463" s="28">
        <f ca="1">SUMIF(半成品出库明细!$D$2:$D$558,$B463,半成品出库明细!$G$2:$G$2)</f>
        <v>0</v>
      </c>
      <c r="J463" s="28">
        <f ca="1" t="shared" si="8"/>
        <v>0</v>
      </c>
      <c r="K463" s="20"/>
      <c r="L463" s="104" t="s">
        <v>967</v>
      </c>
      <c r="M463" s="3"/>
    </row>
    <row r="464" s="1" customFormat="1" ht="18" customHeight="1" spans="1:13">
      <c r="A464" s="22">
        <v>410</v>
      </c>
      <c r="B464" s="23" t="s">
        <v>971</v>
      </c>
      <c r="C464" s="25" t="s">
        <v>969</v>
      </c>
      <c r="D464" s="25" t="s">
        <v>958</v>
      </c>
      <c r="E464" s="19" t="s">
        <v>316</v>
      </c>
      <c r="F464" s="26" t="s">
        <v>197</v>
      </c>
      <c r="G464" s="27">
        <f>SUMIF(物料月初库存!$C$3:$C$303,$B464,物料月初库存!$F$3:$F$303)</f>
        <v>0</v>
      </c>
      <c r="H464" s="28">
        <f>SUMIF(半成品入库明细!$D$2:$D$650,$B464,半成品入库明细!$G$2:$G$650)</f>
        <v>0</v>
      </c>
      <c r="I464" s="28">
        <f ca="1">SUMIF(半成品出库明细!$D$2:$D$558,$B464,半成品出库明细!$G$2:$G$2)</f>
        <v>0</v>
      </c>
      <c r="J464" s="28">
        <f ca="1" t="shared" si="8"/>
        <v>0</v>
      </c>
      <c r="K464" s="20"/>
      <c r="L464" s="28"/>
      <c r="M464" s="3"/>
    </row>
    <row r="465" s="1" customFormat="1" ht="16" customHeight="1" spans="1:13">
      <c r="A465" s="22">
        <v>411</v>
      </c>
      <c r="B465" s="23" t="s">
        <v>972</v>
      </c>
      <c r="C465" s="25" t="s">
        <v>973</v>
      </c>
      <c r="D465" s="25" t="s">
        <v>958</v>
      </c>
      <c r="E465" s="19" t="s">
        <v>76</v>
      </c>
      <c r="F465" s="26" t="s">
        <v>197</v>
      </c>
      <c r="G465" s="27">
        <f>SUMIF(物料月初库存!$C$3:$C$303,$B465,物料月初库存!$F$3:$F$303)</f>
        <v>0</v>
      </c>
      <c r="H465" s="28">
        <f>SUMIF(半成品入库明细!$D$2:$D$650,$B465,半成品入库明细!$G$2:$G$650)</f>
        <v>0</v>
      </c>
      <c r="I465" s="28">
        <f ca="1">SUMIF(半成品出库明细!$D$2:$D$558,$B465,半成品出库明细!$G$2:$G$2)</f>
        <v>0</v>
      </c>
      <c r="J465" s="28">
        <f ca="1" t="shared" si="8"/>
        <v>0</v>
      </c>
      <c r="K465" s="20"/>
      <c r="L465" s="34" t="s">
        <v>202</v>
      </c>
      <c r="M465" s="3"/>
    </row>
    <row r="466" s="1" customFormat="1" spans="1:13">
      <c r="A466" s="22">
        <v>412</v>
      </c>
      <c r="B466" s="23" t="s">
        <v>974</v>
      </c>
      <c r="C466" s="25" t="s">
        <v>973</v>
      </c>
      <c r="D466" s="25" t="s">
        <v>958</v>
      </c>
      <c r="E466" s="19" t="s">
        <v>691</v>
      </c>
      <c r="F466" s="26" t="s">
        <v>197</v>
      </c>
      <c r="G466" s="27">
        <f>SUMIF(物料月初库存!$C$3:$C$303,$B466,物料月初库存!$F$3:$F$303)</f>
        <v>0</v>
      </c>
      <c r="H466" s="28">
        <f>SUMIF(半成品入库明细!$D$2:$D$650,$B466,半成品入库明细!$G$2:$G$650)</f>
        <v>0</v>
      </c>
      <c r="I466" s="28">
        <f ca="1">SUMIF(半成品出库明细!$D$2:$D$558,$B466,半成品出库明细!$G$2:$G$2)</f>
        <v>0</v>
      </c>
      <c r="J466" s="28">
        <f ca="1" t="shared" si="8"/>
        <v>0</v>
      </c>
      <c r="K466" s="20"/>
      <c r="L466" s="104" t="s">
        <v>967</v>
      </c>
      <c r="M466" s="3"/>
    </row>
    <row r="467" s="1" customFormat="1" ht="17" customHeight="1" spans="1:13">
      <c r="A467" s="22">
        <v>413</v>
      </c>
      <c r="B467" s="23" t="s">
        <v>975</v>
      </c>
      <c r="C467" s="25" t="s">
        <v>973</v>
      </c>
      <c r="D467" s="25" t="s">
        <v>958</v>
      </c>
      <c r="E467" s="19" t="s">
        <v>316</v>
      </c>
      <c r="F467" s="26" t="s">
        <v>197</v>
      </c>
      <c r="G467" s="27">
        <f>SUMIF(物料月初库存!$C$3:$C$303,$B467,物料月初库存!$F$3:$F$303)</f>
        <v>0</v>
      </c>
      <c r="H467" s="28">
        <f>SUMIF(半成品入库明细!$D$2:$D$650,$B467,半成品入库明细!$G$2:$G$650)</f>
        <v>0</v>
      </c>
      <c r="I467" s="28">
        <f ca="1">SUMIF(半成品出库明细!$D$2:$D$558,$B467,半成品出库明细!$G$2:$G$2)</f>
        <v>0</v>
      </c>
      <c r="J467" s="28">
        <f ca="1" t="shared" si="8"/>
        <v>0</v>
      </c>
      <c r="K467" s="20"/>
      <c r="L467" s="28"/>
      <c r="M467" s="3"/>
    </row>
    <row r="468" s="1" customFormat="1" spans="1:13">
      <c r="A468" s="22">
        <v>414</v>
      </c>
      <c r="B468" s="23" t="s">
        <v>976</v>
      </c>
      <c r="C468" s="25" t="s">
        <v>977</v>
      </c>
      <c r="D468" s="25" t="s">
        <v>958</v>
      </c>
      <c r="E468" s="19" t="s">
        <v>76</v>
      </c>
      <c r="F468" s="26" t="s">
        <v>197</v>
      </c>
      <c r="G468" s="27">
        <f>SUMIF(物料月初库存!$C$3:$C$303,$B468,物料月初库存!$F$3:$F$303)</f>
        <v>0</v>
      </c>
      <c r="H468" s="28">
        <f>SUMIF(半成品入库明细!$D$2:$D$650,$B468,半成品入库明细!$G$2:$G$650)</f>
        <v>0</v>
      </c>
      <c r="I468" s="28">
        <f ca="1">SUMIF(半成品出库明细!$D$2:$D$558,$B468,半成品出库明细!$G$2:$G$2)</f>
        <v>0</v>
      </c>
      <c r="J468" s="28">
        <f ca="1" t="shared" si="8"/>
        <v>0</v>
      </c>
      <c r="K468" s="20"/>
      <c r="L468" s="19"/>
      <c r="M468" s="3"/>
    </row>
    <row r="469" s="1" customFormat="1" spans="1:13">
      <c r="A469" s="22">
        <v>415</v>
      </c>
      <c r="B469" s="23" t="s">
        <v>978</v>
      </c>
      <c r="C469" s="25" t="s">
        <v>977</v>
      </c>
      <c r="D469" s="25" t="s">
        <v>958</v>
      </c>
      <c r="E469" s="19" t="s">
        <v>691</v>
      </c>
      <c r="F469" s="26" t="s">
        <v>197</v>
      </c>
      <c r="G469" s="27">
        <f>SUMIF(物料月初库存!$C$3:$C$303,$B469,物料月初库存!$F$3:$F$303)</f>
        <v>0</v>
      </c>
      <c r="H469" s="28">
        <f>SUMIF(半成品入库明细!$D$2:$D$650,$B469,半成品入库明细!$G$2:$G$650)</f>
        <v>0</v>
      </c>
      <c r="I469" s="28">
        <f ca="1">SUMIF(半成品出库明细!$D$2:$D$558,$B469,半成品出库明细!$G$2:$G$2)</f>
        <v>0</v>
      </c>
      <c r="J469" s="28">
        <f ca="1" t="shared" si="8"/>
        <v>0</v>
      </c>
      <c r="K469" s="20"/>
      <c r="L469" s="34" t="s">
        <v>202</v>
      </c>
      <c r="M469" s="3"/>
    </row>
    <row r="470" s="1" customFormat="1" spans="1:13">
      <c r="A470" s="22">
        <v>416</v>
      </c>
      <c r="B470" s="23" t="s">
        <v>979</v>
      </c>
      <c r="C470" s="25" t="s">
        <v>977</v>
      </c>
      <c r="D470" s="25" t="s">
        <v>958</v>
      </c>
      <c r="E470" s="19" t="s">
        <v>316</v>
      </c>
      <c r="F470" s="26" t="s">
        <v>197</v>
      </c>
      <c r="G470" s="27">
        <f>SUMIF(物料月初库存!$C$3:$C$303,$B470,物料月初库存!$F$3:$F$303)</f>
        <v>0</v>
      </c>
      <c r="H470" s="28">
        <f>SUMIF(半成品入库明细!$D$2:$D$650,$B470,半成品入库明细!$G$2:$G$650)</f>
        <v>0</v>
      </c>
      <c r="I470" s="28">
        <f ca="1">SUMIF(半成品出库明细!$D$2:$D$558,$B470,半成品出库明细!$G$2:$G$2)</f>
        <v>0</v>
      </c>
      <c r="J470" s="28">
        <f ca="1" t="shared" si="8"/>
        <v>0</v>
      </c>
      <c r="K470" s="20"/>
      <c r="L470" s="104" t="s">
        <v>967</v>
      </c>
      <c r="M470" s="3"/>
    </row>
    <row r="471" s="1" customFormat="1" spans="1:13">
      <c r="A471" s="22">
        <v>417</v>
      </c>
      <c r="B471" s="23" t="s">
        <v>980</v>
      </c>
      <c r="C471" s="25" t="s">
        <v>981</v>
      </c>
      <c r="D471" s="25" t="s">
        <v>958</v>
      </c>
      <c r="E471" s="19" t="s">
        <v>76</v>
      </c>
      <c r="F471" s="26" t="s">
        <v>197</v>
      </c>
      <c r="G471" s="27">
        <f>SUMIF(物料月初库存!$C$3:$C$303,$B471,物料月初库存!$F$3:$F$303)</f>
        <v>0</v>
      </c>
      <c r="H471" s="28">
        <f>SUMIF(半成品入库明细!$D$2:$D$650,$B471,半成品入库明细!$G$2:$G$650)</f>
        <v>0</v>
      </c>
      <c r="I471" s="28">
        <f ca="1">SUMIF(半成品出库明细!$D$2:$D$558,$B471,半成品出库明细!$G$2:$G$2)</f>
        <v>0</v>
      </c>
      <c r="J471" s="28">
        <f ca="1" t="shared" si="8"/>
        <v>0</v>
      </c>
      <c r="K471" s="20"/>
      <c r="L471" s="19"/>
      <c r="M471" s="3"/>
    </row>
    <row r="472" s="1" customFormat="1" spans="1:13">
      <c r="A472" s="22">
        <v>418</v>
      </c>
      <c r="B472" s="23" t="s">
        <v>982</v>
      </c>
      <c r="C472" s="25" t="s">
        <v>981</v>
      </c>
      <c r="D472" s="25" t="s">
        <v>958</v>
      </c>
      <c r="E472" s="19" t="s">
        <v>691</v>
      </c>
      <c r="F472" s="26" t="s">
        <v>197</v>
      </c>
      <c r="G472" s="27">
        <f>SUMIF(物料月初库存!$C$3:$C$303,$B472,物料月初库存!$F$3:$F$303)</f>
        <v>0</v>
      </c>
      <c r="H472" s="28">
        <f>SUMIF(半成品入库明细!$D$2:$D$650,$B472,半成品入库明细!$G$2:$G$650)</f>
        <v>0</v>
      </c>
      <c r="I472" s="28">
        <f ca="1">SUMIF(半成品出库明细!$D$2:$D$558,$B472,半成品出库明细!$G$2:$G$2)</f>
        <v>0</v>
      </c>
      <c r="J472" s="28">
        <f ca="1" t="shared" si="8"/>
        <v>0</v>
      </c>
      <c r="K472" s="20"/>
      <c r="L472" s="34" t="s">
        <v>202</v>
      </c>
      <c r="M472" s="3"/>
    </row>
    <row r="473" s="1" customFormat="1" spans="1:13">
      <c r="A473" s="22">
        <v>419</v>
      </c>
      <c r="B473" s="23" t="s">
        <v>983</v>
      </c>
      <c r="C473" s="25" t="s">
        <v>981</v>
      </c>
      <c r="D473" s="25" t="s">
        <v>958</v>
      </c>
      <c r="E473" s="19" t="s">
        <v>316</v>
      </c>
      <c r="F473" s="26" t="s">
        <v>197</v>
      </c>
      <c r="G473" s="27">
        <f>SUMIF(物料月初库存!$C$3:$C$303,$B473,物料月初库存!$F$3:$F$303)</f>
        <v>0</v>
      </c>
      <c r="H473" s="28">
        <f>SUMIF(半成品入库明细!$D$2:$D$650,$B473,半成品入库明细!$G$2:$G$650)</f>
        <v>0</v>
      </c>
      <c r="I473" s="28">
        <f ca="1">SUMIF(半成品出库明细!$D$2:$D$558,$B473,半成品出库明细!$G$2:$G$2)</f>
        <v>0</v>
      </c>
      <c r="J473" s="28">
        <f ca="1" t="shared" si="8"/>
        <v>0</v>
      </c>
      <c r="K473" s="20"/>
      <c r="L473" s="104" t="s">
        <v>967</v>
      </c>
      <c r="M473" s="3"/>
    </row>
    <row r="474" s="1" customFormat="1" spans="1:13">
      <c r="A474" s="22">
        <v>420</v>
      </c>
      <c r="B474" s="23" t="s">
        <v>984</v>
      </c>
      <c r="C474" s="25" t="s">
        <v>985</v>
      </c>
      <c r="D474" s="25" t="s">
        <v>958</v>
      </c>
      <c r="E474" s="19" t="s">
        <v>76</v>
      </c>
      <c r="F474" s="26" t="s">
        <v>197</v>
      </c>
      <c r="G474" s="27">
        <f>SUMIF(物料月初库存!$C$3:$C$303,$B474,物料月初库存!$F$3:$F$303)</f>
        <v>0</v>
      </c>
      <c r="H474" s="28">
        <f>SUMIF(半成品入库明细!$D$2:$D$650,$B474,半成品入库明细!$G$2:$G$650)</f>
        <v>0</v>
      </c>
      <c r="I474" s="28">
        <f ca="1">SUMIF(半成品出库明细!$D$2:$D$558,$B474,半成品出库明细!$G$2:$G$2)</f>
        <v>0</v>
      </c>
      <c r="J474" s="28">
        <f ca="1" t="shared" si="8"/>
        <v>0</v>
      </c>
      <c r="K474" s="20"/>
      <c r="L474" s="19"/>
      <c r="M474" s="3"/>
    </row>
    <row r="475" s="1" customFormat="1" spans="1:13">
      <c r="A475" s="22">
        <v>421</v>
      </c>
      <c r="B475" s="23" t="s">
        <v>986</v>
      </c>
      <c r="C475" s="25" t="s">
        <v>985</v>
      </c>
      <c r="D475" s="25" t="s">
        <v>958</v>
      </c>
      <c r="E475" s="19" t="s">
        <v>691</v>
      </c>
      <c r="F475" s="26" t="s">
        <v>197</v>
      </c>
      <c r="G475" s="27">
        <f>SUMIF(物料月初库存!$C$3:$C$303,$B475,物料月初库存!$F$3:$F$303)</f>
        <v>0</v>
      </c>
      <c r="H475" s="28">
        <f>SUMIF(半成品入库明细!$D$2:$D$650,$B475,半成品入库明细!$G$2:$G$650)</f>
        <v>0</v>
      </c>
      <c r="I475" s="28">
        <f ca="1">SUMIF(半成品出库明细!$D$2:$D$558,$B475,半成品出库明细!$G$2:$G$2)</f>
        <v>0</v>
      </c>
      <c r="J475" s="28">
        <f ca="1" t="shared" si="8"/>
        <v>0</v>
      </c>
      <c r="K475" s="20"/>
      <c r="L475" s="34" t="s">
        <v>202</v>
      </c>
      <c r="M475" s="3"/>
    </row>
    <row r="476" s="1" customFormat="1" spans="1:13">
      <c r="A476" s="22">
        <v>422</v>
      </c>
      <c r="B476" s="23" t="s">
        <v>987</v>
      </c>
      <c r="C476" s="25" t="s">
        <v>985</v>
      </c>
      <c r="D476" s="25" t="s">
        <v>958</v>
      </c>
      <c r="E476" s="28" t="s">
        <v>316</v>
      </c>
      <c r="F476" s="26" t="s">
        <v>197</v>
      </c>
      <c r="G476" s="27">
        <f>SUMIF(物料月初库存!$C$3:$C$303,$B476,物料月初库存!$F$3:$F$303)</f>
        <v>0</v>
      </c>
      <c r="H476" s="28">
        <f>SUMIF(半成品入库明细!$D$2:$D$650,$B476,半成品入库明细!$G$2:$G$650)</f>
        <v>0</v>
      </c>
      <c r="I476" s="28">
        <f ca="1">SUMIF(半成品出库明细!$D$2:$D$558,$B476,半成品出库明细!$G$2:$G$2)</f>
        <v>0</v>
      </c>
      <c r="J476" s="28">
        <f ca="1" t="shared" si="8"/>
        <v>0</v>
      </c>
      <c r="K476" s="20"/>
      <c r="L476" s="104" t="s">
        <v>967</v>
      </c>
      <c r="M476" s="3"/>
    </row>
    <row r="477" s="3" customFormat="1" spans="1:13">
      <c r="A477" s="22">
        <v>423</v>
      </c>
      <c r="B477" s="23" t="s">
        <v>988</v>
      </c>
      <c r="C477" s="25" t="s">
        <v>989</v>
      </c>
      <c r="D477" s="25" t="s">
        <v>958</v>
      </c>
      <c r="E477" s="19" t="s">
        <v>76</v>
      </c>
      <c r="F477" s="26" t="s">
        <v>197</v>
      </c>
      <c r="G477" s="27">
        <f>SUMIF(物料月初库存!$C$3:$C$303,$B477,物料月初库存!$F$3:$F$303)</f>
        <v>0</v>
      </c>
      <c r="H477" s="28">
        <f>SUMIF(半成品入库明细!$D$2:$D$650,$B477,半成品入库明细!$G$2:$G$650)</f>
        <v>0</v>
      </c>
      <c r="I477" s="28">
        <f ca="1">SUMIF(半成品出库明细!$D$2:$D$558,$B477,半成品出库明细!$G$2:$G$2)</f>
        <v>0</v>
      </c>
      <c r="J477" s="28">
        <f ca="1" t="shared" si="8"/>
        <v>0</v>
      </c>
      <c r="K477" s="20"/>
      <c r="L477" s="19"/>
    </row>
    <row r="478" s="1" customFormat="1" spans="1:13">
      <c r="A478" s="22">
        <v>424</v>
      </c>
      <c r="B478" s="23" t="s">
        <v>990</v>
      </c>
      <c r="C478" s="25" t="s">
        <v>989</v>
      </c>
      <c r="D478" s="25" t="s">
        <v>958</v>
      </c>
      <c r="E478" s="28" t="s">
        <v>691</v>
      </c>
      <c r="F478" s="26" t="s">
        <v>197</v>
      </c>
      <c r="G478" s="27">
        <f>SUMIF(物料月初库存!$C$3:$C$303,$B478,物料月初库存!$F$3:$F$303)</f>
        <v>0</v>
      </c>
      <c r="H478" s="28">
        <f>SUMIF(半成品入库明细!$D$2:$D$650,$B478,半成品入库明细!$G$2:$G$650)</f>
        <v>0</v>
      </c>
      <c r="I478" s="28">
        <f ca="1">SUMIF(半成品出库明细!$D$2:$D$558,$B478,半成品出库明细!$G$2:$G$2)</f>
        <v>0</v>
      </c>
      <c r="J478" s="28">
        <f ca="1" t="shared" si="8"/>
        <v>0</v>
      </c>
      <c r="K478" s="20"/>
      <c r="L478" s="28"/>
      <c r="M478" s="3"/>
    </row>
    <row r="479" s="1" customFormat="1" spans="1:13">
      <c r="A479" s="22">
        <v>425</v>
      </c>
      <c r="B479" s="23" t="s">
        <v>991</v>
      </c>
      <c r="C479" s="25" t="s">
        <v>989</v>
      </c>
      <c r="D479" s="25" t="s">
        <v>958</v>
      </c>
      <c r="E479" s="19" t="s">
        <v>992</v>
      </c>
      <c r="F479" s="26" t="s">
        <v>197</v>
      </c>
      <c r="G479" s="27">
        <f>SUMIF(物料月初库存!$C$3:$C$303,$B479,物料月初库存!$F$3:$F$303)</f>
        <v>0</v>
      </c>
      <c r="H479" s="28">
        <f>SUMIF(半成品入库明细!$D$2:$D$650,$B479,半成品入库明细!$G$2:$G$650)</f>
        <v>0</v>
      </c>
      <c r="I479" s="28">
        <f ca="1">SUMIF(半成品出库明细!$D$2:$D$558,$B479,半成品出库明细!$G$2:$G$2)</f>
        <v>0</v>
      </c>
      <c r="J479" s="28">
        <f ca="1" t="shared" si="8"/>
        <v>0</v>
      </c>
      <c r="K479" s="20"/>
      <c r="L479" s="19"/>
      <c r="M479" s="3"/>
    </row>
    <row r="480" s="1" customFormat="1" spans="1:13">
      <c r="A480" s="22">
        <v>426</v>
      </c>
      <c r="B480" s="23" t="s">
        <v>993</v>
      </c>
      <c r="C480" s="25" t="s">
        <v>989</v>
      </c>
      <c r="D480" s="25" t="s">
        <v>958</v>
      </c>
      <c r="E480" s="50" t="s">
        <v>994</v>
      </c>
      <c r="F480" s="26" t="s">
        <v>197</v>
      </c>
      <c r="G480" s="27">
        <f>SUMIF(物料月初库存!$C$3:$C$303,$B480,物料月初库存!$F$3:$F$303)</f>
        <v>0</v>
      </c>
      <c r="H480" s="28">
        <f>SUMIF(半成品入库明细!$D$2:$D$650,$B480,半成品入库明细!$G$2:$G$650)</f>
        <v>0</v>
      </c>
      <c r="I480" s="28">
        <f ca="1">SUMIF(半成品出库明细!$D$2:$D$558,$B480,半成品出库明细!$G$2:$G$2)</f>
        <v>0</v>
      </c>
      <c r="J480" s="28">
        <f ca="1" t="shared" si="8"/>
        <v>0</v>
      </c>
      <c r="K480" s="20"/>
      <c r="L480" s="34" t="s">
        <v>202</v>
      </c>
      <c r="M480" s="3"/>
    </row>
    <row r="481" s="1" customFormat="1" spans="1:13">
      <c r="A481" s="22">
        <v>427</v>
      </c>
      <c r="B481" s="23" t="s">
        <v>995</v>
      </c>
      <c r="C481" s="25" t="s">
        <v>996</v>
      </c>
      <c r="D481" s="25" t="s">
        <v>958</v>
      </c>
      <c r="E481" s="19" t="s">
        <v>76</v>
      </c>
      <c r="F481" s="26" t="s">
        <v>197</v>
      </c>
      <c r="G481" s="27">
        <f>SUMIF(物料月初库存!$C$3:$C$303,$B481,物料月初库存!$F$3:$F$303)</f>
        <v>0</v>
      </c>
      <c r="H481" s="28">
        <f>SUMIF(半成品入库明细!$D$2:$D$650,$B481,半成品入库明细!$G$2:$G$650)</f>
        <v>0</v>
      </c>
      <c r="I481" s="28">
        <f ca="1">SUMIF(半成品出库明细!$D$2:$D$558,$B481,半成品出库明细!$G$2:$G$2)</f>
        <v>0</v>
      </c>
      <c r="J481" s="28">
        <f ca="1" t="shared" si="8"/>
        <v>0</v>
      </c>
      <c r="K481" s="20"/>
      <c r="L481" s="19"/>
      <c r="M481" s="3"/>
    </row>
    <row r="482" s="1" customFormat="1" spans="1:13">
      <c r="A482" s="22">
        <v>428</v>
      </c>
      <c r="B482" s="23" t="s">
        <v>997</v>
      </c>
      <c r="C482" s="25" t="s">
        <v>996</v>
      </c>
      <c r="D482" s="25" t="s">
        <v>958</v>
      </c>
      <c r="E482" s="28" t="s">
        <v>199</v>
      </c>
      <c r="F482" s="26" t="s">
        <v>197</v>
      </c>
      <c r="G482" s="27">
        <f>SUMIF(物料月初库存!$C$3:$C$303,$B482,物料月初库存!$F$3:$F$303)</f>
        <v>0</v>
      </c>
      <c r="H482" s="28">
        <f>SUMIF(半成品入库明细!$D$2:$D$650,$B482,半成品入库明细!$G$2:$G$650)</f>
        <v>0</v>
      </c>
      <c r="I482" s="28">
        <f ca="1">SUMIF(半成品出库明细!$D$2:$D$558,$B482,半成品出库明细!$G$2:$G$2)</f>
        <v>0</v>
      </c>
      <c r="J482" s="28">
        <f ca="1" t="shared" si="8"/>
        <v>0</v>
      </c>
      <c r="K482" s="20"/>
      <c r="L482" s="28"/>
      <c r="M482" s="3"/>
    </row>
    <row r="483" s="1" customFormat="1" spans="1:13">
      <c r="A483" s="22">
        <v>429</v>
      </c>
      <c r="B483" s="23" t="s">
        <v>998</v>
      </c>
      <c r="C483" s="25" t="s">
        <v>996</v>
      </c>
      <c r="D483" s="25" t="s">
        <v>958</v>
      </c>
      <c r="E483" s="28" t="s">
        <v>443</v>
      </c>
      <c r="F483" s="26" t="s">
        <v>197</v>
      </c>
      <c r="G483" s="27">
        <f>SUMIF(物料月初库存!$C$3:$C$303,$B483,物料月初库存!$F$3:$F$303)</f>
        <v>0</v>
      </c>
      <c r="H483" s="28">
        <f>SUMIF(半成品入库明细!$D$2:$D$650,$B483,半成品入库明细!$G$2:$G$650)</f>
        <v>0</v>
      </c>
      <c r="I483" s="28">
        <f ca="1">SUMIF(半成品出库明细!$D$2:$D$558,$B483,半成品出库明细!$G$2:$G$2)</f>
        <v>0</v>
      </c>
      <c r="J483" s="28">
        <f ca="1" t="shared" si="8"/>
        <v>0</v>
      </c>
      <c r="K483" s="20"/>
      <c r="L483" s="34" t="s">
        <v>202</v>
      </c>
      <c r="M483" s="3"/>
    </row>
    <row r="484" s="1" customFormat="1" spans="1:13">
      <c r="A484" s="22">
        <v>430</v>
      </c>
      <c r="B484" s="23" t="s">
        <v>999</v>
      </c>
      <c r="C484" s="94" t="s">
        <v>1000</v>
      </c>
      <c r="D484" s="25" t="s">
        <v>958</v>
      </c>
      <c r="E484" s="19" t="s">
        <v>76</v>
      </c>
      <c r="F484" s="26" t="s">
        <v>197</v>
      </c>
      <c r="G484" s="27">
        <f>SUMIF(物料月初库存!$C$3:$C$303,$B484,物料月初库存!$F$3:$F$303)</f>
        <v>0</v>
      </c>
      <c r="H484" s="28">
        <f>SUMIF(半成品入库明细!$D$2:$D$650,$B484,半成品入库明细!$G$2:$G$650)</f>
        <v>0</v>
      </c>
      <c r="I484" s="28">
        <f ca="1">SUMIF(半成品出库明细!$D$2:$D$558,$B484,半成品出库明细!$G$2:$G$2)</f>
        <v>0</v>
      </c>
      <c r="J484" s="28">
        <f ca="1" t="shared" si="8"/>
        <v>0</v>
      </c>
      <c r="K484" s="56"/>
      <c r="L484" s="19"/>
      <c r="M484" s="3"/>
    </row>
    <row r="485" s="1" customFormat="1" spans="1:13">
      <c r="A485" s="22">
        <v>431</v>
      </c>
      <c r="B485" s="23" t="s">
        <v>1001</v>
      </c>
      <c r="C485" s="94" t="s">
        <v>1000</v>
      </c>
      <c r="D485" s="25" t="s">
        <v>958</v>
      </c>
      <c r="E485" s="28" t="s">
        <v>287</v>
      </c>
      <c r="F485" s="26" t="s">
        <v>197</v>
      </c>
      <c r="G485" s="27">
        <f>SUMIF(物料月初库存!$C$3:$C$303,$B485,物料月初库存!$F$3:$F$303)</f>
        <v>0</v>
      </c>
      <c r="H485" s="28">
        <f>SUMIF(半成品入库明细!$D$2:$D$650,$B485,半成品入库明细!$G$2:$G$650)</f>
        <v>0</v>
      </c>
      <c r="I485" s="28">
        <f ca="1">SUMIF(半成品出库明细!$D$2:$D$558,$B485,半成品出库明细!$G$2:$G$2)</f>
        <v>0</v>
      </c>
      <c r="J485" s="28">
        <f ca="1" t="shared" si="8"/>
        <v>0</v>
      </c>
      <c r="K485" s="20"/>
      <c r="L485" s="34" t="s">
        <v>202</v>
      </c>
      <c r="M485" s="3"/>
    </row>
    <row r="486" s="1" customFormat="1" spans="1:13">
      <c r="A486" s="22">
        <v>432</v>
      </c>
      <c r="B486" s="23" t="s">
        <v>1002</v>
      </c>
      <c r="C486" s="94" t="s">
        <v>1003</v>
      </c>
      <c r="D486" s="25" t="s">
        <v>958</v>
      </c>
      <c r="E486" s="19" t="s">
        <v>76</v>
      </c>
      <c r="F486" s="26" t="s">
        <v>197</v>
      </c>
      <c r="G486" s="27">
        <f>SUMIF(物料月初库存!$C$3:$C$303,$B486,物料月初库存!$F$3:$F$303)</f>
        <v>0</v>
      </c>
      <c r="H486" s="28">
        <f>SUMIF(半成品入库明细!$D$2:$D$650,$B486,半成品入库明细!$G$2:$G$650)</f>
        <v>0</v>
      </c>
      <c r="I486" s="28">
        <f ca="1">SUMIF(半成品出库明细!$D$2:$D$558,$B486,半成品出库明细!$G$2:$G$2)</f>
        <v>0</v>
      </c>
      <c r="J486" s="28">
        <f ca="1" t="shared" si="8"/>
        <v>0</v>
      </c>
      <c r="K486" s="20"/>
      <c r="L486" s="19"/>
      <c r="M486" s="3"/>
    </row>
    <row r="487" s="1" customFormat="1" spans="1:13">
      <c r="A487" s="22">
        <v>433</v>
      </c>
      <c r="B487" s="23" t="s">
        <v>1004</v>
      </c>
      <c r="C487" s="94" t="s">
        <v>1003</v>
      </c>
      <c r="D487" s="25" t="s">
        <v>958</v>
      </c>
      <c r="E487" s="28" t="s">
        <v>287</v>
      </c>
      <c r="F487" s="26" t="s">
        <v>197</v>
      </c>
      <c r="G487" s="27">
        <f>SUMIF(物料月初库存!$C$3:$C$303,$B487,物料月初库存!$F$3:$F$303)</f>
        <v>0</v>
      </c>
      <c r="H487" s="28">
        <f>SUMIF(半成品入库明细!$D$2:$D$650,$B487,半成品入库明细!$G$2:$G$650)</f>
        <v>0</v>
      </c>
      <c r="I487" s="28">
        <f ca="1">SUMIF(半成品出库明细!$D$2:$D$558,$B487,半成品出库明细!$G$2:$G$2)</f>
        <v>0</v>
      </c>
      <c r="J487" s="28">
        <f ca="1" t="shared" si="8"/>
        <v>0</v>
      </c>
      <c r="K487" s="20"/>
      <c r="L487" s="34" t="s">
        <v>202</v>
      </c>
      <c r="M487" s="3"/>
    </row>
    <row r="488" s="1" customFormat="1" spans="1:13">
      <c r="A488" s="22">
        <v>434</v>
      </c>
      <c r="B488" s="23" t="s">
        <v>1005</v>
      </c>
      <c r="C488" s="94" t="s">
        <v>1006</v>
      </c>
      <c r="D488" s="25" t="s">
        <v>958</v>
      </c>
      <c r="E488" s="19" t="s">
        <v>76</v>
      </c>
      <c r="F488" s="26" t="s">
        <v>197</v>
      </c>
      <c r="G488" s="27">
        <f>SUMIF(物料月初库存!$C$3:$C$303,$B488,物料月初库存!$F$3:$F$303)</f>
        <v>0</v>
      </c>
      <c r="H488" s="28">
        <f>SUMIF(半成品入库明细!$D$2:$D$650,$B488,半成品入库明细!$G$2:$G$650)</f>
        <v>0</v>
      </c>
      <c r="I488" s="28">
        <f ca="1">SUMIF(半成品出库明细!$D$2:$D$558,$B488,半成品出库明细!$G$2:$G$2)</f>
        <v>0</v>
      </c>
      <c r="J488" s="28">
        <f ca="1" t="shared" si="8"/>
        <v>0</v>
      </c>
      <c r="K488" s="20"/>
      <c r="L488" s="19"/>
      <c r="M488" s="3"/>
    </row>
    <row r="489" s="1" customFormat="1" spans="1:13">
      <c r="A489" s="22">
        <v>435</v>
      </c>
      <c r="B489" s="23" t="s">
        <v>1007</v>
      </c>
      <c r="C489" s="94" t="s">
        <v>1006</v>
      </c>
      <c r="D489" s="25" t="s">
        <v>958</v>
      </c>
      <c r="E489" s="19" t="s">
        <v>691</v>
      </c>
      <c r="F489" s="26" t="s">
        <v>197</v>
      </c>
      <c r="G489" s="27">
        <f>SUMIF(物料月初库存!$C$3:$C$303,$B489,物料月初库存!$F$3:$F$303)</f>
        <v>0</v>
      </c>
      <c r="H489" s="28">
        <f>SUMIF(半成品入库明细!$D$2:$D$650,$B489,半成品入库明细!$G$2:$G$650)</f>
        <v>0</v>
      </c>
      <c r="I489" s="28">
        <f ca="1">SUMIF(半成品出库明细!$D$2:$D$558,$B489,半成品出库明细!$G$2:$G$2)</f>
        <v>0</v>
      </c>
      <c r="J489" s="28">
        <f ca="1" t="shared" si="8"/>
        <v>0</v>
      </c>
      <c r="K489" s="55"/>
      <c r="L489" s="3"/>
      <c r="M489" s="3"/>
    </row>
    <row r="490" s="1" customFormat="1" spans="1:13">
      <c r="A490" s="22">
        <v>436</v>
      </c>
      <c r="B490" s="23" t="s">
        <v>1008</v>
      </c>
      <c r="C490" s="94" t="s">
        <v>1006</v>
      </c>
      <c r="D490" s="25" t="s">
        <v>958</v>
      </c>
      <c r="E490" s="28" t="s">
        <v>316</v>
      </c>
      <c r="F490" s="26" t="s">
        <v>197</v>
      </c>
      <c r="G490" s="27">
        <f>SUMIF(物料月初库存!$C$3:$C$303,$B490,物料月初库存!$F$3:$F$303)</f>
        <v>0</v>
      </c>
      <c r="H490" s="28">
        <f>SUMIF(半成品入库明细!$D$2:$D$650,$B490,半成品入库明细!$G$2:$G$650)</f>
        <v>0</v>
      </c>
      <c r="I490" s="28">
        <f ca="1">SUMIF(半成品出库明细!$D$2:$D$558,$B490,半成品出库明细!$G$2:$G$2)</f>
        <v>0</v>
      </c>
      <c r="J490" s="28">
        <f ca="1" t="shared" si="8"/>
        <v>0</v>
      </c>
      <c r="K490" s="20"/>
      <c r="L490" s="34" t="s">
        <v>202</v>
      </c>
      <c r="M490" s="3"/>
    </row>
    <row r="491" s="1" customFormat="1" spans="1:13">
      <c r="A491" s="22">
        <v>437</v>
      </c>
      <c r="B491" s="23" t="s">
        <v>1009</v>
      </c>
      <c r="C491" s="25" t="s">
        <v>1010</v>
      </c>
      <c r="D491" s="25" t="s">
        <v>1011</v>
      </c>
      <c r="E491" s="28" t="s">
        <v>76</v>
      </c>
      <c r="F491" s="26" t="s">
        <v>197</v>
      </c>
      <c r="G491" s="27">
        <f>SUMIF(物料月初库存!$C$3:$C$303,$B491,物料月初库存!$F$3:$F$303)</f>
        <v>0</v>
      </c>
      <c r="H491" s="28">
        <f>SUMIF(半成品入库明细!$D$2:$D$650,$B491,半成品入库明细!$G$2:$G$650)</f>
        <v>0</v>
      </c>
      <c r="I491" s="28">
        <f ca="1">SUMIF(半成品出库明细!$D$2:$D$558,$B491,半成品出库明细!$G$2:$G$2)</f>
        <v>0</v>
      </c>
      <c r="J491" s="28">
        <f ca="1" t="shared" si="8"/>
        <v>0</v>
      </c>
      <c r="K491" s="29"/>
      <c r="L491" s="3"/>
      <c r="M491" s="3"/>
    </row>
    <row r="492" s="1" customFormat="1" spans="1:13">
      <c r="A492" s="22"/>
      <c r="B492" s="23" t="s">
        <v>1012</v>
      </c>
      <c r="C492" s="25" t="s">
        <v>1010</v>
      </c>
      <c r="D492" s="25" t="s">
        <v>1011</v>
      </c>
      <c r="E492" s="19" t="s">
        <v>670</v>
      </c>
      <c r="F492" s="26" t="s">
        <v>197</v>
      </c>
      <c r="G492" s="27">
        <f>SUMIF(物料月初库存!$C$3:$C$303,$B492,物料月初库存!$F$3:$F$303)</f>
        <v>0</v>
      </c>
      <c r="H492" s="28">
        <f>SUMIF(半成品入库明细!$D$2:$D$650,$B492,半成品入库明细!$G$2:$G$650)</f>
        <v>0</v>
      </c>
      <c r="I492" s="28">
        <f ca="1">SUMIF(半成品出库明细!$D$2:$D$558,$B492,半成品出库明细!$G$2:$G$2)</f>
        <v>0</v>
      </c>
      <c r="J492" s="28">
        <f ca="1" t="shared" si="8"/>
        <v>0</v>
      </c>
      <c r="K492" s="30" t="s">
        <v>1013</v>
      </c>
      <c r="L492" s="3"/>
      <c r="M492" s="3"/>
    </row>
    <row r="493" s="1" customFormat="1" spans="1:13">
      <c r="A493" s="22">
        <v>438</v>
      </c>
      <c r="B493" s="23" t="s">
        <v>72</v>
      </c>
      <c r="C493" s="25" t="s">
        <v>1010</v>
      </c>
      <c r="D493" s="25" t="s">
        <v>1011</v>
      </c>
      <c r="E493" s="28" t="s">
        <v>464</v>
      </c>
      <c r="F493" s="26" t="s">
        <v>197</v>
      </c>
      <c r="G493" s="27">
        <f>SUMIF(物料月初库存!$C$3:$C$303,$B493,物料月初库存!$F$3:$F$303)</f>
        <v>9605</v>
      </c>
      <c r="H493" s="28">
        <f>SUMIF(半成品入库明细!$D$2:$D$650,$B493,半成品入库明细!$G$2:$G$650)</f>
        <v>0</v>
      </c>
      <c r="I493" s="28">
        <f ca="1">SUMIF(半成品出库明细!$D$2:$D$558,$B493,半成品出库明细!$G$2:$G$2)</f>
        <v>9354</v>
      </c>
      <c r="J493" s="28">
        <f ca="1" t="shared" si="8"/>
        <v>251</v>
      </c>
      <c r="K493" s="30" t="s">
        <v>1014</v>
      </c>
      <c r="L493" s="34" t="s">
        <v>202</v>
      </c>
      <c r="M493" s="3"/>
    </row>
    <row r="494" s="1" customFormat="1" spans="1:13">
      <c r="A494" s="22"/>
      <c r="B494" s="23" t="s">
        <v>1015</v>
      </c>
      <c r="C494" s="25" t="s">
        <v>1010</v>
      </c>
      <c r="D494" s="25" t="s">
        <v>1011</v>
      </c>
      <c r="E494" s="19" t="s">
        <v>239</v>
      </c>
      <c r="F494" s="26" t="s">
        <v>197</v>
      </c>
      <c r="G494" s="27">
        <f>SUMIF(物料月初库存!$C$3:$C$303,$B494,物料月初库存!$F$3:$F$303)</f>
        <v>0</v>
      </c>
      <c r="H494" s="28">
        <f>SUMIF(半成品入库明细!$D$2:$D$650,$B494,半成品入库明细!$G$2:$G$650)</f>
        <v>0</v>
      </c>
      <c r="I494" s="28">
        <f ca="1">SUMIF(半成品出库明细!$D$2:$D$558,$B494,半成品出库明细!$G$2:$G$2)</f>
        <v>0</v>
      </c>
      <c r="J494" s="28">
        <f ca="1" t="shared" si="8"/>
        <v>0</v>
      </c>
      <c r="K494" s="30" t="s">
        <v>1016</v>
      </c>
      <c r="L494" s="34"/>
      <c r="M494" s="3"/>
    </row>
    <row r="495" s="1" customFormat="1" spans="1:13">
      <c r="A495" s="22">
        <v>439</v>
      </c>
      <c r="B495" s="23" t="s">
        <v>1017</v>
      </c>
      <c r="C495" s="25" t="s">
        <v>1018</v>
      </c>
      <c r="D495" s="25" t="s">
        <v>1011</v>
      </c>
      <c r="E495" s="28" t="s">
        <v>76</v>
      </c>
      <c r="F495" s="26" t="s">
        <v>197</v>
      </c>
      <c r="G495" s="27">
        <f>SUMIF(物料月初库存!$C$3:$C$303,$B495,物料月初库存!$F$3:$F$303)</f>
        <v>0</v>
      </c>
      <c r="H495" s="28">
        <f>SUMIF(半成品入库明细!$D$2:$D$650,$B495,半成品入库明细!$G$2:$G$650)</f>
        <v>0</v>
      </c>
      <c r="I495" s="28">
        <f ca="1">SUMIF(半成品出库明细!$D$2:$D$558,$B495,半成品出库明细!$G$2:$G$2)</f>
        <v>0</v>
      </c>
      <c r="J495" s="28">
        <f ca="1" t="shared" si="8"/>
        <v>0</v>
      </c>
      <c r="K495" s="29"/>
      <c r="L495" s="3"/>
      <c r="M495" s="3"/>
    </row>
    <row r="496" s="1" customFormat="1" spans="1:13">
      <c r="A496" s="22">
        <v>440</v>
      </c>
      <c r="B496" s="23" t="s">
        <v>1019</v>
      </c>
      <c r="C496" s="25" t="s">
        <v>1018</v>
      </c>
      <c r="D496" s="25" t="s">
        <v>1011</v>
      </c>
      <c r="E496" s="28" t="s">
        <v>287</v>
      </c>
      <c r="F496" s="26" t="s">
        <v>197</v>
      </c>
      <c r="G496" s="27">
        <f>SUMIF(物料月初库存!$C$3:$C$303,$B496,物料月初库存!$F$3:$F$303)</f>
        <v>0</v>
      </c>
      <c r="H496" s="28">
        <f>SUMIF(半成品入库明细!$D$2:$D$650,$B496,半成品入库明细!$G$2:$G$650)</f>
        <v>0</v>
      </c>
      <c r="I496" s="28">
        <f ca="1">SUMIF(半成品出库明细!$D$2:$D$558,$B496,半成品出库明细!$G$2:$G$2)</f>
        <v>0</v>
      </c>
      <c r="J496" s="28">
        <f ca="1" t="shared" si="8"/>
        <v>0</v>
      </c>
      <c r="K496" s="29"/>
      <c r="L496" s="34" t="s">
        <v>202</v>
      </c>
      <c r="M496" s="3"/>
    </row>
    <row r="497" s="1" customFormat="1" spans="1:13">
      <c r="A497" s="22">
        <v>441</v>
      </c>
      <c r="B497" s="23" t="s">
        <v>1020</v>
      </c>
      <c r="C497" s="25" t="s">
        <v>1021</v>
      </c>
      <c r="D497" s="25" t="s">
        <v>1011</v>
      </c>
      <c r="E497" s="28" t="s">
        <v>76</v>
      </c>
      <c r="F497" s="26" t="s">
        <v>197</v>
      </c>
      <c r="G497" s="27">
        <f>SUMIF(物料月初库存!$C$3:$C$303,$B497,物料月初库存!$F$3:$F$303)</f>
        <v>0</v>
      </c>
      <c r="H497" s="28">
        <f>SUMIF(半成品入库明细!$D$2:$D$650,$B497,半成品入库明细!$G$2:$G$650)</f>
        <v>0</v>
      </c>
      <c r="I497" s="28">
        <f ca="1">SUMIF(半成品出库明细!$D$2:$D$558,$B497,半成品出库明细!$G$2:$G$2)</f>
        <v>0</v>
      </c>
      <c r="J497" s="28">
        <f ca="1" t="shared" si="8"/>
        <v>0</v>
      </c>
      <c r="K497" s="29"/>
      <c r="L497" s="19"/>
      <c r="M497" s="3"/>
    </row>
    <row r="498" s="1" customFormat="1" spans="1:13">
      <c r="A498" s="22">
        <v>442</v>
      </c>
      <c r="B498" s="23" t="s">
        <v>1022</v>
      </c>
      <c r="C498" s="25" t="s">
        <v>1021</v>
      </c>
      <c r="D498" s="25" t="s">
        <v>1011</v>
      </c>
      <c r="E498" s="28" t="s">
        <v>235</v>
      </c>
      <c r="F498" s="26" t="s">
        <v>197</v>
      </c>
      <c r="G498" s="27">
        <f>SUMIF(物料月初库存!$C$3:$C$303,$B498,物料月初库存!$F$3:$F$303)</f>
        <v>0</v>
      </c>
      <c r="H498" s="28">
        <f>SUMIF(半成品入库明细!$D$2:$D$650,$B498,半成品入库明细!$G$2:$G$650)</f>
        <v>0</v>
      </c>
      <c r="I498" s="28">
        <f ca="1">SUMIF(半成品出库明细!$D$2:$D$558,$B498,半成品出库明细!$G$2:$G$2)</f>
        <v>0</v>
      </c>
      <c r="J498" s="28">
        <f ca="1" t="shared" si="8"/>
        <v>0</v>
      </c>
      <c r="K498" s="29"/>
      <c r="L498" s="28"/>
      <c r="M498" s="3"/>
    </row>
    <row r="499" s="1" customFormat="1" spans="1:13">
      <c r="A499" s="22">
        <v>443</v>
      </c>
      <c r="B499" s="23" t="s">
        <v>1023</v>
      </c>
      <c r="C499" s="25" t="s">
        <v>1021</v>
      </c>
      <c r="D499" s="25" t="s">
        <v>1011</v>
      </c>
      <c r="E499" s="28" t="s">
        <v>691</v>
      </c>
      <c r="F499" s="26" t="s">
        <v>197</v>
      </c>
      <c r="G499" s="27">
        <f>SUMIF(物料月初库存!$C$3:$C$303,$B499,物料月初库存!$F$3:$F$303)</f>
        <v>0</v>
      </c>
      <c r="H499" s="28">
        <f>SUMIF(半成品入库明细!$D$2:$D$650,$B499,半成品入库明细!$G$2:$G$650)</f>
        <v>0</v>
      </c>
      <c r="I499" s="28">
        <f ca="1">SUMIF(半成品出库明细!$D$2:$D$558,$B499,半成品出库明细!$G$2:$G$2)</f>
        <v>0</v>
      </c>
      <c r="J499" s="28">
        <f ca="1" t="shared" si="8"/>
        <v>0</v>
      </c>
      <c r="K499" s="29"/>
      <c r="L499" s="28"/>
      <c r="M499" s="3"/>
    </row>
    <row r="500" s="1" customFormat="1" spans="1:13">
      <c r="A500" s="22">
        <v>444</v>
      </c>
      <c r="B500" s="23" t="s">
        <v>1024</v>
      </c>
      <c r="C500" s="25" t="s">
        <v>1021</v>
      </c>
      <c r="D500" s="25" t="s">
        <v>1011</v>
      </c>
      <c r="E500" s="28" t="s">
        <v>839</v>
      </c>
      <c r="F500" s="26" t="s">
        <v>197</v>
      </c>
      <c r="G500" s="27">
        <f>SUMIF(物料月初库存!$C$3:$C$303,$B500,物料月初库存!$F$3:$F$303)</f>
        <v>0</v>
      </c>
      <c r="H500" s="28">
        <f>SUMIF(半成品入库明细!$D$2:$D$650,$B500,半成品入库明细!$G$2:$G$650)</f>
        <v>0</v>
      </c>
      <c r="I500" s="28">
        <f ca="1">SUMIF(半成品出库明细!$D$2:$D$558,$B500,半成品出库明细!$G$2:$G$2)</f>
        <v>0</v>
      </c>
      <c r="J500" s="28">
        <f ca="1" t="shared" si="8"/>
        <v>0</v>
      </c>
      <c r="K500" s="29"/>
      <c r="L500" s="28"/>
      <c r="M500" s="3"/>
    </row>
    <row r="501" s="1" customFormat="1" spans="1:13">
      <c r="A501" s="22">
        <v>445</v>
      </c>
      <c r="B501" s="23" t="s">
        <v>1025</v>
      </c>
      <c r="C501" s="25" t="s">
        <v>1021</v>
      </c>
      <c r="D501" s="25" t="s">
        <v>1011</v>
      </c>
      <c r="E501" s="28" t="s">
        <v>267</v>
      </c>
      <c r="F501" s="26" t="s">
        <v>197</v>
      </c>
      <c r="G501" s="27">
        <f>SUMIF(物料月初库存!$C$3:$C$303,$B501,物料月初库存!$F$3:$F$303)</f>
        <v>0</v>
      </c>
      <c r="H501" s="28">
        <f>SUMIF(半成品入库明细!$D$2:$D$650,$B501,半成品入库明细!$G$2:$G$650)</f>
        <v>0</v>
      </c>
      <c r="I501" s="28">
        <f ca="1">SUMIF(半成品出库明细!$D$2:$D$558,$B501,半成品出库明细!$G$2:$G$2)</f>
        <v>0</v>
      </c>
      <c r="J501" s="28">
        <f ca="1" t="shared" si="8"/>
        <v>0</v>
      </c>
      <c r="K501" s="29"/>
      <c r="L501" s="34" t="s">
        <v>202</v>
      </c>
      <c r="M501" s="3"/>
    </row>
    <row r="502" s="1" customFormat="1" spans="1:13">
      <c r="A502" s="22">
        <v>446</v>
      </c>
      <c r="B502" s="23" t="s">
        <v>1026</v>
      </c>
      <c r="C502" s="25" t="s">
        <v>1027</v>
      </c>
      <c r="D502" s="25" t="s">
        <v>1011</v>
      </c>
      <c r="E502" s="28" t="s">
        <v>76</v>
      </c>
      <c r="F502" s="26" t="s">
        <v>197</v>
      </c>
      <c r="G502" s="27">
        <f>SUMIF(物料月初库存!$C$3:$C$303,$B502,物料月初库存!$F$3:$F$303)</f>
        <v>0</v>
      </c>
      <c r="H502" s="28">
        <f>SUMIF(半成品入库明细!$D$2:$D$650,$B502,半成品入库明细!$G$2:$G$650)</f>
        <v>0</v>
      </c>
      <c r="I502" s="28">
        <f ca="1">SUMIF(半成品出库明细!$D$2:$D$558,$B502,半成品出库明细!$G$2:$G$2)</f>
        <v>0</v>
      </c>
      <c r="J502" s="28">
        <f ca="1" t="shared" si="8"/>
        <v>0</v>
      </c>
      <c r="K502" s="105">
        <v>1</v>
      </c>
      <c r="L502" s="19"/>
      <c r="M502" s="3"/>
    </row>
    <row r="503" s="1" customFormat="1" spans="1:13">
      <c r="A503" s="22">
        <v>447</v>
      </c>
      <c r="B503" s="23" t="s">
        <v>1028</v>
      </c>
      <c r="C503" s="25" t="s">
        <v>1027</v>
      </c>
      <c r="D503" s="25" t="s">
        <v>1011</v>
      </c>
      <c r="E503" s="28" t="s">
        <v>235</v>
      </c>
      <c r="F503" s="26" t="s">
        <v>197</v>
      </c>
      <c r="G503" s="27">
        <f>SUMIF(物料月初库存!$C$3:$C$303,$B503,物料月初库存!$F$3:$F$303)</f>
        <v>0</v>
      </c>
      <c r="H503" s="28">
        <f>SUMIF(半成品入库明细!$D$2:$D$650,$B503,半成品入库明细!$G$2:$G$650)</f>
        <v>0</v>
      </c>
      <c r="I503" s="28">
        <f ca="1">SUMIF(半成品出库明细!$D$2:$D$558,$B503,半成品出库明细!$G$2:$G$2)</f>
        <v>0</v>
      </c>
      <c r="J503" s="28">
        <f ca="1" t="shared" si="8"/>
        <v>0</v>
      </c>
      <c r="K503" s="105">
        <v>2</v>
      </c>
      <c r="L503" s="19"/>
      <c r="M503" s="3"/>
    </row>
    <row r="504" s="1" customFormat="1" spans="1:13">
      <c r="A504" s="22">
        <v>448</v>
      </c>
      <c r="B504" s="23" t="s">
        <v>1029</v>
      </c>
      <c r="C504" s="25" t="s">
        <v>1027</v>
      </c>
      <c r="D504" s="25" t="s">
        <v>1011</v>
      </c>
      <c r="E504" s="28" t="s">
        <v>691</v>
      </c>
      <c r="F504" s="26" t="s">
        <v>197</v>
      </c>
      <c r="G504" s="27">
        <f>SUMIF(物料月初库存!$C$3:$C$303,$B504,物料月初库存!$F$3:$F$303)</f>
        <v>0</v>
      </c>
      <c r="H504" s="28">
        <f>SUMIF(半成品入库明细!$D$2:$D$650,$B504,半成品入库明细!$G$2:$G$650)</f>
        <v>0</v>
      </c>
      <c r="I504" s="28">
        <f ca="1">SUMIF(半成品出库明细!$D$2:$D$558,$B504,半成品出库明细!$G$2:$G$2)</f>
        <v>0</v>
      </c>
      <c r="J504" s="28">
        <f ca="1" t="shared" si="8"/>
        <v>0</v>
      </c>
      <c r="K504" s="105">
        <v>2</v>
      </c>
      <c r="L504" s="28"/>
      <c r="M504" s="3"/>
    </row>
    <row r="505" s="1" customFormat="1" spans="1:13">
      <c r="A505" s="22">
        <v>449</v>
      </c>
      <c r="B505" s="23" t="s">
        <v>1030</v>
      </c>
      <c r="C505" s="25" t="s">
        <v>1027</v>
      </c>
      <c r="D505" s="25" t="s">
        <v>1011</v>
      </c>
      <c r="E505" s="28" t="s">
        <v>267</v>
      </c>
      <c r="F505" s="26" t="s">
        <v>197</v>
      </c>
      <c r="G505" s="27">
        <f>SUMIF(物料月初库存!$C$3:$C$303,$B505,物料月初库存!$F$3:$F$303)</f>
        <v>0</v>
      </c>
      <c r="H505" s="28">
        <f>SUMIF(半成品入库明细!$D$2:$D$650,$B505,半成品入库明细!$G$2:$G$650)</f>
        <v>0</v>
      </c>
      <c r="I505" s="28">
        <f ca="1">SUMIF(半成品出库明细!$D$2:$D$558,$B505,半成品出库明细!$G$2:$G$2)</f>
        <v>0</v>
      </c>
      <c r="J505" s="28">
        <f ca="1" t="shared" si="8"/>
        <v>0</v>
      </c>
      <c r="K505" s="105">
        <v>3</v>
      </c>
      <c r="L505" s="19"/>
      <c r="M505" s="3"/>
    </row>
    <row r="506" s="1" customFormat="1" spans="1:13">
      <c r="A506" s="22">
        <v>450</v>
      </c>
      <c r="B506" s="23" t="s">
        <v>1031</v>
      </c>
      <c r="C506" s="25" t="s">
        <v>1027</v>
      </c>
      <c r="D506" s="25" t="s">
        <v>1011</v>
      </c>
      <c r="E506" s="28" t="s">
        <v>443</v>
      </c>
      <c r="F506" s="26" t="s">
        <v>197</v>
      </c>
      <c r="G506" s="27">
        <f>SUMIF(物料月初库存!$C$3:$C$303,$B506,物料月初库存!$F$3:$F$303)</f>
        <v>0</v>
      </c>
      <c r="H506" s="28">
        <f>SUMIF(半成品入库明细!$D$2:$D$650,$B506,半成品入库明细!$G$2:$G$650)</f>
        <v>0</v>
      </c>
      <c r="I506" s="28">
        <f ca="1">SUMIF(半成品出库明细!$D$2:$D$558,$B506,半成品出库明细!$G$2:$G$2)</f>
        <v>0</v>
      </c>
      <c r="J506" s="28">
        <f ca="1" t="shared" si="8"/>
        <v>0</v>
      </c>
      <c r="K506" s="105">
        <v>4</v>
      </c>
      <c r="L506" s="31" t="s">
        <v>202</v>
      </c>
      <c r="M506" s="3"/>
    </row>
    <row r="507" s="1" customFormat="1" spans="1:13">
      <c r="A507" s="22">
        <v>451</v>
      </c>
      <c r="B507" s="23" t="s">
        <v>1032</v>
      </c>
      <c r="C507" s="25" t="s">
        <v>1033</v>
      </c>
      <c r="D507" s="25" t="s">
        <v>1011</v>
      </c>
      <c r="E507" s="19" t="s">
        <v>76</v>
      </c>
      <c r="F507" s="26" t="s">
        <v>197</v>
      </c>
      <c r="G507" s="27">
        <f>SUMIF(物料月初库存!$C$3:$C$303,$B507,物料月初库存!$F$3:$F$303)</f>
        <v>0</v>
      </c>
      <c r="H507" s="28">
        <f>SUMIF(半成品入库明细!$D$2:$D$650,$B507,半成品入库明细!$G$2:$G$650)</f>
        <v>0</v>
      </c>
      <c r="I507" s="28">
        <f ca="1">SUMIF(半成品出库明细!$D$2:$D$558,$B507,半成品出库明细!$G$2:$G$2)</f>
        <v>0</v>
      </c>
      <c r="J507" s="28">
        <f ca="1" t="shared" si="8"/>
        <v>0</v>
      </c>
      <c r="K507" s="105">
        <v>1</v>
      </c>
      <c r="L507" s="19"/>
      <c r="M507" s="3"/>
    </row>
    <row r="508" s="1" customFormat="1" spans="1:13">
      <c r="A508" s="22">
        <v>452</v>
      </c>
      <c r="B508" s="23" t="s">
        <v>1034</v>
      </c>
      <c r="C508" s="25" t="s">
        <v>1033</v>
      </c>
      <c r="D508" s="25" t="s">
        <v>1011</v>
      </c>
      <c r="E508" s="19" t="s">
        <v>235</v>
      </c>
      <c r="F508" s="26" t="s">
        <v>197</v>
      </c>
      <c r="G508" s="27">
        <f>SUMIF(物料月初库存!$C$3:$C$303,$B508,物料月初库存!$F$3:$F$303)</f>
        <v>0</v>
      </c>
      <c r="H508" s="28">
        <f>SUMIF(半成品入库明细!$D$2:$D$650,$B508,半成品入库明细!$G$2:$G$650)</f>
        <v>0</v>
      </c>
      <c r="I508" s="28">
        <f ca="1">SUMIF(半成品出库明细!$D$2:$D$558,$B508,半成品出库明细!$G$2:$G$2)</f>
        <v>0</v>
      </c>
      <c r="J508" s="28">
        <f ca="1" t="shared" si="8"/>
        <v>0</v>
      </c>
      <c r="K508" s="105">
        <v>2</v>
      </c>
      <c r="L508" s="19"/>
      <c r="M508" s="3"/>
    </row>
    <row r="509" s="1" customFormat="1" spans="1:13">
      <c r="A509" s="22">
        <v>453</v>
      </c>
      <c r="B509" s="23" t="s">
        <v>1035</v>
      </c>
      <c r="C509" s="25" t="s">
        <v>1033</v>
      </c>
      <c r="D509" s="25" t="s">
        <v>1011</v>
      </c>
      <c r="E509" s="28" t="s">
        <v>287</v>
      </c>
      <c r="F509" s="26" t="s">
        <v>197</v>
      </c>
      <c r="G509" s="27">
        <f>SUMIF(物料月初库存!$C$3:$C$303,$B509,物料月初库存!$F$3:$F$303)</f>
        <v>0</v>
      </c>
      <c r="H509" s="28">
        <f>SUMIF(半成品入库明细!$D$2:$D$650,$B509,半成品入库明细!$G$2:$G$650)</f>
        <v>0</v>
      </c>
      <c r="I509" s="28">
        <f ca="1">SUMIF(半成品出库明细!$D$2:$D$558,$B509,半成品出库明细!$G$2:$G$2)</f>
        <v>0</v>
      </c>
      <c r="J509" s="28">
        <f ca="1" t="shared" si="8"/>
        <v>0</v>
      </c>
      <c r="K509" s="105">
        <v>2</v>
      </c>
      <c r="L509" s="28"/>
      <c r="M509" s="3"/>
    </row>
    <row r="510" s="1" customFormat="1" spans="1:13">
      <c r="A510" s="22">
        <v>454</v>
      </c>
      <c r="B510" s="36" t="s">
        <v>1036</v>
      </c>
      <c r="C510" s="33" t="s">
        <v>1033</v>
      </c>
      <c r="D510" s="33" t="s">
        <v>1011</v>
      </c>
      <c r="E510" s="37" t="s">
        <v>267</v>
      </c>
      <c r="F510" s="38" t="s">
        <v>197</v>
      </c>
      <c r="G510" s="39">
        <f>SUMIF(物料月初库存!$C$3:$C$303,$B510,物料月初库存!$F$3:$F$303)</f>
        <v>0</v>
      </c>
      <c r="H510" s="40">
        <f>SUMIF(半成品入库明细!$D$2:$D$650,$B510,半成品入库明细!$G$2:$G$650)</f>
        <v>0</v>
      </c>
      <c r="I510" s="40">
        <f ca="1">SUMIF(半成品出库明细!$D$2:$D$558,$B510,半成品出库明细!$G$2:$G$2)</f>
        <v>0</v>
      </c>
      <c r="J510" s="40">
        <f ca="1" t="shared" si="8"/>
        <v>0</v>
      </c>
      <c r="K510" s="106"/>
      <c r="L510" s="37" t="s">
        <v>1037</v>
      </c>
      <c r="M510" s="3"/>
    </row>
    <row r="511" s="1" customFormat="1" spans="1:13">
      <c r="A511" s="22">
        <v>455</v>
      </c>
      <c r="B511" s="23" t="s">
        <v>1038</v>
      </c>
      <c r="C511" s="25" t="s">
        <v>1033</v>
      </c>
      <c r="D511" s="25" t="s">
        <v>1011</v>
      </c>
      <c r="E511" s="28" t="s">
        <v>443</v>
      </c>
      <c r="F511" s="26" t="s">
        <v>197</v>
      </c>
      <c r="G511" s="27">
        <f>SUMIF(物料月初库存!$C$3:$C$303,$B511,物料月初库存!$F$3:$F$303)</f>
        <v>0</v>
      </c>
      <c r="H511" s="28">
        <f>SUMIF(半成品入库明细!$D$2:$D$650,$B511,半成品入库明细!$G$2:$G$650)</f>
        <v>0</v>
      </c>
      <c r="I511" s="28">
        <f ca="1">SUMIF(半成品出库明细!$D$2:$D$558,$B511,半成品出库明细!$G$2:$G$2)</f>
        <v>0</v>
      </c>
      <c r="J511" s="28">
        <f ca="1" t="shared" si="8"/>
        <v>0</v>
      </c>
      <c r="K511" s="105">
        <v>3</v>
      </c>
      <c r="L511" s="31" t="s">
        <v>202</v>
      </c>
      <c r="M511" s="3"/>
    </row>
    <row r="512" s="1" customFormat="1" spans="1:13">
      <c r="A512" s="22">
        <v>456</v>
      </c>
      <c r="B512" s="23" t="s">
        <v>1039</v>
      </c>
      <c r="C512" s="25" t="s">
        <v>1040</v>
      </c>
      <c r="D512" s="25" t="s">
        <v>1011</v>
      </c>
      <c r="E512" s="19" t="s">
        <v>76</v>
      </c>
      <c r="F512" s="26" t="s">
        <v>197</v>
      </c>
      <c r="G512" s="27">
        <f>SUMIF(物料月初库存!$C$3:$C$303,$B512,物料月初库存!$F$3:$F$303)</f>
        <v>0</v>
      </c>
      <c r="H512" s="28">
        <f>SUMIF(半成品入库明细!$D$2:$D$650,$B512,半成品入库明细!$G$2:$G$650)</f>
        <v>0</v>
      </c>
      <c r="I512" s="28">
        <f ca="1">SUMIF(半成品出库明细!$D$2:$D$558,$B512,半成品出库明细!$G$2:$G$2)</f>
        <v>0</v>
      </c>
      <c r="J512" s="28">
        <f ca="1" t="shared" si="8"/>
        <v>0</v>
      </c>
      <c r="K512" s="105">
        <v>1</v>
      </c>
      <c r="L512" s="19"/>
      <c r="M512" s="3"/>
    </row>
    <row r="513" s="1" customFormat="1" spans="1:13">
      <c r="A513" s="22">
        <v>457</v>
      </c>
      <c r="B513" s="23" t="s">
        <v>1041</v>
      </c>
      <c r="C513" s="25" t="s">
        <v>1040</v>
      </c>
      <c r="D513" s="25" t="s">
        <v>1011</v>
      </c>
      <c r="E513" s="19" t="s">
        <v>235</v>
      </c>
      <c r="F513" s="26" t="s">
        <v>197</v>
      </c>
      <c r="G513" s="27">
        <f>SUMIF(物料月初库存!$C$3:$C$303,$B513,物料月初库存!$F$3:$F$303)</f>
        <v>0</v>
      </c>
      <c r="H513" s="28">
        <f>SUMIF(半成品入库明细!$D$2:$D$650,$B513,半成品入库明细!$G$2:$G$650)</f>
        <v>0</v>
      </c>
      <c r="I513" s="28">
        <f ca="1">SUMIF(半成品出库明细!$D$2:$D$558,$B513,半成品出库明细!$G$2:$G$2)</f>
        <v>0</v>
      </c>
      <c r="J513" s="28">
        <f ca="1" t="shared" si="8"/>
        <v>0</v>
      </c>
      <c r="K513" s="105">
        <v>3</v>
      </c>
      <c r="L513" s="19"/>
      <c r="M513" s="3"/>
    </row>
    <row r="514" s="1" customFormat="1" spans="1:13">
      <c r="A514" s="22">
        <v>458</v>
      </c>
      <c r="B514" s="23" t="s">
        <v>1042</v>
      </c>
      <c r="C514" s="25" t="s">
        <v>1040</v>
      </c>
      <c r="D514" s="25" t="s">
        <v>1011</v>
      </c>
      <c r="E514" s="28" t="s">
        <v>691</v>
      </c>
      <c r="F514" s="26" t="s">
        <v>197</v>
      </c>
      <c r="G514" s="27">
        <f>SUMIF(物料月初库存!$C$3:$C$303,$B514,物料月初库存!$F$3:$F$303)</f>
        <v>0</v>
      </c>
      <c r="H514" s="28">
        <f>SUMIF(半成品入库明细!$D$2:$D$650,$B514,半成品入库明细!$G$2:$G$650)</f>
        <v>0</v>
      </c>
      <c r="I514" s="28">
        <f ca="1">SUMIF(半成品出库明细!$D$2:$D$558,$B514,半成品出库明细!$G$2:$G$2)</f>
        <v>0</v>
      </c>
      <c r="J514" s="28">
        <f ca="1" t="shared" si="8"/>
        <v>0</v>
      </c>
      <c r="K514" s="105">
        <v>3</v>
      </c>
      <c r="L514" s="19"/>
      <c r="M514" s="3"/>
    </row>
    <row r="515" s="1" customFormat="1" spans="1:13">
      <c r="A515" s="22">
        <v>459</v>
      </c>
      <c r="B515" s="23" t="s">
        <v>1043</v>
      </c>
      <c r="C515" s="25" t="s">
        <v>1040</v>
      </c>
      <c r="D515" s="25" t="s">
        <v>1011</v>
      </c>
      <c r="E515" s="19" t="s">
        <v>267</v>
      </c>
      <c r="F515" s="26" t="s">
        <v>197</v>
      </c>
      <c r="G515" s="27">
        <f>SUMIF(物料月初库存!$C$3:$C$303,$B515,物料月初库存!$F$3:$F$303)</f>
        <v>0</v>
      </c>
      <c r="H515" s="28">
        <f>SUMIF(半成品入库明细!$D$2:$D$650,$B515,半成品入库明细!$G$2:$G$650)</f>
        <v>0</v>
      </c>
      <c r="I515" s="28">
        <f ca="1">SUMIF(半成品出库明细!$D$2:$D$558,$B515,半成品出库明细!$G$2:$G$2)</f>
        <v>0</v>
      </c>
      <c r="J515" s="28">
        <f ca="1" t="shared" si="8"/>
        <v>0</v>
      </c>
      <c r="K515" s="105">
        <v>4</v>
      </c>
      <c r="L515" s="19"/>
      <c r="M515" s="3"/>
    </row>
    <row r="516" s="1" customFormat="1" spans="1:13">
      <c r="A516" s="22">
        <v>460</v>
      </c>
      <c r="B516" s="23" t="s">
        <v>1044</v>
      </c>
      <c r="C516" s="25" t="s">
        <v>1040</v>
      </c>
      <c r="D516" s="25" t="s">
        <v>1011</v>
      </c>
      <c r="E516" s="49" t="s">
        <v>316</v>
      </c>
      <c r="F516" s="26" t="s">
        <v>197</v>
      </c>
      <c r="G516" s="27">
        <f>SUMIF(物料月初库存!$C$3:$C$303,$B516,物料月初库存!$F$3:$F$303)</f>
        <v>0</v>
      </c>
      <c r="H516" s="28">
        <f>SUMIF(半成品入库明细!$D$2:$D$650,$B516,半成品入库明细!$G$2:$G$650)</f>
        <v>0</v>
      </c>
      <c r="I516" s="28">
        <f ca="1">SUMIF(半成品出库明细!$D$2:$D$558,$B516,半成品出库明细!$G$2:$G$2)</f>
        <v>0</v>
      </c>
      <c r="J516" s="28">
        <f ca="1" t="shared" si="8"/>
        <v>0</v>
      </c>
      <c r="K516" s="105">
        <v>2</v>
      </c>
      <c r="L516" s="19"/>
      <c r="M516" s="3"/>
    </row>
    <row r="517" s="1" customFormat="1" spans="1:13">
      <c r="A517" s="22">
        <v>461</v>
      </c>
      <c r="B517" s="23" t="s">
        <v>1045</v>
      </c>
      <c r="C517" s="25" t="s">
        <v>1040</v>
      </c>
      <c r="D517" s="25" t="s">
        <v>1011</v>
      </c>
      <c r="E517" s="28" t="s">
        <v>443</v>
      </c>
      <c r="F517" s="26" t="s">
        <v>197</v>
      </c>
      <c r="G517" s="27">
        <f>SUMIF(物料月初库存!$C$3:$C$303,$B517,物料月初库存!$F$3:$F$303)</f>
        <v>0</v>
      </c>
      <c r="H517" s="28">
        <f>SUMIF(半成品入库明细!$D$2:$D$650,$B517,半成品入库明细!$G$2:$G$650)</f>
        <v>0</v>
      </c>
      <c r="I517" s="28">
        <f ca="1">SUMIF(半成品出库明细!$D$2:$D$558,$B517,半成品出库明细!$G$2:$G$2)</f>
        <v>0</v>
      </c>
      <c r="J517" s="28">
        <f ca="1" t="shared" si="8"/>
        <v>0</v>
      </c>
      <c r="K517" s="105">
        <v>5</v>
      </c>
      <c r="L517" s="31" t="s">
        <v>202</v>
      </c>
      <c r="M517" s="3"/>
    </row>
    <row r="518" s="1" customFormat="1" spans="1:13">
      <c r="A518" s="22">
        <v>462</v>
      </c>
      <c r="B518" s="23" t="s">
        <v>1046</v>
      </c>
      <c r="C518" s="25" t="s">
        <v>1047</v>
      </c>
      <c r="D518" s="25" t="s">
        <v>1011</v>
      </c>
      <c r="E518" s="19" t="s">
        <v>76</v>
      </c>
      <c r="F518" s="26" t="s">
        <v>197</v>
      </c>
      <c r="G518" s="27">
        <f>SUMIF(物料月初库存!$C$3:$C$303,$B518,物料月初库存!$F$3:$F$303)</f>
        <v>0</v>
      </c>
      <c r="H518" s="28">
        <f>SUMIF(半成品入库明细!$D$2:$D$650,$B518,半成品入库明细!$G$2:$G$650)</f>
        <v>0</v>
      </c>
      <c r="I518" s="28">
        <f ca="1">SUMIF(半成品出库明细!$D$2:$D$558,$B518,半成品出库明细!$G$2:$G$2)</f>
        <v>0</v>
      </c>
      <c r="J518" s="28">
        <f ca="1" t="shared" si="8"/>
        <v>0</v>
      </c>
      <c r="K518" s="105">
        <v>1</v>
      </c>
      <c r="L518" s="19"/>
      <c r="M518" s="3"/>
    </row>
    <row r="519" s="1" customFormat="1" spans="1:13">
      <c r="A519" s="22">
        <v>463</v>
      </c>
      <c r="B519" s="23" t="s">
        <v>1048</v>
      </c>
      <c r="C519" s="25" t="s">
        <v>1047</v>
      </c>
      <c r="D519" s="25" t="s">
        <v>1011</v>
      </c>
      <c r="E519" s="19" t="s">
        <v>235</v>
      </c>
      <c r="F519" s="26" t="s">
        <v>197</v>
      </c>
      <c r="G519" s="27">
        <f>SUMIF(物料月初库存!$C$3:$C$303,$B519,物料月初库存!$F$3:$F$303)</f>
        <v>0</v>
      </c>
      <c r="H519" s="28">
        <f>SUMIF(半成品入库明细!$D$2:$D$650,$B519,半成品入库明细!$G$2:$G$650)</f>
        <v>0</v>
      </c>
      <c r="I519" s="28">
        <f ca="1">SUMIF(半成品出库明细!$D$2:$D$558,$B519,半成品出库明细!$G$2:$G$2)</f>
        <v>0</v>
      </c>
      <c r="J519" s="28">
        <f ca="1" t="shared" si="8"/>
        <v>0</v>
      </c>
      <c r="K519" s="105">
        <v>3</v>
      </c>
      <c r="L519" s="19"/>
      <c r="M519" s="3"/>
    </row>
    <row r="520" s="1" customFormat="1" spans="1:13">
      <c r="A520" s="22">
        <v>464</v>
      </c>
      <c r="B520" s="23" t="s">
        <v>1049</v>
      </c>
      <c r="C520" s="25" t="s">
        <v>1047</v>
      </c>
      <c r="D520" s="25" t="s">
        <v>1011</v>
      </c>
      <c r="E520" s="28" t="s">
        <v>691</v>
      </c>
      <c r="F520" s="26" t="s">
        <v>197</v>
      </c>
      <c r="G520" s="27">
        <f>SUMIF(物料月初库存!$C$3:$C$303,$B520,物料月初库存!$F$3:$F$303)</f>
        <v>0</v>
      </c>
      <c r="H520" s="28">
        <f>SUMIF(半成品入库明细!$D$2:$D$650,$B520,半成品入库明细!$G$2:$G$650)</f>
        <v>0</v>
      </c>
      <c r="I520" s="28">
        <f ca="1">SUMIF(半成品出库明细!$D$2:$D$558,$B520,半成品出库明细!$G$2:$G$2)</f>
        <v>0</v>
      </c>
      <c r="J520" s="28">
        <f ca="1">G520+H520-I520</f>
        <v>0</v>
      </c>
      <c r="K520" s="105">
        <v>3</v>
      </c>
      <c r="L520" s="19"/>
      <c r="M520" s="3"/>
    </row>
    <row r="521" s="1" customFormat="1" spans="1:13">
      <c r="A521" s="22">
        <v>465</v>
      </c>
      <c r="B521" s="23" t="s">
        <v>1050</v>
      </c>
      <c r="C521" s="25" t="s">
        <v>1047</v>
      </c>
      <c r="D521" s="25" t="s">
        <v>1011</v>
      </c>
      <c r="E521" s="28" t="s">
        <v>267</v>
      </c>
      <c r="F521" s="26" t="s">
        <v>197</v>
      </c>
      <c r="G521" s="27">
        <f>SUMIF(物料月初库存!$C$3:$C$303,$B521,物料月初库存!$F$3:$F$303)</f>
        <v>0</v>
      </c>
      <c r="H521" s="28">
        <f>SUMIF(半成品入库明细!$D$2:$D$650,$B521,半成品入库明细!$G$2:$G$650)</f>
        <v>0</v>
      </c>
      <c r="I521" s="28">
        <f ca="1">SUMIF(半成品出库明细!$D$2:$D$558,$B521,半成品出库明细!$G$2:$G$2)</f>
        <v>0</v>
      </c>
      <c r="J521" s="28">
        <f ca="1" t="shared" ref="J521:J584" si="9">G521+H521-I521</f>
        <v>0</v>
      </c>
      <c r="K521" s="105">
        <v>4</v>
      </c>
      <c r="L521" s="19"/>
      <c r="M521" s="3"/>
    </row>
    <row r="522" s="1" customFormat="1" spans="1:13">
      <c r="A522" s="22">
        <v>466</v>
      </c>
      <c r="B522" s="23" t="s">
        <v>1051</v>
      </c>
      <c r="C522" s="25" t="s">
        <v>1047</v>
      </c>
      <c r="D522" s="25" t="s">
        <v>1011</v>
      </c>
      <c r="E522" s="49" t="s">
        <v>316</v>
      </c>
      <c r="F522" s="26" t="s">
        <v>197</v>
      </c>
      <c r="G522" s="27">
        <f>SUMIF(物料月初库存!$C$3:$C$303,$B522,物料月初库存!$F$3:$F$303)</f>
        <v>0</v>
      </c>
      <c r="H522" s="28">
        <f>SUMIF(半成品入库明细!$D$2:$D$650,$B522,半成品入库明细!$G$2:$G$650)</f>
        <v>0</v>
      </c>
      <c r="I522" s="28">
        <f ca="1">SUMIF(半成品出库明细!$D$2:$D$558,$B522,半成品出库明细!$G$2:$G$2)</f>
        <v>0</v>
      </c>
      <c r="J522" s="28">
        <f ca="1" t="shared" si="9"/>
        <v>0</v>
      </c>
      <c r="K522" s="105">
        <v>2</v>
      </c>
      <c r="L522" s="19"/>
      <c r="M522" s="3"/>
    </row>
    <row r="523" s="1" customFormat="1" spans="1:13">
      <c r="A523" s="22">
        <v>467</v>
      </c>
      <c r="B523" s="23" t="s">
        <v>1052</v>
      </c>
      <c r="C523" s="25" t="s">
        <v>1047</v>
      </c>
      <c r="D523" s="25" t="s">
        <v>1011</v>
      </c>
      <c r="E523" s="28" t="s">
        <v>443</v>
      </c>
      <c r="F523" s="26" t="s">
        <v>197</v>
      </c>
      <c r="G523" s="27">
        <f>SUMIF(物料月初库存!$C$3:$C$303,$B523,物料月初库存!$F$3:$F$303)</f>
        <v>0</v>
      </c>
      <c r="H523" s="28">
        <f>SUMIF(半成品入库明细!$D$2:$D$650,$B523,半成品入库明细!$G$2:$G$650)</f>
        <v>0</v>
      </c>
      <c r="I523" s="28">
        <f ca="1">SUMIF(半成品出库明细!$D$2:$D$558,$B523,半成品出库明细!$G$2:$G$2)</f>
        <v>0</v>
      </c>
      <c r="J523" s="28">
        <f ca="1" t="shared" si="9"/>
        <v>0</v>
      </c>
      <c r="K523" s="105">
        <v>5</v>
      </c>
      <c r="L523" s="31" t="s">
        <v>202</v>
      </c>
      <c r="M523" s="3"/>
    </row>
    <row r="524" s="1" customFormat="1" spans="1:13">
      <c r="A524" s="22">
        <v>468</v>
      </c>
      <c r="B524" s="23" t="s">
        <v>1053</v>
      </c>
      <c r="C524" s="24" t="s">
        <v>1054</v>
      </c>
      <c r="D524" s="52" t="s">
        <v>1055</v>
      </c>
      <c r="E524" s="19" t="s">
        <v>76</v>
      </c>
      <c r="F524" s="26" t="s">
        <v>197</v>
      </c>
      <c r="G524" s="27">
        <f>SUMIF(物料月初库存!$C$3:$C$303,$B524,物料月初库存!$F$3:$F$303)</f>
        <v>0</v>
      </c>
      <c r="H524" s="28">
        <f>SUMIF(半成品入库明细!$D$2:$D$650,$B524,半成品入库明细!$G$2:$G$650)</f>
        <v>0</v>
      </c>
      <c r="I524" s="28">
        <f ca="1">SUMIF(半成品出库明细!$D$2:$D$558,$B524,半成品出库明细!$G$2:$G$2)</f>
        <v>0</v>
      </c>
      <c r="J524" s="28">
        <f ca="1" t="shared" si="9"/>
        <v>0</v>
      </c>
      <c r="K524" s="20"/>
      <c r="L524" s="19"/>
      <c r="M524" s="3"/>
    </row>
    <row r="525" s="1" customFormat="1" spans="1:13">
      <c r="A525" s="22">
        <v>469</v>
      </c>
      <c r="B525" s="23" t="s">
        <v>1056</v>
      </c>
      <c r="C525" s="24" t="s">
        <v>1054</v>
      </c>
      <c r="D525" s="52" t="s">
        <v>1055</v>
      </c>
      <c r="E525" s="28" t="s">
        <v>199</v>
      </c>
      <c r="F525" s="26" t="s">
        <v>197</v>
      </c>
      <c r="G525" s="27">
        <f>SUMIF(物料月初库存!$C$3:$C$303,$B525,物料月初库存!$F$3:$F$303)</f>
        <v>0</v>
      </c>
      <c r="H525" s="28">
        <f>SUMIF(半成品入库明细!$D$2:$D$650,$B525,半成品入库明细!$G$2:$G$650)</f>
        <v>0</v>
      </c>
      <c r="I525" s="28">
        <f ca="1">SUMIF(半成品出库明细!$D$2:$D$558,$B525,半成品出库明细!$G$2:$G$2)</f>
        <v>0</v>
      </c>
      <c r="J525" s="28">
        <f ca="1" t="shared" si="9"/>
        <v>0</v>
      </c>
      <c r="K525" s="56" t="s">
        <v>1057</v>
      </c>
      <c r="L525" s="31" t="s">
        <v>202</v>
      </c>
      <c r="M525" s="3"/>
    </row>
    <row r="526" s="1" customFormat="1" spans="1:13">
      <c r="A526" s="22">
        <v>471</v>
      </c>
      <c r="B526" s="23" t="s">
        <v>1058</v>
      </c>
      <c r="C526" s="24" t="s">
        <v>1059</v>
      </c>
      <c r="D526" s="52" t="s">
        <v>1060</v>
      </c>
      <c r="E526" s="19" t="s">
        <v>76</v>
      </c>
      <c r="F526" s="26" t="s">
        <v>197</v>
      </c>
      <c r="G526" s="27">
        <f>SUMIF(物料月初库存!$C$3:$C$303,$B526,物料月初库存!$F$3:$F$303)</f>
        <v>0</v>
      </c>
      <c r="H526" s="28">
        <f>SUMIF(半成品入库明细!$D$2:$D$650,$B526,半成品入库明细!$G$2:$G$650)</f>
        <v>0</v>
      </c>
      <c r="I526" s="28">
        <f ca="1">SUMIF(半成品出库明细!$D$2:$D$558,$B526,半成品出库明细!$G$2:$G$2)</f>
        <v>0</v>
      </c>
      <c r="J526" s="28">
        <f ca="1" t="shared" si="9"/>
        <v>0</v>
      </c>
      <c r="K526" s="20"/>
      <c r="L526" s="3"/>
      <c r="M526" s="3"/>
    </row>
    <row r="527" s="1" customFormat="1" spans="1:13">
      <c r="A527" s="22">
        <v>472</v>
      </c>
      <c r="B527" s="23" t="s">
        <v>1061</v>
      </c>
      <c r="C527" s="24" t="s">
        <v>1059</v>
      </c>
      <c r="D527" s="52" t="s">
        <v>1060</v>
      </c>
      <c r="E527" s="28" t="s">
        <v>353</v>
      </c>
      <c r="F527" s="26" t="s">
        <v>197</v>
      </c>
      <c r="G527" s="27">
        <f>SUMIF(物料月初库存!$C$3:$C$303,$B527,物料月初库存!$F$3:$F$303)</f>
        <v>0</v>
      </c>
      <c r="H527" s="28">
        <f>SUMIF(半成品入库明细!$D$2:$D$650,$B527,半成品入库明细!$G$2:$G$650)</f>
        <v>0</v>
      </c>
      <c r="I527" s="28">
        <f ca="1">SUMIF(半成品出库明细!$D$2:$D$558,$B527,半成品出库明细!$G$2:$G$2)</f>
        <v>0</v>
      </c>
      <c r="J527" s="28">
        <f ca="1" t="shared" si="9"/>
        <v>0</v>
      </c>
      <c r="K527" s="20"/>
      <c r="L527" s="3"/>
      <c r="M527" s="3"/>
    </row>
    <row r="528" s="1" customFormat="1" spans="1:13">
      <c r="A528" s="22">
        <v>473</v>
      </c>
      <c r="B528" s="23" t="s">
        <v>1062</v>
      </c>
      <c r="C528" s="24" t="s">
        <v>1059</v>
      </c>
      <c r="D528" s="52" t="s">
        <v>1060</v>
      </c>
      <c r="E528" s="28" t="s">
        <v>1063</v>
      </c>
      <c r="F528" s="26" t="s">
        <v>197</v>
      </c>
      <c r="G528" s="27">
        <f>SUMIF(物料月初库存!$C$3:$C$303,$B528,物料月初库存!$F$3:$F$303)</f>
        <v>0</v>
      </c>
      <c r="H528" s="28">
        <f>SUMIF(半成品入库明细!$D$2:$D$650,$B528,半成品入库明细!$G$2:$G$650)</f>
        <v>0</v>
      </c>
      <c r="I528" s="28">
        <f ca="1">SUMIF(半成品出库明细!$D$2:$D$558,$B528,半成品出库明细!$G$2:$G$2)</f>
        <v>0</v>
      </c>
      <c r="J528" s="28">
        <f ca="1" t="shared" si="9"/>
        <v>0</v>
      </c>
      <c r="K528" s="20"/>
      <c r="L528" s="3"/>
      <c r="M528" s="3"/>
    </row>
    <row r="529" s="1" customFormat="1" spans="1:13">
      <c r="A529" s="22">
        <v>474</v>
      </c>
      <c r="B529" s="23" t="s">
        <v>1064</v>
      </c>
      <c r="C529" s="24" t="s">
        <v>1059</v>
      </c>
      <c r="D529" s="52" t="s">
        <v>1060</v>
      </c>
      <c r="E529" s="19" t="s">
        <v>256</v>
      </c>
      <c r="F529" s="26" t="s">
        <v>197</v>
      </c>
      <c r="G529" s="27">
        <f>SUMIF(物料月初库存!$C$3:$C$303,$B529,物料月初库存!$F$3:$F$303)</f>
        <v>0</v>
      </c>
      <c r="H529" s="28">
        <f>SUMIF(半成品入库明细!$D$2:$D$650,$B529,半成品入库明细!$G$2:$G$650)</f>
        <v>0</v>
      </c>
      <c r="I529" s="28">
        <f ca="1">SUMIF(半成品出库明细!$D$2:$D$558,$B529,半成品出库明细!$G$2:$G$2)</f>
        <v>0</v>
      </c>
      <c r="J529" s="28">
        <f ca="1" t="shared" si="9"/>
        <v>0</v>
      </c>
      <c r="K529" s="20"/>
      <c r="L529" s="3"/>
      <c r="M529" s="3"/>
    </row>
    <row r="530" s="1" customFormat="1" spans="1:13">
      <c r="A530" s="22">
        <v>475</v>
      </c>
      <c r="B530" s="23" t="s">
        <v>1065</v>
      </c>
      <c r="C530" s="41" t="s">
        <v>1066</v>
      </c>
      <c r="D530" s="52" t="s">
        <v>1060</v>
      </c>
      <c r="E530" s="19" t="s">
        <v>76</v>
      </c>
      <c r="F530" s="26" t="s">
        <v>197</v>
      </c>
      <c r="G530" s="27">
        <f>SUMIF(物料月初库存!$C$3:$C$303,$B530,物料月初库存!$F$3:$F$303)</f>
        <v>0</v>
      </c>
      <c r="H530" s="28">
        <f>SUMIF(半成品入库明细!$D$2:$D$650,$B530,半成品入库明细!$G$2:$G$650)</f>
        <v>0</v>
      </c>
      <c r="I530" s="28">
        <f ca="1">SUMIF(半成品出库明细!$D$2:$D$558,$B530,半成品出库明细!$G$2:$G$2)</f>
        <v>0</v>
      </c>
      <c r="J530" s="28">
        <f ca="1" t="shared" si="9"/>
        <v>0</v>
      </c>
      <c r="K530" s="20"/>
      <c r="L530" s="3"/>
      <c r="M530" s="3"/>
    </row>
    <row r="531" s="1" customFormat="1" spans="1:13">
      <c r="A531" s="22">
        <v>476</v>
      </c>
      <c r="B531" s="23" t="s">
        <v>1067</v>
      </c>
      <c r="C531" s="41" t="s">
        <v>1066</v>
      </c>
      <c r="D531" s="52" t="s">
        <v>1060</v>
      </c>
      <c r="E531" s="28" t="s">
        <v>353</v>
      </c>
      <c r="F531" s="26" t="s">
        <v>197</v>
      </c>
      <c r="G531" s="27">
        <f>SUMIF(物料月初库存!$C$3:$C$303,$B531,物料月初库存!$F$3:$F$303)</f>
        <v>0</v>
      </c>
      <c r="H531" s="28">
        <f>SUMIF(半成品入库明细!$D$2:$D$650,$B531,半成品入库明细!$G$2:$G$650)</f>
        <v>0</v>
      </c>
      <c r="I531" s="28">
        <f ca="1">SUMIF(半成品出库明细!$D$2:$D$558,$B531,半成品出库明细!$G$2:$G$2)</f>
        <v>0</v>
      </c>
      <c r="J531" s="28">
        <f ca="1" t="shared" si="9"/>
        <v>0</v>
      </c>
      <c r="K531" s="20"/>
      <c r="L531" s="3"/>
      <c r="M531" s="3"/>
    </row>
    <row r="532" s="1" customFormat="1" spans="1:13">
      <c r="A532" s="22">
        <v>477</v>
      </c>
      <c r="B532" s="23" t="s">
        <v>1068</v>
      </c>
      <c r="C532" s="41" t="s">
        <v>1066</v>
      </c>
      <c r="D532" s="52" t="s">
        <v>1060</v>
      </c>
      <c r="E532" s="28" t="s">
        <v>1063</v>
      </c>
      <c r="F532" s="26" t="s">
        <v>197</v>
      </c>
      <c r="G532" s="27">
        <f>SUMIF(物料月初库存!$C$3:$C$303,$B532,物料月初库存!$F$3:$F$303)</f>
        <v>0</v>
      </c>
      <c r="H532" s="28">
        <f>SUMIF(半成品入库明细!$D$2:$D$650,$B532,半成品入库明细!$G$2:$G$650)</f>
        <v>0</v>
      </c>
      <c r="I532" s="28">
        <f ca="1">SUMIF(半成品出库明细!$D$2:$D$558,$B532,半成品出库明细!$G$2:$G$2)</f>
        <v>0</v>
      </c>
      <c r="J532" s="28">
        <f ca="1" t="shared" si="9"/>
        <v>0</v>
      </c>
      <c r="K532" s="20"/>
      <c r="L532" s="3"/>
      <c r="M532" s="3"/>
    </row>
    <row r="533" s="1" customFormat="1" spans="1:13">
      <c r="A533" s="22">
        <v>478</v>
      </c>
      <c r="B533" s="23" t="s">
        <v>1069</v>
      </c>
      <c r="C533" s="41" t="s">
        <v>1066</v>
      </c>
      <c r="D533" s="52" t="s">
        <v>1060</v>
      </c>
      <c r="E533" s="19" t="s">
        <v>256</v>
      </c>
      <c r="F533" s="26" t="s">
        <v>197</v>
      </c>
      <c r="G533" s="27">
        <f>SUMIF(物料月初库存!$C$3:$C$303,$B533,物料月初库存!$F$3:$F$303)</f>
        <v>0</v>
      </c>
      <c r="H533" s="28">
        <f>SUMIF(半成品入库明细!$D$2:$D$650,$B533,半成品入库明细!$G$2:$G$650)</f>
        <v>0</v>
      </c>
      <c r="I533" s="28">
        <f ca="1">SUMIF(半成品出库明细!$D$2:$D$558,$B533,半成品出库明细!$G$2:$G$2)</f>
        <v>0</v>
      </c>
      <c r="J533" s="28">
        <f ca="1" t="shared" si="9"/>
        <v>0</v>
      </c>
      <c r="K533" s="20"/>
      <c r="L533" s="3"/>
      <c r="M533" s="3"/>
    </row>
    <row r="534" s="1" customFormat="1" spans="1:13">
      <c r="A534" s="22">
        <v>479</v>
      </c>
      <c r="B534" s="23" t="s">
        <v>1070</v>
      </c>
      <c r="C534" s="41" t="s">
        <v>1071</v>
      </c>
      <c r="D534" s="52" t="s">
        <v>1060</v>
      </c>
      <c r="E534" s="19" t="s">
        <v>76</v>
      </c>
      <c r="F534" s="26" t="s">
        <v>197</v>
      </c>
      <c r="G534" s="27">
        <f>SUMIF(物料月初库存!$C$3:$C$303,$B534,物料月初库存!$F$3:$F$303)</f>
        <v>0</v>
      </c>
      <c r="H534" s="28">
        <f>SUMIF(半成品入库明细!$D$2:$D$650,$B534,半成品入库明细!$G$2:$G$650)</f>
        <v>0</v>
      </c>
      <c r="I534" s="28">
        <f ca="1">SUMIF(半成品出库明细!$D$2:$D$558,$B534,半成品出库明细!$G$2:$G$2)</f>
        <v>0</v>
      </c>
      <c r="J534" s="28">
        <f ca="1" t="shared" si="9"/>
        <v>0</v>
      </c>
      <c r="K534" s="20"/>
      <c r="L534" s="28"/>
      <c r="M534" s="3"/>
    </row>
    <row r="535" s="1" customFormat="1" spans="1:13">
      <c r="A535" s="22">
        <v>480</v>
      </c>
      <c r="B535" s="23" t="s">
        <v>1072</v>
      </c>
      <c r="C535" s="41" t="s">
        <v>1071</v>
      </c>
      <c r="D535" s="52" t="s">
        <v>1060</v>
      </c>
      <c r="E535" s="19" t="s">
        <v>235</v>
      </c>
      <c r="F535" s="26" t="s">
        <v>197</v>
      </c>
      <c r="G535" s="27">
        <f>SUMIF(物料月初库存!$C$3:$C$303,$B535,物料月初库存!$F$3:$F$303)</f>
        <v>0</v>
      </c>
      <c r="H535" s="28">
        <f>SUMIF(半成品入库明细!$D$2:$D$650,$B535,半成品入库明细!$G$2:$G$650)</f>
        <v>0</v>
      </c>
      <c r="I535" s="28">
        <f ca="1">SUMIF(半成品出库明细!$D$2:$D$558,$B535,半成品出库明细!$G$2:$G$2)</f>
        <v>0</v>
      </c>
      <c r="J535" s="28">
        <f ca="1" t="shared" si="9"/>
        <v>0</v>
      </c>
      <c r="K535" s="20"/>
      <c r="L535" s="28"/>
      <c r="M535" s="3"/>
    </row>
    <row r="536" s="1" customFormat="1" spans="1:13">
      <c r="A536" s="22">
        <v>481</v>
      </c>
      <c r="B536" s="23" t="s">
        <v>1073</v>
      </c>
      <c r="C536" s="41" t="s">
        <v>1071</v>
      </c>
      <c r="D536" s="52" t="s">
        <v>1060</v>
      </c>
      <c r="E536" s="19" t="s">
        <v>316</v>
      </c>
      <c r="F536" s="26" t="s">
        <v>197</v>
      </c>
      <c r="G536" s="27">
        <f>SUMIF(物料月初库存!$C$3:$C$303,$B536,物料月初库存!$F$3:$F$303)</f>
        <v>0</v>
      </c>
      <c r="H536" s="28">
        <f>SUMIF(半成品入库明细!$D$2:$D$650,$B536,半成品入库明细!$G$2:$G$650)</f>
        <v>0</v>
      </c>
      <c r="I536" s="28">
        <f ca="1">SUMIF(半成品出库明细!$D$2:$D$558,$B536,半成品出库明细!$G$2:$G$2)</f>
        <v>0</v>
      </c>
      <c r="J536" s="28">
        <f ca="1" t="shared" si="9"/>
        <v>0</v>
      </c>
      <c r="K536" s="20"/>
      <c r="L536" s="28"/>
      <c r="M536" s="3"/>
    </row>
    <row r="537" s="1" customFormat="1" spans="1:13">
      <c r="A537" s="22">
        <v>482</v>
      </c>
      <c r="B537" s="23" t="s">
        <v>1074</v>
      </c>
      <c r="C537" s="41" t="s">
        <v>1071</v>
      </c>
      <c r="D537" s="52" t="s">
        <v>1060</v>
      </c>
      <c r="E537" s="19" t="s">
        <v>839</v>
      </c>
      <c r="F537" s="26" t="s">
        <v>197</v>
      </c>
      <c r="G537" s="27">
        <f>SUMIF(物料月初库存!$C$3:$C$303,$B537,物料月初库存!$F$3:$F$303)</f>
        <v>0</v>
      </c>
      <c r="H537" s="28">
        <f>SUMIF(半成品入库明细!$D$2:$D$650,$B537,半成品入库明细!$G$2:$G$650)</f>
        <v>0</v>
      </c>
      <c r="I537" s="28">
        <f ca="1">SUMIF(半成品出库明细!$D$2:$D$558,$B537,半成品出库明细!$G$2:$G$2)</f>
        <v>0</v>
      </c>
      <c r="J537" s="28">
        <f ca="1" t="shared" si="9"/>
        <v>0</v>
      </c>
      <c r="K537" s="20"/>
      <c r="L537" s="28"/>
      <c r="M537" s="3"/>
    </row>
    <row r="538" s="1" customFormat="1" spans="1:13">
      <c r="A538" s="22">
        <v>483</v>
      </c>
      <c r="B538" s="23" t="s">
        <v>1075</v>
      </c>
      <c r="C538" s="41" t="s">
        <v>1076</v>
      </c>
      <c r="D538" s="52" t="s">
        <v>1060</v>
      </c>
      <c r="E538" s="19" t="s">
        <v>76</v>
      </c>
      <c r="F538" s="26" t="s">
        <v>197</v>
      </c>
      <c r="G538" s="27">
        <f>SUMIF(物料月初库存!$C$3:$C$303,$B538,物料月初库存!$F$3:$F$303)</f>
        <v>0</v>
      </c>
      <c r="H538" s="28">
        <f>SUMIF(半成品入库明细!$D$2:$D$650,$B538,半成品入库明细!$G$2:$G$650)</f>
        <v>0</v>
      </c>
      <c r="I538" s="28">
        <f ca="1">SUMIF(半成品出库明细!$D$2:$D$558,$B538,半成品出库明细!$G$2:$G$2)</f>
        <v>0</v>
      </c>
      <c r="J538" s="28">
        <f ca="1" t="shared" si="9"/>
        <v>0</v>
      </c>
      <c r="K538" s="20"/>
      <c r="L538" s="28"/>
      <c r="M538" s="3"/>
    </row>
    <row r="539" s="1" customFormat="1" spans="1:13">
      <c r="A539" s="22">
        <v>484</v>
      </c>
      <c r="B539" s="23" t="s">
        <v>1077</v>
      </c>
      <c r="C539" s="41" t="s">
        <v>1076</v>
      </c>
      <c r="D539" s="52" t="s">
        <v>1060</v>
      </c>
      <c r="E539" s="19" t="s">
        <v>353</v>
      </c>
      <c r="F539" s="26" t="s">
        <v>197</v>
      </c>
      <c r="G539" s="27">
        <f>SUMIF(物料月初库存!$C$3:$C$303,$B539,物料月初库存!$F$3:$F$303)</f>
        <v>0</v>
      </c>
      <c r="H539" s="28">
        <f>SUMIF(半成品入库明细!$D$2:$D$650,$B539,半成品入库明细!$G$2:$G$650)</f>
        <v>0</v>
      </c>
      <c r="I539" s="28">
        <f ca="1">SUMIF(半成品出库明细!$D$2:$D$558,$B539,半成品出库明细!$G$2:$G$2)</f>
        <v>0</v>
      </c>
      <c r="J539" s="28">
        <f ca="1" t="shared" si="9"/>
        <v>0</v>
      </c>
      <c r="K539" s="20"/>
      <c r="L539" s="28"/>
      <c r="M539" s="3"/>
    </row>
    <row r="540" s="1" customFormat="1" spans="1:13">
      <c r="A540" s="22">
        <v>485</v>
      </c>
      <c r="B540" s="23" t="s">
        <v>1078</v>
      </c>
      <c r="C540" s="41" t="s">
        <v>1076</v>
      </c>
      <c r="D540" s="52" t="s">
        <v>1060</v>
      </c>
      <c r="E540" s="19" t="s">
        <v>235</v>
      </c>
      <c r="F540" s="26" t="s">
        <v>197</v>
      </c>
      <c r="G540" s="27">
        <f>SUMIF(物料月初库存!$C$3:$C$303,$B540,物料月初库存!$F$3:$F$303)</f>
        <v>0</v>
      </c>
      <c r="H540" s="28">
        <f>SUMIF(半成品入库明细!$D$2:$D$650,$B540,半成品入库明细!$G$2:$G$650)</f>
        <v>0</v>
      </c>
      <c r="I540" s="28">
        <f ca="1">SUMIF(半成品出库明细!$D$2:$D$558,$B540,半成品出库明细!$G$2:$G$2)</f>
        <v>0</v>
      </c>
      <c r="J540" s="28">
        <f ca="1" t="shared" si="9"/>
        <v>0</v>
      </c>
      <c r="K540" s="20"/>
      <c r="L540" s="28"/>
      <c r="M540" s="3"/>
    </row>
    <row r="541" s="1" customFormat="1" spans="1:13">
      <c r="A541" s="22">
        <v>486</v>
      </c>
      <c r="B541" s="23" t="s">
        <v>1079</v>
      </c>
      <c r="C541" s="41" t="s">
        <v>1076</v>
      </c>
      <c r="D541" s="52" t="s">
        <v>1060</v>
      </c>
      <c r="E541" s="19" t="s">
        <v>256</v>
      </c>
      <c r="F541" s="26" t="s">
        <v>197</v>
      </c>
      <c r="G541" s="27">
        <f>SUMIF(物料月初库存!$C$3:$C$303,$B541,物料月初库存!$F$3:$F$303)</f>
        <v>0</v>
      </c>
      <c r="H541" s="28">
        <f>SUMIF(半成品入库明细!$D$2:$D$650,$B541,半成品入库明细!$G$2:$G$650)</f>
        <v>0</v>
      </c>
      <c r="I541" s="28">
        <f ca="1">SUMIF(半成品出库明细!$D$2:$D$558,$B541,半成品出库明细!$G$2:$G$2)</f>
        <v>0</v>
      </c>
      <c r="J541" s="28">
        <f ca="1" t="shared" si="9"/>
        <v>0</v>
      </c>
      <c r="K541" s="20"/>
      <c r="L541" s="28"/>
      <c r="M541" s="3"/>
    </row>
    <row r="542" s="1" customFormat="1" spans="1:13">
      <c r="A542" s="22">
        <v>487</v>
      </c>
      <c r="B542" s="23" t="s">
        <v>1080</v>
      </c>
      <c r="C542" s="41" t="s">
        <v>1081</v>
      </c>
      <c r="D542" s="52" t="s">
        <v>1060</v>
      </c>
      <c r="E542" s="19" t="s">
        <v>76</v>
      </c>
      <c r="F542" s="26" t="s">
        <v>197</v>
      </c>
      <c r="G542" s="27">
        <f>SUMIF(物料月初库存!$C$3:$C$303,$B542,物料月初库存!$F$3:$F$303)</f>
        <v>0</v>
      </c>
      <c r="H542" s="28">
        <f>SUMIF(半成品入库明细!$D$2:$D$650,$B542,半成品入库明细!$G$2:$G$650)</f>
        <v>0</v>
      </c>
      <c r="I542" s="28">
        <f ca="1">SUMIF(半成品出库明细!$D$2:$D$558,$B542,半成品出库明细!$G$2:$G$2)</f>
        <v>0</v>
      </c>
      <c r="J542" s="28">
        <f ca="1" t="shared" si="9"/>
        <v>0</v>
      </c>
      <c r="K542" s="20"/>
      <c r="L542" s="28"/>
      <c r="M542" s="3"/>
    </row>
    <row r="543" s="1" customFormat="1" spans="1:13">
      <c r="A543" s="22">
        <v>488</v>
      </c>
      <c r="B543" s="23" t="s">
        <v>1082</v>
      </c>
      <c r="C543" s="41" t="s">
        <v>1081</v>
      </c>
      <c r="D543" s="52" t="s">
        <v>1060</v>
      </c>
      <c r="E543" s="19" t="s">
        <v>353</v>
      </c>
      <c r="F543" s="26" t="s">
        <v>197</v>
      </c>
      <c r="G543" s="27">
        <f>SUMIF(物料月初库存!$C$3:$C$303,$B543,物料月初库存!$F$3:$F$303)</f>
        <v>0</v>
      </c>
      <c r="H543" s="28">
        <f>SUMIF(半成品入库明细!$D$2:$D$650,$B543,半成品入库明细!$G$2:$G$650)</f>
        <v>0</v>
      </c>
      <c r="I543" s="28">
        <f ca="1">SUMIF(半成品出库明细!$D$2:$D$558,$B543,半成品出库明细!$G$2:$G$2)</f>
        <v>0</v>
      </c>
      <c r="J543" s="28">
        <f ca="1" t="shared" si="9"/>
        <v>0</v>
      </c>
      <c r="K543" s="20"/>
      <c r="L543" s="28"/>
      <c r="M543" s="3"/>
    </row>
    <row r="544" s="1" customFormat="1" spans="1:13">
      <c r="A544" s="22">
        <v>489</v>
      </c>
      <c r="B544" s="23" t="s">
        <v>1083</v>
      </c>
      <c r="C544" s="41" t="s">
        <v>1081</v>
      </c>
      <c r="D544" s="52" t="s">
        <v>1060</v>
      </c>
      <c r="E544" s="19" t="s">
        <v>256</v>
      </c>
      <c r="F544" s="26" t="s">
        <v>197</v>
      </c>
      <c r="G544" s="27">
        <f>SUMIF(物料月初库存!$C$3:$C$303,$B544,物料月初库存!$F$3:$F$303)</f>
        <v>0</v>
      </c>
      <c r="H544" s="28">
        <f>SUMIF(半成品入库明细!$D$2:$D$650,$B544,半成品入库明细!$G$2:$G$650)</f>
        <v>0</v>
      </c>
      <c r="I544" s="28">
        <f ca="1">SUMIF(半成品出库明细!$D$2:$D$558,$B544,半成品出库明细!$G$2:$G$2)</f>
        <v>0</v>
      </c>
      <c r="J544" s="28">
        <f ca="1" t="shared" si="9"/>
        <v>0</v>
      </c>
      <c r="K544" s="20"/>
      <c r="L544" s="28"/>
      <c r="M544" s="3"/>
    </row>
    <row r="545" s="1" customFormat="1" spans="1:13">
      <c r="A545" s="22">
        <v>490</v>
      </c>
      <c r="B545" s="23" t="s">
        <v>1084</v>
      </c>
      <c r="C545" s="24" t="s">
        <v>1085</v>
      </c>
      <c r="D545" s="52" t="s">
        <v>1060</v>
      </c>
      <c r="E545" s="19" t="s">
        <v>76</v>
      </c>
      <c r="F545" s="26" t="s">
        <v>197</v>
      </c>
      <c r="G545" s="27">
        <f>SUMIF(物料月初库存!$C$3:$C$303,$B545,物料月初库存!$F$3:$F$303)</f>
        <v>0</v>
      </c>
      <c r="H545" s="28">
        <f>SUMIF(半成品入库明细!$D$2:$D$650,$B545,半成品入库明细!$G$2:$G$650)</f>
        <v>0</v>
      </c>
      <c r="I545" s="28">
        <f ca="1">SUMIF(半成品出库明细!$D$2:$D$558,$B545,半成品出库明细!$G$2:$G$2)</f>
        <v>0</v>
      </c>
      <c r="J545" s="28">
        <f ca="1" t="shared" si="9"/>
        <v>0</v>
      </c>
      <c r="K545" s="20"/>
      <c r="L545" s="28"/>
      <c r="M545" s="3"/>
    </row>
    <row r="546" s="1" customFormat="1" spans="1:13">
      <c r="A546" s="22">
        <v>491</v>
      </c>
      <c r="B546" s="23" t="s">
        <v>1086</v>
      </c>
      <c r="C546" s="24" t="s">
        <v>1085</v>
      </c>
      <c r="D546" s="52" t="s">
        <v>1060</v>
      </c>
      <c r="E546" s="19" t="s">
        <v>353</v>
      </c>
      <c r="F546" s="26" t="s">
        <v>197</v>
      </c>
      <c r="G546" s="27">
        <f>SUMIF(物料月初库存!$C$3:$C$303,$B546,物料月初库存!$F$3:$F$303)</f>
        <v>0</v>
      </c>
      <c r="H546" s="28">
        <f>SUMIF(半成品入库明细!$D$2:$D$650,$B546,半成品入库明细!$G$2:$G$650)</f>
        <v>0</v>
      </c>
      <c r="I546" s="28">
        <f ca="1">SUMIF(半成品出库明细!$D$2:$D$558,$B546,半成品出库明细!$G$2:$G$2)</f>
        <v>0</v>
      </c>
      <c r="J546" s="28">
        <f ca="1" t="shared" si="9"/>
        <v>0</v>
      </c>
      <c r="K546" s="20"/>
      <c r="L546" s="28"/>
      <c r="M546" s="3"/>
    </row>
    <row r="547" s="1" customFormat="1" spans="1:13">
      <c r="A547" s="22">
        <v>492</v>
      </c>
      <c r="B547" s="23" t="s">
        <v>1087</v>
      </c>
      <c r="C547" s="24" t="s">
        <v>1085</v>
      </c>
      <c r="D547" s="52" t="s">
        <v>1060</v>
      </c>
      <c r="E547" s="19" t="s">
        <v>1088</v>
      </c>
      <c r="F547" s="26" t="s">
        <v>197</v>
      </c>
      <c r="G547" s="27">
        <f>SUMIF(物料月初库存!$C$3:$C$303,$B547,物料月初库存!$F$3:$F$303)</f>
        <v>0</v>
      </c>
      <c r="H547" s="28">
        <f>SUMIF(半成品入库明细!$D$2:$D$650,$B547,半成品入库明细!$G$2:$G$650)</f>
        <v>0</v>
      </c>
      <c r="I547" s="28">
        <f ca="1">SUMIF(半成品出库明细!$D$2:$D$558,$B547,半成品出库明细!$G$2:$G$2)</f>
        <v>0</v>
      </c>
      <c r="J547" s="28">
        <f ca="1" t="shared" si="9"/>
        <v>0</v>
      </c>
      <c r="K547" s="20"/>
      <c r="L547" s="28"/>
      <c r="M547" s="3"/>
    </row>
    <row r="548" s="1" customFormat="1" spans="1:13">
      <c r="A548" s="22">
        <v>493</v>
      </c>
      <c r="B548" s="23" t="s">
        <v>1089</v>
      </c>
      <c r="C548" s="24" t="s">
        <v>1085</v>
      </c>
      <c r="D548" s="52" t="s">
        <v>1060</v>
      </c>
      <c r="E548" s="19" t="s">
        <v>256</v>
      </c>
      <c r="F548" s="26" t="s">
        <v>197</v>
      </c>
      <c r="G548" s="27">
        <f>SUMIF(物料月初库存!$C$3:$C$303,$B548,物料月初库存!$F$3:$F$303)</f>
        <v>0</v>
      </c>
      <c r="H548" s="28">
        <f>SUMIF(半成品入库明细!$D$2:$D$650,$B548,半成品入库明细!$G$2:$G$650)</f>
        <v>0</v>
      </c>
      <c r="I548" s="28">
        <f ca="1">SUMIF(半成品出库明细!$D$2:$D$558,$B548,半成品出库明细!$G$2:$G$2)</f>
        <v>0</v>
      </c>
      <c r="J548" s="28">
        <f ca="1" t="shared" si="9"/>
        <v>0</v>
      </c>
      <c r="K548" s="20"/>
      <c r="L548" s="3"/>
      <c r="M548" s="3"/>
    </row>
    <row r="549" s="1" customFormat="1" spans="1:13">
      <c r="A549" s="22">
        <v>494</v>
      </c>
      <c r="B549" s="23" t="s">
        <v>1090</v>
      </c>
      <c r="C549" s="24" t="s">
        <v>1091</v>
      </c>
      <c r="D549" s="52" t="s">
        <v>1060</v>
      </c>
      <c r="E549" s="19" t="s">
        <v>76</v>
      </c>
      <c r="F549" s="26" t="s">
        <v>197</v>
      </c>
      <c r="G549" s="27">
        <f>SUMIF(物料月初库存!$C$3:$C$303,$B549,物料月初库存!$F$3:$F$303)</f>
        <v>0</v>
      </c>
      <c r="H549" s="28">
        <f>SUMIF(半成品入库明细!$D$2:$D$650,$B549,半成品入库明细!$G$2:$G$650)</f>
        <v>0</v>
      </c>
      <c r="I549" s="28">
        <f ca="1">SUMIF(半成品出库明细!$D$2:$D$558,$B549,半成品出库明细!$G$2:$G$2)</f>
        <v>0</v>
      </c>
      <c r="J549" s="28">
        <f ca="1" t="shared" si="9"/>
        <v>0</v>
      </c>
      <c r="K549" s="20"/>
      <c r="L549" s="3"/>
      <c r="M549" s="3"/>
    </row>
    <row r="550" s="1" customFormat="1" spans="1:13">
      <c r="A550" s="22">
        <v>495</v>
      </c>
      <c r="B550" s="23" t="s">
        <v>1092</v>
      </c>
      <c r="C550" s="24" t="s">
        <v>1091</v>
      </c>
      <c r="D550" s="52" t="s">
        <v>1060</v>
      </c>
      <c r="E550" s="19" t="s">
        <v>235</v>
      </c>
      <c r="F550" s="26" t="s">
        <v>197</v>
      </c>
      <c r="G550" s="27">
        <f>SUMIF(物料月初库存!$C$3:$C$303,$B550,物料月初库存!$F$3:$F$303)</f>
        <v>0</v>
      </c>
      <c r="H550" s="28">
        <f>SUMIF(半成品入库明细!$D$2:$D$650,$B550,半成品入库明细!$G$2:$G$650)</f>
        <v>0</v>
      </c>
      <c r="I550" s="28">
        <f ca="1">SUMIF(半成品出库明细!$D$2:$D$558,$B550,半成品出库明细!$G$2:$G$2)</f>
        <v>0</v>
      </c>
      <c r="J550" s="28">
        <f ca="1" t="shared" si="9"/>
        <v>0</v>
      </c>
      <c r="K550" s="20"/>
      <c r="L550" s="3"/>
      <c r="M550" s="3"/>
    </row>
    <row r="551" s="1" customFormat="1" spans="1:13">
      <c r="A551" s="22">
        <v>496</v>
      </c>
      <c r="B551" s="23" t="s">
        <v>1093</v>
      </c>
      <c r="C551" s="24" t="s">
        <v>1091</v>
      </c>
      <c r="D551" s="52" t="s">
        <v>1060</v>
      </c>
      <c r="E551" s="28" t="s">
        <v>839</v>
      </c>
      <c r="F551" s="26" t="s">
        <v>197</v>
      </c>
      <c r="G551" s="27">
        <f>SUMIF(物料月初库存!$C$3:$C$303,$B551,物料月初库存!$F$3:$F$303)</f>
        <v>0</v>
      </c>
      <c r="H551" s="28">
        <f>SUMIF(半成品入库明细!$D$2:$D$650,$B551,半成品入库明细!$G$2:$G$650)</f>
        <v>0</v>
      </c>
      <c r="I551" s="28">
        <f ca="1">SUMIF(半成品出库明细!$D$2:$D$558,$B551,半成品出库明细!$G$2:$G$2)</f>
        <v>0</v>
      </c>
      <c r="J551" s="28">
        <f ca="1" t="shared" si="9"/>
        <v>0</v>
      </c>
      <c r="K551" s="20"/>
      <c r="L551" s="3"/>
      <c r="M551" s="3"/>
    </row>
    <row r="552" s="1" customFormat="1" spans="1:13">
      <c r="A552" s="22">
        <v>497</v>
      </c>
      <c r="B552" s="23" t="s">
        <v>1094</v>
      </c>
      <c r="C552" s="24" t="s">
        <v>1095</v>
      </c>
      <c r="D552" s="52" t="s">
        <v>1060</v>
      </c>
      <c r="E552" s="19" t="s">
        <v>76</v>
      </c>
      <c r="F552" s="26" t="s">
        <v>197</v>
      </c>
      <c r="G552" s="27">
        <f>SUMIF(物料月初库存!$C$3:$C$303,$B552,物料月初库存!$F$3:$F$303)</f>
        <v>0</v>
      </c>
      <c r="H552" s="28">
        <f>SUMIF(半成品入库明细!$D$2:$D$650,$B552,半成品入库明细!$G$2:$G$650)</f>
        <v>0</v>
      </c>
      <c r="I552" s="28">
        <f ca="1">SUMIF(半成品出库明细!$D$2:$D$558,$B552,半成品出库明细!$G$2:$G$2)</f>
        <v>0</v>
      </c>
      <c r="J552" s="28">
        <f ca="1" t="shared" si="9"/>
        <v>0</v>
      </c>
      <c r="K552" s="20"/>
      <c r="L552" s="3"/>
      <c r="M552" s="3"/>
    </row>
    <row r="553" s="1" customFormat="1" spans="1:13">
      <c r="A553" s="22">
        <v>498</v>
      </c>
      <c r="B553" s="23" t="s">
        <v>1096</v>
      </c>
      <c r="C553" s="24" t="s">
        <v>1095</v>
      </c>
      <c r="D553" s="52" t="s">
        <v>1060</v>
      </c>
      <c r="E553" s="28" t="s">
        <v>670</v>
      </c>
      <c r="F553" s="26" t="s">
        <v>197</v>
      </c>
      <c r="G553" s="27">
        <f>SUMIF(物料月初库存!$C$3:$C$303,$B553,物料月初库存!$F$3:$F$303)</f>
        <v>0</v>
      </c>
      <c r="H553" s="28">
        <f>SUMIF(半成品入库明细!$D$2:$D$650,$B553,半成品入库明细!$G$2:$G$650)</f>
        <v>0</v>
      </c>
      <c r="I553" s="28">
        <f ca="1">SUMIF(半成品出库明细!$D$2:$D$558,$B553,半成品出库明细!$G$2:$G$2)</f>
        <v>0</v>
      </c>
      <c r="J553" s="28">
        <f ca="1" t="shared" si="9"/>
        <v>0</v>
      </c>
      <c r="K553" s="20"/>
      <c r="L553" s="3"/>
      <c r="M553" s="3"/>
    </row>
    <row r="554" s="1" customFormat="1" spans="1:13">
      <c r="A554" s="22">
        <v>499</v>
      </c>
      <c r="B554" s="23" t="s">
        <v>1097</v>
      </c>
      <c r="C554" s="24" t="s">
        <v>1095</v>
      </c>
      <c r="D554" s="52" t="s">
        <v>1060</v>
      </c>
      <c r="E554" s="28" t="s">
        <v>316</v>
      </c>
      <c r="F554" s="26" t="s">
        <v>197</v>
      </c>
      <c r="G554" s="27">
        <f>SUMIF(物料月初库存!$C$3:$C$303,$B554,物料月初库存!$F$3:$F$303)</f>
        <v>0</v>
      </c>
      <c r="H554" s="28">
        <f>SUMIF(半成品入库明细!$D$2:$D$650,$B554,半成品入库明细!$G$2:$G$650)</f>
        <v>0</v>
      </c>
      <c r="I554" s="28">
        <f ca="1">SUMIF(半成品出库明细!$D$2:$D$558,$B554,半成品出库明细!$G$2:$G$2)</f>
        <v>0</v>
      </c>
      <c r="J554" s="28">
        <f ca="1" t="shared" si="9"/>
        <v>0</v>
      </c>
      <c r="K554" s="20"/>
      <c r="L554" s="3"/>
      <c r="M554" s="3"/>
    </row>
    <row r="555" s="1" customFormat="1" spans="1:13">
      <c r="A555" s="22">
        <v>500</v>
      </c>
      <c r="B555" s="23" t="s">
        <v>1098</v>
      </c>
      <c r="C555" s="24" t="s">
        <v>1095</v>
      </c>
      <c r="D555" s="52" t="s">
        <v>1060</v>
      </c>
      <c r="E555" s="28" t="s">
        <v>839</v>
      </c>
      <c r="F555" s="26" t="s">
        <v>197</v>
      </c>
      <c r="G555" s="27">
        <f>SUMIF(物料月初库存!$C$3:$C$303,$B555,物料月初库存!$F$3:$F$303)</f>
        <v>0</v>
      </c>
      <c r="H555" s="28">
        <f>SUMIF(半成品入库明细!$D$2:$D$650,$B555,半成品入库明细!$G$2:$G$650)</f>
        <v>0</v>
      </c>
      <c r="I555" s="28">
        <f ca="1">SUMIF(半成品出库明细!$D$2:$D$558,$B555,半成品出库明细!$G$2:$G$2)</f>
        <v>0</v>
      </c>
      <c r="J555" s="28">
        <f ca="1" t="shared" si="9"/>
        <v>0</v>
      </c>
      <c r="K555" s="20"/>
      <c r="L555" s="3"/>
      <c r="M555" s="3"/>
    </row>
    <row r="556" s="1" customFormat="1" spans="1:13">
      <c r="A556" s="22">
        <v>501</v>
      </c>
      <c r="B556" s="23" t="s">
        <v>1099</v>
      </c>
      <c r="C556" s="24" t="s">
        <v>1100</v>
      </c>
      <c r="D556" s="52" t="s">
        <v>1060</v>
      </c>
      <c r="E556" s="19" t="s">
        <v>76</v>
      </c>
      <c r="F556" s="26" t="s">
        <v>197</v>
      </c>
      <c r="G556" s="27">
        <f>SUMIF(物料月初库存!$C$3:$C$303,$B556,物料月初库存!$F$3:$F$303)</f>
        <v>0</v>
      </c>
      <c r="H556" s="28">
        <f>SUMIF(半成品入库明细!$D$2:$D$650,$B556,半成品入库明细!$G$2:$G$650)</f>
        <v>0</v>
      </c>
      <c r="I556" s="28">
        <f ca="1">SUMIF(半成品出库明细!$D$2:$D$558,$B556,半成品出库明细!$G$2:$G$2)</f>
        <v>0</v>
      </c>
      <c r="J556" s="28">
        <f ca="1" t="shared" si="9"/>
        <v>0</v>
      </c>
      <c r="K556" s="20"/>
      <c r="L556" s="3"/>
      <c r="M556" s="3"/>
    </row>
    <row r="557" s="1" customFormat="1" spans="1:13">
      <c r="A557" s="22">
        <v>502</v>
      </c>
      <c r="B557" s="23" t="s">
        <v>1101</v>
      </c>
      <c r="C557" s="24" t="s">
        <v>1100</v>
      </c>
      <c r="D557" s="52" t="s">
        <v>1060</v>
      </c>
      <c r="E557" s="19" t="s">
        <v>353</v>
      </c>
      <c r="F557" s="26" t="s">
        <v>197</v>
      </c>
      <c r="G557" s="27">
        <f>SUMIF(物料月初库存!$C$3:$C$303,$B557,物料月初库存!$F$3:$F$303)</f>
        <v>0</v>
      </c>
      <c r="H557" s="28">
        <f>SUMIF(半成品入库明细!$D$2:$D$650,$B557,半成品入库明细!$G$2:$G$650)</f>
        <v>0</v>
      </c>
      <c r="I557" s="28">
        <f ca="1">SUMIF(半成品出库明细!$D$2:$D$558,$B557,半成品出库明细!$G$2:$G$2)</f>
        <v>0</v>
      </c>
      <c r="J557" s="28">
        <f ca="1" t="shared" si="9"/>
        <v>0</v>
      </c>
      <c r="K557" s="20"/>
      <c r="L557" s="3"/>
      <c r="M557" s="3"/>
    </row>
    <row r="558" s="1" customFormat="1" spans="1:13">
      <c r="A558" s="22">
        <v>503</v>
      </c>
      <c r="B558" s="23" t="s">
        <v>1102</v>
      </c>
      <c r="C558" s="24" t="s">
        <v>1100</v>
      </c>
      <c r="D558" s="52" t="s">
        <v>1060</v>
      </c>
      <c r="E558" s="50" t="s">
        <v>1103</v>
      </c>
      <c r="F558" s="26" t="s">
        <v>197</v>
      </c>
      <c r="G558" s="27">
        <f>SUMIF(物料月初库存!$C$3:$C$303,$B558,物料月初库存!$F$3:$F$303)</f>
        <v>0</v>
      </c>
      <c r="H558" s="28">
        <f>SUMIF(半成品入库明细!$D$2:$D$650,$B558,半成品入库明细!$G$2:$G$650)</f>
        <v>0</v>
      </c>
      <c r="I558" s="28">
        <f ca="1">SUMIF(半成品出库明细!$D$2:$D$558,$B558,半成品出库明细!$G$2:$G$2)</f>
        <v>0</v>
      </c>
      <c r="J558" s="28">
        <f ca="1" t="shared" si="9"/>
        <v>0</v>
      </c>
      <c r="K558" s="20"/>
      <c r="L558" s="3"/>
      <c r="M558" s="3"/>
    </row>
    <row r="559" s="1" customFormat="1" spans="1:13">
      <c r="A559" s="22">
        <v>504</v>
      </c>
      <c r="B559" s="23" t="s">
        <v>1104</v>
      </c>
      <c r="C559" s="24" t="s">
        <v>1100</v>
      </c>
      <c r="D559" s="52" t="s">
        <v>1060</v>
      </c>
      <c r="E559" s="19" t="s">
        <v>256</v>
      </c>
      <c r="F559" s="26" t="s">
        <v>197</v>
      </c>
      <c r="G559" s="27">
        <f>SUMIF(物料月初库存!$C$3:$C$303,$B559,物料月初库存!$F$3:$F$303)</f>
        <v>0</v>
      </c>
      <c r="H559" s="28">
        <f>SUMIF(半成品入库明细!$D$2:$D$650,$B559,半成品入库明细!$G$2:$G$650)</f>
        <v>0</v>
      </c>
      <c r="I559" s="28">
        <f ca="1">SUMIF(半成品出库明细!$D$2:$D$558,$B559,半成品出库明细!$G$2:$G$2)</f>
        <v>0</v>
      </c>
      <c r="J559" s="28">
        <f ca="1" t="shared" si="9"/>
        <v>0</v>
      </c>
      <c r="K559" s="20"/>
      <c r="L559" s="3"/>
      <c r="M559" s="3"/>
    </row>
    <row r="560" s="1" customFormat="1" spans="1:13">
      <c r="A560" s="22">
        <v>505</v>
      </c>
      <c r="B560" s="23" t="s">
        <v>1105</v>
      </c>
      <c r="C560" s="24" t="s">
        <v>1106</v>
      </c>
      <c r="D560" s="52" t="s">
        <v>1060</v>
      </c>
      <c r="E560" s="19" t="s">
        <v>76</v>
      </c>
      <c r="F560" s="26" t="s">
        <v>197</v>
      </c>
      <c r="G560" s="27">
        <f>SUMIF(物料月初库存!$C$3:$C$303,$B560,物料月初库存!$F$3:$F$303)</f>
        <v>0</v>
      </c>
      <c r="H560" s="28">
        <f>SUMIF(半成品入库明细!$D$2:$D$650,$B560,半成品入库明细!$G$2:$G$650)</f>
        <v>0</v>
      </c>
      <c r="I560" s="28">
        <f ca="1">SUMIF(半成品出库明细!$D$2:$D$558,$B560,半成品出库明细!$G$2:$G$2)</f>
        <v>0</v>
      </c>
      <c r="J560" s="28">
        <f ca="1" t="shared" si="9"/>
        <v>0</v>
      </c>
      <c r="K560" s="20"/>
      <c r="L560" s="3"/>
      <c r="M560" s="3"/>
    </row>
    <row r="561" s="1" customFormat="1" spans="1:13">
      <c r="A561" s="22">
        <v>506</v>
      </c>
      <c r="B561" s="23" t="s">
        <v>1107</v>
      </c>
      <c r="C561" s="24" t="s">
        <v>1106</v>
      </c>
      <c r="D561" s="52" t="s">
        <v>1060</v>
      </c>
      <c r="E561" s="19" t="s">
        <v>235</v>
      </c>
      <c r="F561" s="26" t="s">
        <v>197</v>
      </c>
      <c r="G561" s="27">
        <f>SUMIF(物料月初库存!$C$3:$C$303,$B561,物料月初库存!$F$3:$F$303)</f>
        <v>0</v>
      </c>
      <c r="H561" s="28">
        <f>SUMIF(半成品入库明细!$D$2:$D$650,$B561,半成品入库明细!$G$2:$G$650)</f>
        <v>0</v>
      </c>
      <c r="I561" s="28">
        <f ca="1">SUMIF(半成品出库明细!$D$2:$D$558,$B561,半成品出库明细!$G$2:$G$2)</f>
        <v>0</v>
      </c>
      <c r="J561" s="28">
        <f ca="1" t="shared" si="9"/>
        <v>0</v>
      </c>
      <c r="K561" s="20"/>
      <c r="L561" s="3"/>
      <c r="M561" s="3"/>
    </row>
    <row r="562" s="1" customFormat="1" spans="1:13">
      <c r="A562" s="22">
        <v>507</v>
      </c>
      <c r="B562" s="23" t="s">
        <v>1108</v>
      </c>
      <c r="C562" s="24" t="s">
        <v>1106</v>
      </c>
      <c r="D562" s="52" t="s">
        <v>1060</v>
      </c>
      <c r="E562" s="19" t="s">
        <v>256</v>
      </c>
      <c r="F562" s="26" t="s">
        <v>197</v>
      </c>
      <c r="G562" s="27">
        <f>SUMIF(物料月初库存!$C$3:$C$303,$B562,物料月初库存!$F$3:$F$303)</f>
        <v>0</v>
      </c>
      <c r="H562" s="28">
        <f>SUMIF(半成品入库明细!$D$2:$D$650,$B562,半成品入库明细!$G$2:$G$650)</f>
        <v>0</v>
      </c>
      <c r="I562" s="28">
        <f ca="1">SUMIF(半成品出库明细!$D$2:$D$558,$B562,半成品出库明细!$G$2:$G$2)</f>
        <v>0</v>
      </c>
      <c r="J562" s="28">
        <f ca="1" t="shared" si="9"/>
        <v>0</v>
      </c>
      <c r="K562" s="20"/>
      <c r="L562" s="3"/>
      <c r="M562" s="3"/>
    </row>
    <row r="563" s="1" customFormat="1" spans="1:13">
      <c r="A563" s="22">
        <v>508</v>
      </c>
      <c r="B563" s="23" t="s">
        <v>1109</v>
      </c>
      <c r="C563" s="24" t="s">
        <v>1110</v>
      </c>
      <c r="D563" s="52" t="s">
        <v>1060</v>
      </c>
      <c r="E563" s="19" t="s">
        <v>76</v>
      </c>
      <c r="F563" s="26" t="s">
        <v>197</v>
      </c>
      <c r="G563" s="27">
        <f>SUMIF(物料月初库存!$C$3:$C$303,$B563,物料月初库存!$F$3:$F$303)</f>
        <v>0</v>
      </c>
      <c r="H563" s="28">
        <f>SUMIF(半成品入库明细!$D$2:$D$650,$B563,半成品入库明细!$G$2:$G$650)</f>
        <v>0</v>
      </c>
      <c r="I563" s="28">
        <f ca="1">SUMIF(半成品出库明细!$D$2:$D$558,$B563,半成品出库明细!$G$2:$G$2)</f>
        <v>0</v>
      </c>
      <c r="J563" s="28">
        <f ca="1" t="shared" si="9"/>
        <v>0</v>
      </c>
      <c r="K563" s="20"/>
      <c r="L563" s="3"/>
      <c r="M563" s="3"/>
    </row>
    <row r="564" s="1" customFormat="1" spans="1:13">
      <c r="A564" s="22">
        <v>509</v>
      </c>
      <c r="B564" s="23" t="s">
        <v>1111</v>
      </c>
      <c r="C564" s="24" t="s">
        <v>1110</v>
      </c>
      <c r="D564" s="52" t="s">
        <v>1060</v>
      </c>
      <c r="E564" s="28" t="s">
        <v>316</v>
      </c>
      <c r="F564" s="26" t="s">
        <v>197</v>
      </c>
      <c r="G564" s="27">
        <f>SUMIF(物料月初库存!$C$3:$C$303,$B564,物料月初库存!$F$3:$F$303)</f>
        <v>0</v>
      </c>
      <c r="H564" s="28">
        <f>SUMIF(半成品入库明细!$D$2:$D$650,$B564,半成品入库明细!$G$2:$G$650)</f>
        <v>0</v>
      </c>
      <c r="I564" s="28">
        <f ca="1">SUMIF(半成品出库明细!$D$2:$D$558,$B564,半成品出库明细!$G$2:$G$2)</f>
        <v>0</v>
      </c>
      <c r="J564" s="28">
        <f ca="1" t="shared" si="9"/>
        <v>0</v>
      </c>
      <c r="K564" s="20"/>
      <c r="L564" s="3"/>
      <c r="M564" s="3"/>
    </row>
    <row r="565" s="1" customFormat="1" spans="1:13">
      <c r="A565" s="22">
        <v>510</v>
      </c>
      <c r="B565" s="23" t="s">
        <v>1112</v>
      </c>
      <c r="C565" s="24" t="s">
        <v>1110</v>
      </c>
      <c r="D565" s="52" t="s">
        <v>1060</v>
      </c>
      <c r="E565" s="19" t="s">
        <v>256</v>
      </c>
      <c r="F565" s="26" t="s">
        <v>197</v>
      </c>
      <c r="G565" s="27">
        <f>SUMIF(物料月初库存!$C$3:$C$303,$B565,物料月初库存!$F$3:$F$303)</f>
        <v>0</v>
      </c>
      <c r="H565" s="28">
        <f>SUMIF(半成品入库明细!$D$2:$D$650,$B565,半成品入库明细!$G$2:$G$650)</f>
        <v>0</v>
      </c>
      <c r="I565" s="28">
        <f ca="1">SUMIF(半成品出库明细!$D$2:$D$558,$B565,半成品出库明细!$G$2:$G$2)</f>
        <v>0</v>
      </c>
      <c r="J565" s="28">
        <f ca="1" t="shared" si="9"/>
        <v>0</v>
      </c>
      <c r="K565" s="20"/>
      <c r="L565" s="3"/>
      <c r="M565" s="3"/>
    </row>
    <row r="566" s="1" customFormat="1" ht="15" customHeight="1" spans="1:13">
      <c r="A566" s="22">
        <v>511</v>
      </c>
      <c r="B566" s="23" t="s">
        <v>1113</v>
      </c>
      <c r="C566" s="24" t="s">
        <v>1114</v>
      </c>
      <c r="D566" s="52" t="s">
        <v>1060</v>
      </c>
      <c r="E566" s="19" t="s">
        <v>76</v>
      </c>
      <c r="F566" s="26" t="s">
        <v>197</v>
      </c>
      <c r="G566" s="27">
        <f>SUMIF(物料月初库存!$C$3:$C$303,$B566,物料月初库存!$F$3:$F$303)</f>
        <v>0</v>
      </c>
      <c r="H566" s="28">
        <f>SUMIF(半成品入库明细!$D$2:$D$650,$B566,半成品入库明细!$G$2:$G$650)</f>
        <v>0</v>
      </c>
      <c r="I566" s="28">
        <f ca="1">SUMIF(半成品出库明细!$D$2:$D$558,$B566,半成品出库明细!$G$2:$G$2)</f>
        <v>0</v>
      </c>
      <c r="J566" s="28">
        <f ca="1" t="shared" si="9"/>
        <v>0</v>
      </c>
      <c r="K566" s="20"/>
      <c r="L566" s="3"/>
      <c r="M566" s="3"/>
    </row>
    <row r="567" s="1" customFormat="1" ht="15" customHeight="1" spans="1:13">
      <c r="A567" s="22">
        <v>512</v>
      </c>
      <c r="B567" s="23" t="s">
        <v>1115</v>
      </c>
      <c r="C567" s="24" t="s">
        <v>1114</v>
      </c>
      <c r="D567" s="52" t="s">
        <v>1060</v>
      </c>
      <c r="E567" s="50" t="s">
        <v>1116</v>
      </c>
      <c r="F567" s="26" t="s">
        <v>197</v>
      </c>
      <c r="G567" s="27">
        <f>SUMIF(物料月初库存!$C$3:$C$303,$B567,物料月初库存!$F$3:$F$303)</f>
        <v>0</v>
      </c>
      <c r="H567" s="28">
        <f>SUMIF(半成品入库明细!$D$2:$D$650,$B567,半成品入库明细!$G$2:$G$650)</f>
        <v>0</v>
      </c>
      <c r="I567" s="28">
        <f ca="1">SUMIF(半成品出库明细!$D$2:$D$558,$B567,半成品出库明细!$G$2:$G$2)</f>
        <v>0</v>
      </c>
      <c r="J567" s="28">
        <f ca="1" t="shared" si="9"/>
        <v>0</v>
      </c>
      <c r="K567" s="20"/>
      <c r="L567" s="3"/>
      <c r="M567" s="3"/>
    </row>
    <row r="568" s="1" customFormat="1" ht="15" customHeight="1" spans="1:13">
      <c r="A568" s="22">
        <v>513</v>
      </c>
      <c r="B568" s="23" t="s">
        <v>1117</v>
      </c>
      <c r="C568" s="24" t="s">
        <v>1114</v>
      </c>
      <c r="D568" s="52" t="s">
        <v>1060</v>
      </c>
      <c r="E568" s="28" t="s">
        <v>839</v>
      </c>
      <c r="F568" s="26" t="s">
        <v>197</v>
      </c>
      <c r="G568" s="27">
        <f>SUMIF(物料月初库存!$C$3:$C$303,$B568,物料月初库存!$F$3:$F$303)</f>
        <v>0</v>
      </c>
      <c r="H568" s="28">
        <f>SUMIF(半成品入库明细!$D$2:$D$650,$B568,半成品入库明细!$G$2:$G$650)</f>
        <v>0</v>
      </c>
      <c r="I568" s="28">
        <f ca="1">SUMIF(半成品出库明细!$D$2:$D$558,$B568,半成品出库明细!$G$2:$G$2)</f>
        <v>0</v>
      </c>
      <c r="J568" s="28">
        <f ca="1" t="shared" si="9"/>
        <v>0</v>
      </c>
      <c r="K568" s="20"/>
      <c r="L568" s="3"/>
      <c r="M568" s="3"/>
    </row>
    <row r="569" s="1" customFormat="1" ht="15" customHeight="1" spans="1:13">
      <c r="A569" s="22">
        <v>514</v>
      </c>
      <c r="B569" s="23" t="s">
        <v>1118</v>
      </c>
      <c r="C569" s="24" t="s">
        <v>1119</v>
      </c>
      <c r="D569" s="52" t="s">
        <v>1060</v>
      </c>
      <c r="E569" s="19" t="s">
        <v>76</v>
      </c>
      <c r="F569" s="26" t="s">
        <v>197</v>
      </c>
      <c r="G569" s="27">
        <f>SUMIF(物料月初库存!$C$3:$C$303,$B569,物料月初库存!$F$3:$F$303)</f>
        <v>0</v>
      </c>
      <c r="H569" s="28">
        <f>SUMIF(半成品入库明细!$D$2:$D$650,$B569,半成品入库明细!$G$2:$G$650)</f>
        <v>0</v>
      </c>
      <c r="I569" s="28">
        <f ca="1">SUMIF(半成品出库明细!$D$2:$D$558,$B569,半成品出库明细!$G$2:$G$2)</f>
        <v>0</v>
      </c>
      <c r="J569" s="28">
        <f ca="1" t="shared" si="9"/>
        <v>0</v>
      </c>
      <c r="K569" s="20"/>
      <c r="L569" s="3"/>
      <c r="M569" s="3"/>
    </row>
    <row r="570" s="1" customFormat="1" ht="15" customHeight="1" spans="1:13">
      <c r="A570" s="22">
        <v>515</v>
      </c>
      <c r="B570" s="23" t="s">
        <v>1120</v>
      </c>
      <c r="C570" s="24" t="s">
        <v>1119</v>
      </c>
      <c r="D570" s="52" t="s">
        <v>1060</v>
      </c>
      <c r="E570" s="50" t="s">
        <v>1116</v>
      </c>
      <c r="F570" s="26" t="s">
        <v>197</v>
      </c>
      <c r="G570" s="27">
        <f>SUMIF(物料月初库存!$C$3:$C$303,$B570,物料月初库存!$F$3:$F$303)</f>
        <v>0</v>
      </c>
      <c r="H570" s="28">
        <f>SUMIF(半成品入库明细!$D$2:$D$650,$B570,半成品入库明细!$G$2:$G$650)</f>
        <v>0</v>
      </c>
      <c r="I570" s="28">
        <f ca="1">SUMIF(半成品出库明细!$D$2:$D$558,$B570,半成品出库明细!$G$2:$G$2)</f>
        <v>0</v>
      </c>
      <c r="J570" s="28">
        <f ca="1" t="shared" si="9"/>
        <v>0</v>
      </c>
      <c r="K570" s="20"/>
      <c r="L570" s="3"/>
      <c r="M570" s="3"/>
    </row>
    <row r="571" s="1" customFormat="1" ht="15" customHeight="1" spans="1:13">
      <c r="A571" s="22">
        <v>516</v>
      </c>
      <c r="B571" s="23" t="s">
        <v>1121</v>
      </c>
      <c r="C571" s="24" t="s">
        <v>1119</v>
      </c>
      <c r="D571" s="52" t="s">
        <v>1060</v>
      </c>
      <c r="E571" s="28" t="s">
        <v>316</v>
      </c>
      <c r="F571" s="26" t="s">
        <v>197</v>
      </c>
      <c r="G571" s="27">
        <f>SUMIF(物料月初库存!$C$3:$C$303,$B571,物料月初库存!$F$3:$F$303)</f>
        <v>0</v>
      </c>
      <c r="H571" s="28">
        <f>SUMIF(半成品入库明细!$D$2:$D$650,$B571,半成品入库明细!$G$2:$G$650)</f>
        <v>0</v>
      </c>
      <c r="I571" s="28">
        <f ca="1">SUMIF(半成品出库明细!$D$2:$D$558,$B571,半成品出库明细!$G$2:$G$2)</f>
        <v>0</v>
      </c>
      <c r="J571" s="28">
        <f ca="1" t="shared" si="9"/>
        <v>0</v>
      </c>
      <c r="K571" s="20"/>
      <c r="L571" s="3"/>
      <c r="M571" s="3"/>
    </row>
    <row r="572" s="1" customFormat="1" ht="15" customHeight="1" spans="1:13">
      <c r="A572" s="22">
        <v>517</v>
      </c>
      <c r="B572" s="23" t="s">
        <v>1122</v>
      </c>
      <c r="C572" s="24" t="s">
        <v>1119</v>
      </c>
      <c r="D572" s="52" t="s">
        <v>1060</v>
      </c>
      <c r="E572" s="28" t="s">
        <v>839</v>
      </c>
      <c r="F572" s="26" t="s">
        <v>197</v>
      </c>
      <c r="G572" s="27">
        <f>SUMIF(物料月初库存!$C$3:$C$303,$B572,物料月初库存!$F$3:$F$303)</f>
        <v>0</v>
      </c>
      <c r="H572" s="28">
        <f>SUMIF(半成品入库明细!$D$2:$D$650,$B572,半成品入库明细!$G$2:$G$650)</f>
        <v>0</v>
      </c>
      <c r="I572" s="28">
        <f ca="1">SUMIF(半成品出库明细!$D$2:$D$558,$B572,半成品出库明细!$G$2:$G$2)</f>
        <v>0</v>
      </c>
      <c r="J572" s="28">
        <f ca="1" t="shared" si="9"/>
        <v>0</v>
      </c>
      <c r="K572" s="20"/>
      <c r="L572" s="3"/>
      <c r="M572" s="3"/>
    </row>
    <row r="573" s="1" customFormat="1" ht="15" customHeight="1" spans="1:13">
      <c r="A573" s="22">
        <v>518</v>
      </c>
      <c r="B573" s="23" t="s">
        <v>1123</v>
      </c>
      <c r="C573" s="41" t="s">
        <v>1124</v>
      </c>
      <c r="D573" s="52" t="s">
        <v>1060</v>
      </c>
      <c r="E573" s="19" t="s">
        <v>76</v>
      </c>
      <c r="F573" s="26" t="s">
        <v>197</v>
      </c>
      <c r="G573" s="27">
        <f>SUMIF(物料月初库存!$C$3:$C$303,$B573,物料月初库存!$F$3:$F$303)</f>
        <v>0</v>
      </c>
      <c r="H573" s="28">
        <f>SUMIF(半成品入库明细!$D$2:$D$650,$B573,半成品入库明细!$G$2:$G$650)</f>
        <v>0</v>
      </c>
      <c r="I573" s="28">
        <f ca="1">SUMIF(半成品出库明细!$D$2:$D$558,$B573,半成品出库明细!$G$2:$G$2)</f>
        <v>0</v>
      </c>
      <c r="J573" s="28">
        <f ca="1" t="shared" si="9"/>
        <v>0</v>
      </c>
      <c r="K573" s="20"/>
      <c r="L573" s="3"/>
      <c r="M573" s="3"/>
    </row>
    <row r="574" s="1" customFormat="1" ht="15" customHeight="1" spans="1:13">
      <c r="A574" s="22">
        <v>519</v>
      </c>
      <c r="B574" s="23" t="s">
        <v>1125</v>
      </c>
      <c r="C574" s="41" t="s">
        <v>1124</v>
      </c>
      <c r="D574" s="52" t="s">
        <v>1060</v>
      </c>
      <c r="E574" s="28" t="s">
        <v>353</v>
      </c>
      <c r="F574" s="26" t="s">
        <v>197</v>
      </c>
      <c r="G574" s="27">
        <f>SUMIF(物料月初库存!$C$3:$C$303,$B574,物料月初库存!$F$3:$F$303)</f>
        <v>0</v>
      </c>
      <c r="H574" s="28">
        <f>SUMIF(半成品入库明细!$D$2:$D$650,$B574,半成品入库明细!$G$2:$G$650)</f>
        <v>0</v>
      </c>
      <c r="I574" s="28">
        <f ca="1">SUMIF(半成品出库明细!$D$2:$D$558,$B574,半成品出库明细!$G$2:$G$2)</f>
        <v>0</v>
      </c>
      <c r="J574" s="28">
        <f ca="1" t="shared" si="9"/>
        <v>0</v>
      </c>
      <c r="K574" s="20"/>
      <c r="L574" s="3"/>
      <c r="M574" s="3"/>
    </row>
    <row r="575" s="1" customFormat="1" ht="15" customHeight="1" spans="1:13">
      <c r="A575" s="22">
        <v>520</v>
      </c>
      <c r="B575" s="23" t="s">
        <v>1126</v>
      </c>
      <c r="C575" s="41" t="s">
        <v>1124</v>
      </c>
      <c r="D575" s="52" t="s">
        <v>1060</v>
      </c>
      <c r="E575" s="19" t="s">
        <v>235</v>
      </c>
      <c r="F575" s="26" t="s">
        <v>197</v>
      </c>
      <c r="G575" s="27">
        <f>SUMIF(物料月初库存!$C$3:$C$303,$B575,物料月初库存!$F$3:$F$303)</f>
        <v>0</v>
      </c>
      <c r="H575" s="28">
        <f>SUMIF(半成品入库明细!$D$2:$D$650,$B575,半成品入库明细!$G$2:$G$650)</f>
        <v>0</v>
      </c>
      <c r="I575" s="28">
        <f ca="1">SUMIF(半成品出库明细!$D$2:$D$558,$B575,半成品出库明细!$G$2:$G$2)</f>
        <v>0</v>
      </c>
      <c r="J575" s="28">
        <f ca="1" t="shared" si="9"/>
        <v>0</v>
      </c>
      <c r="K575" s="20"/>
      <c r="L575" s="3"/>
      <c r="M575" s="3"/>
    </row>
    <row r="576" s="1" customFormat="1" ht="15" customHeight="1" spans="1:13">
      <c r="A576" s="22">
        <v>521</v>
      </c>
      <c r="B576" s="23" t="s">
        <v>1127</v>
      </c>
      <c r="C576" s="41" t="s">
        <v>1124</v>
      </c>
      <c r="D576" s="52" t="s">
        <v>1060</v>
      </c>
      <c r="E576" s="19" t="s">
        <v>256</v>
      </c>
      <c r="F576" s="26" t="s">
        <v>197</v>
      </c>
      <c r="G576" s="27">
        <f>SUMIF(物料月初库存!$C$3:$C$303,$B576,物料月初库存!$F$3:$F$303)</f>
        <v>0</v>
      </c>
      <c r="H576" s="28">
        <f>SUMIF(半成品入库明细!$D$2:$D$650,$B576,半成品入库明细!$G$2:$G$650)</f>
        <v>0</v>
      </c>
      <c r="I576" s="28">
        <f ca="1">SUMIF(半成品出库明细!$D$2:$D$558,$B576,半成品出库明细!$G$2:$G$2)</f>
        <v>0</v>
      </c>
      <c r="J576" s="28">
        <f ca="1" t="shared" si="9"/>
        <v>0</v>
      </c>
      <c r="K576" s="20"/>
      <c r="L576" s="3"/>
      <c r="M576" s="3"/>
    </row>
    <row r="577" s="1" customFormat="1" ht="15" customHeight="1" spans="1:13">
      <c r="A577" s="22">
        <v>522</v>
      </c>
      <c r="B577" s="23" t="s">
        <v>1128</v>
      </c>
      <c r="C577" s="41" t="s">
        <v>1129</v>
      </c>
      <c r="D577" s="52" t="s">
        <v>1060</v>
      </c>
      <c r="E577" s="19" t="s">
        <v>76</v>
      </c>
      <c r="F577" s="26" t="s">
        <v>197</v>
      </c>
      <c r="G577" s="27">
        <f>SUMIF(物料月初库存!$C$3:$C$303,$B577,物料月初库存!$F$3:$F$303)</f>
        <v>0</v>
      </c>
      <c r="H577" s="28">
        <f>SUMIF(半成品入库明细!$D$2:$D$650,$B577,半成品入库明细!$G$2:$G$650)</f>
        <v>0</v>
      </c>
      <c r="I577" s="28">
        <f ca="1">SUMIF(半成品出库明细!$D$2:$D$558,$B577,半成品出库明细!$G$2:$G$2)</f>
        <v>0</v>
      </c>
      <c r="J577" s="28">
        <f ca="1" t="shared" si="9"/>
        <v>0</v>
      </c>
      <c r="K577" s="20"/>
      <c r="L577" s="3"/>
      <c r="M577" s="3"/>
    </row>
    <row r="578" s="1" customFormat="1" ht="15" customHeight="1" spans="1:13">
      <c r="A578" s="22">
        <v>523</v>
      </c>
      <c r="B578" s="23" t="s">
        <v>1130</v>
      </c>
      <c r="C578" s="41" t="s">
        <v>1129</v>
      </c>
      <c r="D578" s="52" t="s">
        <v>1060</v>
      </c>
      <c r="E578" s="28" t="s">
        <v>353</v>
      </c>
      <c r="F578" s="26" t="s">
        <v>197</v>
      </c>
      <c r="G578" s="27">
        <f>SUMIF(物料月初库存!$C$3:$C$303,$B578,物料月初库存!$F$3:$F$303)</f>
        <v>0</v>
      </c>
      <c r="H578" s="28">
        <f>SUMIF(半成品入库明细!$D$2:$D$650,$B578,半成品入库明细!$G$2:$G$650)</f>
        <v>0</v>
      </c>
      <c r="I578" s="28">
        <f ca="1">SUMIF(半成品出库明细!$D$2:$D$558,$B578,半成品出库明细!$G$2:$G$2)</f>
        <v>0</v>
      </c>
      <c r="J578" s="28">
        <f ca="1" t="shared" si="9"/>
        <v>0</v>
      </c>
      <c r="K578" s="20"/>
      <c r="L578" s="3"/>
      <c r="M578" s="3"/>
    </row>
    <row r="579" s="1" customFormat="1" ht="15" customHeight="1" spans="1:13">
      <c r="A579" s="22">
        <v>524</v>
      </c>
      <c r="B579" s="23" t="s">
        <v>1131</v>
      </c>
      <c r="C579" s="41" t="s">
        <v>1129</v>
      </c>
      <c r="D579" s="52" t="s">
        <v>1060</v>
      </c>
      <c r="E579" s="19" t="s">
        <v>235</v>
      </c>
      <c r="F579" s="26" t="s">
        <v>197</v>
      </c>
      <c r="G579" s="27">
        <f>SUMIF(物料月初库存!$C$3:$C$303,$B579,物料月初库存!$F$3:$F$303)</f>
        <v>0</v>
      </c>
      <c r="H579" s="28">
        <f>SUMIF(半成品入库明细!$D$2:$D$650,$B579,半成品入库明细!$G$2:$G$650)</f>
        <v>0</v>
      </c>
      <c r="I579" s="28">
        <f ca="1">SUMIF(半成品出库明细!$D$2:$D$558,$B579,半成品出库明细!$G$2:$G$2)</f>
        <v>0</v>
      </c>
      <c r="J579" s="28">
        <f ca="1" t="shared" si="9"/>
        <v>0</v>
      </c>
      <c r="K579" s="20"/>
      <c r="L579" s="3"/>
      <c r="M579" s="3"/>
    </row>
    <row r="580" s="1" customFormat="1" ht="15" customHeight="1" spans="1:13">
      <c r="A580" s="22">
        <v>525</v>
      </c>
      <c r="B580" s="23" t="s">
        <v>1132</v>
      </c>
      <c r="C580" s="41" t="s">
        <v>1129</v>
      </c>
      <c r="D580" s="52" t="s">
        <v>1060</v>
      </c>
      <c r="E580" s="19" t="s">
        <v>256</v>
      </c>
      <c r="F580" s="26" t="s">
        <v>197</v>
      </c>
      <c r="G580" s="27">
        <f>SUMIF(物料月初库存!$C$3:$C$303,$B580,物料月初库存!$F$3:$F$303)</f>
        <v>0</v>
      </c>
      <c r="H580" s="28">
        <f>SUMIF(半成品入库明细!$D$2:$D$650,$B580,半成品入库明细!$G$2:$G$650)</f>
        <v>0</v>
      </c>
      <c r="I580" s="28">
        <f ca="1">SUMIF(半成品出库明细!$D$2:$D$558,$B580,半成品出库明细!$G$2:$G$2)</f>
        <v>0</v>
      </c>
      <c r="J580" s="28">
        <f ca="1" t="shared" si="9"/>
        <v>0</v>
      </c>
      <c r="K580" s="20"/>
      <c r="L580" s="3"/>
      <c r="M580" s="3"/>
    </row>
    <row r="581" s="1" customFormat="1" ht="15" customHeight="1" spans="1:13">
      <c r="A581" s="22">
        <v>526</v>
      </c>
      <c r="B581" s="23" t="s">
        <v>1133</v>
      </c>
      <c r="C581" s="41" t="s">
        <v>1134</v>
      </c>
      <c r="D581" s="52" t="s">
        <v>1060</v>
      </c>
      <c r="E581" s="19" t="s">
        <v>256</v>
      </c>
      <c r="F581" s="26" t="s">
        <v>197</v>
      </c>
      <c r="G581" s="27">
        <f>SUMIF(物料月初库存!$C$3:$C$303,$B581,物料月初库存!$F$3:$F$303)</f>
        <v>0</v>
      </c>
      <c r="H581" s="28">
        <f>SUMIF(半成品入库明细!$D$2:$D$650,$B581,半成品入库明细!$G$2:$G$650)</f>
        <v>0</v>
      </c>
      <c r="I581" s="28">
        <f ca="1">SUMIF(半成品出库明细!$D$2:$D$558,$B581,半成品出库明细!$G$2:$G$2)</f>
        <v>0</v>
      </c>
      <c r="J581" s="28">
        <f ca="1" t="shared" si="9"/>
        <v>0</v>
      </c>
      <c r="K581" s="20"/>
      <c r="L581" s="3"/>
      <c r="M581" s="3"/>
    </row>
    <row r="582" s="1" customFormat="1" ht="15" customHeight="1" spans="1:13">
      <c r="A582" s="22">
        <v>527</v>
      </c>
      <c r="B582" s="23" t="s">
        <v>1135</v>
      </c>
      <c r="C582" s="41" t="s">
        <v>1136</v>
      </c>
      <c r="D582" s="52" t="s">
        <v>1060</v>
      </c>
      <c r="E582" s="19" t="s">
        <v>76</v>
      </c>
      <c r="F582" s="26" t="s">
        <v>197</v>
      </c>
      <c r="G582" s="27">
        <f>SUMIF(物料月初库存!$C$3:$C$303,$B582,物料月初库存!$F$3:$F$303)</f>
        <v>0</v>
      </c>
      <c r="H582" s="28">
        <f>SUMIF(半成品入库明细!$D$2:$D$650,$B582,半成品入库明细!$G$2:$G$650)</f>
        <v>0</v>
      </c>
      <c r="I582" s="28">
        <f ca="1">SUMIF(半成品出库明细!$D$2:$D$558,$B582,半成品出库明细!$G$2:$G$2)</f>
        <v>0</v>
      </c>
      <c r="J582" s="28">
        <f ca="1" t="shared" si="9"/>
        <v>0</v>
      </c>
      <c r="K582" s="20"/>
      <c r="L582" s="3"/>
      <c r="M582" s="3"/>
    </row>
    <row r="583" s="1" customFormat="1" ht="15" customHeight="1" spans="1:13">
      <c r="A583" s="22">
        <v>528</v>
      </c>
      <c r="B583" s="23" t="s">
        <v>1137</v>
      </c>
      <c r="C583" s="41" t="s">
        <v>1136</v>
      </c>
      <c r="D583" s="52" t="s">
        <v>1060</v>
      </c>
      <c r="E583" s="19" t="s">
        <v>235</v>
      </c>
      <c r="F583" s="26" t="s">
        <v>197</v>
      </c>
      <c r="G583" s="27">
        <f>SUMIF(物料月初库存!$C$3:$C$303,$B583,物料月初库存!$F$3:$F$303)</f>
        <v>0</v>
      </c>
      <c r="H583" s="28">
        <f>SUMIF(半成品入库明细!$D$2:$D$650,$B583,半成品入库明细!$G$2:$G$650)</f>
        <v>0</v>
      </c>
      <c r="I583" s="28">
        <f ca="1">SUMIF(半成品出库明细!$D$2:$D$558,$B583,半成品出库明细!$G$2:$G$2)</f>
        <v>0</v>
      </c>
      <c r="J583" s="28">
        <f ca="1" t="shared" si="9"/>
        <v>0</v>
      </c>
      <c r="K583" s="20"/>
      <c r="L583" s="3"/>
      <c r="M583" s="3"/>
    </row>
    <row r="584" s="1" customFormat="1" ht="15" customHeight="1" spans="1:13">
      <c r="A584" s="22">
        <v>529</v>
      </c>
      <c r="B584" s="23" t="s">
        <v>1138</v>
      </c>
      <c r="C584" s="41" t="s">
        <v>1136</v>
      </c>
      <c r="D584" s="52" t="s">
        <v>1060</v>
      </c>
      <c r="E584" s="28" t="s">
        <v>839</v>
      </c>
      <c r="F584" s="26" t="s">
        <v>197</v>
      </c>
      <c r="G584" s="27">
        <f>SUMIF(物料月初库存!$C$3:$C$303,$B584,物料月初库存!$F$3:$F$303)</f>
        <v>0</v>
      </c>
      <c r="H584" s="28">
        <f>SUMIF(半成品入库明细!$D$2:$D$650,$B584,半成品入库明细!$G$2:$G$650)</f>
        <v>0</v>
      </c>
      <c r="I584" s="28">
        <f ca="1">SUMIF(半成品出库明细!$D$2:$D$558,$B584,半成品出库明细!$G$2:$G$2)</f>
        <v>0</v>
      </c>
      <c r="J584" s="28">
        <f ca="1" t="shared" si="9"/>
        <v>0</v>
      </c>
      <c r="K584" s="20"/>
      <c r="L584" s="3"/>
      <c r="M584" s="3"/>
    </row>
    <row r="585" s="1" customFormat="1" ht="15" customHeight="1" spans="1:13">
      <c r="A585" s="22">
        <v>530</v>
      </c>
      <c r="B585" s="23" t="s">
        <v>1139</v>
      </c>
      <c r="C585" s="41" t="s">
        <v>1140</v>
      </c>
      <c r="D585" s="52" t="s">
        <v>1060</v>
      </c>
      <c r="E585" s="19" t="s">
        <v>76</v>
      </c>
      <c r="F585" s="26" t="s">
        <v>197</v>
      </c>
      <c r="G585" s="27">
        <f>SUMIF(物料月初库存!$C$3:$C$303,$B585,物料月初库存!$F$3:$F$303)</f>
        <v>0</v>
      </c>
      <c r="H585" s="28">
        <f>SUMIF(半成品入库明细!$D$2:$D$650,$B585,半成品入库明细!$G$2:$G$650)</f>
        <v>0</v>
      </c>
      <c r="I585" s="28">
        <f ca="1">SUMIF(半成品出库明细!$D$2:$D$558,$B585,半成品出库明细!$G$2:$G$2)</f>
        <v>0</v>
      </c>
      <c r="J585" s="28">
        <f ca="1" t="shared" ref="J585:J648" si="10">G585+H585-I585</f>
        <v>0</v>
      </c>
      <c r="K585" s="20"/>
      <c r="L585" s="3"/>
      <c r="M585" s="3"/>
    </row>
    <row r="586" s="1" customFormat="1" ht="15" customHeight="1" spans="1:13">
      <c r="A586" s="22">
        <v>531</v>
      </c>
      <c r="B586" s="23" t="s">
        <v>1141</v>
      </c>
      <c r="C586" s="41" t="s">
        <v>1140</v>
      </c>
      <c r="D586" s="52" t="s">
        <v>1060</v>
      </c>
      <c r="E586" s="19" t="s">
        <v>267</v>
      </c>
      <c r="F586" s="26" t="s">
        <v>197</v>
      </c>
      <c r="G586" s="27">
        <f>SUMIF(物料月初库存!$C$3:$C$303,$B586,物料月初库存!$F$3:$F$303)</f>
        <v>0</v>
      </c>
      <c r="H586" s="28">
        <f>SUMIF(半成品入库明细!$D$2:$D$650,$B586,半成品入库明细!$G$2:$G$650)</f>
        <v>0</v>
      </c>
      <c r="I586" s="28">
        <f ca="1">SUMIF(半成品出库明细!$D$2:$D$558,$B586,半成品出库明细!$G$2:$G$2)</f>
        <v>0</v>
      </c>
      <c r="J586" s="28">
        <f ca="1" t="shared" si="10"/>
        <v>0</v>
      </c>
      <c r="K586" s="20"/>
      <c r="L586" s="3"/>
      <c r="M586" s="3"/>
    </row>
    <row r="587" s="1" customFormat="1" ht="15" customHeight="1" spans="1:13">
      <c r="A587" s="22">
        <v>532</v>
      </c>
      <c r="B587" s="23" t="s">
        <v>1142</v>
      </c>
      <c r="C587" s="41" t="s">
        <v>1140</v>
      </c>
      <c r="D587" s="52" t="s">
        <v>1060</v>
      </c>
      <c r="E587" s="19" t="s">
        <v>235</v>
      </c>
      <c r="F587" s="26" t="s">
        <v>197</v>
      </c>
      <c r="G587" s="27">
        <f>SUMIF(物料月初库存!$C$3:$C$303,$B587,物料月初库存!$F$3:$F$303)</f>
        <v>0</v>
      </c>
      <c r="H587" s="28">
        <f>SUMIF(半成品入库明细!$D$2:$D$650,$B587,半成品入库明细!$G$2:$G$650)</f>
        <v>0</v>
      </c>
      <c r="I587" s="28">
        <f ca="1">SUMIF(半成品出库明细!$D$2:$D$558,$B587,半成品出库明细!$G$2:$G$2)</f>
        <v>0</v>
      </c>
      <c r="J587" s="28">
        <f ca="1" t="shared" si="10"/>
        <v>0</v>
      </c>
      <c r="K587" s="20"/>
      <c r="L587" s="3"/>
      <c r="M587" s="3"/>
    </row>
    <row r="588" s="1" customFormat="1" ht="15" customHeight="1" spans="1:13">
      <c r="A588" s="22">
        <v>533</v>
      </c>
      <c r="B588" s="23" t="s">
        <v>1143</v>
      </c>
      <c r="C588" s="41" t="s">
        <v>1140</v>
      </c>
      <c r="D588" s="52" t="s">
        <v>1060</v>
      </c>
      <c r="E588" s="28" t="s">
        <v>839</v>
      </c>
      <c r="F588" s="26" t="s">
        <v>197</v>
      </c>
      <c r="G588" s="27">
        <f>SUMIF(物料月初库存!$C$3:$C$303,$B588,物料月初库存!$F$3:$F$303)</f>
        <v>0</v>
      </c>
      <c r="H588" s="28">
        <f>SUMIF(半成品入库明细!$D$2:$D$650,$B588,半成品入库明细!$G$2:$G$650)</f>
        <v>0</v>
      </c>
      <c r="I588" s="28">
        <f ca="1">SUMIF(半成品出库明细!$D$2:$D$558,$B588,半成品出库明细!$G$2:$G$2)</f>
        <v>0</v>
      </c>
      <c r="J588" s="28">
        <f ca="1" t="shared" si="10"/>
        <v>0</v>
      </c>
      <c r="K588" s="20"/>
      <c r="L588" s="3"/>
      <c r="M588" s="3"/>
    </row>
    <row r="589" s="1" customFormat="1" spans="1:13">
      <c r="A589" s="22">
        <v>534</v>
      </c>
      <c r="B589" s="23" t="s">
        <v>1144</v>
      </c>
      <c r="C589" s="41" t="s">
        <v>1145</v>
      </c>
      <c r="D589" s="52" t="s">
        <v>1060</v>
      </c>
      <c r="E589" s="19" t="s">
        <v>76</v>
      </c>
      <c r="F589" s="26" t="s">
        <v>197</v>
      </c>
      <c r="G589" s="27">
        <f>SUMIF(物料月初库存!$C$3:$C$303,$B589,物料月初库存!$F$3:$F$303)</f>
        <v>0</v>
      </c>
      <c r="H589" s="28">
        <f>SUMIF(半成品入库明细!$D$2:$D$650,$B589,半成品入库明细!$G$2:$G$650)</f>
        <v>0</v>
      </c>
      <c r="I589" s="28">
        <f ca="1">SUMIF(半成品出库明细!$D$2:$D$558,$B589,半成品出库明细!$G$2:$G$2)</f>
        <v>0</v>
      </c>
      <c r="J589" s="28">
        <f ca="1" t="shared" si="10"/>
        <v>0</v>
      </c>
      <c r="K589" s="20"/>
      <c r="L589" s="3"/>
      <c r="M589" s="3"/>
    </row>
    <row r="590" s="1" customFormat="1" spans="1:13">
      <c r="A590" s="22">
        <v>535</v>
      </c>
      <c r="B590" s="23" t="s">
        <v>1146</v>
      </c>
      <c r="C590" s="41" t="s">
        <v>1145</v>
      </c>
      <c r="D590" s="52" t="s">
        <v>1060</v>
      </c>
      <c r="E590" s="19" t="s">
        <v>316</v>
      </c>
      <c r="F590" s="26" t="s">
        <v>197</v>
      </c>
      <c r="G590" s="27">
        <f>SUMIF(物料月初库存!$C$3:$C$303,$B590,物料月初库存!$F$3:$F$303)</f>
        <v>0</v>
      </c>
      <c r="H590" s="28">
        <f>SUMIF(半成品入库明细!$D$2:$D$650,$B590,半成品入库明细!$G$2:$G$650)</f>
        <v>0</v>
      </c>
      <c r="I590" s="28">
        <f ca="1">SUMIF(半成品出库明细!$D$2:$D$558,$B590,半成品出库明细!$G$2:$G$2)</f>
        <v>0</v>
      </c>
      <c r="J590" s="28">
        <f ca="1" t="shared" si="10"/>
        <v>0</v>
      </c>
      <c r="K590" s="20"/>
      <c r="L590" s="3"/>
      <c r="M590" s="3"/>
    </row>
    <row r="591" s="1" customFormat="1" spans="1:13">
      <c r="A591" s="22">
        <v>536</v>
      </c>
      <c r="B591" s="23" t="s">
        <v>1147</v>
      </c>
      <c r="C591" s="41" t="s">
        <v>1145</v>
      </c>
      <c r="D591" s="52" t="s">
        <v>1060</v>
      </c>
      <c r="E591" s="28" t="s">
        <v>670</v>
      </c>
      <c r="F591" s="26" t="s">
        <v>197</v>
      </c>
      <c r="G591" s="27">
        <f>SUMIF(物料月初库存!$C$3:$C$303,$B591,物料月初库存!$F$3:$F$303)</f>
        <v>0</v>
      </c>
      <c r="H591" s="28">
        <f>SUMIF(半成品入库明细!$D$2:$D$650,$B591,半成品入库明细!$G$2:$G$650)</f>
        <v>0</v>
      </c>
      <c r="I591" s="28">
        <f ca="1">SUMIF(半成品出库明细!$D$2:$D$558,$B591,半成品出库明细!$G$2:$G$2)</f>
        <v>0</v>
      </c>
      <c r="J591" s="28">
        <f ca="1" t="shared" si="10"/>
        <v>0</v>
      </c>
      <c r="K591" s="20"/>
      <c r="L591" s="3"/>
      <c r="M591" s="3"/>
    </row>
    <row r="592" s="1" customFormat="1" spans="1:13">
      <c r="A592" s="22">
        <v>537</v>
      </c>
      <c r="B592" s="23" t="s">
        <v>1148</v>
      </c>
      <c r="C592" s="41" t="s">
        <v>1145</v>
      </c>
      <c r="D592" s="52" t="s">
        <v>1060</v>
      </c>
      <c r="E592" s="28" t="s">
        <v>839</v>
      </c>
      <c r="F592" s="26" t="s">
        <v>197</v>
      </c>
      <c r="G592" s="27">
        <f>SUMIF(物料月初库存!$C$3:$C$303,$B592,物料月初库存!$F$3:$F$303)</f>
        <v>0</v>
      </c>
      <c r="H592" s="28">
        <f>SUMIF(半成品入库明细!$D$2:$D$650,$B592,半成品入库明细!$G$2:$G$650)</f>
        <v>0</v>
      </c>
      <c r="I592" s="28">
        <f ca="1">SUMIF(半成品出库明细!$D$2:$D$558,$B592,半成品出库明细!$G$2:$G$2)</f>
        <v>0</v>
      </c>
      <c r="J592" s="28">
        <f ca="1" t="shared" si="10"/>
        <v>0</v>
      </c>
      <c r="K592" s="20"/>
      <c r="L592" s="3"/>
      <c r="M592" s="3"/>
    </row>
    <row r="593" s="1" customFormat="1" spans="1:13">
      <c r="A593" s="22">
        <v>538</v>
      </c>
      <c r="B593" s="23" t="s">
        <v>1149</v>
      </c>
      <c r="C593" s="41" t="s">
        <v>1150</v>
      </c>
      <c r="D593" s="52" t="s">
        <v>1060</v>
      </c>
      <c r="E593" s="19" t="s">
        <v>76</v>
      </c>
      <c r="F593" s="26" t="s">
        <v>197</v>
      </c>
      <c r="G593" s="27">
        <f>SUMIF(物料月初库存!$C$3:$C$303,$B593,物料月初库存!$F$3:$F$303)</f>
        <v>0</v>
      </c>
      <c r="H593" s="28">
        <f>SUMIF(半成品入库明细!$D$2:$D$650,$B593,半成品入库明细!$G$2:$G$650)</f>
        <v>0</v>
      </c>
      <c r="I593" s="28">
        <f ca="1">SUMIF(半成品出库明细!$D$2:$D$558,$B593,半成品出库明细!$G$2:$G$2)</f>
        <v>0</v>
      </c>
      <c r="J593" s="28">
        <f ca="1" t="shared" si="10"/>
        <v>0</v>
      </c>
      <c r="K593" s="20"/>
      <c r="L593" s="3"/>
      <c r="M593" s="3"/>
    </row>
    <row r="594" s="1" customFormat="1" spans="1:13">
      <c r="A594" s="22">
        <v>539</v>
      </c>
      <c r="B594" s="23" t="s">
        <v>1151</v>
      </c>
      <c r="C594" s="41" t="s">
        <v>1150</v>
      </c>
      <c r="D594" s="52" t="s">
        <v>1060</v>
      </c>
      <c r="E594" s="19" t="s">
        <v>316</v>
      </c>
      <c r="F594" s="26" t="s">
        <v>197</v>
      </c>
      <c r="G594" s="27">
        <f>SUMIF(物料月初库存!$C$3:$C$303,$B594,物料月初库存!$F$3:$F$303)</f>
        <v>0</v>
      </c>
      <c r="H594" s="28">
        <f>SUMIF(半成品入库明细!$D$2:$D$650,$B594,半成品入库明细!$G$2:$G$650)</f>
        <v>0</v>
      </c>
      <c r="I594" s="28">
        <f ca="1">SUMIF(半成品出库明细!$D$2:$D$558,$B594,半成品出库明细!$G$2:$G$2)</f>
        <v>0</v>
      </c>
      <c r="J594" s="28">
        <f ca="1" t="shared" si="10"/>
        <v>0</v>
      </c>
      <c r="K594" s="20"/>
      <c r="L594" s="3"/>
      <c r="M594" s="3"/>
    </row>
    <row r="595" s="1" customFormat="1" spans="1:13">
      <c r="A595" s="22">
        <v>540</v>
      </c>
      <c r="B595" s="23" t="s">
        <v>1152</v>
      </c>
      <c r="C595" s="41" t="s">
        <v>1150</v>
      </c>
      <c r="D595" s="52" t="s">
        <v>1060</v>
      </c>
      <c r="E595" s="28" t="s">
        <v>353</v>
      </c>
      <c r="F595" s="26" t="s">
        <v>197</v>
      </c>
      <c r="G595" s="27">
        <f>SUMIF(物料月初库存!$C$3:$C$303,$B595,物料月初库存!$F$3:$F$303)</f>
        <v>0</v>
      </c>
      <c r="H595" s="28">
        <f>SUMIF(半成品入库明细!$D$2:$D$650,$B595,半成品入库明细!$G$2:$G$650)</f>
        <v>0</v>
      </c>
      <c r="I595" s="28">
        <f ca="1">SUMIF(半成品出库明细!$D$2:$D$558,$B595,半成品出库明细!$G$2:$G$2)</f>
        <v>0</v>
      </c>
      <c r="J595" s="28">
        <f ca="1" t="shared" si="10"/>
        <v>0</v>
      </c>
      <c r="K595" s="20"/>
      <c r="L595" s="3"/>
      <c r="M595" s="3"/>
    </row>
    <row r="596" s="1" customFormat="1" spans="1:13">
      <c r="A596" s="22">
        <v>541</v>
      </c>
      <c r="B596" s="23" t="s">
        <v>1153</v>
      </c>
      <c r="C596" s="41" t="s">
        <v>1150</v>
      </c>
      <c r="D596" s="52" t="s">
        <v>1060</v>
      </c>
      <c r="E596" s="28" t="s">
        <v>326</v>
      </c>
      <c r="F596" s="26" t="s">
        <v>197</v>
      </c>
      <c r="G596" s="27">
        <f>SUMIF(物料月初库存!$C$3:$C$303,$B596,物料月初库存!$F$3:$F$303)</f>
        <v>0</v>
      </c>
      <c r="H596" s="28">
        <f>SUMIF(半成品入库明细!$D$2:$D$650,$B596,半成品入库明细!$G$2:$G$650)</f>
        <v>0</v>
      </c>
      <c r="I596" s="28">
        <f ca="1">SUMIF(半成品出库明细!$D$2:$D$558,$B596,半成品出库明细!$G$2:$G$2)</f>
        <v>0</v>
      </c>
      <c r="J596" s="28">
        <f ca="1" t="shared" si="10"/>
        <v>0</v>
      </c>
      <c r="K596" s="20"/>
      <c r="L596" s="3"/>
      <c r="M596" s="3"/>
    </row>
    <row r="597" s="1" customFormat="1" spans="1:13">
      <c r="A597" s="22">
        <v>542</v>
      </c>
      <c r="B597" s="23" t="s">
        <v>1154</v>
      </c>
      <c r="C597" s="41" t="s">
        <v>1150</v>
      </c>
      <c r="D597" s="52" t="s">
        <v>1060</v>
      </c>
      <c r="E597" s="19" t="s">
        <v>235</v>
      </c>
      <c r="F597" s="26" t="s">
        <v>197</v>
      </c>
      <c r="G597" s="27">
        <f>SUMIF(物料月初库存!$C$3:$C$303,$B597,物料月初库存!$F$3:$F$303)</f>
        <v>0</v>
      </c>
      <c r="H597" s="28">
        <f>SUMIF(半成品入库明细!$D$2:$D$650,$B597,半成品入库明细!$G$2:$G$650)</f>
        <v>0</v>
      </c>
      <c r="I597" s="28">
        <f ca="1">SUMIF(半成品出库明细!$D$2:$D$558,$B597,半成品出库明细!$G$2:$G$2)</f>
        <v>0</v>
      </c>
      <c r="J597" s="28">
        <f ca="1" t="shared" si="10"/>
        <v>0</v>
      </c>
      <c r="K597" s="20"/>
      <c r="L597" s="3"/>
      <c r="M597" s="3"/>
    </row>
    <row r="598" s="1" customFormat="1" spans="1:13">
      <c r="A598" s="22">
        <v>543</v>
      </c>
      <c r="B598" s="23" t="s">
        <v>1155</v>
      </c>
      <c r="C598" s="41" t="s">
        <v>1150</v>
      </c>
      <c r="D598" s="52" t="s">
        <v>1060</v>
      </c>
      <c r="E598" s="19" t="s">
        <v>256</v>
      </c>
      <c r="F598" s="26" t="s">
        <v>197</v>
      </c>
      <c r="G598" s="27">
        <f>SUMIF(物料月初库存!$C$3:$C$303,$B598,物料月初库存!$F$3:$F$303)</f>
        <v>0</v>
      </c>
      <c r="H598" s="28">
        <f>SUMIF(半成品入库明细!$D$2:$D$650,$B598,半成品入库明细!$G$2:$G$650)</f>
        <v>0</v>
      </c>
      <c r="I598" s="28">
        <f ca="1">SUMIF(半成品出库明细!$D$2:$D$558,$B598,半成品出库明细!$G$2:$G$2)</f>
        <v>0</v>
      </c>
      <c r="J598" s="28">
        <f ca="1" t="shared" si="10"/>
        <v>0</v>
      </c>
      <c r="K598" s="20"/>
      <c r="L598" s="3"/>
      <c r="M598" s="3"/>
    </row>
    <row r="599" s="1" customFormat="1" spans="1:13">
      <c r="A599" s="22">
        <v>544</v>
      </c>
      <c r="B599" s="23" t="s">
        <v>1156</v>
      </c>
      <c r="C599" s="41" t="s">
        <v>1157</v>
      </c>
      <c r="D599" s="52" t="s">
        <v>1060</v>
      </c>
      <c r="E599" s="19" t="s">
        <v>76</v>
      </c>
      <c r="F599" s="26" t="s">
        <v>197</v>
      </c>
      <c r="G599" s="27">
        <f>SUMIF(物料月初库存!$C$3:$C$303,$B599,物料月初库存!$F$3:$F$303)</f>
        <v>0</v>
      </c>
      <c r="H599" s="28">
        <f>SUMIF(半成品入库明细!$D$2:$D$650,$B599,半成品入库明细!$G$2:$G$650)</f>
        <v>0</v>
      </c>
      <c r="I599" s="28">
        <f ca="1">SUMIF(半成品出库明细!$D$2:$D$558,$B599,半成品出库明细!$G$2:$G$2)</f>
        <v>0</v>
      </c>
      <c r="J599" s="28">
        <f ca="1" t="shared" si="10"/>
        <v>0</v>
      </c>
      <c r="K599" s="20"/>
      <c r="L599" s="3"/>
      <c r="M599" s="3"/>
    </row>
    <row r="600" s="1" customFormat="1" spans="1:13">
      <c r="A600" s="22">
        <v>545</v>
      </c>
      <c r="B600" s="23" t="s">
        <v>1158</v>
      </c>
      <c r="C600" s="41" t="s">
        <v>1157</v>
      </c>
      <c r="D600" s="52" t="s">
        <v>1060</v>
      </c>
      <c r="E600" s="19" t="s">
        <v>256</v>
      </c>
      <c r="F600" s="26" t="s">
        <v>197</v>
      </c>
      <c r="G600" s="27">
        <f>SUMIF(物料月初库存!$C$3:$C$303,$B600,物料月初库存!$F$3:$F$303)</f>
        <v>0</v>
      </c>
      <c r="H600" s="28">
        <f>SUMIF(半成品入库明细!$D$2:$D$650,$B600,半成品入库明细!$G$2:$G$650)</f>
        <v>0</v>
      </c>
      <c r="I600" s="28">
        <f ca="1">SUMIF(半成品出库明细!$D$2:$D$558,$B600,半成品出库明细!$G$2:$G$2)</f>
        <v>0</v>
      </c>
      <c r="J600" s="28">
        <f ca="1" t="shared" si="10"/>
        <v>0</v>
      </c>
      <c r="K600" s="20"/>
      <c r="L600" s="3"/>
      <c r="M600" s="3"/>
    </row>
    <row r="601" s="1" customFormat="1" spans="1:13">
      <c r="A601" s="22">
        <v>546</v>
      </c>
      <c r="B601" s="23" t="s">
        <v>1159</v>
      </c>
      <c r="C601" s="41" t="s">
        <v>1160</v>
      </c>
      <c r="D601" s="52" t="s">
        <v>1060</v>
      </c>
      <c r="E601" s="19" t="s">
        <v>76</v>
      </c>
      <c r="F601" s="26" t="s">
        <v>197</v>
      </c>
      <c r="G601" s="27">
        <f>SUMIF(物料月初库存!$C$3:$C$303,$B601,物料月初库存!$F$3:$F$303)</f>
        <v>0</v>
      </c>
      <c r="H601" s="28">
        <f>SUMIF(半成品入库明细!$D$2:$D$650,$B601,半成品入库明细!$G$2:$G$650)</f>
        <v>0</v>
      </c>
      <c r="I601" s="28">
        <f ca="1">SUMIF(半成品出库明细!$D$2:$D$558,$B601,半成品出库明细!$G$2:$G$2)</f>
        <v>0</v>
      </c>
      <c r="J601" s="28">
        <f ca="1" t="shared" si="10"/>
        <v>0</v>
      </c>
      <c r="K601" s="20"/>
      <c r="L601" s="3"/>
      <c r="M601" s="3"/>
    </row>
    <row r="602" s="1" customFormat="1" spans="1:13">
      <c r="A602" s="22">
        <v>547</v>
      </c>
      <c r="B602" s="23" t="s">
        <v>1161</v>
      </c>
      <c r="C602" s="41" t="s">
        <v>1160</v>
      </c>
      <c r="D602" s="52" t="s">
        <v>1060</v>
      </c>
      <c r="E602" s="28" t="s">
        <v>353</v>
      </c>
      <c r="F602" s="26" t="s">
        <v>197</v>
      </c>
      <c r="G602" s="27">
        <f>SUMIF(物料月初库存!$C$3:$C$303,$B602,物料月初库存!$F$3:$F$303)</f>
        <v>0</v>
      </c>
      <c r="H602" s="28">
        <f>SUMIF(半成品入库明细!$D$2:$D$650,$B602,半成品入库明细!$G$2:$G$650)</f>
        <v>0</v>
      </c>
      <c r="I602" s="28">
        <f ca="1">SUMIF(半成品出库明细!$D$2:$D$558,$B602,半成品出库明细!$G$2:$G$2)</f>
        <v>0</v>
      </c>
      <c r="J602" s="28">
        <f ca="1" t="shared" si="10"/>
        <v>0</v>
      </c>
      <c r="K602" s="20"/>
      <c r="L602" s="3"/>
      <c r="M602" s="3"/>
    </row>
    <row r="603" s="1" customFormat="1" spans="1:13">
      <c r="A603" s="22">
        <v>548</v>
      </c>
      <c r="B603" s="23" t="s">
        <v>1162</v>
      </c>
      <c r="C603" s="41" t="s">
        <v>1160</v>
      </c>
      <c r="D603" s="52" t="s">
        <v>1060</v>
      </c>
      <c r="E603" s="50" t="s">
        <v>1103</v>
      </c>
      <c r="F603" s="26" t="s">
        <v>197</v>
      </c>
      <c r="G603" s="27">
        <f>SUMIF(物料月初库存!$C$3:$C$303,$B603,物料月初库存!$F$3:$F$303)</f>
        <v>0</v>
      </c>
      <c r="H603" s="28">
        <f>SUMIF(半成品入库明细!$D$2:$D$650,$B603,半成品入库明细!$G$2:$G$650)</f>
        <v>0</v>
      </c>
      <c r="I603" s="28">
        <f ca="1">SUMIF(半成品出库明细!$D$2:$D$558,$B603,半成品出库明细!$G$2:$G$2)</f>
        <v>0</v>
      </c>
      <c r="J603" s="28">
        <f ca="1" t="shared" si="10"/>
        <v>0</v>
      </c>
      <c r="K603" s="20"/>
      <c r="L603" s="3"/>
      <c r="M603" s="3"/>
    </row>
    <row r="604" s="1" customFormat="1" spans="1:13">
      <c r="A604" s="22">
        <v>549</v>
      </c>
      <c r="B604" s="23" t="s">
        <v>1163</v>
      </c>
      <c r="C604" s="41" t="s">
        <v>1160</v>
      </c>
      <c r="D604" s="52" t="s">
        <v>1060</v>
      </c>
      <c r="E604" s="19" t="s">
        <v>256</v>
      </c>
      <c r="F604" s="26" t="s">
        <v>197</v>
      </c>
      <c r="G604" s="27">
        <f>SUMIF(物料月初库存!$C$3:$C$303,$B604,物料月初库存!$F$3:$F$303)</f>
        <v>0</v>
      </c>
      <c r="H604" s="28">
        <f>SUMIF(半成品入库明细!$D$2:$D$650,$B604,半成品入库明细!$G$2:$G$650)</f>
        <v>0</v>
      </c>
      <c r="I604" s="28">
        <f ca="1">SUMIF(半成品出库明细!$D$2:$D$558,$B604,半成品出库明细!$G$2:$G$2)</f>
        <v>0</v>
      </c>
      <c r="J604" s="28">
        <f ca="1" t="shared" si="10"/>
        <v>0</v>
      </c>
      <c r="K604" s="20"/>
      <c r="L604" s="3"/>
      <c r="M604" s="3"/>
    </row>
    <row r="605" s="1" customFormat="1" spans="1:13">
      <c r="A605" s="22">
        <v>550</v>
      </c>
      <c r="B605" s="23" t="s">
        <v>1164</v>
      </c>
      <c r="C605" s="41" t="s">
        <v>1160</v>
      </c>
      <c r="D605" s="52" t="s">
        <v>1060</v>
      </c>
      <c r="E605" s="19" t="s">
        <v>256</v>
      </c>
      <c r="F605" s="26" t="s">
        <v>197</v>
      </c>
      <c r="G605" s="27">
        <f>SUMIF(物料月初库存!$C$3:$C$303,$B605,物料月初库存!$F$3:$F$303)</f>
        <v>0</v>
      </c>
      <c r="H605" s="28">
        <f>SUMIF(半成品入库明细!$D$2:$D$650,$B605,半成品入库明细!$G$2:$G$650)</f>
        <v>0</v>
      </c>
      <c r="I605" s="28">
        <f ca="1">SUMIF(半成品出库明细!$D$2:$D$558,$B605,半成品出库明细!$G$2:$G$2)</f>
        <v>0</v>
      </c>
      <c r="J605" s="28">
        <f ca="1" t="shared" si="10"/>
        <v>0</v>
      </c>
      <c r="K605" s="20"/>
      <c r="L605" s="3"/>
      <c r="M605" s="3"/>
    </row>
    <row r="606" s="1" customFormat="1" spans="1:13">
      <c r="A606" s="22">
        <v>551</v>
      </c>
      <c r="B606" s="23" t="s">
        <v>1165</v>
      </c>
      <c r="C606" s="41" t="s">
        <v>1166</v>
      </c>
      <c r="D606" s="25" t="s">
        <v>1167</v>
      </c>
      <c r="E606" s="19" t="s">
        <v>76</v>
      </c>
      <c r="F606" s="26" t="s">
        <v>197</v>
      </c>
      <c r="G606" s="27">
        <f>SUMIF(物料月初库存!$C$3:$C$303,$B606,物料月初库存!$F$3:$F$303)</f>
        <v>0</v>
      </c>
      <c r="H606" s="28">
        <f>SUMIF(半成品入库明细!$D$2:$D$650,$B606,半成品入库明细!$G$2:$G$650)</f>
        <v>0</v>
      </c>
      <c r="I606" s="28">
        <f ca="1">SUMIF(半成品出库明细!$D$2:$D$558,$B606,半成品出库明细!$G$2:$G$2)</f>
        <v>0</v>
      </c>
      <c r="J606" s="28">
        <f ca="1" t="shared" si="10"/>
        <v>0</v>
      </c>
      <c r="K606" s="29"/>
      <c r="L606" s="19"/>
      <c r="M606" s="3"/>
    </row>
    <row r="607" s="1" customFormat="1" spans="1:13">
      <c r="A607" s="22">
        <v>552</v>
      </c>
      <c r="B607" s="23" t="s">
        <v>1168</v>
      </c>
      <c r="C607" s="41" t="s">
        <v>1166</v>
      </c>
      <c r="D607" s="25" t="s">
        <v>1167</v>
      </c>
      <c r="E607" s="49" t="s">
        <v>316</v>
      </c>
      <c r="F607" s="26" t="s">
        <v>197</v>
      </c>
      <c r="G607" s="27">
        <f>SUMIF(物料月初库存!$C$3:$C$303,$B607,物料月初库存!$F$3:$F$303)</f>
        <v>0</v>
      </c>
      <c r="H607" s="28">
        <f>SUMIF(半成品入库明细!$D$2:$D$650,$B607,半成品入库明细!$G$2:$G$650)</f>
        <v>0</v>
      </c>
      <c r="I607" s="28">
        <f ca="1">SUMIF(半成品出库明细!$D$2:$D$558,$B607,半成品出库明细!$G$2:$G$2)</f>
        <v>0</v>
      </c>
      <c r="J607" s="28">
        <f ca="1" t="shared" si="10"/>
        <v>0</v>
      </c>
      <c r="K607" s="29"/>
      <c r="L607" s="19"/>
      <c r="M607" s="3"/>
    </row>
    <row r="608" s="1" customFormat="1" spans="1:13">
      <c r="A608" s="22">
        <v>553</v>
      </c>
      <c r="B608" s="23" t="s">
        <v>1169</v>
      </c>
      <c r="C608" s="41" t="s">
        <v>1166</v>
      </c>
      <c r="D608" s="25" t="s">
        <v>1167</v>
      </c>
      <c r="E608" s="19" t="s">
        <v>267</v>
      </c>
      <c r="F608" s="26" t="s">
        <v>197</v>
      </c>
      <c r="G608" s="27">
        <f>SUMIF(物料月初库存!$C$3:$C$303,$B608,物料月初库存!$F$3:$F$303)</f>
        <v>0</v>
      </c>
      <c r="H608" s="28">
        <f>SUMIF(半成品入库明细!$D$2:$D$650,$B608,半成品入库明细!$G$2:$G$650)</f>
        <v>0</v>
      </c>
      <c r="I608" s="28">
        <f ca="1">SUMIF(半成品出库明细!$D$2:$D$558,$B608,半成品出库明细!$G$2:$G$2)</f>
        <v>0</v>
      </c>
      <c r="J608" s="28">
        <f ca="1" t="shared" si="10"/>
        <v>0</v>
      </c>
      <c r="K608" s="29"/>
      <c r="L608" s="19"/>
      <c r="M608" s="3"/>
    </row>
    <row r="609" s="1" customFormat="1" spans="1:13">
      <c r="A609" s="22">
        <v>554</v>
      </c>
      <c r="B609" s="107" t="s">
        <v>1170</v>
      </c>
      <c r="C609" s="108" t="s">
        <v>1166</v>
      </c>
      <c r="D609" s="109" t="s">
        <v>1167</v>
      </c>
      <c r="E609" s="110" t="s">
        <v>199</v>
      </c>
      <c r="F609" s="111" t="s">
        <v>197</v>
      </c>
      <c r="G609" s="27">
        <f>SUMIF(物料月初库存!$C$3:$C$303,$B609,物料月初库存!$F$3:$F$303)</f>
        <v>0</v>
      </c>
      <c r="H609" s="49">
        <f>SUMIF(半成品入库明细!$D$2:$D$650,$B609,半成品入库明细!$G$2:$G$650)</f>
        <v>0</v>
      </c>
      <c r="I609" s="49">
        <f ca="1">SUMIF(半成品出库明细!$D$2:$D$558,$B609,半成品出库明细!$G$2:$G$2)</f>
        <v>0</v>
      </c>
      <c r="J609" s="49">
        <f ca="1" t="shared" si="10"/>
        <v>0</v>
      </c>
      <c r="K609" s="29" t="s">
        <v>1171</v>
      </c>
      <c r="L609" s="19"/>
      <c r="M609" s="3"/>
    </row>
    <row r="610" s="1" customFormat="1" spans="1:13">
      <c r="A610" s="22">
        <v>555</v>
      </c>
      <c r="B610" s="36" t="s">
        <v>1172</v>
      </c>
      <c r="C610" s="112" t="s">
        <v>1166</v>
      </c>
      <c r="D610" s="33" t="s">
        <v>1167</v>
      </c>
      <c r="E610" s="40" t="s">
        <v>201</v>
      </c>
      <c r="F610" s="38" t="s">
        <v>197</v>
      </c>
      <c r="G610" s="39">
        <f>SUMIF(物料月初库存!$C$3:$C$303,$B610,物料月初库存!$F$3:$F$303)</f>
        <v>0</v>
      </c>
      <c r="H610" s="40">
        <f>SUMIF(半成品入库明细!$D$2:$D$650,$B610,半成品入库明细!$G$2:$G$650)</f>
        <v>0</v>
      </c>
      <c r="I610" s="40">
        <f ca="1">SUMIF(半成品出库明细!$D$2:$D$558,$B610,半成品出库明细!$G$2:$G$2)</f>
        <v>0</v>
      </c>
      <c r="J610" s="40">
        <f ca="1" t="shared" si="10"/>
        <v>0</v>
      </c>
      <c r="K610" s="106" t="s">
        <v>1173</v>
      </c>
      <c r="L610" s="19"/>
      <c r="M610" s="3"/>
    </row>
    <row r="611" s="1" customFormat="1" spans="1:13">
      <c r="A611" s="22">
        <v>556</v>
      </c>
      <c r="B611" s="23" t="s">
        <v>1174</v>
      </c>
      <c r="C611" s="23" t="s">
        <v>1175</v>
      </c>
      <c r="D611" s="25" t="s">
        <v>1176</v>
      </c>
      <c r="E611" s="19" t="s">
        <v>76</v>
      </c>
      <c r="F611" s="26" t="s">
        <v>197</v>
      </c>
      <c r="G611" s="27">
        <f>SUMIF(物料月初库存!$C$3:$C$303,$B611,物料月初库存!$F$3:$F$303)</f>
        <v>0</v>
      </c>
      <c r="H611" s="28">
        <f>SUMIF(半成品入库明细!$D$2:$D$650,$B611,半成品入库明细!$G$2:$G$650)</f>
        <v>0</v>
      </c>
      <c r="I611" s="28">
        <f ca="1">SUMIF(半成品出库明细!$D$2:$D$558,$B611,半成品出库明细!$G$2:$G$2)</f>
        <v>0</v>
      </c>
      <c r="J611" s="28">
        <f ca="1" t="shared" si="10"/>
        <v>0</v>
      </c>
      <c r="K611" s="29"/>
      <c r="L611" s="19"/>
      <c r="M611" s="3"/>
    </row>
    <row r="612" s="1" customFormat="1" spans="1:13">
      <c r="A612" s="22">
        <v>557</v>
      </c>
      <c r="B612" s="23" t="s">
        <v>1177</v>
      </c>
      <c r="C612" s="41" t="s">
        <v>1178</v>
      </c>
      <c r="D612" s="25" t="s">
        <v>1179</v>
      </c>
      <c r="E612" s="19" t="s">
        <v>76</v>
      </c>
      <c r="F612" s="26" t="s">
        <v>197</v>
      </c>
      <c r="G612" s="27">
        <f>SUMIF(物料月初库存!$C$3:$C$303,$B612,物料月初库存!$F$3:$F$303)</f>
        <v>0</v>
      </c>
      <c r="H612" s="28">
        <f>SUMIF(半成品入库明细!$D$2:$D$650,$B612,半成品入库明细!$G$2:$G$650)</f>
        <v>0</v>
      </c>
      <c r="I612" s="28">
        <f ca="1">SUMIF(半成品出库明细!$D$2:$D$558,$B612,半成品出库明细!$G$2:$G$2)</f>
        <v>0</v>
      </c>
      <c r="J612" s="28">
        <f ca="1" t="shared" si="10"/>
        <v>0</v>
      </c>
      <c r="K612" s="29"/>
      <c r="L612" s="19"/>
      <c r="M612" s="3"/>
    </row>
    <row r="613" s="1" customFormat="1" spans="1:13">
      <c r="A613" s="22">
        <v>558</v>
      </c>
      <c r="B613" s="23" t="s">
        <v>1180</v>
      </c>
      <c r="C613" s="41" t="s">
        <v>1181</v>
      </c>
      <c r="D613" s="25" t="s">
        <v>1179</v>
      </c>
      <c r="E613" s="19" t="s">
        <v>76</v>
      </c>
      <c r="F613" s="26" t="s">
        <v>197</v>
      </c>
      <c r="G613" s="27">
        <f>SUMIF(物料月初库存!$C$3:$C$303,$B613,物料月初库存!$F$3:$F$303)</f>
        <v>0</v>
      </c>
      <c r="H613" s="28">
        <f>SUMIF(半成品入库明细!$D$2:$D$650,$B613,半成品入库明细!$G$2:$G$650)</f>
        <v>0</v>
      </c>
      <c r="I613" s="28">
        <f ca="1">SUMIF(半成品出库明细!$D$2:$D$558,$B613,半成品出库明细!$G$2:$G$2)</f>
        <v>0</v>
      </c>
      <c r="J613" s="28">
        <f ca="1" t="shared" si="10"/>
        <v>0</v>
      </c>
      <c r="K613" s="29"/>
      <c r="L613" s="19"/>
      <c r="M613" s="3"/>
    </row>
    <row r="614" s="1" customFormat="1" spans="1:13">
      <c r="A614" s="22">
        <v>559</v>
      </c>
      <c r="B614" s="23" t="s">
        <v>1182</v>
      </c>
      <c r="C614" s="25">
        <v>5034699</v>
      </c>
      <c r="D614" s="52" t="s">
        <v>1179</v>
      </c>
      <c r="E614" s="28" t="s">
        <v>76</v>
      </c>
      <c r="F614" s="26" t="s">
        <v>197</v>
      </c>
      <c r="G614" s="27">
        <f>SUMIF(物料月初库存!$C$3:$C$303,$B614,物料月初库存!$F$3:$F$303)</f>
        <v>0</v>
      </c>
      <c r="H614" s="28">
        <f>SUMIF(半成品入库明细!$D$2:$D$650,$B614,半成品入库明细!$G$2:$G$650)</f>
        <v>0</v>
      </c>
      <c r="I614" s="28">
        <f ca="1">SUMIF(半成品出库明细!$D$2:$D$558,$B614,半成品出库明细!$G$2:$G$2)</f>
        <v>0</v>
      </c>
      <c r="J614" s="28">
        <f ca="1" t="shared" si="10"/>
        <v>0</v>
      </c>
      <c r="K614" s="29"/>
      <c r="L614" s="19"/>
      <c r="M614" s="3"/>
    </row>
    <row r="615" s="1" customFormat="1" spans="1:13">
      <c r="A615" s="22">
        <v>560</v>
      </c>
      <c r="B615" s="23" t="s">
        <v>1183</v>
      </c>
      <c r="C615" s="25" t="s">
        <v>1184</v>
      </c>
      <c r="D615" s="52" t="s">
        <v>1185</v>
      </c>
      <c r="E615" s="19" t="s">
        <v>76</v>
      </c>
      <c r="F615" s="26" t="s">
        <v>197</v>
      </c>
      <c r="G615" s="27">
        <f>SUMIF(物料月初库存!$C$3:$C$303,$B615,物料月初库存!$F$3:$F$303)</f>
        <v>0</v>
      </c>
      <c r="H615" s="28">
        <f>SUMIF(半成品入库明细!$D$2:$D$650,$B615,半成品入库明细!$G$2:$G$650)</f>
        <v>0</v>
      </c>
      <c r="I615" s="28">
        <f ca="1">SUMIF(半成品出库明细!$D$2:$D$558,$B615,半成品出库明细!$G$2:$G$2)</f>
        <v>0</v>
      </c>
      <c r="J615" s="28">
        <f ca="1" t="shared" si="10"/>
        <v>0</v>
      </c>
      <c r="K615" s="29"/>
      <c r="L615" s="19"/>
      <c r="M615" s="3"/>
    </row>
    <row r="616" s="1" customFormat="1" spans="1:13">
      <c r="A616" s="22">
        <v>561</v>
      </c>
      <c r="B616" s="23" t="s">
        <v>1186</v>
      </c>
      <c r="C616" s="25" t="s">
        <v>1187</v>
      </c>
      <c r="D616" s="25" t="s">
        <v>1188</v>
      </c>
      <c r="E616" s="19" t="s">
        <v>76</v>
      </c>
      <c r="F616" s="26" t="s">
        <v>197</v>
      </c>
      <c r="G616" s="27">
        <f>SUMIF(物料月初库存!$C$3:$C$303,$B616,物料月初库存!$F$3:$F$303)</f>
        <v>0</v>
      </c>
      <c r="H616" s="28">
        <f>SUMIF(半成品入库明细!$D$2:$D$650,$B616,半成品入库明细!$G$2:$G$650)</f>
        <v>0</v>
      </c>
      <c r="I616" s="28">
        <f ca="1">SUMIF(半成品出库明细!$D$2:$D$558,$B616,半成品出库明细!$G$2:$G$2)</f>
        <v>0</v>
      </c>
      <c r="J616" s="28">
        <f ca="1" t="shared" si="10"/>
        <v>0</v>
      </c>
      <c r="K616" s="29"/>
      <c r="L616" s="19"/>
      <c r="M616" s="3"/>
    </row>
    <row r="617" s="1" customFormat="1" spans="1:13">
      <c r="A617" s="22">
        <v>562</v>
      </c>
      <c r="B617" s="23" t="s">
        <v>1189</v>
      </c>
      <c r="C617" s="25" t="s">
        <v>1187</v>
      </c>
      <c r="D617" s="25" t="s">
        <v>1188</v>
      </c>
      <c r="E617" s="28" t="s">
        <v>670</v>
      </c>
      <c r="F617" s="26" t="s">
        <v>197</v>
      </c>
      <c r="G617" s="27">
        <f>SUMIF(物料月初库存!$C$3:$C$303,$B617,物料月初库存!$F$3:$F$303)</f>
        <v>0</v>
      </c>
      <c r="H617" s="28">
        <f>SUMIF(半成品入库明细!$D$2:$D$650,$B617,半成品入库明细!$G$2:$G$650)</f>
        <v>0</v>
      </c>
      <c r="I617" s="28">
        <f ca="1">SUMIF(半成品出库明细!$D$2:$D$558,$B617,半成品出库明细!$G$2:$G$2)</f>
        <v>0</v>
      </c>
      <c r="J617" s="28">
        <f ca="1" t="shared" si="10"/>
        <v>0</v>
      </c>
      <c r="K617" s="29"/>
      <c r="L617" s="19"/>
      <c r="M617" s="3"/>
    </row>
    <row r="618" s="1" customFormat="1" spans="1:13">
      <c r="A618" s="22">
        <v>563</v>
      </c>
      <c r="B618" s="23" t="s">
        <v>1190</v>
      </c>
      <c r="C618" s="25" t="s">
        <v>1191</v>
      </c>
      <c r="D618" s="25" t="s">
        <v>1188</v>
      </c>
      <c r="E618" s="19" t="s">
        <v>76</v>
      </c>
      <c r="F618" s="26" t="s">
        <v>197</v>
      </c>
      <c r="G618" s="27">
        <f>SUMIF(物料月初库存!$C$3:$C$303,$B618,物料月初库存!$F$3:$F$303)</f>
        <v>0</v>
      </c>
      <c r="H618" s="28">
        <f>SUMIF(半成品入库明细!$D$2:$D$650,$B618,半成品入库明细!$G$2:$G$650)</f>
        <v>0</v>
      </c>
      <c r="I618" s="28">
        <f ca="1">SUMIF(半成品出库明细!$D$2:$D$558,$B618,半成品出库明细!$G$2:$G$2)</f>
        <v>0</v>
      </c>
      <c r="J618" s="28">
        <f ca="1" t="shared" si="10"/>
        <v>0</v>
      </c>
      <c r="K618" s="29"/>
      <c r="L618" s="19"/>
      <c r="M618" s="3"/>
    </row>
    <row r="619" s="1" customFormat="1" spans="1:13">
      <c r="A619" s="22">
        <v>564</v>
      </c>
      <c r="B619" s="23" t="s">
        <v>1192</v>
      </c>
      <c r="C619" s="25" t="s">
        <v>1191</v>
      </c>
      <c r="D619" s="25" t="s">
        <v>1188</v>
      </c>
      <c r="E619" s="28" t="s">
        <v>353</v>
      </c>
      <c r="F619" s="26" t="s">
        <v>197</v>
      </c>
      <c r="G619" s="27">
        <f>SUMIF(物料月初库存!$C$3:$C$303,$B619,物料月初库存!$F$3:$F$303)</f>
        <v>0</v>
      </c>
      <c r="H619" s="28">
        <f>SUMIF(半成品入库明细!$D$2:$D$650,$B619,半成品入库明细!$G$2:$G$650)</f>
        <v>0</v>
      </c>
      <c r="I619" s="28">
        <f ca="1">SUMIF(半成品出库明细!$D$2:$D$558,$B619,半成品出库明细!$G$2:$G$2)</f>
        <v>0</v>
      </c>
      <c r="J619" s="28">
        <f ca="1" t="shared" si="10"/>
        <v>0</v>
      </c>
      <c r="K619" s="29"/>
      <c r="L619" s="19"/>
      <c r="M619" s="3"/>
    </row>
    <row r="620" s="1" customFormat="1" spans="1:13">
      <c r="A620" s="22">
        <v>565</v>
      </c>
      <c r="B620" s="23" t="s">
        <v>1193</v>
      </c>
      <c r="C620" s="25" t="s">
        <v>1191</v>
      </c>
      <c r="D620" s="25" t="s">
        <v>1188</v>
      </c>
      <c r="E620" s="28" t="s">
        <v>199</v>
      </c>
      <c r="F620" s="26" t="s">
        <v>197</v>
      </c>
      <c r="G620" s="27">
        <f>SUMIF(物料月初库存!$C$3:$C$303,$B620,物料月初库存!$F$3:$F$303)</f>
        <v>0</v>
      </c>
      <c r="H620" s="28">
        <f>SUMIF(半成品入库明细!$D$2:$D$650,$B620,半成品入库明细!$G$2:$G$650)</f>
        <v>0</v>
      </c>
      <c r="I620" s="28">
        <f ca="1">SUMIF(半成品出库明细!$D$2:$D$558,$B620,半成品出库明细!$G$2:$G$2)</f>
        <v>0</v>
      </c>
      <c r="J620" s="28">
        <f ca="1" t="shared" si="10"/>
        <v>0</v>
      </c>
      <c r="K620" s="29"/>
      <c r="L620" s="19"/>
      <c r="M620" s="3"/>
    </row>
    <row r="621" s="1" customFormat="1" spans="1:13">
      <c r="A621" s="22">
        <v>566</v>
      </c>
      <c r="B621" s="23" t="s">
        <v>1194</v>
      </c>
      <c r="C621" s="25" t="s">
        <v>1195</v>
      </c>
      <c r="D621" s="25" t="s">
        <v>1188</v>
      </c>
      <c r="E621" s="19" t="s">
        <v>76</v>
      </c>
      <c r="F621" s="26" t="s">
        <v>197</v>
      </c>
      <c r="G621" s="27">
        <f>SUMIF(物料月初库存!$C$3:$C$303,$B621,物料月初库存!$F$3:$F$303)</f>
        <v>0</v>
      </c>
      <c r="H621" s="28">
        <f>SUMIF(半成品入库明细!$D$2:$D$650,$B621,半成品入库明细!$G$2:$G$650)</f>
        <v>0</v>
      </c>
      <c r="I621" s="28">
        <f ca="1">SUMIF(半成品出库明细!$D$2:$D$558,$B621,半成品出库明细!$G$2:$G$2)</f>
        <v>0</v>
      </c>
      <c r="J621" s="28">
        <f ca="1" t="shared" si="10"/>
        <v>0</v>
      </c>
      <c r="K621" s="29"/>
      <c r="L621" s="19"/>
      <c r="M621" s="3"/>
    </row>
    <row r="622" s="1" customFormat="1" spans="1:13">
      <c r="A622" s="22">
        <v>567</v>
      </c>
      <c r="B622" s="23" t="s">
        <v>1196</v>
      </c>
      <c r="C622" s="25" t="s">
        <v>1195</v>
      </c>
      <c r="D622" s="25" t="s">
        <v>1188</v>
      </c>
      <c r="E622" s="28" t="s">
        <v>353</v>
      </c>
      <c r="F622" s="26" t="s">
        <v>197</v>
      </c>
      <c r="G622" s="27">
        <f>SUMIF(物料月初库存!$C$3:$C$303,$B622,物料月初库存!$F$3:$F$303)</f>
        <v>0</v>
      </c>
      <c r="H622" s="28">
        <f>SUMIF(半成品入库明细!$D$2:$D$650,$B622,半成品入库明细!$G$2:$G$650)</f>
        <v>0</v>
      </c>
      <c r="I622" s="28">
        <f ca="1">SUMIF(半成品出库明细!$D$2:$D$558,$B622,半成品出库明细!$G$2:$G$2)</f>
        <v>0</v>
      </c>
      <c r="J622" s="28">
        <f ca="1" t="shared" si="10"/>
        <v>0</v>
      </c>
      <c r="K622" s="29"/>
      <c r="L622" s="19"/>
      <c r="M622" s="3"/>
    </row>
    <row r="623" s="1" customFormat="1" spans="1:13">
      <c r="A623" s="22">
        <v>568</v>
      </c>
      <c r="B623" s="23" t="s">
        <v>1197</v>
      </c>
      <c r="C623" s="25" t="s">
        <v>1195</v>
      </c>
      <c r="D623" s="25" t="s">
        <v>1188</v>
      </c>
      <c r="E623" s="28" t="s">
        <v>199</v>
      </c>
      <c r="F623" s="26" t="s">
        <v>197</v>
      </c>
      <c r="G623" s="27">
        <f>SUMIF(物料月初库存!$C$3:$C$303,$B623,物料月初库存!$F$3:$F$303)</f>
        <v>0</v>
      </c>
      <c r="H623" s="28">
        <f>SUMIF(半成品入库明细!$D$2:$D$650,$B623,半成品入库明细!$G$2:$G$650)</f>
        <v>0</v>
      </c>
      <c r="I623" s="28">
        <f ca="1">SUMIF(半成品出库明细!$D$2:$D$558,$B623,半成品出库明细!$G$2:$G$2)</f>
        <v>0</v>
      </c>
      <c r="J623" s="28">
        <f ca="1" t="shared" si="10"/>
        <v>0</v>
      </c>
      <c r="K623" s="29"/>
      <c r="L623" s="19"/>
      <c r="M623" s="3"/>
    </row>
    <row r="624" s="1" customFormat="1" spans="1:13">
      <c r="A624" s="22">
        <v>569</v>
      </c>
      <c r="B624" s="23" t="s">
        <v>1198</v>
      </c>
      <c r="C624" s="25" t="s">
        <v>1199</v>
      </c>
      <c r="D624" s="25" t="s">
        <v>1188</v>
      </c>
      <c r="E624" s="28" t="s">
        <v>199</v>
      </c>
      <c r="F624" s="26" t="s">
        <v>197</v>
      </c>
      <c r="G624" s="27">
        <f>SUMIF(物料月初库存!$C$3:$C$303,$B624,物料月初库存!$F$3:$F$303)</f>
        <v>0</v>
      </c>
      <c r="H624" s="28">
        <f>SUMIF(半成品入库明细!$D$2:$D$650,$B624,半成品入库明细!$G$2:$G$650)</f>
        <v>0</v>
      </c>
      <c r="I624" s="28">
        <f ca="1">SUMIF(半成品出库明细!$D$2:$D$558,$B624,半成品出库明细!$G$2:$G$2)</f>
        <v>0</v>
      </c>
      <c r="J624" s="28">
        <f ca="1" t="shared" si="10"/>
        <v>0</v>
      </c>
      <c r="K624" s="29"/>
      <c r="L624" s="19"/>
      <c r="M624" s="3"/>
    </row>
    <row r="625" s="1" customFormat="1" spans="1:13">
      <c r="A625" s="22">
        <v>570</v>
      </c>
      <c r="B625" s="23" t="s">
        <v>1200</v>
      </c>
      <c r="C625" s="24" t="s">
        <v>1201</v>
      </c>
      <c r="D625" s="25" t="s">
        <v>1188</v>
      </c>
      <c r="E625" s="19" t="s">
        <v>76</v>
      </c>
      <c r="F625" s="26" t="s">
        <v>197</v>
      </c>
      <c r="G625" s="27">
        <f>SUMIF(物料月初库存!$C$3:$C$303,$B625,物料月初库存!$F$3:$F$303)</f>
        <v>0</v>
      </c>
      <c r="H625" s="28">
        <f>SUMIF(半成品入库明细!$D$2:$D$650,$B625,半成品入库明细!$G$2:$G$650)</f>
        <v>0</v>
      </c>
      <c r="I625" s="28">
        <f ca="1">SUMIF(半成品出库明细!$D$2:$D$558,$B625,半成品出库明细!$G$2:$G$2)</f>
        <v>0</v>
      </c>
      <c r="J625" s="28">
        <f ca="1" t="shared" si="10"/>
        <v>0</v>
      </c>
      <c r="K625" s="29"/>
      <c r="L625" s="19"/>
      <c r="M625" s="3"/>
    </row>
    <row r="626" s="1" customFormat="1" spans="1:13">
      <c r="A626" s="22">
        <v>571</v>
      </c>
      <c r="B626" s="23" t="s">
        <v>1202</v>
      </c>
      <c r="C626" s="24" t="s">
        <v>1203</v>
      </c>
      <c r="D626" s="25" t="s">
        <v>1188</v>
      </c>
      <c r="E626" s="19" t="s">
        <v>76</v>
      </c>
      <c r="F626" s="26" t="s">
        <v>197</v>
      </c>
      <c r="G626" s="27">
        <f>SUMIF(物料月初库存!$C$3:$C$303,$B626,物料月初库存!$F$3:$F$303)</f>
        <v>0</v>
      </c>
      <c r="H626" s="28">
        <f>SUMIF(半成品入库明细!$D$2:$D$650,$B626,半成品入库明细!$G$2:$G$650)</f>
        <v>0</v>
      </c>
      <c r="I626" s="28">
        <f ca="1">SUMIF(半成品出库明细!$D$2:$D$558,$B626,半成品出库明细!$G$2:$G$2)</f>
        <v>0</v>
      </c>
      <c r="J626" s="28">
        <f ca="1" t="shared" si="10"/>
        <v>0</v>
      </c>
      <c r="K626" s="29"/>
      <c r="L626" s="19"/>
      <c r="M626" s="3"/>
    </row>
    <row r="627" s="1" customFormat="1" spans="1:13">
      <c r="A627" s="22">
        <v>572</v>
      </c>
      <c r="B627" s="23" t="s">
        <v>1204</v>
      </c>
      <c r="C627" s="24" t="s">
        <v>1201</v>
      </c>
      <c r="D627" s="25" t="s">
        <v>1188</v>
      </c>
      <c r="E627" s="28" t="s">
        <v>353</v>
      </c>
      <c r="F627" s="26" t="s">
        <v>197</v>
      </c>
      <c r="G627" s="27">
        <f>SUMIF(物料月初库存!$C$3:$C$303,$B627,物料月初库存!$F$3:$F$303)</f>
        <v>0</v>
      </c>
      <c r="H627" s="28">
        <f>SUMIF(半成品入库明细!$D$2:$D$650,$B627,半成品入库明细!$G$2:$G$650)</f>
        <v>0</v>
      </c>
      <c r="I627" s="28">
        <f ca="1">SUMIF(半成品出库明细!$D$2:$D$558,$B627,半成品出库明细!$G$2:$G$2)</f>
        <v>0</v>
      </c>
      <c r="J627" s="28">
        <f ca="1" t="shared" si="10"/>
        <v>0</v>
      </c>
      <c r="K627" s="29"/>
      <c r="L627" s="19"/>
      <c r="M627" s="3"/>
    </row>
    <row r="628" s="1" customFormat="1" spans="1:13">
      <c r="A628" s="22">
        <v>573</v>
      </c>
      <c r="B628" s="23" t="s">
        <v>1205</v>
      </c>
      <c r="C628" s="24" t="s">
        <v>1201</v>
      </c>
      <c r="D628" s="25" t="s">
        <v>1188</v>
      </c>
      <c r="E628" s="28" t="s">
        <v>199</v>
      </c>
      <c r="F628" s="26" t="s">
        <v>197</v>
      </c>
      <c r="G628" s="27">
        <f>SUMIF(物料月初库存!$C$3:$C$303,$B628,物料月初库存!$F$3:$F$303)</f>
        <v>0</v>
      </c>
      <c r="H628" s="28">
        <f>SUMIF(半成品入库明细!$D$2:$D$650,$B628,半成品入库明细!$G$2:$G$650)</f>
        <v>0</v>
      </c>
      <c r="I628" s="28">
        <f ca="1">SUMIF(半成品出库明细!$D$2:$D$558,$B628,半成品出库明细!$G$2:$G$2)</f>
        <v>0</v>
      </c>
      <c r="J628" s="28">
        <f ca="1" t="shared" si="10"/>
        <v>0</v>
      </c>
      <c r="K628" s="29"/>
      <c r="L628" s="19"/>
      <c r="M628" s="3"/>
    </row>
    <row r="629" s="1" customFormat="1" spans="1:13">
      <c r="A629" s="22">
        <v>574</v>
      </c>
      <c r="B629" s="23" t="s">
        <v>1206</v>
      </c>
      <c r="C629" s="24" t="s">
        <v>1203</v>
      </c>
      <c r="D629" s="25" t="s">
        <v>1188</v>
      </c>
      <c r="E629" s="28" t="s">
        <v>199</v>
      </c>
      <c r="F629" s="26" t="s">
        <v>197</v>
      </c>
      <c r="G629" s="27">
        <f>SUMIF(物料月初库存!$C$3:$C$303,$B629,物料月初库存!$F$3:$F$303)</f>
        <v>0</v>
      </c>
      <c r="H629" s="28">
        <f>SUMIF(半成品入库明细!$D$2:$D$650,$B629,半成品入库明细!$G$2:$G$650)</f>
        <v>0</v>
      </c>
      <c r="I629" s="28">
        <f ca="1">SUMIF(半成品出库明细!$D$2:$D$558,$B629,半成品出库明细!$G$2:$G$2)</f>
        <v>0</v>
      </c>
      <c r="J629" s="28">
        <f ca="1" t="shared" si="10"/>
        <v>0</v>
      </c>
      <c r="K629" s="29"/>
      <c r="L629" s="19"/>
      <c r="M629" s="3"/>
    </row>
    <row r="630" s="1" customFormat="1" spans="1:13">
      <c r="A630" s="22">
        <v>575</v>
      </c>
      <c r="B630" s="23" t="s">
        <v>1207</v>
      </c>
      <c r="C630" s="25" t="s">
        <v>1208</v>
      </c>
      <c r="D630" s="25" t="s">
        <v>1209</v>
      </c>
      <c r="E630" s="19" t="s">
        <v>76</v>
      </c>
      <c r="F630" s="26" t="s">
        <v>197</v>
      </c>
      <c r="G630" s="27">
        <f>SUMIF(物料月初库存!$C$3:$C$303,$B630,物料月初库存!$F$3:$F$303)</f>
        <v>0</v>
      </c>
      <c r="H630" s="28">
        <f>SUMIF(半成品入库明细!$D$2:$D$650,$B630,半成品入库明细!$G$2:$G$650)</f>
        <v>0</v>
      </c>
      <c r="I630" s="28">
        <f ca="1">SUMIF(半成品出库明细!$D$2:$D$558,$B630,半成品出库明细!$G$2:$G$2)</f>
        <v>0</v>
      </c>
      <c r="J630" s="28">
        <f ca="1" t="shared" si="10"/>
        <v>0</v>
      </c>
      <c r="K630" s="29"/>
      <c r="L630" s="19"/>
      <c r="M630" s="3"/>
    </row>
    <row r="631" s="1" customFormat="1" spans="1:13">
      <c r="A631" s="22">
        <v>576</v>
      </c>
      <c r="B631" s="23" t="s">
        <v>1210</v>
      </c>
      <c r="C631" s="25" t="s">
        <v>1208</v>
      </c>
      <c r="D631" s="25" t="s">
        <v>1209</v>
      </c>
      <c r="E631" s="50" t="s">
        <v>1211</v>
      </c>
      <c r="F631" s="26" t="s">
        <v>197</v>
      </c>
      <c r="G631" s="27">
        <f>SUMIF(物料月初库存!$C$3:$C$303,$B631,物料月初库存!$F$3:$F$303)</f>
        <v>0</v>
      </c>
      <c r="H631" s="28">
        <f>SUMIF(半成品入库明细!$D$2:$D$650,$B631,半成品入库明细!$G$2:$G$650)</f>
        <v>0</v>
      </c>
      <c r="I631" s="28">
        <f ca="1">SUMIF(半成品出库明细!$D$2:$D$558,$B631,半成品出库明细!$G$2:$G$2)</f>
        <v>0</v>
      </c>
      <c r="J631" s="28">
        <f ca="1" t="shared" si="10"/>
        <v>0</v>
      </c>
      <c r="K631" s="29"/>
      <c r="L631" s="19"/>
      <c r="M631" s="3"/>
    </row>
    <row r="632" s="1" customFormat="1" spans="1:13">
      <c r="A632" s="22">
        <v>577</v>
      </c>
      <c r="B632" s="23" t="s">
        <v>1212</v>
      </c>
      <c r="C632" s="25" t="s">
        <v>1208</v>
      </c>
      <c r="D632" s="25" t="s">
        <v>1209</v>
      </c>
      <c r="E632" s="19" t="s">
        <v>256</v>
      </c>
      <c r="F632" s="26" t="s">
        <v>197</v>
      </c>
      <c r="G632" s="27">
        <f>SUMIF(物料月初库存!$C$3:$C$303,$B632,物料月初库存!$F$3:$F$303)</f>
        <v>0</v>
      </c>
      <c r="H632" s="28">
        <f>SUMIF(半成品入库明细!$D$2:$D$650,$B632,半成品入库明细!$G$2:$G$650)</f>
        <v>0</v>
      </c>
      <c r="I632" s="28">
        <f ca="1">SUMIF(半成品出库明细!$D$2:$D$558,$B632,半成品出库明细!$G$2:$G$2)</f>
        <v>0</v>
      </c>
      <c r="J632" s="28">
        <f ca="1" t="shared" si="10"/>
        <v>0</v>
      </c>
      <c r="K632" s="29"/>
      <c r="L632" s="19"/>
      <c r="M632" s="3"/>
    </row>
    <row r="633" s="1" customFormat="1" spans="1:13">
      <c r="A633" s="22">
        <v>578</v>
      </c>
      <c r="B633" s="23" t="s">
        <v>1213</v>
      </c>
      <c r="C633" s="25" t="s">
        <v>1214</v>
      </c>
      <c r="D633" s="25" t="s">
        <v>1209</v>
      </c>
      <c r="E633" s="19" t="s">
        <v>76</v>
      </c>
      <c r="F633" s="26" t="s">
        <v>197</v>
      </c>
      <c r="G633" s="27">
        <f>SUMIF(物料月初库存!$C$3:$C$303,$B633,物料月初库存!$F$3:$F$303)</f>
        <v>0</v>
      </c>
      <c r="H633" s="28">
        <f>SUMIF(半成品入库明细!$D$2:$D$650,$B633,半成品入库明细!$G$2:$G$650)</f>
        <v>0</v>
      </c>
      <c r="I633" s="28">
        <f ca="1">SUMIF(半成品出库明细!$D$2:$D$558,$B633,半成品出库明细!$G$2:$G$2)</f>
        <v>0</v>
      </c>
      <c r="J633" s="28">
        <f ca="1" t="shared" si="10"/>
        <v>0</v>
      </c>
      <c r="K633" s="29"/>
      <c r="L633" s="19"/>
      <c r="M633" s="3"/>
    </row>
    <row r="634" s="1" customFormat="1" spans="1:13">
      <c r="A634" s="22">
        <v>579</v>
      </c>
      <c r="B634" s="23" t="s">
        <v>1215</v>
      </c>
      <c r="C634" s="25" t="s">
        <v>1214</v>
      </c>
      <c r="D634" s="25" t="s">
        <v>1209</v>
      </c>
      <c r="E634" s="50" t="s">
        <v>1211</v>
      </c>
      <c r="F634" s="26" t="s">
        <v>197</v>
      </c>
      <c r="G634" s="27">
        <f>SUMIF(物料月初库存!$C$3:$C$303,$B634,物料月初库存!$F$3:$F$303)</f>
        <v>0</v>
      </c>
      <c r="H634" s="28">
        <f>SUMIF(半成品入库明细!$D$2:$D$650,$B634,半成品入库明细!$G$2:$G$650)</f>
        <v>0</v>
      </c>
      <c r="I634" s="28">
        <f ca="1">SUMIF(半成品出库明细!$D$2:$D$558,$B634,半成品出库明细!$G$2:$G$2)</f>
        <v>0</v>
      </c>
      <c r="J634" s="28">
        <f ca="1" t="shared" si="10"/>
        <v>0</v>
      </c>
      <c r="K634" s="29"/>
      <c r="L634" s="19"/>
      <c r="M634" s="3"/>
    </row>
    <row r="635" s="1" customFormat="1" spans="1:13">
      <c r="A635" s="22">
        <v>580</v>
      </c>
      <c r="B635" s="23" t="s">
        <v>1216</v>
      </c>
      <c r="C635" s="25" t="s">
        <v>1214</v>
      </c>
      <c r="D635" s="25" t="s">
        <v>1209</v>
      </c>
      <c r="E635" s="19" t="s">
        <v>256</v>
      </c>
      <c r="F635" s="26" t="s">
        <v>197</v>
      </c>
      <c r="G635" s="27">
        <f>SUMIF(物料月初库存!$C$3:$C$303,$B635,物料月初库存!$F$3:$F$303)</f>
        <v>0</v>
      </c>
      <c r="H635" s="28">
        <f>SUMIF(半成品入库明细!$D$2:$D$650,$B635,半成品入库明细!$G$2:$G$650)</f>
        <v>0</v>
      </c>
      <c r="I635" s="28">
        <f ca="1">SUMIF(半成品出库明细!$D$2:$D$558,$B635,半成品出库明细!$G$2:$G$2)</f>
        <v>0</v>
      </c>
      <c r="J635" s="28">
        <f ca="1" t="shared" si="10"/>
        <v>0</v>
      </c>
      <c r="K635" s="29"/>
      <c r="L635" s="19"/>
      <c r="M635" s="3"/>
    </row>
    <row r="636" s="1" customFormat="1" spans="1:13">
      <c r="A636" s="22">
        <v>581</v>
      </c>
      <c r="B636" s="23" t="s">
        <v>1217</v>
      </c>
      <c r="C636" s="25" t="s">
        <v>1218</v>
      </c>
      <c r="D636" s="25" t="s">
        <v>1219</v>
      </c>
      <c r="E636" s="19" t="s">
        <v>76</v>
      </c>
      <c r="F636" s="26" t="s">
        <v>197</v>
      </c>
      <c r="G636" s="27">
        <f>SUMIF(物料月初库存!$C$3:$C$303,$B636,物料月初库存!$F$3:$F$303)</f>
        <v>0</v>
      </c>
      <c r="H636" s="28">
        <f>SUMIF(半成品入库明细!$D$2:$D$650,$B636,半成品入库明细!$G$2:$G$650)</f>
        <v>0</v>
      </c>
      <c r="I636" s="28">
        <f ca="1">SUMIF(半成品出库明细!$D$2:$D$558,$B636,半成品出库明细!$G$2:$G$2)</f>
        <v>0</v>
      </c>
      <c r="J636" s="28">
        <f ca="1" t="shared" si="10"/>
        <v>0</v>
      </c>
      <c r="K636" s="29"/>
      <c r="L636" s="19"/>
      <c r="M636" s="3"/>
    </row>
    <row r="637" s="1" customFormat="1" spans="1:13">
      <c r="A637" s="22">
        <v>582</v>
      </c>
      <c r="B637" s="23" t="s">
        <v>1220</v>
      </c>
      <c r="C637" s="25" t="s">
        <v>1218</v>
      </c>
      <c r="D637" s="25" t="s">
        <v>1219</v>
      </c>
      <c r="E637" s="28" t="s">
        <v>199</v>
      </c>
      <c r="F637" s="26" t="s">
        <v>197</v>
      </c>
      <c r="G637" s="27">
        <f>SUMIF(物料月初库存!$C$3:$C$303,$B637,物料月初库存!$F$3:$F$303)</f>
        <v>0</v>
      </c>
      <c r="H637" s="28">
        <f>SUMIF(半成品入库明细!$D$2:$D$650,$B637,半成品入库明细!$G$2:$G$650)</f>
        <v>0</v>
      </c>
      <c r="I637" s="28">
        <f ca="1">SUMIF(半成品出库明细!$D$2:$D$558,$B637,半成品出库明细!$G$2:$G$2)</f>
        <v>0</v>
      </c>
      <c r="J637" s="28">
        <f ca="1" t="shared" si="10"/>
        <v>0</v>
      </c>
      <c r="K637" s="29"/>
      <c r="L637" s="19"/>
      <c r="M637" s="3"/>
    </row>
    <row r="638" s="1" customFormat="1" spans="1:13">
      <c r="A638" s="22">
        <v>583</v>
      </c>
      <c r="B638" s="23" t="s">
        <v>1221</v>
      </c>
      <c r="C638" s="25" t="s">
        <v>1218</v>
      </c>
      <c r="D638" s="25" t="s">
        <v>1219</v>
      </c>
      <c r="E638" s="28" t="s">
        <v>353</v>
      </c>
      <c r="F638" s="26" t="s">
        <v>197</v>
      </c>
      <c r="G638" s="27">
        <f>SUMIF(物料月初库存!$C$3:$C$303,$B638,物料月初库存!$F$3:$F$303)</f>
        <v>0</v>
      </c>
      <c r="H638" s="28">
        <f>SUMIF(半成品入库明细!$D$2:$D$650,$B638,半成品入库明细!$G$2:$G$650)</f>
        <v>0</v>
      </c>
      <c r="I638" s="28">
        <f ca="1">SUMIF(半成品出库明细!$D$2:$D$558,$B638,半成品出库明细!$G$2:$G$2)</f>
        <v>0</v>
      </c>
      <c r="J638" s="28">
        <f ca="1" t="shared" si="10"/>
        <v>0</v>
      </c>
      <c r="K638" s="29"/>
      <c r="L638" s="19"/>
      <c r="M638" s="3"/>
    </row>
    <row r="639" s="1" customFormat="1" spans="1:13">
      <c r="A639" s="22">
        <v>584</v>
      </c>
      <c r="B639" s="23" t="s">
        <v>1222</v>
      </c>
      <c r="C639" s="25" t="s">
        <v>1223</v>
      </c>
      <c r="D639" s="52" t="s">
        <v>1224</v>
      </c>
      <c r="E639" s="19" t="s">
        <v>76</v>
      </c>
      <c r="F639" s="26" t="s">
        <v>197</v>
      </c>
      <c r="G639" s="27">
        <f>SUMIF(物料月初库存!$C$3:$C$303,$B639,物料月初库存!$F$3:$F$303)</f>
        <v>0</v>
      </c>
      <c r="H639" s="28">
        <f>SUMIF(半成品入库明细!$D$2:$D$650,$B639,半成品入库明细!$G$2:$G$650)</f>
        <v>0</v>
      </c>
      <c r="I639" s="28">
        <f ca="1">SUMIF(半成品出库明细!$D$2:$D$558,$B639,半成品出库明细!$G$2:$G$2)</f>
        <v>0</v>
      </c>
      <c r="J639" s="28">
        <f ca="1" t="shared" si="10"/>
        <v>0</v>
      </c>
      <c r="K639" s="29"/>
      <c r="L639" s="19"/>
      <c r="M639" s="3"/>
    </row>
    <row r="640" s="1" customFormat="1" spans="1:13">
      <c r="A640" s="22">
        <v>585</v>
      </c>
      <c r="B640" s="23" t="s">
        <v>1225</v>
      </c>
      <c r="C640" s="24" t="s">
        <v>1226</v>
      </c>
      <c r="D640" s="25" t="s">
        <v>1227</v>
      </c>
      <c r="E640" s="19" t="s">
        <v>76</v>
      </c>
      <c r="F640" s="26" t="s">
        <v>197</v>
      </c>
      <c r="G640" s="27">
        <f>SUMIF(物料月初库存!$C$3:$C$303,$B640,物料月初库存!$F$3:$F$303)</f>
        <v>0</v>
      </c>
      <c r="H640" s="28">
        <f>SUMIF(半成品入库明细!$D$2:$D$650,$B640,半成品入库明细!$G$2:$G$650)</f>
        <v>0</v>
      </c>
      <c r="I640" s="28">
        <f ca="1">SUMIF(半成品出库明细!$D$2:$D$558,$B640,半成品出库明细!$G$2:$G$2)</f>
        <v>0</v>
      </c>
      <c r="J640" s="28">
        <f ca="1" t="shared" si="10"/>
        <v>0</v>
      </c>
      <c r="K640" s="29"/>
      <c r="L640" s="19"/>
      <c r="M640" s="3"/>
    </row>
    <row r="641" s="1" customFormat="1" spans="1:13">
      <c r="A641" s="22">
        <v>586</v>
      </c>
      <c r="B641" s="23" t="s">
        <v>1228</v>
      </c>
      <c r="C641" s="24" t="s">
        <v>1226</v>
      </c>
      <c r="D641" s="25" t="s">
        <v>1227</v>
      </c>
      <c r="E641" s="28" t="s">
        <v>1229</v>
      </c>
      <c r="F641" s="26" t="s">
        <v>197</v>
      </c>
      <c r="G641" s="27">
        <f>SUMIF(物料月初库存!$C$3:$C$303,$B641,物料月初库存!$F$3:$F$303)</f>
        <v>0</v>
      </c>
      <c r="H641" s="28">
        <f>SUMIF(半成品入库明细!$D$2:$D$650,$B641,半成品入库明细!$G$2:$G$650)</f>
        <v>0</v>
      </c>
      <c r="I641" s="28">
        <f ca="1">SUMIF(半成品出库明细!$D$2:$D$558,$B641,半成品出库明细!$G$2:$G$2)</f>
        <v>0</v>
      </c>
      <c r="J641" s="28">
        <f ca="1" t="shared" si="10"/>
        <v>0</v>
      </c>
      <c r="K641" s="29"/>
      <c r="L641" s="19"/>
      <c r="M641" s="3"/>
    </row>
    <row r="642" s="1" customFormat="1" spans="1:13">
      <c r="A642" s="22">
        <v>587</v>
      </c>
      <c r="B642" s="23" t="s">
        <v>1230</v>
      </c>
      <c r="C642" s="24" t="s">
        <v>1226</v>
      </c>
      <c r="D642" s="25" t="s">
        <v>1227</v>
      </c>
      <c r="E642" s="28" t="s">
        <v>464</v>
      </c>
      <c r="F642" s="26" t="s">
        <v>197</v>
      </c>
      <c r="G642" s="27">
        <f>SUMIF(物料月初库存!$C$3:$C$303,$B642,物料月初库存!$F$3:$F$303)</f>
        <v>0</v>
      </c>
      <c r="H642" s="28">
        <f>SUMIF(半成品入库明细!$D$2:$D$650,$B642,半成品入库明细!$G$2:$G$650)</f>
        <v>0</v>
      </c>
      <c r="I642" s="28">
        <f ca="1">SUMIF(半成品出库明细!$D$2:$D$558,$B642,半成品出库明细!$G$2:$G$2)</f>
        <v>0</v>
      </c>
      <c r="J642" s="28">
        <f ca="1" t="shared" si="10"/>
        <v>0</v>
      </c>
      <c r="K642" s="29"/>
      <c r="L642" s="19"/>
      <c r="M642" s="3"/>
    </row>
    <row r="643" s="1" customFormat="1" spans="1:13">
      <c r="A643" s="22">
        <v>588</v>
      </c>
      <c r="B643" s="23" t="s">
        <v>1231</v>
      </c>
      <c r="C643" s="24" t="s">
        <v>1226</v>
      </c>
      <c r="D643" s="25" t="s">
        <v>1227</v>
      </c>
      <c r="E643" s="19" t="s">
        <v>256</v>
      </c>
      <c r="F643" s="26" t="s">
        <v>197</v>
      </c>
      <c r="G643" s="27">
        <f>SUMIF(物料月初库存!$C$3:$C$303,$B643,物料月初库存!$F$3:$F$303)</f>
        <v>0</v>
      </c>
      <c r="H643" s="28">
        <f>SUMIF(半成品入库明细!$D$2:$D$650,$B643,半成品入库明细!$G$2:$G$650)</f>
        <v>0</v>
      </c>
      <c r="I643" s="28">
        <f ca="1">SUMIF(半成品出库明细!$D$2:$D$558,$B643,半成品出库明细!$G$2:$G$2)</f>
        <v>0</v>
      </c>
      <c r="J643" s="28">
        <f ca="1" t="shared" si="10"/>
        <v>0</v>
      </c>
      <c r="K643" s="29"/>
      <c r="L643" s="19"/>
      <c r="M643" s="3"/>
    </row>
    <row r="644" s="1" customFormat="1" spans="1:13">
      <c r="A644" s="22">
        <v>589</v>
      </c>
      <c r="B644" s="23" t="s">
        <v>1232</v>
      </c>
      <c r="C644" s="41" t="s">
        <v>1233</v>
      </c>
      <c r="D644" s="25" t="s">
        <v>1234</v>
      </c>
      <c r="E644" s="19" t="s">
        <v>76</v>
      </c>
      <c r="F644" s="26" t="s">
        <v>197</v>
      </c>
      <c r="G644" s="27">
        <f>SUMIF(物料月初库存!$C$3:$C$303,$B644,物料月初库存!$F$3:$F$303)</f>
        <v>0</v>
      </c>
      <c r="H644" s="28">
        <f>SUMIF(半成品入库明细!$D$2:$D$650,$B644,半成品入库明细!$G$2:$G$650)</f>
        <v>0</v>
      </c>
      <c r="I644" s="28">
        <f ca="1">SUMIF(半成品出库明细!$D$2:$D$558,$B644,半成品出库明细!$G$2:$G$2)</f>
        <v>0</v>
      </c>
      <c r="J644" s="28">
        <f ca="1" t="shared" si="10"/>
        <v>0</v>
      </c>
      <c r="K644" s="29"/>
      <c r="L644" s="19"/>
      <c r="M644" s="3"/>
    </row>
    <row r="645" s="1" customFormat="1" spans="1:13">
      <c r="A645" s="22">
        <v>590</v>
      </c>
      <c r="B645" s="23" t="s">
        <v>1235</v>
      </c>
      <c r="C645" s="41" t="s">
        <v>1233</v>
      </c>
      <c r="D645" s="25" t="s">
        <v>1234</v>
      </c>
      <c r="E645" s="28" t="s">
        <v>199</v>
      </c>
      <c r="F645" s="26" t="s">
        <v>197</v>
      </c>
      <c r="G645" s="27">
        <f>SUMIF(物料月初库存!$C$3:$C$303,$B645,物料月初库存!$F$3:$F$303)</f>
        <v>0</v>
      </c>
      <c r="H645" s="28">
        <f>SUMIF(半成品入库明细!$D$2:$D$650,$B645,半成品入库明细!$G$2:$G$650)</f>
        <v>0</v>
      </c>
      <c r="I645" s="28">
        <f ca="1">SUMIF(半成品出库明细!$D$2:$D$558,$B645,半成品出库明细!$G$2:$G$2)</f>
        <v>0</v>
      </c>
      <c r="J645" s="28">
        <f ca="1" t="shared" si="10"/>
        <v>0</v>
      </c>
      <c r="K645" s="29"/>
      <c r="L645" s="19" t="s">
        <v>202</v>
      </c>
      <c r="M645" s="3"/>
    </row>
    <row r="646" s="1" customFormat="1" spans="1:13">
      <c r="A646" s="22">
        <v>591</v>
      </c>
      <c r="B646" s="23" t="s">
        <v>1236</v>
      </c>
      <c r="C646" s="41" t="s">
        <v>1233</v>
      </c>
      <c r="D646" s="25" t="s">
        <v>1234</v>
      </c>
      <c r="E646" s="19" t="s">
        <v>76</v>
      </c>
      <c r="F646" s="26" t="s">
        <v>197</v>
      </c>
      <c r="G646" s="27">
        <f>SUMIF(物料月初库存!$C$3:$C$303,$B646,物料月初库存!$F$3:$F$303)</f>
        <v>0</v>
      </c>
      <c r="H646" s="28">
        <f>SUMIF(半成品入库明细!$D$2:$D$650,$B646,半成品入库明细!$G$2:$G$650)</f>
        <v>0</v>
      </c>
      <c r="I646" s="28">
        <f ca="1">SUMIF(半成品出库明细!$D$2:$D$558,$B646,半成品出库明细!$G$2:$G$2)</f>
        <v>0</v>
      </c>
      <c r="J646" s="28">
        <f ca="1" t="shared" si="10"/>
        <v>0</v>
      </c>
      <c r="K646" s="29"/>
      <c r="L646" s="19"/>
      <c r="M646" s="3"/>
    </row>
    <row r="647" s="1" customFormat="1" spans="1:13">
      <c r="A647" s="22">
        <v>592</v>
      </c>
      <c r="B647" s="23" t="s">
        <v>1237</v>
      </c>
      <c r="C647" s="41" t="s">
        <v>1238</v>
      </c>
      <c r="D647" s="25" t="s">
        <v>1234</v>
      </c>
      <c r="E647" s="28" t="s">
        <v>199</v>
      </c>
      <c r="F647" s="26" t="s">
        <v>197</v>
      </c>
      <c r="G647" s="27">
        <f>SUMIF(物料月初库存!$C$3:$C$303,$B647,物料月初库存!$F$3:$F$303)</f>
        <v>0</v>
      </c>
      <c r="H647" s="28">
        <f>SUMIF(半成品入库明细!$D$2:$D$650,$B647,半成品入库明细!$G$2:$G$650)</f>
        <v>0</v>
      </c>
      <c r="I647" s="28">
        <f ca="1">SUMIF(半成品出库明细!$D$2:$D$558,$B647,半成品出库明细!$G$2:$G$2)</f>
        <v>0</v>
      </c>
      <c r="J647" s="28">
        <f ca="1" t="shared" si="10"/>
        <v>0</v>
      </c>
      <c r="K647" s="29" t="s">
        <v>1239</v>
      </c>
      <c r="L647" s="19" t="s">
        <v>202</v>
      </c>
      <c r="M647" s="3"/>
    </row>
    <row r="648" s="1" customFormat="1" spans="1:13">
      <c r="A648" s="22">
        <v>593</v>
      </c>
      <c r="B648" s="23" t="s">
        <v>1240</v>
      </c>
      <c r="C648" s="41" t="s">
        <v>1241</v>
      </c>
      <c r="D648" s="25" t="s">
        <v>1234</v>
      </c>
      <c r="E648" s="19" t="s">
        <v>76</v>
      </c>
      <c r="F648" s="26" t="s">
        <v>197</v>
      </c>
      <c r="G648" s="27">
        <f>SUMIF(物料月初库存!$C$3:$C$303,$B648,物料月初库存!$F$3:$F$303)</f>
        <v>0</v>
      </c>
      <c r="H648" s="28">
        <f>SUMIF(半成品入库明细!$D$2:$D$650,$B648,半成品入库明细!$G$2:$G$650)</f>
        <v>0</v>
      </c>
      <c r="I648" s="28">
        <f ca="1">SUMIF(半成品出库明细!$D$2:$D$558,$B648,半成品出库明细!$G$2:$G$2)</f>
        <v>0</v>
      </c>
      <c r="J648" s="28">
        <f ca="1" t="shared" si="10"/>
        <v>0</v>
      </c>
      <c r="K648" s="29"/>
      <c r="L648" s="19"/>
      <c r="M648" s="3"/>
    </row>
    <row r="649" s="1" customFormat="1" spans="1:13">
      <c r="A649" s="22">
        <v>595</v>
      </c>
      <c r="B649" s="23" t="s">
        <v>14</v>
      </c>
      <c r="C649" s="41" t="s">
        <v>1241</v>
      </c>
      <c r="D649" s="25" t="s">
        <v>1234</v>
      </c>
      <c r="E649" s="50" t="s">
        <v>1211</v>
      </c>
      <c r="F649" s="26" t="s">
        <v>197</v>
      </c>
      <c r="G649" s="27">
        <f>SUMIF(物料月初库存!$C$3:$C$303,$B649,物料月初库存!$F$3:$F$303)</f>
        <v>2487</v>
      </c>
      <c r="H649" s="28">
        <f>SUMIF(半成品入库明细!$D$2:$D$650,$B649,半成品入库明细!$G$2:$G$650)</f>
        <v>0</v>
      </c>
      <c r="I649" s="28">
        <f ca="1">SUMIF(半成品出库明细!$D$2:$D$558,$B649,半成品出库明细!$G$2:$G$2)</f>
        <v>0</v>
      </c>
      <c r="J649" s="28">
        <f ca="1" t="shared" ref="J649:J712" si="11">G649+H649-I649</f>
        <v>2487</v>
      </c>
      <c r="K649" s="29" t="s">
        <v>1242</v>
      </c>
      <c r="L649" s="22"/>
      <c r="M649" s="3"/>
    </row>
    <row r="650" s="1" customFormat="1" spans="1:13">
      <c r="A650" s="22">
        <v>597</v>
      </c>
      <c r="B650" s="23" t="s">
        <v>1243</v>
      </c>
      <c r="C650" s="41" t="s">
        <v>1241</v>
      </c>
      <c r="D650" s="25" t="s">
        <v>1234</v>
      </c>
      <c r="E650" s="19" t="s">
        <v>839</v>
      </c>
      <c r="F650" s="26" t="s">
        <v>197</v>
      </c>
      <c r="G650" s="27">
        <f>SUMIF(物料月初库存!$C$3:$C$303,$B650,物料月初库存!$F$3:$F$303)</f>
        <v>0</v>
      </c>
      <c r="H650" s="28">
        <f>SUMIF(半成品入库明细!$D$2:$D$650,$B650,半成品入库明细!$G$2:$G$650)</f>
        <v>0</v>
      </c>
      <c r="I650" s="28">
        <f ca="1">SUMIF(半成品出库明细!$D$2:$D$558,$B650,半成品出库明细!$G$2:$G$2)</f>
        <v>0</v>
      </c>
      <c r="J650" s="28">
        <f ca="1" t="shared" si="11"/>
        <v>0</v>
      </c>
      <c r="K650" s="113" t="s">
        <v>1244</v>
      </c>
      <c r="L650" s="19"/>
      <c r="M650" s="3"/>
    </row>
    <row r="651" s="1" customFormat="1" spans="1:13">
      <c r="A651" s="22">
        <v>598</v>
      </c>
      <c r="B651" s="23" t="s">
        <v>1245</v>
      </c>
      <c r="C651" s="41" t="s">
        <v>1241</v>
      </c>
      <c r="D651" s="25" t="s">
        <v>1234</v>
      </c>
      <c r="E651" s="28" t="s">
        <v>353</v>
      </c>
      <c r="F651" s="26" t="s">
        <v>197</v>
      </c>
      <c r="G651" s="27">
        <f>SUMIF(物料月初库存!$C$3:$C$303,$B651,物料月初库存!$F$3:$F$303)</f>
        <v>0</v>
      </c>
      <c r="H651" s="28">
        <f>SUMIF(半成品入库明细!$D$2:$D$650,$B651,半成品入库明细!$G$2:$G$650)</f>
        <v>0</v>
      </c>
      <c r="I651" s="28">
        <f ca="1">SUMIF(半成品出库明细!$D$2:$D$558,$B651,半成品出库明细!$G$2:$G$2)</f>
        <v>0</v>
      </c>
      <c r="J651" s="28">
        <f ca="1" t="shared" si="11"/>
        <v>0</v>
      </c>
      <c r="K651" s="32" t="s">
        <v>1246</v>
      </c>
      <c r="L651" s="19" t="s">
        <v>202</v>
      </c>
      <c r="M651" s="3"/>
    </row>
    <row r="652" s="1" customFormat="1" spans="1:13">
      <c r="A652" s="22">
        <v>600</v>
      </c>
      <c r="B652" s="23" t="s">
        <v>1247</v>
      </c>
      <c r="C652" s="41" t="s">
        <v>1248</v>
      </c>
      <c r="D652" s="25" t="s">
        <v>1234</v>
      </c>
      <c r="E652" s="19" t="s">
        <v>76</v>
      </c>
      <c r="F652" s="26" t="s">
        <v>197</v>
      </c>
      <c r="G652" s="27">
        <f>SUMIF(物料月初库存!$C$3:$C$303,$B652,物料月初库存!$F$3:$F$303)</f>
        <v>0</v>
      </c>
      <c r="H652" s="28">
        <f>SUMIF(半成品入库明细!$D$2:$D$650,$B652,半成品入库明细!$G$2:$G$650)</f>
        <v>0</v>
      </c>
      <c r="I652" s="28">
        <f ca="1">SUMIF(半成品出库明细!$D$2:$D$558,$B652,半成品出库明细!$G$2:$G$2)</f>
        <v>0</v>
      </c>
      <c r="J652" s="28">
        <f ca="1" t="shared" si="11"/>
        <v>0</v>
      </c>
      <c r="K652" s="29">
        <v>1</v>
      </c>
      <c r="L652" s="19"/>
      <c r="M652" s="3"/>
    </row>
    <row r="653" s="1" customFormat="1" spans="1:13">
      <c r="A653" s="22">
        <v>601</v>
      </c>
      <c r="B653" s="23" t="s">
        <v>1249</v>
      </c>
      <c r="C653" s="41" t="s">
        <v>1248</v>
      </c>
      <c r="D653" s="25" t="s">
        <v>1234</v>
      </c>
      <c r="E653" s="28" t="s">
        <v>1211</v>
      </c>
      <c r="F653" s="26" t="s">
        <v>197</v>
      </c>
      <c r="G653" s="27">
        <f>SUMIF(物料月初库存!$C$3:$C$303,$B653,物料月初库存!$F$3:$F$303)</f>
        <v>0</v>
      </c>
      <c r="H653" s="28">
        <f>SUMIF(半成品入库明细!$D$2:$D$650,$B653,半成品入库明细!$G$2:$G$650)</f>
        <v>0</v>
      </c>
      <c r="I653" s="28">
        <f ca="1">SUMIF(半成品出库明细!$D$2:$D$558,$B653,半成品出库明细!$G$2:$G$2)</f>
        <v>0</v>
      </c>
      <c r="J653" s="28">
        <f ca="1" t="shared" si="11"/>
        <v>0</v>
      </c>
      <c r="K653" s="32" t="s">
        <v>1250</v>
      </c>
      <c r="L653" s="19"/>
      <c r="M653" s="3"/>
    </row>
    <row r="654" s="1" customFormat="1" spans="1:13">
      <c r="A654" s="22">
        <v>602</v>
      </c>
      <c r="B654" s="23" t="s">
        <v>1251</v>
      </c>
      <c r="C654" s="41" t="s">
        <v>1248</v>
      </c>
      <c r="D654" s="25" t="s">
        <v>1234</v>
      </c>
      <c r="E654" s="19" t="s">
        <v>469</v>
      </c>
      <c r="F654" s="26" t="s">
        <v>197</v>
      </c>
      <c r="G654" s="27">
        <f>SUMIF(物料月初库存!$C$3:$C$303,$B654,物料月初库存!$F$3:$F$303)</f>
        <v>0</v>
      </c>
      <c r="H654" s="28">
        <f>SUMIF(半成品入库明细!$D$2:$D$650,$B654,半成品入库明细!$G$2:$G$650)</f>
        <v>0</v>
      </c>
      <c r="I654" s="28">
        <f ca="1">SUMIF(半成品出库明细!$D$2:$D$558,$B654,半成品出库明细!$G$2:$G$2)</f>
        <v>0</v>
      </c>
      <c r="J654" s="28">
        <f ca="1" t="shared" si="11"/>
        <v>0</v>
      </c>
      <c r="K654" s="114" t="s">
        <v>1252</v>
      </c>
      <c r="L654" s="19"/>
      <c r="M654" s="3"/>
    </row>
    <row r="655" s="1" customFormat="1" spans="1:13">
      <c r="A655" s="22">
        <v>603</v>
      </c>
      <c r="B655" s="23" t="s">
        <v>1253</v>
      </c>
      <c r="C655" s="41" t="s">
        <v>1248</v>
      </c>
      <c r="D655" s="25" t="s">
        <v>1234</v>
      </c>
      <c r="E655" s="28" t="s">
        <v>239</v>
      </c>
      <c r="F655" s="26" t="s">
        <v>197</v>
      </c>
      <c r="G655" s="27">
        <f>SUMIF(物料月初库存!$C$3:$C$303,$B655,物料月初库存!$F$3:$F$303)</f>
        <v>0</v>
      </c>
      <c r="H655" s="28">
        <f>SUMIF(半成品入库明细!$D$2:$D$650,$B655,半成品入库明细!$G$2:$G$650)</f>
        <v>0</v>
      </c>
      <c r="I655" s="28">
        <f ca="1">SUMIF(半成品出库明细!$D$2:$D$558,$B655,半成品出库明细!$G$2:$G$2)</f>
        <v>0</v>
      </c>
      <c r="J655" s="28">
        <f ca="1" t="shared" si="11"/>
        <v>0</v>
      </c>
      <c r="K655" s="115" t="s">
        <v>701</v>
      </c>
      <c r="L655" s="19"/>
      <c r="M655" s="3"/>
    </row>
    <row r="656" s="1" customFormat="1" spans="1:13">
      <c r="A656" s="22">
        <v>604</v>
      </c>
      <c r="B656" s="36" t="s">
        <v>1254</v>
      </c>
      <c r="C656" s="112" t="s">
        <v>1248</v>
      </c>
      <c r="D656" s="33" t="s">
        <v>1234</v>
      </c>
      <c r="E656" s="37" t="s">
        <v>839</v>
      </c>
      <c r="F656" s="38" t="s">
        <v>197</v>
      </c>
      <c r="G656" s="39">
        <f>SUMIF(物料月初库存!$C$3:$C$303,$B656,物料月初库存!$F$3:$F$303)</f>
        <v>0</v>
      </c>
      <c r="H656" s="40">
        <f>SUMIF(半成品入库明细!$D$2:$D$650,$B656,半成品入库明细!$G$2:$G$650)</f>
        <v>0</v>
      </c>
      <c r="I656" s="40">
        <f ca="1">SUMIF(半成品出库明细!$D$2:$D$558,$B656,半成品出库明细!$G$2:$G$2)</f>
        <v>0</v>
      </c>
      <c r="J656" s="40">
        <f ca="1" t="shared" si="11"/>
        <v>0</v>
      </c>
      <c r="K656" s="106" t="s">
        <v>1255</v>
      </c>
      <c r="L656" s="37" t="s">
        <v>1256</v>
      </c>
      <c r="M656" s="3"/>
    </row>
    <row r="657" s="1" customFormat="1" spans="1:13">
      <c r="A657" s="22">
        <v>605</v>
      </c>
      <c r="B657" s="23" t="s">
        <v>1257</v>
      </c>
      <c r="C657" s="41" t="s">
        <v>1248</v>
      </c>
      <c r="D657" s="25" t="s">
        <v>1234</v>
      </c>
      <c r="E657" s="19" t="s">
        <v>353</v>
      </c>
      <c r="F657" s="26" t="s">
        <v>197</v>
      </c>
      <c r="G657" s="27">
        <f>SUMIF(物料月初库存!$C$3:$C$303,$B657,物料月初库存!$F$3:$F$303)</f>
        <v>0</v>
      </c>
      <c r="H657" s="28">
        <f>SUMIF(半成品入库明细!$D$2:$D$650,$B657,半成品入库明细!$G$2:$G$650)</f>
        <v>0</v>
      </c>
      <c r="I657" s="28">
        <f ca="1">SUMIF(半成品出库明细!$D$2:$D$558,$B657,半成品出库明细!$G$2:$G$2)</f>
        <v>0</v>
      </c>
      <c r="J657" s="28">
        <f ca="1" t="shared" si="11"/>
        <v>0</v>
      </c>
      <c r="K657" s="30" t="s">
        <v>1258</v>
      </c>
      <c r="L657" s="19" t="s">
        <v>202</v>
      </c>
      <c r="M657" s="3"/>
    </row>
    <row r="658" s="1" customFormat="1" spans="1:13">
      <c r="A658" s="22">
        <v>606</v>
      </c>
      <c r="B658" s="23" t="s">
        <v>1259</v>
      </c>
      <c r="C658" s="41" t="s">
        <v>1260</v>
      </c>
      <c r="D658" s="25" t="s">
        <v>1234</v>
      </c>
      <c r="E658" s="19" t="s">
        <v>76</v>
      </c>
      <c r="F658" s="26" t="s">
        <v>197</v>
      </c>
      <c r="G658" s="27">
        <f>SUMIF(物料月初库存!$C$3:$C$303,$B658,物料月初库存!$F$3:$F$303)</f>
        <v>0</v>
      </c>
      <c r="H658" s="28">
        <f>SUMIF(半成品入库明细!$D$2:$D$650,$B658,半成品入库明细!$G$2:$G$650)</f>
        <v>0</v>
      </c>
      <c r="I658" s="28">
        <f ca="1">SUMIF(半成品出库明细!$D$2:$D$558,$B658,半成品出库明细!$G$2:$G$2)</f>
        <v>0</v>
      </c>
      <c r="J658" s="28">
        <f ca="1" t="shared" si="11"/>
        <v>0</v>
      </c>
      <c r="K658" s="29"/>
      <c r="L658" s="19"/>
      <c r="M658" s="3"/>
    </row>
    <row r="659" s="1" customFormat="1" spans="1:13">
      <c r="A659" s="22">
        <v>607</v>
      </c>
      <c r="B659" s="23" t="s">
        <v>1261</v>
      </c>
      <c r="C659" s="41" t="s">
        <v>1260</v>
      </c>
      <c r="D659" s="25" t="s">
        <v>1234</v>
      </c>
      <c r="E659" s="19" t="s">
        <v>267</v>
      </c>
      <c r="F659" s="26" t="s">
        <v>197</v>
      </c>
      <c r="G659" s="27">
        <f>SUMIF(物料月初库存!$C$3:$C$303,$B659,物料月初库存!$F$3:$F$303)</f>
        <v>0</v>
      </c>
      <c r="H659" s="28">
        <f>SUMIF(半成品入库明细!$D$2:$D$650,$B659,半成品入库明细!$G$2:$G$650)</f>
        <v>0</v>
      </c>
      <c r="I659" s="28">
        <f ca="1">SUMIF(半成品出库明细!$D$2:$D$558,$B659,半成品出库明细!$G$2:$G$2)</f>
        <v>0</v>
      </c>
      <c r="J659" s="28">
        <f ca="1" t="shared" si="11"/>
        <v>0</v>
      </c>
      <c r="K659" s="29"/>
      <c r="L659" s="19" t="s">
        <v>202</v>
      </c>
      <c r="M659" s="3"/>
    </row>
    <row r="660" s="1" customFormat="1" spans="1:13">
      <c r="A660" s="22">
        <v>608</v>
      </c>
      <c r="B660" s="23" t="s">
        <v>1262</v>
      </c>
      <c r="C660" s="41" t="s">
        <v>1263</v>
      </c>
      <c r="D660" s="25" t="s">
        <v>1234</v>
      </c>
      <c r="E660" s="19" t="s">
        <v>76</v>
      </c>
      <c r="F660" s="26" t="s">
        <v>197</v>
      </c>
      <c r="G660" s="27">
        <f>SUMIF(物料月初库存!$C$3:$C$303,$B660,物料月初库存!$F$3:$F$303)</f>
        <v>0</v>
      </c>
      <c r="H660" s="28">
        <f>SUMIF(半成品入库明细!$D$2:$D$650,$B660,半成品入库明细!$G$2:$G$650)</f>
        <v>0</v>
      </c>
      <c r="I660" s="28">
        <f ca="1">SUMIF(半成品出库明细!$D$2:$D$558,$B660,半成品出库明细!$G$2:$G$2)</f>
        <v>0</v>
      </c>
      <c r="J660" s="28">
        <f ca="1" t="shared" si="11"/>
        <v>0</v>
      </c>
      <c r="K660" s="29"/>
      <c r="L660" s="19"/>
      <c r="M660" s="3"/>
    </row>
    <row r="661" s="1" customFormat="1" spans="1:13">
      <c r="A661" s="22">
        <v>609</v>
      </c>
      <c r="B661" s="23" t="s">
        <v>1264</v>
      </c>
      <c r="C661" s="41" t="s">
        <v>1263</v>
      </c>
      <c r="D661" s="25" t="s">
        <v>1234</v>
      </c>
      <c r="E661" s="19" t="s">
        <v>235</v>
      </c>
      <c r="F661" s="26" t="s">
        <v>197</v>
      </c>
      <c r="G661" s="27">
        <f>SUMIF(物料月初库存!$C$3:$C$303,$B661,物料月初库存!$F$3:$F$303)</f>
        <v>0</v>
      </c>
      <c r="H661" s="28">
        <f>SUMIF(半成品入库明细!$D$2:$D$650,$B661,半成品入库明细!$G$2:$G$650)</f>
        <v>0</v>
      </c>
      <c r="I661" s="28">
        <f ca="1">SUMIF(半成品出库明细!$D$2:$D$558,$B661,半成品出库明细!$G$2:$G$2)</f>
        <v>0</v>
      </c>
      <c r="J661" s="28">
        <f ca="1" t="shared" si="11"/>
        <v>0</v>
      </c>
      <c r="K661" s="29"/>
      <c r="L661" s="19" t="s">
        <v>202</v>
      </c>
      <c r="M661" s="3"/>
    </row>
    <row r="662" s="1" customFormat="1" spans="1:13">
      <c r="A662" s="22">
        <v>610</v>
      </c>
      <c r="B662" s="23" t="s">
        <v>1265</v>
      </c>
      <c r="C662" s="41" t="s">
        <v>1266</v>
      </c>
      <c r="D662" s="25" t="s">
        <v>1234</v>
      </c>
      <c r="E662" s="19" t="s">
        <v>76</v>
      </c>
      <c r="F662" s="26" t="s">
        <v>197</v>
      </c>
      <c r="G662" s="27">
        <f>SUMIF(物料月初库存!$C$3:$C$303,$B662,物料月初库存!$F$3:$F$303)</f>
        <v>0</v>
      </c>
      <c r="H662" s="28">
        <f>SUMIF(半成品入库明细!$D$2:$D$650,$B662,半成品入库明细!$G$2:$G$650)</f>
        <v>0</v>
      </c>
      <c r="I662" s="28">
        <f ca="1">SUMIF(半成品出库明细!$D$2:$D$558,$B662,半成品出库明细!$G$2:$G$2)</f>
        <v>0</v>
      </c>
      <c r="J662" s="28">
        <f ca="1" t="shared" si="11"/>
        <v>0</v>
      </c>
      <c r="K662" s="29"/>
      <c r="L662" s="19"/>
      <c r="M662" s="3"/>
    </row>
    <row r="663" s="1" customFormat="1" spans="1:13">
      <c r="A663" s="22">
        <v>611</v>
      </c>
      <c r="B663" s="23" t="s">
        <v>1267</v>
      </c>
      <c r="C663" s="41" t="s">
        <v>1266</v>
      </c>
      <c r="D663" s="25" t="s">
        <v>1234</v>
      </c>
      <c r="E663" s="28" t="s">
        <v>691</v>
      </c>
      <c r="F663" s="26" t="s">
        <v>197</v>
      </c>
      <c r="G663" s="27">
        <f>SUMIF(物料月初库存!$C$3:$C$303,$B663,物料月初库存!$F$3:$F$303)</f>
        <v>0</v>
      </c>
      <c r="H663" s="28">
        <f>SUMIF(半成品入库明细!$D$2:$D$650,$B663,半成品入库明细!$G$2:$G$650)</f>
        <v>0</v>
      </c>
      <c r="I663" s="28">
        <f ca="1">SUMIF(半成品出库明细!$D$2:$D$558,$B663,半成品出库明细!$G$2:$G$2)</f>
        <v>0</v>
      </c>
      <c r="J663" s="28">
        <f ca="1" t="shared" si="11"/>
        <v>0</v>
      </c>
      <c r="K663" s="29"/>
      <c r="L663" s="19"/>
      <c r="M663" s="3"/>
    </row>
    <row r="664" s="1" customFormat="1" spans="1:13">
      <c r="A664" s="22">
        <v>612</v>
      </c>
      <c r="B664" s="23" t="s">
        <v>1268</v>
      </c>
      <c r="C664" s="41" t="s">
        <v>1266</v>
      </c>
      <c r="D664" s="25" t="s">
        <v>1234</v>
      </c>
      <c r="E664" s="28" t="s">
        <v>353</v>
      </c>
      <c r="F664" s="26" t="s">
        <v>197</v>
      </c>
      <c r="G664" s="27">
        <f>SUMIF(物料月初库存!$C$3:$C$303,$B664,物料月初库存!$F$3:$F$303)</f>
        <v>0</v>
      </c>
      <c r="H664" s="28">
        <f>SUMIF(半成品入库明细!$D$2:$D$650,$B664,半成品入库明细!$G$2:$G$650)</f>
        <v>0</v>
      </c>
      <c r="I664" s="28">
        <f ca="1">SUMIF(半成品出库明细!$D$2:$D$558,$B664,半成品出库明细!$G$2:$G$2)</f>
        <v>0</v>
      </c>
      <c r="J664" s="28">
        <f ca="1" t="shared" si="11"/>
        <v>0</v>
      </c>
      <c r="K664" s="29"/>
      <c r="L664" s="19" t="s">
        <v>202</v>
      </c>
      <c r="M664" s="3"/>
    </row>
    <row r="665" s="1" customFormat="1" spans="1:13">
      <c r="A665" s="22">
        <v>613</v>
      </c>
      <c r="B665" s="23" t="s">
        <v>81</v>
      </c>
      <c r="C665" s="41" t="s">
        <v>1269</v>
      </c>
      <c r="D665" s="25" t="s">
        <v>1234</v>
      </c>
      <c r="E665" s="19" t="s">
        <v>76</v>
      </c>
      <c r="F665" s="26" t="s">
        <v>197</v>
      </c>
      <c r="G665" s="27">
        <f>SUMIF(物料月初库存!$C$3:$C$303,$B665,物料月初库存!$F$3:$F$303)</f>
        <v>0</v>
      </c>
      <c r="H665" s="28">
        <f>SUMIF(半成品入库明细!$D$2:$D$650,$B665,半成品入库明细!$G$2:$G$650)</f>
        <v>36480</v>
      </c>
      <c r="I665" s="28">
        <f ca="1">SUMIF(半成品出库明细!$D$2:$D$558,$B665,半成品出库明细!$G$2:$G$2)</f>
        <v>22080</v>
      </c>
      <c r="J665" s="28">
        <f ca="1" t="shared" si="11"/>
        <v>14400</v>
      </c>
      <c r="K665" s="29"/>
      <c r="L665" s="19"/>
      <c r="M665" s="3"/>
    </row>
    <row r="666" s="1" customFormat="1" spans="1:13">
      <c r="A666" s="22">
        <v>614</v>
      </c>
      <c r="B666" s="23" t="s">
        <v>94</v>
      </c>
      <c r="C666" s="41" t="s">
        <v>1269</v>
      </c>
      <c r="D666" s="25" t="s">
        <v>1234</v>
      </c>
      <c r="E666" s="19" t="s">
        <v>225</v>
      </c>
      <c r="F666" s="26" t="s">
        <v>197</v>
      </c>
      <c r="G666" s="27">
        <f>SUMIF(物料月初库存!$C$3:$C$303,$B666,物料月初库存!$F$3:$F$303)</f>
        <v>0</v>
      </c>
      <c r="H666" s="28">
        <f>SUMIF(半成品入库明细!$D$2:$D$650,$B666,半成品入库明细!$G$2:$G$650)</f>
        <v>26678</v>
      </c>
      <c r="I666" s="28">
        <f ca="1">SUMIF(半成品出库明细!$D$2:$D$558,$B666,半成品出库明细!$G$2:$G$2)</f>
        <v>14198</v>
      </c>
      <c r="J666" s="28">
        <f ca="1" t="shared" si="11"/>
        <v>12480</v>
      </c>
      <c r="K666" s="30" t="s">
        <v>92</v>
      </c>
      <c r="L666" s="19"/>
      <c r="M666" s="3"/>
    </row>
    <row r="667" s="1" customFormat="1" spans="1:13">
      <c r="A667" s="22">
        <v>615</v>
      </c>
      <c r="B667" s="23" t="s">
        <v>1270</v>
      </c>
      <c r="C667" s="41" t="s">
        <v>1269</v>
      </c>
      <c r="D667" s="25" t="s">
        <v>1234</v>
      </c>
      <c r="E667" s="28" t="s">
        <v>353</v>
      </c>
      <c r="F667" s="26" t="s">
        <v>197</v>
      </c>
      <c r="G667" s="27">
        <f>SUMIF(物料月初库存!$C$3:$C$303,$B667,物料月初库存!$F$3:$F$303)</f>
        <v>0</v>
      </c>
      <c r="H667" s="28">
        <f>SUMIF(半成品入库明细!$D$2:$D$650,$B667,半成品入库明细!$G$2:$G$650)</f>
        <v>0</v>
      </c>
      <c r="I667" s="28">
        <f ca="1">SUMIF(半成品出库明细!$D$2:$D$558,$B667,半成品出库明细!$G$2:$G$2)</f>
        <v>0</v>
      </c>
      <c r="J667" s="28">
        <f ca="1" t="shared" si="11"/>
        <v>0</v>
      </c>
      <c r="K667" s="30" t="s">
        <v>1271</v>
      </c>
      <c r="L667" s="19" t="s">
        <v>202</v>
      </c>
      <c r="M667" s="3"/>
    </row>
    <row r="668" s="1" customFormat="1" spans="1:13">
      <c r="A668" s="22">
        <v>616</v>
      </c>
      <c r="B668" s="23" t="s">
        <v>1272</v>
      </c>
      <c r="C668" s="41" t="s">
        <v>1273</v>
      </c>
      <c r="D668" s="25" t="s">
        <v>1234</v>
      </c>
      <c r="E668" s="19" t="s">
        <v>76</v>
      </c>
      <c r="F668" s="26" t="s">
        <v>197</v>
      </c>
      <c r="G668" s="27">
        <f>SUMIF(物料月初库存!$C$3:$C$303,$B668,物料月初库存!$F$3:$F$303)</f>
        <v>0</v>
      </c>
      <c r="H668" s="28">
        <f>SUMIF(半成品入库明细!$D$2:$D$650,$B668,半成品入库明细!$G$2:$G$650)</f>
        <v>0</v>
      </c>
      <c r="I668" s="28">
        <f ca="1">SUMIF(半成品出库明细!$D$2:$D$558,$B668,半成品出库明细!$G$2:$G$2)</f>
        <v>0</v>
      </c>
      <c r="J668" s="28">
        <f ca="1" t="shared" si="11"/>
        <v>0</v>
      </c>
      <c r="K668" s="29"/>
      <c r="L668" s="19"/>
      <c r="M668" s="3"/>
    </row>
    <row r="669" s="1" customFormat="1" spans="1:13">
      <c r="A669" s="22">
        <v>617</v>
      </c>
      <c r="B669" s="23" t="s">
        <v>1274</v>
      </c>
      <c r="C669" s="41" t="s">
        <v>1273</v>
      </c>
      <c r="D669" s="25" t="s">
        <v>1234</v>
      </c>
      <c r="E669" s="28" t="s">
        <v>691</v>
      </c>
      <c r="F669" s="26" t="s">
        <v>197</v>
      </c>
      <c r="G669" s="27">
        <f>SUMIF(物料月初库存!$C$3:$C$303,$B669,物料月初库存!$F$3:$F$303)</f>
        <v>0</v>
      </c>
      <c r="H669" s="28">
        <f>SUMIF(半成品入库明细!$D$2:$D$650,$B669,半成品入库明细!$G$2:$G$650)</f>
        <v>0</v>
      </c>
      <c r="I669" s="28">
        <f ca="1">SUMIF(半成品出库明细!$D$2:$D$558,$B669,半成品出库明细!$G$2:$G$2)</f>
        <v>0</v>
      </c>
      <c r="J669" s="28">
        <f ca="1" t="shared" si="11"/>
        <v>0</v>
      </c>
      <c r="K669" s="29"/>
      <c r="L669" s="19"/>
      <c r="M669" s="3"/>
    </row>
    <row r="670" s="1" customFormat="1" spans="1:13">
      <c r="A670" s="22">
        <v>618</v>
      </c>
      <c r="B670" s="23" t="s">
        <v>1275</v>
      </c>
      <c r="C670" s="41" t="s">
        <v>1273</v>
      </c>
      <c r="D670" s="25" t="s">
        <v>1234</v>
      </c>
      <c r="E670" s="28" t="s">
        <v>353</v>
      </c>
      <c r="F670" s="26" t="s">
        <v>197</v>
      </c>
      <c r="G670" s="27">
        <f>SUMIF(物料月初库存!$C$3:$C$303,$B670,物料月初库存!$F$3:$F$303)</f>
        <v>0</v>
      </c>
      <c r="H670" s="28">
        <f>SUMIF(半成品入库明细!$D$2:$D$650,$B670,半成品入库明细!$G$2:$G$650)</f>
        <v>0</v>
      </c>
      <c r="I670" s="28">
        <f ca="1">SUMIF(半成品出库明细!$D$2:$D$558,$B670,半成品出库明细!$G$2:$G$2)</f>
        <v>0</v>
      </c>
      <c r="J670" s="28">
        <f ca="1" t="shared" si="11"/>
        <v>0</v>
      </c>
      <c r="K670" s="29"/>
      <c r="L670" s="19" t="s">
        <v>202</v>
      </c>
      <c r="M670" s="3"/>
    </row>
    <row r="671" s="1" customFormat="1" spans="1:13">
      <c r="A671" s="22">
        <v>619</v>
      </c>
      <c r="B671" s="23" t="s">
        <v>1276</v>
      </c>
      <c r="C671" s="41" t="s">
        <v>1277</v>
      </c>
      <c r="D671" s="25" t="s">
        <v>1234</v>
      </c>
      <c r="E671" s="19" t="s">
        <v>76</v>
      </c>
      <c r="F671" s="26" t="s">
        <v>197</v>
      </c>
      <c r="G671" s="27">
        <f>SUMIF(物料月初库存!$C$3:$C$303,$B671,物料月初库存!$F$3:$F$303)</f>
        <v>0</v>
      </c>
      <c r="H671" s="28">
        <f>SUMIF(半成品入库明细!$D$2:$D$650,$B671,半成品入库明细!$G$2:$G$650)</f>
        <v>0</v>
      </c>
      <c r="I671" s="28">
        <f ca="1">SUMIF(半成品出库明细!$D$2:$D$558,$B671,半成品出库明细!$G$2:$G$2)</f>
        <v>0</v>
      </c>
      <c r="J671" s="28">
        <f ca="1" t="shared" si="11"/>
        <v>0</v>
      </c>
      <c r="K671" s="29"/>
      <c r="L671" s="19"/>
      <c r="M671" s="3"/>
    </row>
    <row r="672" s="1" customFormat="1" spans="1:13">
      <c r="A672" s="22">
        <v>620</v>
      </c>
      <c r="B672" s="23" t="s">
        <v>1278</v>
      </c>
      <c r="C672" s="41" t="s">
        <v>1277</v>
      </c>
      <c r="D672" s="25" t="s">
        <v>1234</v>
      </c>
      <c r="E672" s="28" t="s">
        <v>691</v>
      </c>
      <c r="F672" s="26" t="s">
        <v>197</v>
      </c>
      <c r="G672" s="27">
        <f>SUMIF(物料月初库存!$C$3:$C$303,$B672,物料月初库存!$F$3:$F$303)</f>
        <v>0</v>
      </c>
      <c r="H672" s="28">
        <f>SUMIF(半成品入库明细!$D$2:$D$650,$B672,半成品入库明细!$G$2:$G$650)</f>
        <v>0</v>
      </c>
      <c r="I672" s="28">
        <f ca="1">SUMIF(半成品出库明细!$D$2:$D$558,$B672,半成品出库明细!$G$2:$G$2)</f>
        <v>0</v>
      </c>
      <c r="J672" s="28">
        <f ca="1" t="shared" si="11"/>
        <v>0</v>
      </c>
      <c r="K672" s="29" t="s">
        <v>1242</v>
      </c>
      <c r="L672" s="19"/>
      <c r="M672" s="3"/>
    </row>
    <row r="673" s="1" customFormat="1" spans="1:13">
      <c r="A673" s="22">
        <v>621</v>
      </c>
      <c r="B673" s="23" t="s">
        <v>1279</v>
      </c>
      <c r="C673" s="41" t="s">
        <v>1277</v>
      </c>
      <c r="D673" s="25" t="s">
        <v>1234</v>
      </c>
      <c r="E673" s="28" t="s">
        <v>353</v>
      </c>
      <c r="F673" s="26" t="s">
        <v>197</v>
      </c>
      <c r="G673" s="27">
        <f>SUMIF(物料月初库存!$C$3:$C$303,$B673,物料月初库存!$F$3:$F$303)</f>
        <v>0</v>
      </c>
      <c r="H673" s="28">
        <f>SUMIF(半成品入库明细!$D$2:$D$650,$B673,半成品入库明细!$G$2:$G$650)</f>
        <v>0</v>
      </c>
      <c r="I673" s="28">
        <f ca="1">SUMIF(半成品出库明细!$D$2:$D$558,$B673,半成品出库明细!$G$2:$G$2)</f>
        <v>0</v>
      </c>
      <c r="J673" s="28">
        <f ca="1" t="shared" si="11"/>
        <v>0</v>
      </c>
      <c r="K673" s="30" t="s">
        <v>1271</v>
      </c>
      <c r="L673" s="19" t="s">
        <v>202</v>
      </c>
      <c r="M673" s="3"/>
    </row>
    <row r="674" s="1" customFormat="1" spans="1:13">
      <c r="A674" s="22">
        <v>622</v>
      </c>
      <c r="B674" s="23" t="s">
        <v>1280</v>
      </c>
      <c r="C674" s="41" t="s">
        <v>1281</v>
      </c>
      <c r="D674" s="25" t="s">
        <v>1234</v>
      </c>
      <c r="E674" s="19" t="s">
        <v>76</v>
      </c>
      <c r="F674" s="26" t="s">
        <v>197</v>
      </c>
      <c r="G674" s="27">
        <f>SUMIF(物料月初库存!$C$3:$C$303,$B674,物料月初库存!$F$3:$F$303)</f>
        <v>0</v>
      </c>
      <c r="H674" s="28">
        <f>SUMIF(半成品入库明细!$D$2:$D$650,$B674,半成品入库明细!$G$2:$G$650)</f>
        <v>0</v>
      </c>
      <c r="I674" s="28">
        <f ca="1">SUMIF(半成品出库明细!$D$2:$D$558,$B674,半成品出库明细!$G$2:$G$2)</f>
        <v>0</v>
      </c>
      <c r="J674" s="28">
        <f ca="1" t="shared" si="11"/>
        <v>0</v>
      </c>
      <c r="K674" s="29"/>
      <c r="L674" s="19"/>
      <c r="M674" s="3"/>
    </row>
    <row r="675" s="1" customFormat="1" spans="1:13">
      <c r="A675" s="22">
        <v>623</v>
      </c>
      <c r="B675" s="23" t="s">
        <v>1282</v>
      </c>
      <c r="C675" s="41" t="s">
        <v>1281</v>
      </c>
      <c r="D675" s="25" t="s">
        <v>1234</v>
      </c>
      <c r="E675" s="19" t="s">
        <v>225</v>
      </c>
      <c r="F675" s="26" t="s">
        <v>197</v>
      </c>
      <c r="G675" s="27">
        <f>SUMIF(物料月初库存!$C$3:$C$303,$B675,物料月初库存!$F$3:$F$303)</f>
        <v>0</v>
      </c>
      <c r="H675" s="28">
        <f>SUMIF(半成品入库明细!$D$2:$D$650,$B675,半成品入库明细!$G$2:$G$650)</f>
        <v>0</v>
      </c>
      <c r="I675" s="28">
        <f ca="1">SUMIF(半成品出库明细!$D$2:$D$558,$B675,半成品出库明细!$G$2:$G$2)</f>
        <v>0</v>
      </c>
      <c r="J675" s="28">
        <f ca="1" t="shared" si="11"/>
        <v>0</v>
      </c>
      <c r="K675" s="29" t="s">
        <v>92</v>
      </c>
      <c r="L675" s="19"/>
      <c r="M675" s="3"/>
    </row>
    <row r="676" s="1" customFormat="1" spans="1:13">
      <c r="A676" s="22">
        <v>624</v>
      </c>
      <c r="B676" s="23" t="s">
        <v>1283</v>
      </c>
      <c r="C676" s="41" t="s">
        <v>1281</v>
      </c>
      <c r="D676" s="25" t="s">
        <v>1234</v>
      </c>
      <c r="E676" s="28" t="s">
        <v>353</v>
      </c>
      <c r="F676" s="26" t="s">
        <v>197</v>
      </c>
      <c r="G676" s="27">
        <f>SUMIF(物料月初库存!$C$3:$C$303,$B676,物料月初库存!$F$3:$F$303)</f>
        <v>0</v>
      </c>
      <c r="H676" s="28">
        <f>SUMIF(半成品入库明细!$D$2:$D$650,$B676,半成品入库明细!$G$2:$G$650)</f>
        <v>0</v>
      </c>
      <c r="I676" s="28">
        <f ca="1">SUMIF(半成品出库明细!$D$2:$D$558,$B676,半成品出库明细!$G$2:$G$2)</f>
        <v>0</v>
      </c>
      <c r="J676" s="28">
        <f ca="1" t="shared" si="11"/>
        <v>0</v>
      </c>
      <c r="K676" s="29" t="s">
        <v>1284</v>
      </c>
      <c r="L676" s="19" t="s">
        <v>202</v>
      </c>
      <c r="M676" s="3"/>
    </row>
    <row r="677" s="1" customFormat="1" spans="1:13">
      <c r="A677" s="22"/>
      <c r="B677" s="23" t="s">
        <v>1285</v>
      </c>
      <c r="C677" s="41" t="s">
        <v>1286</v>
      </c>
      <c r="D677" s="25" t="s">
        <v>1234</v>
      </c>
      <c r="E677" s="28" t="s">
        <v>353</v>
      </c>
      <c r="F677" s="26" t="s">
        <v>197</v>
      </c>
      <c r="G677" s="27">
        <f>SUMIF(物料月初库存!$C$3:$C$303,$B677,物料月初库存!$F$3:$F$303)</f>
        <v>0</v>
      </c>
      <c r="H677" s="28">
        <f>SUMIF(半成品入库明细!$D$2:$D$650,$B677,半成品入库明细!$G$2:$G$650)</f>
        <v>0</v>
      </c>
      <c r="I677" s="28">
        <f ca="1">SUMIF(半成品出库明细!$D$2:$D$558,$B677,半成品出库明细!$G$2:$G$2)</f>
        <v>0</v>
      </c>
      <c r="J677" s="28">
        <f ca="1" t="shared" si="11"/>
        <v>0</v>
      </c>
      <c r="K677" s="106" t="s">
        <v>1287</v>
      </c>
      <c r="L677" s="19"/>
      <c r="M677" s="3"/>
    </row>
    <row r="678" s="1" customFormat="1" spans="1:13">
      <c r="A678" s="22"/>
      <c r="B678" s="23" t="s">
        <v>1288</v>
      </c>
      <c r="C678" s="41" t="s">
        <v>1286</v>
      </c>
      <c r="D678" s="25" t="s">
        <v>1234</v>
      </c>
      <c r="E678" s="19" t="s">
        <v>316</v>
      </c>
      <c r="F678" s="26" t="s">
        <v>197</v>
      </c>
      <c r="G678" s="27">
        <f>SUMIF(物料月初库存!$C$3:$C$303,$B678,物料月初库存!$F$3:$F$303)</f>
        <v>0</v>
      </c>
      <c r="H678" s="28">
        <f>SUMIF(半成品入库明细!$D$2:$D$650,$B678,半成品入库明细!$G$2:$G$650)</f>
        <v>0</v>
      </c>
      <c r="I678" s="28">
        <f ca="1">SUMIF(半成品出库明细!$D$2:$D$558,$B678,半成品出库明细!$G$2:$G$2)</f>
        <v>0</v>
      </c>
      <c r="J678" s="28">
        <f ca="1" t="shared" si="11"/>
        <v>0</v>
      </c>
      <c r="K678" s="106" t="s">
        <v>1289</v>
      </c>
      <c r="L678" s="19"/>
      <c r="M678" s="3"/>
    </row>
    <row r="679" s="1" customFormat="1" spans="1:13">
      <c r="A679" s="22">
        <v>625</v>
      </c>
      <c r="B679" s="23" t="s">
        <v>1290</v>
      </c>
      <c r="C679" s="41" t="s">
        <v>1291</v>
      </c>
      <c r="D679" s="25" t="s">
        <v>1234</v>
      </c>
      <c r="E679" s="19" t="s">
        <v>76</v>
      </c>
      <c r="F679" s="26" t="s">
        <v>197</v>
      </c>
      <c r="G679" s="27">
        <f>SUMIF(物料月初库存!$C$3:$C$303,$B679,物料月初库存!$F$3:$F$303)</f>
        <v>0</v>
      </c>
      <c r="H679" s="28">
        <f>SUMIF(半成品入库明细!$D$2:$D$650,$B679,半成品入库明细!$G$2:$G$650)</f>
        <v>0</v>
      </c>
      <c r="I679" s="28">
        <f ca="1">SUMIF(半成品出库明细!$D$2:$D$558,$B679,半成品出库明细!$G$2:$G$2)</f>
        <v>0</v>
      </c>
      <c r="J679" s="28">
        <f ca="1" t="shared" si="11"/>
        <v>0</v>
      </c>
      <c r="K679" s="29"/>
      <c r="L679" s="19"/>
      <c r="M679" s="3"/>
    </row>
    <row r="680" s="1" customFormat="1" spans="1:13">
      <c r="A680" s="22">
        <v>626</v>
      </c>
      <c r="B680" s="23" t="s">
        <v>1292</v>
      </c>
      <c r="C680" s="41" t="s">
        <v>1291</v>
      </c>
      <c r="D680" s="25" t="s">
        <v>1234</v>
      </c>
      <c r="E680" s="28" t="s">
        <v>225</v>
      </c>
      <c r="F680" s="26" t="s">
        <v>197</v>
      </c>
      <c r="G680" s="27">
        <f>SUMIF(物料月初库存!$C$3:$C$303,$B680,物料月初库存!$F$3:$F$303)</f>
        <v>0</v>
      </c>
      <c r="H680" s="28">
        <f>SUMIF(半成品入库明细!$D$2:$D$650,$B680,半成品入库明细!$G$2:$G$650)</f>
        <v>0</v>
      </c>
      <c r="I680" s="28">
        <f ca="1">SUMIF(半成品出库明细!$D$2:$D$558,$B680,半成品出库明细!$G$2:$G$2)</f>
        <v>0</v>
      </c>
      <c r="J680" s="28">
        <f ca="1" t="shared" si="11"/>
        <v>0</v>
      </c>
      <c r="K680" s="30" t="s">
        <v>92</v>
      </c>
      <c r="L680" s="19"/>
      <c r="M680" s="3"/>
    </row>
    <row r="681" s="1" customFormat="1" spans="1:13">
      <c r="A681" s="22">
        <v>627</v>
      </c>
      <c r="B681" s="23" t="s">
        <v>1293</v>
      </c>
      <c r="C681" s="41" t="s">
        <v>1291</v>
      </c>
      <c r="D681" s="25" t="s">
        <v>1234</v>
      </c>
      <c r="E681" s="28" t="s">
        <v>353</v>
      </c>
      <c r="F681" s="26" t="s">
        <v>197</v>
      </c>
      <c r="G681" s="27">
        <f>SUMIF(物料月初库存!$C$3:$C$303,$B681,物料月初库存!$F$3:$F$303)</f>
        <v>0</v>
      </c>
      <c r="H681" s="28">
        <f>SUMIF(半成品入库明细!$D$2:$D$650,$B681,半成品入库明细!$G$2:$G$650)</f>
        <v>0</v>
      </c>
      <c r="I681" s="28">
        <f ca="1">SUMIF(半成品出库明细!$D$2:$D$558,$B681,半成品出库明细!$G$2:$G$2)</f>
        <v>0</v>
      </c>
      <c r="J681" s="28">
        <f ca="1" t="shared" si="11"/>
        <v>0</v>
      </c>
      <c r="K681" s="30" t="s">
        <v>1294</v>
      </c>
      <c r="L681" s="19" t="s">
        <v>202</v>
      </c>
      <c r="M681" s="3"/>
    </row>
    <row r="682" s="1" customFormat="1" spans="1:13">
      <c r="A682" s="22">
        <v>628</v>
      </c>
      <c r="B682" s="23" t="s">
        <v>1295</v>
      </c>
      <c r="C682" s="41" t="s">
        <v>1296</v>
      </c>
      <c r="D682" s="25" t="s">
        <v>1234</v>
      </c>
      <c r="E682" s="19" t="s">
        <v>76</v>
      </c>
      <c r="F682" s="26" t="s">
        <v>197</v>
      </c>
      <c r="G682" s="27">
        <f>SUMIF(物料月初库存!$C$3:$C$303,$B682,物料月初库存!$F$3:$F$303)</f>
        <v>0</v>
      </c>
      <c r="H682" s="28">
        <f>SUMIF(半成品入库明细!$D$2:$D$650,$B682,半成品入库明细!$G$2:$G$650)</f>
        <v>0</v>
      </c>
      <c r="I682" s="28">
        <f ca="1">SUMIF(半成品出库明细!$D$2:$D$558,$B682,半成品出库明细!$G$2:$G$2)</f>
        <v>0</v>
      </c>
      <c r="J682" s="28">
        <f ca="1" t="shared" si="11"/>
        <v>0</v>
      </c>
      <c r="K682" s="29"/>
      <c r="L682" s="19"/>
      <c r="M682" s="3"/>
    </row>
    <row r="683" s="1" customFormat="1" spans="1:13">
      <c r="A683" s="22">
        <v>629</v>
      </c>
      <c r="B683" s="23" t="s">
        <v>1297</v>
      </c>
      <c r="C683" s="41" t="s">
        <v>1296</v>
      </c>
      <c r="D683" s="25" t="s">
        <v>1234</v>
      </c>
      <c r="E683" s="28" t="s">
        <v>225</v>
      </c>
      <c r="F683" s="26" t="s">
        <v>197</v>
      </c>
      <c r="G683" s="27">
        <f>SUMIF(物料月初库存!$C$3:$C$303,$B683,物料月初库存!$F$3:$F$303)</f>
        <v>0</v>
      </c>
      <c r="H683" s="28">
        <f>SUMIF(半成品入库明细!$D$2:$D$650,$B683,半成品入库明细!$G$2:$G$650)</f>
        <v>0</v>
      </c>
      <c r="I683" s="28">
        <f ca="1">SUMIF(半成品出库明细!$D$2:$D$558,$B683,半成品出库明细!$G$2:$G$2)</f>
        <v>0</v>
      </c>
      <c r="J683" s="28">
        <f ca="1" t="shared" si="11"/>
        <v>0</v>
      </c>
      <c r="K683" s="30" t="s">
        <v>92</v>
      </c>
      <c r="L683" s="19"/>
      <c r="M683" s="3"/>
    </row>
    <row r="684" s="1" customFormat="1" spans="1:13">
      <c r="A684" s="22">
        <v>630</v>
      </c>
      <c r="B684" s="23" t="s">
        <v>1298</v>
      </c>
      <c r="C684" s="41" t="s">
        <v>1296</v>
      </c>
      <c r="D684" s="25" t="s">
        <v>1234</v>
      </c>
      <c r="E684" s="28" t="s">
        <v>353</v>
      </c>
      <c r="F684" s="26" t="s">
        <v>197</v>
      </c>
      <c r="G684" s="27">
        <f>SUMIF(物料月初库存!$C$3:$C$303,$B684,物料月初库存!$F$3:$F$303)</f>
        <v>0</v>
      </c>
      <c r="H684" s="28">
        <f>SUMIF(半成品入库明细!$D$2:$D$650,$B684,半成品入库明细!$G$2:$G$650)</f>
        <v>0</v>
      </c>
      <c r="I684" s="28">
        <f ca="1">SUMIF(半成品出库明细!$D$2:$D$558,$B684,半成品出库明细!$G$2:$G$2)</f>
        <v>0</v>
      </c>
      <c r="J684" s="28">
        <f ca="1" t="shared" si="11"/>
        <v>0</v>
      </c>
      <c r="K684" s="32" t="s">
        <v>1271</v>
      </c>
      <c r="L684" s="19" t="s">
        <v>202</v>
      </c>
      <c r="M684" s="3"/>
    </row>
    <row r="685" s="1" customFormat="1" spans="1:13">
      <c r="A685" s="22">
        <v>631</v>
      </c>
      <c r="B685" s="23" t="s">
        <v>1299</v>
      </c>
      <c r="C685" s="41" t="s">
        <v>1300</v>
      </c>
      <c r="D685" s="25" t="s">
        <v>1234</v>
      </c>
      <c r="E685" s="19" t="s">
        <v>76</v>
      </c>
      <c r="F685" s="26" t="s">
        <v>197</v>
      </c>
      <c r="G685" s="27">
        <f>SUMIF(物料月初库存!$C$3:$C$303,$B685,物料月初库存!$F$3:$F$303)</f>
        <v>0</v>
      </c>
      <c r="H685" s="28">
        <f>SUMIF(半成品入库明细!$D$2:$D$650,$B685,半成品入库明细!$G$2:$G$650)</f>
        <v>0</v>
      </c>
      <c r="I685" s="28">
        <f ca="1">SUMIF(半成品出库明细!$D$2:$D$558,$B685,半成品出库明细!$G$2:$G$2)</f>
        <v>0</v>
      </c>
      <c r="J685" s="28">
        <f ca="1" t="shared" si="11"/>
        <v>0</v>
      </c>
      <c r="K685" s="29"/>
      <c r="L685" s="19"/>
      <c r="M685" s="3"/>
    </row>
    <row r="686" s="1" customFormat="1" spans="1:13">
      <c r="A686" s="22">
        <v>632</v>
      </c>
      <c r="B686" s="23" t="s">
        <v>1301</v>
      </c>
      <c r="C686" s="41" t="s">
        <v>1300</v>
      </c>
      <c r="D686" s="25" t="s">
        <v>1234</v>
      </c>
      <c r="E686" s="28" t="s">
        <v>225</v>
      </c>
      <c r="F686" s="26" t="s">
        <v>197</v>
      </c>
      <c r="G686" s="27">
        <f>SUMIF(物料月初库存!$C$3:$C$303,$B686,物料月初库存!$F$3:$F$303)</f>
        <v>0</v>
      </c>
      <c r="H686" s="28">
        <f>SUMIF(半成品入库明细!$D$2:$D$650,$B686,半成品入库明细!$G$2:$G$650)</f>
        <v>0</v>
      </c>
      <c r="I686" s="28">
        <f ca="1">SUMIF(半成品出库明细!$D$2:$D$558,$B686,半成品出库明细!$G$2:$G$2)</f>
        <v>0</v>
      </c>
      <c r="J686" s="28">
        <f ca="1" t="shared" si="11"/>
        <v>0</v>
      </c>
      <c r="K686" s="30" t="s">
        <v>92</v>
      </c>
      <c r="L686" s="19"/>
      <c r="M686" s="3"/>
    </row>
    <row r="687" s="1" customFormat="1" spans="1:13">
      <c r="A687" s="22">
        <v>633</v>
      </c>
      <c r="B687" s="23" t="s">
        <v>1302</v>
      </c>
      <c r="C687" s="41" t="s">
        <v>1300</v>
      </c>
      <c r="D687" s="25" t="s">
        <v>1234</v>
      </c>
      <c r="E687" s="28" t="s">
        <v>353</v>
      </c>
      <c r="F687" s="26" t="s">
        <v>197</v>
      </c>
      <c r="G687" s="27">
        <f>SUMIF(物料月初库存!$C$3:$C$303,$B687,物料月初库存!$F$3:$F$303)</f>
        <v>0</v>
      </c>
      <c r="H687" s="28">
        <f>SUMIF(半成品入库明细!$D$2:$D$650,$B687,半成品入库明细!$G$2:$G$650)</f>
        <v>0</v>
      </c>
      <c r="I687" s="28">
        <f ca="1">SUMIF(半成品出库明细!$D$2:$D$558,$B687,半成品出库明细!$G$2:$G$2)</f>
        <v>0</v>
      </c>
      <c r="J687" s="28">
        <f ca="1" t="shared" si="11"/>
        <v>0</v>
      </c>
      <c r="K687" s="30" t="s">
        <v>1303</v>
      </c>
      <c r="L687" s="19" t="s">
        <v>202</v>
      </c>
      <c r="M687" s="3"/>
    </row>
    <row r="688" s="1" customFormat="1" spans="1:13">
      <c r="A688" s="22">
        <v>634</v>
      </c>
      <c r="B688" s="23" t="s">
        <v>1304</v>
      </c>
      <c r="C688" s="41" t="s">
        <v>1305</v>
      </c>
      <c r="D688" s="25" t="s">
        <v>1234</v>
      </c>
      <c r="E688" s="19" t="s">
        <v>76</v>
      </c>
      <c r="F688" s="26" t="s">
        <v>197</v>
      </c>
      <c r="G688" s="27">
        <f>SUMIF(物料月初库存!$C$3:$C$303,$B688,物料月初库存!$F$3:$F$303)</f>
        <v>0</v>
      </c>
      <c r="H688" s="28">
        <f>SUMIF(半成品入库明细!$D$2:$D$650,$B688,半成品入库明细!$G$2:$G$650)</f>
        <v>0</v>
      </c>
      <c r="I688" s="28">
        <f ca="1">SUMIF(半成品出库明细!$D$2:$D$558,$B688,半成品出库明细!$G$2:$G$2)</f>
        <v>0</v>
      </c>
      <c r="J688" s="28">
        <f ca="1" t="shared" si="11"/>
        <v>0</v>
      </c>
      <c r="K688" s="29"/>
      <c r="L688" s="19"/>
      <c r="M688" s="3"/>
    </row>
    <row r="689" s="1" customFormat="1" spans="1:13">
      <c r="A689" s="22">
        <v>635</v>
      </c>
      <c r="B689" s="23" t="s">
        <v>1306</v>
      </c>
      <c r="C689" s="41" t="s">
        <v>1305</v>
      </c>
      <c r="D689" s="25" t="s">
        <v>1234</v>
      </c>
      <c r="E689" s="28" t="s">
        <v>225</v>
      </c>
      <c r="F689" s="26" t="s">
        <v>197</v>
      </c>
      <c r="G689" s="27">
        <f>SUMIF(物料月初库存!$C$3:$C$303,$B689,物料月初库存!$F$3:$F$303)</f>
        <v>0</v>
      </c>
      <c r="H689" s="28">
        <f>SUMIF(半成品入库明细!$D$2:$D$650,$B689,半成品入库明细!$G$2:$G$650)</f>
        <v>0</v>
      </c>
      <c r="I689" s="28">
        <f ca="1">SUMIF(半成品出库明细!$D$2:$D$558,$B689,半成品出库明细!$G$2:$G$2)</f>
        <v>0</v>
      </c>
      <c r="J689" s="28">
        <f ca="1" t="shared" si="11"/>
        <v>0</v>
      </c>
      <c r="K689" s="30" t="s">
        <v>92</v>
      </c>
      <c r="L689" s="19"/>
      <c r="M689" s="3"/>
    </row>
    <row r="690" s="1" customFormat="1" spans="1:13">
      <c r="A690" s="22">
        <v>636</v>
      </c>
      <c r="B690" s="23" t="s">
        <v>1307</v>
      </c>
      <c r="C690" s="41" t="s">
        <v>1305</v>
      </c>
      <c r="D690" s="25" t="s">
        <v>1234</v>
      </c>
      <c r="E690" s="28" t="s">
        <v>353</v>
      </c>
      <c r="F690" s="26" t="s">
        <v>197</v>
      </c>
      <c r="G690" s="27">
        <f>SUMIF(物料月初库存!$C$3:$C$303,$B690,物料月初库存!$F$3:$F$303)</f>
        <v>0</v>
      </c>
      <c r="H690" s="28">
        <f>SUMIF(半成品入库明细!$D$2:$D$650,$B690,半成品入库明细!$G$2:$G$650)</f>
        <v>0</v>
      </c>
      <c r="I690" s="28">
        <f ca="1">SUMIF(半成品出库明细!$D$2:$D$558,$B690,半成品出库明细!$G$2:$G$2)</f>
        <v>0</v>
      </c>
      <c r="J690" s="28">
        <f ca="1" t="shared" si="11"/>
        <v>0</v>
      </c>
      <c r="K690" s="32" t="s">
        <v>1308</v>
      </c>
      <c r="L690" s="19"/>
      <c r="M690" s="3"/>
    </row>
    <row r="691" s="1" customFormat="1" spans="1:13">
      <c r="A691" s="22">
        <v>637</v>
      </c>
      <c r="B691" s="23" t="s">
        <v>117</v>
      </c>
      <c r="C691" s="24" t="s">
        <v>1309</v>
      </c>
      <c r="D691" s="25" t="s">
        <v>1234</v>
      </c>
      <c r="E691" s="19" t="s">
        <v>76</v>
      </c>
      <c r="F691" s="26" t="s">
        <v>197</v>
      </c>
      <c r="G691" s="27">
        <f>SUMIF(物料月初库存!$C$3:$C$303,$B691,物料月初库存!$F$3:$F$303)</f>
        <v>0</v>
      </c>
      <c r="H691" s="28">
        <f>SUMIF(半成品入库明细!$D$2:$D$650,$B691,半成品入库明细!$G$2:$G$650)</f>
        <v>3240</v>
      </c>
      <c r="I691" s="28">
        <f ca="1">SUMIF(半成品出库明细!$D$2:$D$558,$B691,半成品出库明细!$G$2:$G$2)</f>
        <v>0</v>
      </c>
      <c r="J691" s="28">
        <f ca="1" t="shared" si="11"/>
        <v>3240</v>
      </c>
      <c r="K691" s="29">
        <v>1</v>
      </c>
      <c r="L691" s="19"/>
      <c r="M691" s="3"/>
    </row>
    <row r="692" s="1" customFormat="1" spans="1:13">
      <c r="A692" s="22">
        <v>638</v>
      </c>
      <c r="B692" s="23" t="s">
        <v>122</v>
      </c>
      <c r="C692" s="24" t="s">
        <v>1309</v>
      </c>
      <c r="D692" s="25" t="s">
        <v>1234</v>
      </c>
      <c r="E692" s="28" t="s">
        <v>1211</v>
      </c>
      <c r="F692" s="26" t="s">
        <v>197</v>
      </c>
      <c r="G692" s="27">
        <f>SUMIF(物料月初库存!$C$3:$C$303,$B692,物料月初库存!$F$3:$F$303)</f>
        <v>0</v>
      </c>
      <c r="H692" s="28">
        <f>SUMIF(半成品入库明细!$D$2:$D$650,$B692,半成品入库明细!$G$2:$G$650)</f>
        <v>2</v>
      </c>
      <c r="I692" s="28">
        <f ca="1">SUMIF(半成品出库明细!$D$2:$D$558,$B692,半成品出库明细!$G$2:$G$2)</f>
        <v>0</v>
      </c>
      <c r="J692" s="28">
        <f ca="1" t="shared" si="11"/>
        <v>2</v>
      </c>
      <c r="K692" s="32" t="s">
        <v>1310</v>
      </c>
      <c r="L692" s="19"/>
      <c r="M692" s="3"/>
    </row>
    <row r="693" s="1" customFormat="1" spans="1:13">
      <c r="A693" s="22">
        <v>639</v>
      </c>
      <c r="B693" s="36" t="s">
        <v>1311</v>
      </c>
      <c r="C693" s="87" t="s">
        <v>1312</v>
      </c>
      <c r="D693" s="33" t="s">
        <v>1234</v>
      </c>
      <c r="E693" s="37" t="s">
        <v>267</v>
      </c>
      <c r="F693" s="38" t="s">
        <v>197</v>
      </c>
      <c r="G693" s="39">
        <f>SUMIF(物料月初库存!$C$3:$C$303,$B693,物料月初库存!$F$3:$F$303)</f>
        <v>0</v>
      </c>
      <c r="H693" s="40">
        <f>SUMIF(半成品入库明细!$D$2:$D$650,$B693,半成品入库明细!$G$2:$G$650)</f>
        <v>0</v>
      </c>
      <c r="I693" s="40">
        <f ca="1">SUMIF(半成品出库明细!$D$2:$D$558,$B693,半成品出库明细!$G$2:$G$2)</f>
        <v>0</v>
      </c>
      <c r="J693" s="40">
        <f ca="1" t="shared" si="11"/>
        <v>0</v>
      </c>
      <c r="K693" s="113" t="s">
        <v>1313</v>
      </c>
      <c r="L693" s="19"/>
      <c r="M693" s="3"/>
    </row>
    <row r="694" s="1" customFormat="1" spans="1:13">
      <c r="A694" s="22">
        <v>640</v>
      </c>
      <c r="B694" s="23" t="s">
        <v>124</v>
      </c>
      <c r="C694" s="24" t="s">
        <v>1309</v>
      </c>
      <c r="D694" s="25" t="s">
        <v>1234</v>
      </c>
      <c r="E694" s="19" t="s">
        <v>839</v>
      </c>
      <c r="F694" s="26" t="s">
        <v>197</v>
      </c>
      <c r="G694" s="27">
        <f>SUMIF(物料月初库存!$C$3:$C$303,$B694,物料月初库存!$F$3:$F$303)</f>
        <v>0</v>
      </c>
      <c r="H694" s="28">
        <f>SUMIF(半成品入库明细!$D$2:$D$650,$B694,半成品入库明细!$G$2:$G$650)</f>
        <v>3283</v>
      </c>
      <c r="I694" s="28">
        <f ca="1">SUMIF(半成品出库明细!$D$2:$D$558,$B694,半成品出库明细!$G$2:$G$2)</f>
        <v>3283</v>
      </c>
      <c r="J694" s="28">
        <f ca="1" t="shared" si="11"/>
        <v>0</v>
      </c>
      <c r="K694" s="29" t="s">
        <v>1314</v>
      </c>
      <c r="L694" s="19"/>
      <c r="M694" s="3"/>
    </row>
    <row r="695" s="1" customFormat="1" spans="1:13">
      <c r="A695" s="22">
        <v>641</v>
      </c>
      <c r="B695" s="23" t="s">
        <v>1315</v>
      </c>
      <c r="C695" s="24" t="s">
        <v>1309</v>
      </c>
      <c r="D695" s="25" t="s">
        <v>1234</v>
      </c>
      <c r="E695" s="19" t="s">
        <v>353</v>
      </c>
      <c r="F695" s="26" t="s">
        <v>197</v>
      </c>
      <c r="G695" s="27">
        <f>SUMIF(物料月初库存!$C$3:$C$303,$B695,物料月初库存!$F$3:$F$303)</f>
        <v>0</v>
      </c>
      <c r="H695" s="28">
        <f>SUMIF(半成品入库明细!$D$2:$D$650,$B695,半成品入库明细!$G$2:$G$650)</f>
        <v>0</v>
      </c>
      <c r="I695" s="28">
        <f ca="1">SUMIF(半成品出库明细!$D$2:$D$558,$B695,半成品出库明细!$G$2:$G$2)</f>
        <v>0</v>
      </c>
      <c r="J695" s="28">
        <f ca="1" t="shared" si="11"/>
        <v>0</v>
      </c>
      <c r="K695" s="30" t="s">
        <v>1316</v>
      </c>
      <c r="L695" s="19"/>
      <c r="M695" s="3"/>
    </row>
    <row r="696" s="1" customFormat="1" spans="1:13">
      <c r="A696" s="22">
        <v>642</v>
      </c>
      <c r="B696" s="23" t="s">
        <v>1317</v>
      </c>
      <c r="C696" s="24" t="s">
        <v>1318</v>
      </c>
      <c r="D696" s="25" t="s">
        <v>1234</v>
      </c>
      <c r="E696" s="19" t="s">
        <v>76</v>
      </c>
      <c r="F696" s="26" t="s">
        <v>197</v>
      </c>
      <c r="G696" s="27">
        <f>SUMIF(物料月初库存!$C$3:$C$303,$B696,物料月初库存!$F$3:$F$303)</f>
        <v>0</v>
      </c>
      <c r="H696" s="28">
        <f>SUMIF(半成品入库明细!$D$2:$D$650,$B696,半成品入库明细!$G$2:$G$650)</f>
        <v>0</v>
      </c>
      <c r="I696" s="28">
        <f ca="1">SUMIF(半成品出库明细!$D$2:$D$558,$B696,半成品出库明细!$G$2:$G$2)</f>
        <v>0</v>
      </c>
      <c r="J696" s="28">
        <f ca="1" t="shared" si="11"/>
        <v>0</v>
      </c>
      <c r="K696" s="30"/>
      <c r="L696" s="19">
        <v>1</v>
      </c>
      <c r="M696" s="3"/>
    </row>
    <row r="697" s="1" customFormat="1" spans="1:13">
      <c r="A697" s="22">
        <v>643</v>
      </c>
      <c r="B697" s="23" t="s">
        <v>1319</v>
      </c>
      <c r="C697" s="24" t="s">
        <v>1318</v>
      </c>
      <c r="D697" s="25" t="s">
        <v>1234</v>
      </c>
      <c r="E697" s="28" t="s">
        <v>1211</v>
      </c>
      <c r="F697" s="26" t="s">
        <v>197</v>
      </c>
      <c r="G697" s="27">
        <f>SUMIF(物料月初库存!$C$3:$C$303,$B697,物料月初库存!$F$3:$F$303)</f>
        <v>0</v>
      </c>
      <c r="H697" s="28">
        <f>SUMIF(半成品入库明细!$D$2:$D$650,$B697,半成品入库明细!$G$2:$G$650)</f>
        <v>0</v>
      </c>
      <c r="I697" s="28">
        <f ca="1">SUMIF(半成品出库明细!$D$2:$D$558,$B697,半成品出库明细!$G$2:$G$2)</f>
        <v>0</v>
      </c>
      <c r="J697" s="28">
        <f ca="1" t="shared" si="11"/>
        <v>0</v>
      </c>
      <c r="K697" s="32" t="s">
        <v>1310</v>
      </c>
      <c r="L697" s="19">
        <v>2</v>
      </c>
      <c r="M697" s="3"/>
    </row>
    <row r="698" s="1" customFormat="1" spans="1:13">
      <c r="A698" s="22">
        <v>647</v>
      </c>
      <c r="B698" s="23" t="s">
        <v>1320</v>
      </c>
      <c r="C698" s="24" t="s">
        <v>1318</v>
      </c>
      <c r="D698" s="25" t="s">
        <v>1234</v>
      </c>
      <c r="E698" s="19" t="s">
        <v>353</v>
      </c>
      <c r="F698" s="26" t="s">
        <v>197</v>
      </c>
      <c r="G698" s="27">
        <f>SUMIF(物料月初库存!$C$3:$C$303,$B698,物料月初库存!$F$3:$F$303)</f>
        <v>0</v>
      </c>
      <c r="H698" s="28">
        <f>SUMIF(半成品入库明细!$D$2:$D$650,$B698,半成品入库明细!$G$2:$G$650)</f>
        <v>0</v>
      </c>
      <c r="I698" s="28">
        <f ca="1">SUMIF(半成品出库明细!$D$2:$D$558,$B698,半成品出库明细!$G$2:$G$2)</f>
        <v>0</v>
      </c>
      <c r="J698" s="28">
        <f ca="1" t="shared" si="11"/>
        <v>0</v>
      </c>
      <c r="K698" s="30" t="s">
        <v>1321</v>
      </c>
      <c r="L698" s="19">
        <v>5</v>
      </c>
      <c r="M698" s="3"/>
    </row>
    <row r="699" s="1" customFormat="1" spans="1:13">
      <c r="A699" s="22">
        <v>648</v>
      </c>
      <c r="B699" s="23" t="s">
        <v>1322</v>
      </c>
      <c r="C699" s="24" t="s">
        <v>1323</v>
      </c>
      <c r="D699" s="25" t="s">
        <v>1234</v>
      </c>
      <c r="E699" s="19" t="s">
        <v>76</v>
      </c>
      <c r="F699" s="26" t="s">
        <v>197</v>
      </c>
      <c r="G699" s="27">
        <f>SUMIF(物料月初库存!$C$3:$C$303,$B699,物料月初库存!$F$3:$F$303)</f>
        <v>0</v>
      </c>
      <c r="H699" s="28">
        <f>SUMIF(半成品入库明细!$D$2:$D$650,$B699,半成品入库明细!$G$2:$G$650)</f>
        <v>0</v>
      </c>
      <c r="I699" s="28">
        <f ca="1">SUMIF(半成品出库明细!$D$2:$D$558,$B699,半成品出库明细!$G$2:$G$2)</f>
        <v>0</v>
      </c>
      <c r="J699" s="28">
        <f ca="1" t="shared" si="11"/>
        <v>0</v>
      </c>
      <c r="K699" s="29">
        <v>1</v>
      </c>
      <c r="L699" s="19"/>
      <c r="M699" s="3"/>
    </row>
    <row r="700" s="1" customFormat="1" spans="1:13">
      <c r="A700" s="22">
        <v>649</v>
      </c>
      <c r="B700" s="23" t="s">
        <v>1324</v>
      </c>
      <c r="C700" s="24" t="s">
        <v>1323</v>
      </c>
      <c r="D700" s="25" t="s">
        <v>1234</v>
      </c>
      <c r="E700" s="28" t="s">
        <v>1211</v>
      </c>
      <c r="F700" s="26" t="s">
        <v>197</v>
      </c>
      <c r="G700" s="27">
        <f>SUMIF(物料月初库存!$C$3:$C$303,$B700,物料月初库存!$F$3:$F$303)</f>
        <v>0</v>
      </c>
      <c r="H700" s="28">
        <f>SUMIF(半成品入库明细!$D$2:$D$650,$B700,半成品入库明细!$G$2:$G$650)</f>
        <v>0</v>
      </c>
      <c r="I700" s="28">
        <f ca="1">SUMIF(半成品出库明细!$D$2:$D$558,$B700,半成品出库明细!$G$2:$G$2)</f>
        <v>0</v>
      </c>
      <c r="J700" s="28">
        <f ca="1" t="shared" si="11"/>
        <v>0</v>
      </c>
      <c r="K700" s="32" t="s">
        <v>1310</v>
      </c>
      <c r="L700" s="19"/>
      <c r="M700" s="3"/>
    </row>
    <row r="701" s="1" customFormat="1" spans="1:13">
      <c r="A701" s="22">
        <v>650</v>
      </c>
      <c r="B701" s="23" t="s">
        <v>1325</v>
      </c>
      <c r="C701" s="24" t="s">
        <v>1323</v>
      </c>
      <c r="D701" s="25" t="s">
        <v>1234</v>
      </c>
      <c r="E701" s="19" t="s">
        <v>267</v>
      </c>
      <c r="F701" s="26" t="s">
        <v>197</v>
      </c>
      <c r="G701" s="27">
        <f>SUMIF(物料月初库存!$C$3:$C$303,$B701,物料月初库存!$F$3:$F$303)</f>
        <v>0</v>
      </c>
      <c r="H701" s="28">
        <f>SUMIF(半成品入库明细!$D$2:$D$650,$B701,半成品入库明细!$G$2:$G$650)</f>
        <v>0</v>
      </c>
      <c r="I701" s="28">
        <f ca="1">SUMIF(半成品出库明细!$D$2:$D$558,$B701,半成品出库明细!$G$2:$G$2)</f>
        <v>0</v>
      </c>
      <c r="J701" s="28">
        <f ca="1" t="shared" si="11"/>
        <v>0</v>
      </c>
      <c r="K701" s="32" t="s">
        <v>1326</v>
      </c>
      <c r="L701" s="19"/>
      <c r="M701" s="3"/>
    </row>
    <row r="702" s="1" customFormat="1" spans="1:13">
      <c r="A702" s="22">
        <v>651</v>
      </c>
      <c r="B702" s="23" t="s">
        <v>1327</v>
      </c>
      <c r="C702" s="24" t="s">
        <v>1323</v>
      </c>
      <c r="D702" s="25" t="s">
        <v>1234</v>
      </c>
      <c r="E702" s="19" t="s">
        <v>839</v>
      </c>
      <c r="F702" s="26" t="s">
        <v>197</v>
      </c>
      <c r="G702" s="27">
        <f>SUMIF(物料月初库存!$C$3:$C$303,$B702,物料月初库存!$F$3:$F$303)</f>
        <v>0</v>
      </c>
      <c r="H702" s="28">
        <f>SUMIF(半成品入库明细!$D$2:$D$650,$B702,半成品入库明细!$G$2:$G$650)</f>
        <v>0</v>
      </c>
      <c r="I702" s="28">
        <f ca="1">SUMIF(半成品出库明细!$D$2:$D$558,$B702,半成品出库明细!$G$2:$G$2)</f>
        <v>0</v>
      </c>
      <c r="J702" s="28">
        <f ca="1" t="shared" si="11"/>
        <v>0</v>
      </c>
      <c r="K702" s="29" t="s">
        <v>1328</v>
      </c>
      <c r="L702" s="19"/>
      <c r="M702" s="3"/>
    </row>
    <row r="703" s="1" customFormat="1" spans="1:13">
      <c r="A703" s="22">
        <v>652</v>
      </c>
      <c r="B703" s="23" t="s">
        <v>1329</v>
      </c>
      <c r="C703" s="24" t="s">
        <v>1323</v>
      </c>
      <c r="D703" s="25" t="s">
        <v>1234</v>
      </c>
      <c r="E703" s="19" t="s">
        <v>353</v>
      </c>
      <c r="F703" s="26" t="s">
        <v>197</v>
      </c>
      <c r="G703" s="27">
        <f>SUMIF(物料月初库存!$C$3:$C$303,$B703,物料月初库存!$F$3:$F$303)</f>
        <v>0</v>
      </c>
      <c r="H703" s="28">
        <f>SUMIF(半成品入库明细!$D$2:$D$650,$B703,半成品入库明细!$G$2:$G$650)</f>
        <v>0</v>
      </c>
      <c r="I703" s="28">
        <f ca="1">SUMIF(半成品出库明细!$D$2:$D$558,$B703,半成品出库明细!$G$2:$G$2)</f>
        <v>0</v>
      </c>
      <c r="J703" s="28">
        <f ca="1" t="shared" si="11"/>
        <v>0</v>
      </c>
      <c r="K703" s="30" t="s">
        <v>1330</v>
      </c>
      <c r="L703" s="19"/>
      <c r="M703" s="3"/>
    </row>
    <row r="704" s="1" customFormat="1" spans="1:13">
      <c r="A704" s="22">
        <v>653</v>
      </c>
      <c r="B704" s="23" t="s">
        <v>1331</v>
      </c>
      <c r="C704" s="24" t="s">
        <v>1332</v>
      </c>
      <c r="D704" s="25" t="s">
        <v>1234</v>
      </c>
      <c r="E704" s="19" t="s">
        <v>76</v>
      </c>
      <c r="F704" s="26" t="s">
        <v>197</v>
      </c>
      <c r="G704" s="27">
        <f>SUMIF(物料月初库存!$C$3:$C$303,$B704,物料月初库存!$F$3:$F$303)</f>
        <v>0</v>
      </c>
      <c r="H704" s="28">
        <f>SUMIF(半成品入库明细!$D$2:$D$650,$B704,半成品入库明细!$G$2:$G$650)</f>
        <v>0</v>
      </c>
      <c r="I704" s="28">
        <f ca="1">SUMIF(半成品出库明细!$D$2:$D$558,$B704,半成品出库明细!$G$2:$G$2)</f>
        <v>0</v>
      </c>
      <c r="J704" s="28">
        <f ca="1" t="shared" si="11"/>
        <v>0</v>
      </c>
      <c r="K704" s="29"/>
      <c r="L704" s="19"/>
      <c r="M704" s="3"/>
    </row>
    <row r="705" s="1" customFormat="1" spans="1:13">
      <c r="A705" s="22">
        <v>654</v>
      </c>
      <c r="B705" s="23" t="s">
        <v>1333</v>
      </c>
      <c r="C705" s="24" t="s">
        <v>1332</v>
      </c>
      <c r="D705" s="25" t="s">
        <v>1234</v>
      </c>
      <c r="E705" s="50" t="s">
        <v>1211</v>
      </c>
      <c r="F705" s="26" t="s">
        <v>197</v>
      </c>
      <c r="G705" s="27">
        <f>SUMIF(物料月初库存!$C$3:$C$303,$B705,物料月初库存!$F$3:$F$303)</f>
        <v>0</v>
      </c>
      <c r="H705" s="28">
        <f>SUMIF(半成品入库明细!$D$2:$D$650,$B705,半成品入库明细!$G$2:$G$650)</f>
        <v>0</v>
      </c>
      <c r="I705" s="28">
        <f ca="1">SUMIF(半成品出库明细!$D$2:$D$558,$B705,半成品出库明细!$G$2:$G$2)</f>
        <v>0</v>
      </c>
      <c r="J705" s="28">
        <f ca="1" t="shared" si="11"/>
        <v>0</v>
      </c>
      <c r="K705" s="29" t="s">
        <v>1242</v>
      </c>
      <c r="L705" s="19"/>
      <c r="M705" s="3"/>
    </row>
    <row r="706" s="1" customFormat="1" ht="15" customHeight="1" spans="1:13">
      <c r="A706" s="22">
        <v>655</v>
      </c>
      <c r="B706" s="23" t="s">
        <v>125</v>
      </c>
      <c r="C706" s="24" t="s">
        <v>1332</v>
      </c>
      <c r="D706" s="25" t="s">
        <v>1234</v>
      </c>
      <c r="E706" s="19" t="s">
        <v>839</v>
      </c>
      <c r="F706" s="26" t="s">
        <v>197</v>
      </c>
      <c r="G706" s="27">
        <f>SUMIF(物料月初库存!$C$3:$C$303,$B706,物料月初库存!$F$3:$F$303)</f>
        <v>0</v>
      </c>
      <c r="H706" s="28">
        <f>SUMIF(半成品入库明细!$D$2:$D$650,$B706,半成品入库明细!$G$2:$G$650)</f>
        <v>10117</v>
      </c>
      <c r="I706" s="28">
        <f ca="1">SUMIF(半成品出库明细!$D$2:$D$558,$B706,半成品出库明细!$G$2:$G$2)</f>
        <v>10117</v>
      </c>
      <c r="J706" s="28">
        <f ca="1" t="shared" si="11"/>
        <v>0</v>
      </c>
      <c r="K706" s="113" t="s">
        <v>120</v>
      </c>
      <c r="L706" s="19"/>
      <c r="M706" s="3"/>
    </row>
    <row r="707" s="1" customFormat="1" spans="1:13">
      <c r="A707" s="22">
        <v>656</v>
      </c>
      <c r="B707" s="23" t="s">
        <v>1334</v>
      </c>
      <c r="C707" s="24" t="s">
        <v>1332</v>
      </c>
      <c r="D707" s="25" t="s">
        <v>1234</v>
      </c>
      <c r="E707" s="28" t="s">
        <v>353</v>
      </c>
      <c r="F707" s="26" t="s">
        <v>197</v>
      </c>
      <c r="G707" s="27">
        <f>SUMIF(物料月初库存!$C$3:$C$303,$B707,物料月初库存!$F$3:$F$303)</f>
        <v>0</v>
      </c>
      <c r="H707" s="28">
        <f>SUMIF(半成品入库明细!$D$2:$D$650,$B707,半成品入库明细!$G$2:$G$650)</f>
        <v>0</v>
      </c>
      <c r="I707" s="28">
        <f ca="1">SUMIF(半成品出库明细!$D$2:$D$558,$B707,半成品出库明细!$G$2:$G$2)</f>
        <v>0</v>
      </c>
      <c r="J707" s="28">
        <f ca="1" t="shared" si="11"/>
        <v>0</v>
      </c>
      <c r="K707" s="116" t="s">
        <v>1335</v>
      </c>
      <c r="L707" s="19"/>
      <c r="M707" s="3"/>
    </row>
    <row r="708" s="1" customFormat="1" spans="1:13">
      <c r="A708" s="22"/>
      <c r="B708" s="23" t="s">
        <v>1336</v>
      </c>
      <c r="C708" s="24" t="s">
        <v>1332</v>
      </c>
      <c r="D708" s="25" t="s">
        <v>1234</v>
      </c>
      <c r="E708" s="50" t="s">
        <v>575</v>
      </c>
      <c r="F708" s="26" t="s">
        <v>197</v>
      </c>
      <c r="G708" s="27">
        <f>SUMIF(物料月初库存!$C$3:$C$303,$B708,物料月初库存!$F$3:$F$303)</f>
        <v>0</v>
      </c>
      <c r="H708" s="28">
        <f>SUMIF(半成品入库明细!$D$2:$D$650,$B708,半成品入库明细!$G$2:$G$650)</f>
        <v>0</v>
      </c>
      <c r="I708" s="28">
        <f ca="1">SUMIF(半成品出库明细!$D$2:$D$558,$B708,半成品出库明细!$G$2:$G$2)</f>
        <v>0</v>
      </c>
      <c r="J708" s="28">
        <f ca="1" t="shared" si="11"/>
        <v>0</v>
      </c>
      <c r="K708" s="32" t="s">
        <v>180</v>
      </c>
      <c r="L708" s="19"/>
      <c r="M708" s="3"/>
    </row>
    <row r="709" s="1" customFormat="1" spans="1:13">
      <c r="A709" s="22">
        <v>657</v>
      </c>
      <c r="B709" s="23" t="s">
        <v>1337</v>
      </c>
      <c r="C709" s="24" t="s">
        <v>1338</v>
      </c>
      <c r="D709" s="25" t="s">
        <v>1234</v>
      </c>
      <c r="E709" s="19" t="s">
        <v>76</v>
      </c>
      <c r="F709" s="26" t="s">
        <v>197</v>
      </c>
      <c r="G709" s="27">
        <f>SUMIF(物料月初库存!$C$3:$C$303,$B709,物料月初库存!$F$3:$F$303)</f>
        <v>0</v>
      </c>
      <c r="H709" s="28">
        <f>SUMIF(半成品入库明细!$D$2:$D$650,$B709,半成品入库明细!$G$2:$G$650)</f>
        <v>0</v>
      </c>
      <c r="I709" s="28">
        <f ca="1">SUMIF(半成品出库明细!$D$2:$D$558,$B709,半成品出库明细!$G$2:$G$2)</f>
        <v>0</v>
      </c>
      <c r="J709" s="28">
        <f ca="1" t="shared" si="11"/>
        <v>0</v>
      </c>
      <c r="K709" s="32"/>
      <c r="L709" s="19"/>
      <c r="M709" s="3"/>
    </row>
    <row r="710" s="1" customFormat="1" spans="1:13">
      <c r="A710" s="22">
        <v>658</v>
      </c>
      <c r="B710" s="23" t="s">
        <v>1339</v>
      </c>
      <c r="C710" s="24" t="s">
        <v>1338</v>
      </c>
      <c r="D710" s="25" t="s">
        <v>1234</v>
      </c>
      <c r="E710" s="50" t="s">
        <v>1211</v>
      </c>
      <c r="F710" s="26" t="s">
        <v>197</v>
      </c>
      <c r="G710" s="27">
        <f>SUMIF(物料月初库存!$C$3:$C$303,$B710,物料月初库存!$F$3:$F$303)</f>
        <v>0</v>
      </c>
      <c r="H710" s="28">
        <f>SUMIF(半成品入库明细!$D$2:$D$650,$B710,半成品入库明细!$G$2:$G$650)</f>
        <v>0</v>
      </c>
      <c r="I710" s="28">
        <f ca="1">SUMIF(半成品出库明细!$D$2:$D$558,$B710,半成品出库明细!$G$2:$G$2)</f>
        <v>0</v>
      </c>
      <c r="J710" s="28">
        <f ca="1" t="shared" si="11"/>
        <v>0</v>
      </c>
      <c r="K710" s="32" t="s">
        <v>92</v>
      </c>
      <c r="L710" s="19"/>
      <c r="M710" s="3"/>
    </row>
    <row r="711" s="1" customFormat="1" spans="1:13">
      <c r="A711" s="22"/>
      <c r="B711" s="36" t="s">
        <v>128</v>
      </c>
      <c r="C711" s="24" t="s">
        <v>1338</v>
      </c>
      <c r="D711" s="25" t="s">
        <v>1234</v>
      </c>
      <c r="E711" s="37" t="s">
        <v>839</v>
      </c>
      <c r="F711" s="26" t="s">
        <v>197</v>
      </c>
      <c r="G711" s="27">
        <f>SUMIF(物料月初库存!$C$3:$C$303,$B711,物料月初库存!$F$3:$F$303)</f>
        <v>0</v>
      </c>
      <c r="H711" s="28">
        <f>SUMIF(半成品入库明细!$D$2:$D$650,$B711,半成品入库明细!$G$2:$G$650)</f>
        <v>3276</v>
      </c>
      <c r="I711" s="28">
        <f ca="1">SUMIF(半成品出库明细!$D$2:$D$558,$B711,半成品出库明细!$G$2:$G$2)</f>
        <v>3276</v>
      </c>
      <c r="J711" s="28">
        <f ca="1" t="shared" si="11"/>
        <v>0</v>
      </c>
      <c r="K711" s="113" t="s">
        <v>1340</v>
      </c>
      <c r="L711" s="19"/>
      <c r="M711" s="3"/>
    </row>
    <row r="712" s="1" customFormat="1" spans="1:13">
      <c r="A712" s="22"/>
      <c r="B712" s="23" t="s">
        <v>138</v>
      </c>
      <c r="C712" s="24" t="s">
        <v>1338</v>
      </c>
      <c r="D712" s="25" t="s">
        <v>1234</v>
      </c>
      <c r="E712" s="28" t="s">
        <v>353</v>
      </c>
      <c r="F712" s="26" t="s">
        <v>197</v>
      </c>
      <c r="G712" s="27">
        <f>SUMIF(物料月初库存!$C$3:$C$303,$B712,物料月初库存!$F$3:$F$303)</f>
        <v>0</v>
      </c>
      <c r="H712" s="28">
        <f>SUMIF(半成品入库明细!$D$2:$D$650,$B712,半成品入库明细!$G$2:$G$650)</f>
        <v>1080</v>
      </c>
      <c r="I712" s="28">
        <f ca="1">SUMIF(半成品出库明细!$D$2:$D$558,$B712,半成品出库明细!$G$2:$G$2)</f>
        <v>1080</v>
      </c>
      <c r="J712" s="28">
        <f ca="1" t="shared" si="11"/>
        <v>0</v>
      </c>
      <c r="K712" s="32" t="s">
        <v>1294</v>
      </c>
      <c r="L712" s="19"/>
      <c r="M712" s="3"/>
    </row>
    <row r="713" s="1" customFormat="1" spans="1:13">
      <c r="A713" s="22"/>
      <c r="B713" s="23" t="s">
        <v>1341</v>
      </c>
      <c r="C713" s="24" t="s">
        <v>1338</v>
      </c>
      <c r="D713" s="25" t="s">
        <v>1234</v>
      </c>
      <c r="E713" s="50" t="s">
        <v>575</v>
      </c>
      <c r="F713" s="26" t="s">
        <v>197</v>
      </c>
      <c r="G713" s="27">
        <f>SUMIF(物料月初库存!$C$3:$C$303,$B713,物料月初库存!$F$3:$F$303)</f>
        <v>0</v>
      </c>
      <c r="H713" s="28">
        <f>SUMIF(半成品入库明细!$D$2:$D$650,$B713,半成品入库明细!$G$2:$G$650)</f>
        <v>0</v>
      </c>
      <c r="I713" s="28">
        <f ca="1">SUMIF(半成品出库明细!$D$2:$D$558,$B713,半成品出库明细!$G$2:$G$2)</f>
        <v>0</v>
      </c>
      <c r="J713" s="28">
        <f ca="1" t="shared" ref="J713:J776" si="12">G713+H713-I713</f>
        <v>0</v>
      </c>
      <c r="K713" s="32" t="s">
        <v>180</v>
      </c>
      <c r="L713" s="19"/>
      <c r="M713" s="3"/>
    </row>
    <row r="714" s="1" customFormat="1" spans="1:13">
      <c r="A714" s="22">
        <v>661</v>
      </c>
      <c r="B714" s="23" t="s">
        <v>1342</v>
      </c>
      <c r="C714" s="24" t="s">
        <v>1343</v>
      </c>
      <c r="D714" s="25" t="s">
        <v>1234</v>
      </c>
      <c r="E714" s="19" t="s">
        <v>76</v>
      </c>
      <c r="F714" s="26" t="s">
        <v>197</v>
      </c>
      <c r="G714" s="27">
        <f>SUMIF(物料月初库存!$C$3:$C$303,$B714,物料月初库存!$F$3:$F$303)</f>
        <v>0</v>
      </c>
      <c r="H714" s="28">
        <f>SUMIF(半成品入库明细!$D$2:$D$650,$B714,半成品入库明细!$G$2:$G$650)</f>
        <v>0</v>
      </c>
      <c r="I714" s="28">
        <f ca="1">SUMIF(半成品出库明细!$D$2:$D$558,$B714,半成品出库明细!$G$2:$G$2)</f>
        <v>0</v>
      </c>
      <c r="J714" s="28">
        <f ca="1" t="shared" si="12"/>
        <v>0</v>
      </c>
      <c r="K714" s="32"/>
      <c r="L714" s="19"/>
      <c r="M714" s="3"/>
    </row>
    <row r="715" s="1" customFormat="1" spans="1:13">
      <c r="A715" s="22">
        <v>662</v>
      </c>
      <c r="B715" s="23" t="s">
        <v>1344</v>
      </c>
      <c r="C715" s="24" t="s">
        <v>1343</v>
      </c>
      <c r="D715" s="25" t="s">
        <v>1234</v>
      </c>
      <c r="E715" s="28" t="s">
        <v>1211</v>
      </c>
      <c r="F715" s="26" t="s">
        <v>197</v>
      </c>
      <c r="G715" s="27">
        <f>SUMIF(物料月初库存!$C$3:$C$303,$B715,物料月初库存!$F$3:$F$303)</f>
        <v>0</v>
      </c>
      <c r="H715" s="28">
        <f>SUMIF(半成品入库明细!$D$2:$D$650,$B715,半成品入库明细!$G$2:$G$650)</f>
        <v>0</v>
      </c>
      <c r="I715" s="28">
        <f ca="1">SUMIF(半成品出库明细!$D$2:$D$558,$B715,半成品出库明细!$G$2:$G$2)</f>
        <v>0</v>
      </c>
      <c r="J715" s="28">
        <f ca="1" t="shared" si="12"/>
        <v>0</v>
      </c>
      <c r="K715" s="32" t="s">
        <v>1250</v>
      </c>
      <c r="L715" s="19"/>
      <c r="M715" s="3"/>
    </row>
    <row r="716" s="1" customFormat="1" spans="1:13">
      <c r="A716" s="22">
        <v>663</v>
      </c>
      <c r="B716" s="23" t="s">
        <v>1345</v>
      </c>
      <c r="C716" s="24" t="s">
        <v>1343</v>
      </c>
      <c r="D716" s="25" t="s">
        <v>1234</v>
      </c>
      <c r="E716" s="19" t="s">
        <v>469</v>
      </c>
      <c r="F716" s="26" t="s">
        <v>197</v>
      </c>
      <c r="G716" s="27">
        <f>SUMIF(物料月初库存!$C$3:$C$303,$B716,物料月初库存!$F$3:$F$303)</f>
        <v>0</v>
      </c>
      <c r="H716" s="28">
        <f>SUMIF(半成品入库明细!$D$2:$D$650,$B716,半成品入库明细!$G$2:$G$650)</f>
        <v>0</v>
      </c>
      <c r="I716" s="28">
        <f ca="1">SUMIF(半成品出库明细!$D$2:$D$558,$B716,半成品出库明细!$G$2:$G$2)</f>
        <v>0</v>
      </c>
      <c r="J716" s="28">
        <f ca="1" t="shared" si="12"/>
        <v>0</v>
      </c>
      <c r="K716" s="32" t="s">
        <v>1346</v>
      </c>
      <c r="L716" s="19"/>
      <c r="M716" s="3"/>
    </row>
    <row r="717" s="1" customFormat="1" spans="1:13">
      <c r="A717" s="22">
        <v>664</v>
      </c>
      <c r="B717" s="23" t="s">
        <v>1347</v>
      </c>
      <c r="C717" s="24" t="s">
        <v>1343</v>
      </c>
      <c r="D717" s="25" t="s">
        <v>1234</v>
      </c>
      <c r="E717" s="28" t="s">
        <v>239</v>
      </c>
      <c r="F717" s="26" t="s">
        <v>197</v>
      </c>
      <c r="G717" s="27">
        <f>SUMIF(物料月初库存!$C$3:$C$303,$B717,物料月初库存!$F$3:$F$303)</f>
        <v>0</v>
      </c>
      <c r="H717" s="28">
        <f>SUMIF(半成品入库明细!$D$2:$D$650,$B717,半成品入库明细!$G$2:$G$650)</f>
        <v>0</v>
      </c>
      <c r="I717" s="28">
        <f ca="1">SUMIF(半成品出库明细!$D$2:$D$558,$B717,半成品出库明细!$G$2:$G$2)</f>
        <v>0</v>
      </c>
      <c r="J717" s="28">
        <f ca="1" t="shared" si="12"/>
        <v>0</v>
      </c>
      <c r="K717" s="32" t="s">
        <v>183</v>
      </c>
      <c r="L717" s="19"/>
      <c r="M717" s="3"/>
    </row>
    <row r="718" s="1" customFormat="1" spans="1:13">
      <c r="A718" s="22">
        <v>665</v>
      </c>
      <c r="B718" s="23" t="s">
        <v>1348</v>
      </c>
      <c r="C718" s="24" t="s">
        <v>1343</v>
      </c>
      <c r="D718" s="25" t="s">
        <v>1234</v>
      </c>
      <c r="E718" s="19" t="s">
        <v>353</v>
      </c>
      <c r="F718" s="26" t="s">
        <v>197</v>
      </c>
      <c r="G718" s="27">
        <f>SUMIF(物料月初库存!$C$3:$C$303,$B718,物料月初库存!$F$3:$F$303)</f>
        <v>0</v>
      </c>
      <c r="H718" s="28">
        <f>SUMIF(半成品入库明细!$D$2:$D$650,$B718,半成品入库明细!$G$2:$G$650)</f>
        <v>0</v>
      </c>
      <c r="I718" s="28">
        <f ca="1">SUMIF(半成品出库明细!$D$2:$D$558,$B718,半成品出库明细!$G$2:$G$2)</f>
        <v>0</v>
      </c>
      <c r="J718" s="28">
        <f ca="1" t="shared" si="12"/>
        <v>0</v>
      </c>
      <c r="K718" s="32" t="s">
        <v>1349</v>
      </c>
      <c r="L718" s="19"/>
      <c r="M718" s="3"/>
    </row>
    <row r="719" s="1" customFormat="1" spans="1:13">
      <c r="A719" s="22">
        <v>666</v>
      </c>
      <c r="B719" s="23" t="s">
        <v>1350</v>
      </c>
      <c r="C719" s="24" t="s">
        <v>1351</v>
      </c>
      <c r="D719" s="25" t="s">
        <v>1234</v>
      </c>
      <c r="E719" s="19" t="s">
        <v>76</v>
      </c>
      <c r="F719" s="26" t="s">
        <v>197</v>
      </c>
      <c r="G719" s="27">
        <f>SUMIF(物料月初库存!$C$3:$C$303,$B719,物料月初库存!$F$3:$F$303)</f>
        <v>0</v>
      </c>
      <c r="H719" s="28">
        <f>SUMIF(半成品入库明细!$D$2:$D$650,$B719,半成品入库明细!$G$2:$G$650)</f>
        <v>0</v>
      </c>
      <c r="I719" s="28">
        <f ca="1">SUMIF(半成品出库明细!$D$2:$D$558,$B719,半成品出库明细!$G$2:$G$2)</f>
        <v>0</v>
      </c>
      <c r="J719" s="28">
        <f ca="1" t="shared" si="12"/>
        <v>0</v>
      </c>
      <c r="K719" s="32"/>
      <c r="L719" s="19"/>
      <c r="M719" s="3"/>
    </row>
    <row r="720" s="1" customFormat="1" spans="1:13">
      <c r="A720" s="22">
        <v>667</v>
      </c>
      <c r="B720" s="23" t="s">
        <v>1352</v>
      </c>
      <c r="C720" s="24" t="s">
        <v>1351</v>
      </c>
      <c r="D720" s="25" t="s">
        <v>1234</v>
      </c>
      <c r="E720" s="50" t="s">
        <v>1211</v>
      </c>
      <c r="F720" s="26" t="s">
        <v>197</v>
      </c>
      <c r="G720" s="27">
        <f>SUMIF(物料月初库存!$C$3:$C$303,$B720,物料月初库存!$F$3:$F$303)</f>
        <v>0</v>
      </c>
      <c r="H720" s="28">
        <f>SUMIF(半成品入库明细!$D$2:$D$650,$B720,半成品入库明细!$G$2:$G$650)</f>
        <v>0</v>
      </c>
      <c r="I720" s="28">
        <f ca="1">SUMIF(半成品出库明细!$D$2:$D$558,$B720,半成品出库明细!$G$2:$G$2)</f>
        <v>0</v>
      </c>
      <c r="J720" s="28">
        <f ca="1" t="shared" si="12"/>
        <v>0</v>
      </c>
      <c r="K720" s="32" t="s">
        <v>92</v>
      </c>
      <c r="L720" s="19"/>
      <c r="M720" s="3"/>
    </row>
    <row r="721" s="1" customFormat="1" spans="1:13">
      <c r="A721" s="22">
        <v>668</v>
      </c>
      <c r="B721" s="23" t="s">
        <v>1353</v>
      </c>
      <c r="C721" s="24" t="s">
        <v>1351</v>
      </c>
      <c r="D721" s="25" t="s">
        <v>1234</v>
      </c>
      <c r="E721" s="28" t="s">
        <v>353</v>
      </c>
      <c r="F721" s="26" t="s">
        <v>197</v>
      </c>
      <c r="G721" s="27">
        <f>SUMIF(物料月初库存!$C$3:$C$303,$B721,物料月初库存!$F$3:$F$303)</f>
        <v>0</v>
      </c>
      <c r="H721" s="28">
        <f>SUMIF(半成品入库明细!$D$2:$D$650,$B721,半成品入库明细!$G$2:$G$650)</f>
        <v>0</v>
      </c>
      <c r="I721" s="28">
        <f ca="1">SUMIF(半成品出库明细!$D$2:$D$558,$B721,半成品出库明细!$G$2:$G$2)</f>
        <v>0</v>
      </c>
      <c r="J721" s="28">
        <f ca="1" t="shared" si="12"/>
        <v>0</v>
      </c>
      <c r="K721" s="32" t="s">
        <v>1349</v>
      </c>
      <c r="L721" s="19"/>
      <c r="M721" s="3"/>
    </row>
    <row r="722" s="1" customFormat="1" spans="1:13">
      <c r="A722" s="22"/>
      <c r="B722" s="23" t="s">
        <v>1354</v>
      </c>
      <c r="C722" s="24" t="s">
        <v>1355</v>
      </c>
      <c r="D722" s="25" t="s">
        <v>1234</v>
      </c>
      <c r="E722" s="19" t="s">
        <v>76</v>
      </c>
      <c r="F722" s="26" t="s">
        <v>197</v>
      </c>
      <c r="G722" s="27">
        <f>SUMIF(物料月初库存!$C$3:$C$303,$B722,物料月初库存!$F$3:$F$303)</f>
        <v>0</v>
      </c>
      <c r="H722" s="28">
        <f>SUMIF(半成品入库明细!$D$2:$D$650,$B722,半成品入库明细!$G$2:$G$650)</f>
        <v>0</v>
      </c>
      <c r="I722" s="28">
        <f ca="1">SUMIF(半成品出库明细!$D$2:$D$558,$B722,半成品出库明细!$G$2:$G$2)</f>
        <v>0</v>
      </c>
      <c r="J722" s="28">
        <f ca="1" t="shared" si="12"/>
        <v>0</v>
      </c>
      <c r="K722" s="32"/>
      <c r="L722" s="19"/>
      <c r="M722" s="3"/>
    </row>
    <row r="723" s="1" customFormat="1" spans="1:13">
      <c r="A723" s="22"/>
      <c r="B723" s="23" t="s">
        <v>1356</v>
      </c>
      <c r="C723" s="24" t="s">
        <v>1355</v>
      </c>
      <c r="D723" s="25" t="s">
        <v>1234</v>
      </c>
      <c r="E723" s="28" t="s">
        <v>1211</v>
      </c>
      <c r="F723" s="26" t="s">
        <v>197</v>
      </c>
      <c r="G723" s="27">
        <f>SUMIF(物料月初库存!$C$3:$C$303,$B723,物料月初库存!$F$3:$F$303)</f>
        <v>0</v>
      </c>
      <c r="H723" s="28">
        <f>SUMIF(半成品入库明细!$D$2:$D$650,$B723,半成品入库明细!$G$2:$G$650)</f>
        <v>0</v>
      </c>
      <c r="I723" s="28">
        <f ca="1">SUMIF(半成品出库明细!$D$2:$D$558,$B723,半成品出库明细!$G$2:$G$2)</f>
        <v>0</v>
      </c>
      <c r="J723" s="28">
        <f ca="1" t="shared" si="12"/>
        <v>0</v>
      </c>
      <c r="K723" s="32" t="s">
        <v>1250</v>
      </c>
      <c r="L723" s="19"/>
      <c r="M723" s="3"/>
    </row>
    <row r="724" s="1" customFormat="1" spans="1:13">
      <c r="A724" s="22"/>
      <c r="B724" s="23" t="s">
        <v>1357</v>
      </c>
      <c r="C724" s="24" t="s">
        <v>1355</v>
      </c>
      <c r="D724" s="25" t="s">
        <v>1234</v>
      </c>
      <c r="E724" s="19" t="s">
        <v>469</v>
      </c>
      <c r="F724" s="26" t="s">
        <v>197</v>
      </c>
      <c r="G724" s="27">
        <f>SUMIF(物料月初库存!$C$3:$C$303,$B724,物料月初库存!$F$3:$F$303)</f>
        <v>0</v>
      </c>
      <c r="H724" s="28">
        <f>SUMIF(半成品入库明细!$D$2:$D$650,$B724,半成品入库明细!$G$2:$G$650)</f>
        <v>0</v>
      </c>
      <c r="I724" s="28">
        <f ca="1">SUMIF(半成品出库明细!$D$2:$D$558,$B724,半成品出库明细!$G$2:$G$2)</f>
        <v>0</v>
      </c>
      <c r="J724" s="28">
        <f ca="1" t="shared" si="12"/>
        <v>0</v>
      </c>
      <c r="K724" s="32" t="s">
        <v>1346</v>
      </c>
      <c r="L724" s="19"/>
      <c r="M724" s="3"/>
    </row>
    <row r="725" s="1" customFormat="1" spans="1:13">
      <c r="A725" s="22"/>
      <c r="B725" s="23" t="s">
        <v>1358</v>
      </c>
      <c r="C725" s="24" t="s">
        <v>1355</v>
      </c>
      <c r="D725" s="25" t="s">
        <v>1234</v>
      </c>
      <c r="E725" s="28" t="s">
        <v>239</v>
      </c>
      <c r="F725" s="26" t="s">
        <v>197</v>
      </c>
      <c r="G725" s="27">
        <f>SUMIF(物料月初库存!$C$3:$C$303,$B725,物料月初库存!$F$3:$F$303)</f>
        <v>0</v>
      </c>
      <c r="H725" s="28">
        <f>SUMIF(半成品入库明细!$D$2:$D$650,$B725,半成品入库明细!$G$2:$G$650)</f>
        <v>0</v>
      </c>
      <c r="I725" s="28">
        <f ca="1">SUMIF(半成品出库明细!$D$2:$D$558,$B725,半成品出库明细!$G$2:$G$2)</f>
        <v>0</v>
      </c>
      <c r="J725" s="28">
        <f ca="1" t="shared" si="12"/>
        <v>0</v>
      </c>
      <c r="K725" s="32" t="s">
        <v>183</v>
      </c>
      <c r="L725" s="19"/>
      <c r="M725" s="3"/>
    </row>
    <row r="726" s="1" customFormat="1" spans="1:13">
      <c r="A726" s="22"/>
      <c r="B726" s="23" t="s">
        <v>1359</v>
      </c>
      <c r="C726" s="24" t="s">
        <v>1355</v>
      </c>
      <c r="D726" s="25" t="s">
        <v>1234</v>
      </c>
      <c r="E726" s="19" t="s">
        <v>839</v>
      </c>
      <c r="F726" s="26" t="s">
        <v>197</v>
      </c>
      <c r="G726" s="27">
        <f>SUMIF(物料月初库存!$C$3:$C$303,$B726,物料月初库存!$F$3:$F$303)</f>
        <v>0</v>
      </c>
      <c r="H726" s="28">
        <f>SUMIF(半成品入库明细!$D$2:$D$650,$B726,半成品入库明细!$G$2:$G$650)</f>
        <v>0</v>
      </c>
      <c r="I726" s="28">
        <f ca="1">SUMIF(半成品出库明细!$D$2:$D$558,$B726,半成品出库明细!$G$2:$G$2)</f>
        <v>0</v>
      </c>
      <c r="J726" s="28">
        <f ca="1" t="shared" si="12"/>
        <v>0</v>
      </c>
      <c r="K726" s="32" t="s">
        <v>1360</v>
      </c>
      <c r="L726" s="19"/>
      <c r="M726" s="3"/>
    </row>
    <row r="727" s="1" customFormat="1" spans="1:13">
      <c r="A727" s="22"/>
      <c r="B727" s="23" t="s">
        <v>1361</v>
      </c>
      <c r="C727" s="24" t="s">
        <v>1355</v>
      </c>
      <c r="D727" s="25" t="s">
        <v>1234</v>
      </c>
      <c r="E727" s="19" t="s">
        <v>353</v>
      </c>
      <c r="F727" s="26" t="s">
        <v>197</v>
      </c>
      <c r="G727" s="27">
        <f>SUMIF(物料月初库存!$C$3:$C$303,$B727,物料月初库存!$F$3:$F$303)</f>
        <v>0</v>
      </c>
      <c r="H727" s="28">
        <f>SUMIF(半成品入库明细!$D$2:$D$650,$B727,半成品入库明细!$G$2:$G$650)</f>
        <v>0</v>
      </c>
      <c r="I727" s="28">
        <f ca="1">SUMIF(半成品出库明细!$D$2:$D$558,$B727,半成品出库明细!$G$2:$G$2)</f>
        <v>0</v>
      </c>
      <c r="J727" s="28">
        <f ca="1" t="shared" si="12"/>
        <v>0</v>
      </c>
      <c r="K727" s="32" t="s">
        <v>1349</v>
      </c>
      <c r="L727" s="19"/>
      <c r="M727" s="3"/>
    </row>
    <row r="728" s="1" customFormat="1" spans="1:13">
      <c r="A728" s="22"/>
      <c r="B728" s="23" t="s">
        <v>1362</v>
      </c>
      <c r="C728" s="24" t="s">
        <v>1363</v>
      </c>
      <c r="D728" s="25" t="s">
        <v>1234</v>
      </c>
      <c r="E728" s="19" t="s">
        <v>76</v>
      </c>
      <c r="F728" s="26" t="s">
        <v>197</v>
      </c>
      <c r="G728" s="27">
        <f>SUMIF(物料月初库存!$C$3:$C$303,$B728,物料月初库存!$F$3:$F$303)</f>
        <v>0</v>
      </c>
      <c r="H728" s="28">
        <f>SUMIF(半成品入库明细!$D$2:$D$650,$B728,半成品入库明细!$G$2:$G$650)</f>
        <v>0</v>
      </c>
      <c r="I728" s="28">
        <f ca="1">SUMIF(半成品出库明细!$D$2:$D$558,$B728,半成品出库明细!$G$2:$G$2)</f>
        <v>0</v>
      </c>
      <c r="J728" s="28">
        <f ca="1" t="shared" si="12"/>
        <v>0</v>
      </c>
      <c r="K728" s="32"/>
      <c r="L728" s="19"/>
      <c r="M728" s="3"/>
    </row>
    <row r="729" s="1" customFormat="1" spans="1:13">
      <c r="A729" s="22"/>
      <c r="B729" s="23" t="s">
        <v>1364</v>
      </c>
      <c r="C729" s="24" t="s">
        <v>1363</v>
      </c>
      <c r="D729" s="25" t="s">
        <v>1234</v>
      </c>
      <c r="E729" s="28" t="s">
        <v>1211</v>
      </c>
      <c r="F729" s="26" t="s">
        <v>197</v>
      </c>
      <c r="G729" s="27">
        <f>SUMIF(物料月初库存!$C$3:$C$303,$B729,物料月初库存!$F$3:$F$303)</f>
        <v>0</v>
      </c>
      <c r="H729" s="28">
        <f>SUMIF(半成品入库明细!$D$2:$D$650,$B729,半成品入库明细!$G$2:$G$650)</f>
        <v>0</v>
      </c>
      <c r="I729" s="28">
        <f ca="1">SUMIF(半成品出库明细!$D$2:$D$558,$B729,半成品出库明细!$G$2:$G$2)</f>
        <v>0</v>
      </c>
      <c r="J729" s="28">
        <f ca="1" t="shared" si="12"/>
        <v>0</v>
      </c>
      <c r="K729" s="32" t="s">
        <v>1250</v>
      </c>
      <c r="L729" s="19"/>
      <c r="M729" s="3"/>
    </row>
    <row r="730" s="1" customFormat="1" spans="1:13">
      <c r="A730" s="22"/>
      <c r="B730" s="23" t="s">
        <v>1365</v>
      </c>
      <c r="C730" s="24" t="s">
        <v>1363</v>
      </c>
      <c r="D730" s="25" t="s">
        <v>1234</v>
      </c>
      <c r="E730" s="19" t="s">
        <v>353</v>
      </c>
      <c r="F730" s="26" t="s">
        <v>197</v>
      </c>
      <c r="G730" s="27">
        <f>SUMIF(物料月初库存!$C$3:$C$303,$B730,物料月初库存!$F$3:$F$303)</f>
        <v>0</v>
      </c>
      <c r="H730" s="28">
        <f>SUMIF(半成品入库明细!$D$2:$D$650,$B730,半成品入库明细!$G$2:$G$650)</f>
        <v>0</v>
      </c>
      <c r="I730" s="28">
        <f ca="1">SUMIF(半成品出库明细!$D$2:$D$558,$B730,半成品出库明细!$G$2:$G$2)</f>
        <v>0</v>
      </c>
      <c r="J730" s="28">
        <f ca="1" t="shared" si="12"/>
        <v>0</v>
      </c>
      <c r="K730" s="32" t="s">
        <v>1366</v>
      </c>
      <c r="L730" s="19"/>
      <c r="M730" s="3"/>
    </row>
    <row r="731" s="1" customFormat="1" spans="1:13">
      <c r="A731" s="22"/>
      <c r="B731" s="23" t="s">
        <v>1367</v>
      </c>
      <c r="C731" s="24" t="s">
        <v>1368</v>
      </c>
      <c r="D731" s="25" t="s">
        <v>1234</v>
      </c>
      <c r="E731" s="19" t="s">
        <v>76</v>
      </c>
      <c r="F731" s="26" t="s">
        <v>197</v>
      </c>
      <c r="G731" s="27">
        <f>SUMIF(物料月初库存!$C$3:$C$303,$B731,物料月初库存!$F$3:$F$303)</f>
        <v>0</v>
      </c>
      <c r="H731" s="28">
        <f>SUMIF(半成品入库明细!$D$2:$D$650,$B731,半成品入库明细!$G$2:$G$650)</f>
        <v>0</v>
      </c>
      <c r="I731" s="28">
        <f ca="1">SUMIF(半成品出库明细!$D$2:$D$558,$B731,半成品出库明细!$G$2:$G$2)</f>
        <v>0</v>
      </c>
      <c r="J731" s="28">
        <f ca="1" t="shared" si="12"/>
        <v>0</v>
      </c>
      <c r="K731" s="32"/>
      <c r="L731" s="19"/>
      <c r="M731" s="3"/>
    </row>
    <row r="732" s="1" customFormat="1" spans="1:13">
      <c r="A732" s="22"/>
      <c r="B732" s="23" t="s">
        <v>1369</v>
      </c>
      <c r="C732" s="24" t="s">
        <v>1368</v>
      </c>
      <c r="D732" s="25" t="s">
        <v>1234</v>
      </c>
      <c r="E732" s="28" t="s">
        <v>1211</v>
      </c>
      <c r="F732" s="26" t="s">
        <v>197</v>
      </c>
      <c r="G732" s="27">
        <f>SUMIF(物料月初库存!$C$3:$C$303,$B732,物料月初库存!$F$3:$F$303)</f>
        <v>0</v>
      </c>
      <c r="H732" s="28">
        <f>SUMIF(半成品入库明细!$D$2:$D$650,$B732,半成品入库明细!$G$2:$G$650)</f>
        <v>0</v>
      </c>
      <c r="I732" s="28">
        <f ca="1">SUMIF(半成品出库明细!$D$2:$D$558,$B732,半成品出库明细!$G$2:$G$2)</f>
        <v>0</v>
      </c>
      <c r="J732" s="28">
        <f ca="1" t="shared" si="12"/>
        <v>0</v>
      </c>
      <c r="K732" s="32" t="s">
        <v>1370</v>
      </c>
      <c r="L732" s="19"/>
      <c r="M732" s="3"/>
    </row>
    <row r="733" s="1" customFormat="1" spans="1:13">
      <c r="A733" s="22"/>
      <c r="B733" s="23" t="s">
        <v>127</v>
      </c>
      <c r="C733" s="24" t="s">
        <v>1368</v>
      </c>
      <c r="D733" s="25" t="s">
        <v>1234</v>
      </c>
      <c r="E733" s="19" t="s">
        <v>839</v>
      </c>
      <c r="F733" s="26" t="s">
        <v>197</v>
      </c>
      <c r="G733" s="27">
        <f>SUMIF(物料月初库存!$C$3:$C$303,$B733,物料月初库存!$F$3:$F$303)</f>
        <v>0</v>
      </c>
      <c r="H733" s="28">
        <f>SUMIF(半成品入库明细!$D$2:$D$650,$B733,半成品入库明细!$G$2:$G$650)</f>
        <v>3081</v>
      </c>
      <c r="I733" s="28">
        <f ca="1">SUMIF(半成品出库明细!$D$2:$D$558,$B733,半成品出库明细!$G$2:$G$2)</f>
        <v>3076</v>
      </c>
      <c r="J733" s="28">
        <f ca="1" t="shared" si="12"/>
        <v>5</v>
      </c>
      <c r="K733" s="32" t="s">
        <v>120</v>
      </c>
      <c r="L733" s="19"/>
      <c r="M733" s="3"/>
    </row>
    <row r="734" s="1" customFormat="1" spans="1:13">
      <c r="A734" s="22"/>
      <c r="B734" s="23" t="s">
        <v>1371</v>
      </c>
      <c r="C734" s="24" t="s">
        <v>1368</v>
      </c>
      <c r="D734" s="25" t="s">
        <v>1234</v>
      </c>
      <c r="E734" s="19" t="s">
        <v>353</v>
      </c>
      <c r="F734" s="26" t="s">
        <v>197</v>
      </c>
      <c r="G734" s="27">
        <f>SUMIF(物料月初库存!$C$3:$C$303,$B734,物料月初库存!$F$3:$F$303)</f>
        <v>0</v>
      </c>
      <c r="H734" s="28">
        <f>SUMIF(半成品入库明细!$D$2:$D$650,$B734,半成品入库明细!$G$2:$G$650)</f>
        <v>0</v>
      </c>
      <c r="I734" s="28">
        <f ca="1">SUMIF(半成品出库明细!$D$2:$D$558,$B734,半成品出库明细!$G$2:$G$2)</f>
        <v>0</v>
      </c>
      <c r="J734" s="28">
        <f ca="1" t="shared" si="12"/>
        <v>0</v>
      </c>
      <c r="K734" s="32" t="s">
        <v>133</v>
      </c>
      <c r="L734" s="19"/>
      <c r="M734" s="3"/>
    </row>
    <row r="735" s="1" customFormat="1" spans="1:13">
      <c r="A735" s="22"/>
      <c r="B735" s="23" t="s">
        <v>1372</v>
      </c>
      <c r="C735" s="24" t="s">
        <v>1373</v>
      </c>
      <c r="D735" s="25" t="s">
        <v>1234</v>
      </c>
      <c r="E735" s="19" t="s">
        <v>76</v>
      </c>
      <c r="F735" s="26" t="s">
        <v>197</v>
      </c>
      <c r="G735" s="27">
        <f>SUMIF(物料月初库存!$C$3:$C$303,$B735,物料月初库存!$F$3:$F$303)</f>
        <v>0</v>
      </c>
      <c r="H735" s="28">
        <f>SUMIF(半成品入库明细!$D$2:$D$650,$B735,半成品入库明细!$G$2:$G$650)</f>
        <v>0</v>
      </c>
      <c r="I735" s="28">
        <f ca="1">SUMIF(半成品出库明细!$D$2:$D$558,$B735,半成品出库明细!$G$2:$G$2)</f>
        <v>0</v>
      </c>
      <c r="J735" s="28">
        <f ca="1" t="shared" si="12"/>
        <v>0</v>
      </c>
      <c r="K735" s="32"/>
      <c r="L735" s="19"/>
      <c r="M735" s="3"/>
    </row>
    <row r="736" s="1" customFormat="1" spans="1:13">
      <c r="A736" s="22"/>
      <c r="B736" s="23" t="s">
        <v>1374</v>
      </c>
      <c r="C736" s="24" t="s">
        <v>1373</v>
      </c>
      <c r="D736" s="25" t="s">
        <v>1234</v>
      </c>
      <c r="E736" s="28" t="s">
        <v>1211</v>
      </c>
      <c r="F736" s="26" t="s">
        <v>197</v>
      </c>
      <c r="G736" s="27">
        <f>SUMIF(物料月初库存!$C$3:$C$303,$B736,物料月初库存!$F$3:$F$303)</f>
        <v>0</v>
      </c>
      <c r="H736" s="28">
        <f>SUMIF(半成品入库明细!$D$2:$D$650,$B736,半成品入库明细!$G$2:$G$650)</f>
        <v>0</v>
      </c>
      <c r="I736" s="28">
        <f ca="1">SUMIF(半成品出库明细!$D$2:$D$558,$B736,半成品出库明细!$G$2:$G$2)</f>
        <v>0</v>
      </c>
      <c r="J736" s="28">
        <f ca="1" t="shared" si="12"/>
        <v>0</v>
      </c>
      <c r="K736" s="32" t="s">
        <v>1310</v>
      </c>
      <c r="L736" s="19"/>
      <c r="M736" s="3"/>
    </row>
    <row r="737" s="1" customFormat="1" spans="1:13">
      <c r="A737" s="22"/>
      <c r="B737" s="23" t="s">
        <v>1375</v>
      </c>
      <c r="C737" s="24" t="s">
        <v>1373</v>
      </c>
      <c r="D737" s="25" t="s">
        <v>1234</v>
      </c>
      <c r="E737" s="19" t="s">
        <v>353</v>
      </c>
      <c r="F737" s="26" t="s">
        <v>197</v>
      </c>
      <c r="G737" s="27">
        <f>SUMIF(物料月初库存!$C$3:$C$303,$B737,物料月初库存!$F$3:$F$303)</f>
        <v>0</v>
      </c>
      <c r="H737" s="28">
        <f>SUMIF(半成品入库明细!$D$2:$D$650,$B737,半成品入库明细!$G$2:$G$650)</f>
        <v>0</v>
      </c>
      <c r="I737" s="28">
        <f ca="1">SUMIF(半成品出库明细!$D$2:$D$558,$B737,半成品出库明细!$G$2:$G$2)</f>
        <v>0</v>
      </c>
      <c r="J737" s="28">
        <f ca="1" t="shared" si="12"/>
        <v>0</v>
      </c>
      <c r="K737" s="32" t="s">
        <v>1294</v>
      </c>
      <c r="L737" s="19"/>
      <c r="M737" s="3"/>
    </row>
    <row r="738" s="1" customFormat="1" spans="1:13">
      <c r="A738" s="22"/>
      <c r="B738" s="23" t="s">
        <v>1376</v>
      </c>
      <c r="C738" s="24" t="s">
        <v>1377</v>
      </c>
      <c r="D738" s="25" t="s">
        <v>1234</v>
      </c>
      <c r="E738" s="19" t="s">
        <v>76</v>
      </c>
      <c r="F738" s="26" t="s">
        <v>197</v>
      </c>
      <c r="G738" s="27">
        <f>SUMIF(物料月初库存!$C$3:$C$303,$B738,物料月初库存!$F$3:$F$303)</f>
        <v>0</v>
      </c>
      <c r="H738" s="28">
        <f>SUMIF(半成品入库明细!$D$2:$D$650,$B738,半成品入库明细!$G$2:$G$650)</f>
        <v>0</v>
      </c>
      <c r="I738" s="28">
        <f ca="1">SUMIF(半成品出库明细!$D$2:$D$558,$B738,半成品出库明细!$G$2:$G$2)</f>
        <v>0</v>
      </c>
      <c r="J738" s="28">
        <f ca="1" t="shared" si="12"/>
        <v>0</v>
      </c>
      <c r="K738" s="32"/>
      <c r="L738" s="19"/>
      <c r="M738" s="3"/>
    </row>
    <row r="739" s="1" customFormat="1" spans="1:13">
      <c r="A739" s="22"/>
      <c r="B739" s="23" t="s">
        <v>1378</v>
      </c>
      <c r="C739" s="24" t="s">
        <v>1377</v>
      </c>
      <c r="D739" s="25" t="s">
        <v>1234</v>
      </c>
      <c r="E739" s="19" t="s">
        <v>225</v>
      </c>
      <c r="F739" s="26" t="s">
        <v>197</v>
      </c>
      <c r="G739" s="27">
        <f>SUMIF(物料月初库存!$C$3:$C$303,$B739,物料月初库存!$F$3:$F$303)</f>
        <v>0</v>
      </c>
      <c r="H739" s="28">
        <f>SUMIF(半成品入库明细!$D$2:$D$650,$B739,半成品入库明细!$G$2:$G$650)</f>
        <v>0</v>
      </c>
      <c r="I739" s="28">
        <f ca="1">SUMIF(半成品出库明细!$D$2:$D$558,$B739,半成品出库明细!$G$2:$G$2)</f>
        <v>0</v>
      </c>
      <c r="J739" s="28">
        <f ca="1" t="shared" si="12"/>
        <v>0</v>
      </c>
      <c r="K739" s="32"/>
      <c r="L739" s="19"/>
      <c r="M739" s="3"/>
    </row>
    <row r="740" s="1" customFormat="1" spans="1:13">
      <c r="A740" s="22"/>
      <c r="B740" s="23" t="s">
        <v>1379</v>
      </c>
      <c r="C740" s="24" t="s">
        <v>1377</v>
      </c>
      <c r="D740" s="25" t="s">
        <v>1234</v>
      </c>
      <c r="E740" s="28" t="s">
        <v>353</v>
      </c>
      <c r="F740" s="26" t="s">
        <v>197</v>
      </c>
      <c r="G740" s="27">
        <f>SUMIF(物料月初库存!$C$3:$C$303,$B740,物料月初库存!$F$3:$F$303)</f>
        <v>0</v>
      </c>
      <c r="H740" s="28">
        <f>SUMIF(半成品入库明细!$D$2:$D$650,$B740,半成品入库明细!$G$2:$G$650)</f>
        <v>0</v>
      </c>
      <c r="I740" s="28">
        <f ca="1">SUMIF(半成品出库明细!$D$2:$D$558,$B740,半成品出库明细!$G$2:$G$2)</f>
        <v>0</v>
      </c>
      <c r="J740" s="28">
        <f ca="1" t="shared" si="12"/>
        <v>0</v>
      </c>
      <c r="K740" s="32"/>
      <c r="L740" s="19"/>
      <c r="M740" s="3"/>
    </row>
    <row r="741" s="1" customFormat="1" spans="1:13">
      <c r="A741" s="22"/>
      <c r="B741" s="23" t="s">
        <v>1380</v>
      </c>
      <c r="C741" s="24" t="s">
        <v>1381</v>
      </c>
      <c r="D741" s="25" t="s">
        <v>1234</v>
      </c>
      <c r="E741" s="19" t="s">
        <v>76</v>
      </c>
      <c r="F741" s="26" t="s">
        <v>197</v>
      </c>
      <c r="G741" s="27">
        <f>SUMIF(物料月初库存!$C$3:$C$303,$B741,物料月初库存!$F$3:$F$303)</f>
        <v>0</v>
      </c>
      <c r="H741" s="28">
        <f>SUMIF(半成品入库明细!$D$2:$D$650,$B741,半成品入库明细!$G$2:$G$650)</f>
        <v>0</v>
      </c>
      <c r="I741" s="28">
        <f ca="1">SUMIF(半成品出库明细!$D$2:$D$558,$B741,半成品出库明细!$G$2:$G$2)</f>
        <v>0</v>
      </c>
      <c r="J741" s="28">
        <f ca="1" t="shared" si="12"/>
        <v>0</v>
      </c>
      <c r="K741" s="32" t="s">
        <v>704</v>
      </c>
      <c r="L741" s="19"/>
      <c r="M741" s="3"/>
    </row>
    <row r="742" s="1" customFormat="1" spans="1:13">
      <c r="A742" s="22"/>
      <c r="B742" s="23" t="s">
        <v>1382</v>
      </c>
      <c r="C742" s="24" t="s">
        <v>1381</v>
      </c>
      <c r="D742" s="25" t="s">
        <v>1234</v>
      </c>
      <c r="E742" s="19" t="s">
        <v>225</v>
      </c>
      <c r="F742" s="26" t="s">
        <v>197</v>
      </c>
      <c r="G742" s="27">
        <f>SUMIF(物料月初库存!$C$3:$C$303,$B742,物料月初库存!$F$3:$F$303)</f>
        <v>0</v>
      </c>
      <c r="H742" s="28">
        <f>SUMIF(半成品入库明细!$D$2:$D$650,$B742,半成品入库明细!$G$2:$G$650)</f>
        <v>0</v>
      </c>
      <c r="I742" s="28">
        <f ca="1">SUMIF(半成品出库明细!$D$2:$D$558,$B742,半成品出库明细!$G$2:$G$2)</f>
        <v>0</v>
      </c>
      <c r="J742" s="28">
        <f ca="1" t="shared" si="12"/>
        <v>0</v>
      </c>
      <c r="K742" s="32" t="s">
        <v>704</v>
      </c>
      <c r="L742" s="19"/>
      <c r="M742" s="3"/>
    </row>
    <row r="743" s="1" customFormat="1" spans="1:13">
      <c r="A743" s="22"/>
      <c r="B743" s="23" t="s">
        <v>1383</v>
      </c>
      <c r="C743" s="24" t="s">
        <v>1381</v>
      </c>
      <c r="D743" s="25" t="s">
        <v>1234</v>
      </c>
      <c r="E743" s="19" t="s">
        <v>839</v>
      </c>
      <c r="F743" s="26" t="s">
        <v>197</v>
      </c>
      <c r="G743" s="27">
        <f>SUMIF(物料月初库存!$C$3:$C$303,$B743,物料月初库存!$F$3:$F$303)</f>
        <v>0</v>
      </c>
      <c r="H743" s="28">
        <f>SUMIF(半成品入库明细!$D$2:$D$650,$B743,半成品入库明细!$G$2:$G$650)</f>
        <v>0</v>
      </c>
      <c r="I743" s="28">
        <f ca="1">SUMIF(半成品出库明细!$D$2:$D$558,$B743,半成品出库明细!$G$2:$G$2)</f>
        <v>0</v>
      </c>
      <c r="J743" s="28">
        <f ca="1" t="shared" si="12"/>
        <v>0</v>
      </c>
      <c r="K743" s="32" t="s">
        <v>120</v>
      </c>
      <c r="L743" s="19"/>
      <c r="M743" s="3"/>
    </row>
    <row r="744" s="1" customFormat="1" spans="1:13">
      <c r="A744" s="22"/>
      <c r="B744" s="23" t="s">
        <v>1384</v>
      </c>
      <c r="C744" s="24" t="s">
        <v>1381</v>
      </c>
      <c r="D744" s="25" t="s">
        <v>1234</v>
      </c>
      <c r="E744" s="19" t="s">
        <v>353</v>
      </c>
      <c r="F744" s="26" t="s">
        <v>197</v>
      </c>
      <c r="G744" s="27">
        <f>SUMIF(物料月初库存!$C$3:$C$303,$B744,物料月初库存!$F$3:$F$303)</f>
        <v>0</v>
      </c>
      <c r="H744" s="28">
        <f>SUMIF(半成品入库明细!$D$2:$D$650,$B744,半成品入库明细!$G$2:$G$650)</f>
        <v>0</v>
      </c>
      <c r="I744" s="28">
        <f ca="1">SUMIF(半成品出库明细!$D$2:$D$558,$B744,半成品出库明细!$G$2:$G$2)</f>
        <v>0</v>
      </c>
      <c r="J744" s="28">
        <f ca="1" t="shared" si="12"/>
        <v>0</v>
      </c>
      <c r="K744" s="32" t="s">
        <v>133</v>
      </c>
      <c r="L744" s="19"/>
      <c r="M744" s="3"/>
    </row>
    <row r="745" s="1" customFormat="1" spans="1:13">
      <c r="A745" s="22"/>
      <c r="B745" s="23" t="s">
        <v>1385</v>
      </c>
      <c r="C745" s="24" t="s">
        <v>1381</v>
      </c>
      <c r="D745" s="25" t="s">
        <v>1234</v>
      </c>
      <c r="E745" s="19" t="s">
        <v>270</v>
      </c>
      <c r="F745" s="26" t="s">
        <v>197</v>
      </c>
      <c r="G745" s="27">
        <f>SUMIF(物料月初库存!$C$3:$C$303,$B745,物料月初库存!$F$3:$F$303)</f>
        <v>0</v>
      </c>
      <c r="H745" s="28">
        <f>SUMIF(半成品入库明细!$D$2:$D$650,$B745,半成品入库明细!$G$2:$G$650)</f>
        <v>0</v>
      </c>
      <c r="I745" s="28">
        <f ca="1">SUMIF(半成品出库明细!$D$2:$D$558,$B745,半成品出库明细!$G$2:$G$2)</f>
        <v>0</v>
      </c>
      <c r="J745" s="28">
        <f ca="1" t="shared" si="12"/>
        <v>0</v>
      </c>
      <c r="K745" s="29" t="s">
        <v>1386</v>
      </c>
      <c r="L745" s="19"/>
      <c r="M745" s="3"/>
    </row>
    <row r="746" s="1" customFormat="1" spans="1:13">
      <c r="A746" s="22"/>
      <c r="B746" s="23" t="s">
        <v>1387</v>
      </c>
      <c r="C746" s="24" t="s">
        <v>1388</v>
      </c>
      <c r="D746" s="25" t="s">
        <v>1234</v>
      </c>
      <c r="E746" s="19" t="s">
        <v>76</v>
      </c>
      <c r="F746" s="26" t="s">
        <v>197</v>
      </c>
      <c r="G746" s="27">
        <f>SUMIF(物料月初库存!$C$3:$C$303,$B746,物料月初库存!$F$3:$F$303)</f>
        <v>0</v>
      </c>
      <c r="H746" s="28">
        <f>SUMIF(半成品入库明细!$D$2:$D$650,$B746,半成品入库明细!$G$2:$G$650)</f>
        <v>0</v>
      </c>
      <c r="I746" s="28">
        <f ca="1">SUMIF(半成品出库明细!$D$2:$D$558,$B746,半成品出库明细!$G$2:$G$2)</f>
        <v>0</v>
      </c>
      <c r="J746" s="28">
        <f ca="1" t="shared" si="12"/>
        <v>0</v>
      </c>
      <c r="K746" s="29"/>
      <c r="L746" s="19"/>
      <c r="M746" s="3"/>
    </row>
    <row r="747" s="1" customFormat="1" spans="1:13">
      <c r="A747" s="22"/>
      <c r="B747" s="23" t="s">
        <v>1389</v>
      </c>
      <c r="C747" s="24" t="s">
        <v>1388</v>
      </c>
      <c r="D747" s="25" t="s">
        <v>1234</v>
      </c>
      <c r="E747" s="19" t="s">
        <v>225</v>
      </c>
      <c r="F747" s="26" t="s">
        <v>197</v>
      </c>
      <c r="G747" s="27">
        <f>SUMIF(物料月初库存!$C$3:$C$303,$B747,物料月初库存!$F$3:$F$303)</f>
        <v>0</v>
      </c>
      <c r="H747" s="28">
        <f>SUMIF(半成品入库明细!$D$2:$D$650,$B747,半成品入库明细!$G$2:$G$650)</f>
        <v>0</v>
      </c>
      <c r="I747" s="28">
        <f ca="1">SUMIF(半成品出库明细!$D$2:$D$558,$B747,半成品出库明细!$G$2:$G$2)</f>
        <v>0</v>
      </c>
      <c r="J747" s="28">
        <f ca="1" t="shared" si="12"/>
        <v>0</v>
      </c>
      <c r="K747" s="30" t="s">
        <v>92</v>
      </c>
      <c r="L747" s="19"/>
      <c r="M747" s="3"/>
    </row>
    <row r="748" s="1" customFormat="1" spans="1:13">
      <c r="A748" s="22"/>
      <c r="B748" s="23" t="s">
        <v>1390</v>
      </c>
      <c r="C748" s="24" t="s">
        <v>1388</v>
      </c>
      <c r="D748" s="25" t="s">
        <v>1234</v>
      </c>
      <c r="E748" s="19" t="s">
        <v>839</v>
      </c>
      <c r="F748" s="26" t="s">
        <v>197</v>
      </c>
      <c r="G748" s="27">
        <f>SUMIF(物料月初库存!$C$3:$C$303,$B748,物料月初库存!$F$3:$F$303)</f>
        <v>0</v>
      </c>
      <c r="H748" s="28">
        <f>SUMIF(半成品入库明细!$D$2:$D$650,$B748,半成品入库明细!$G$2:$G$650)</f>
        <v>0</v>
      </c>
      <c r="I748" s="28">
        <f ca="1">SUMIF(半成品出库明细!$D$2:$D$558,$B748,半成品出库明细!$G$2:$G$2)</f>
        <v>0</v>
      </c>
      <c r="J748" s="28">
        <f ca="1" t="shared" si="12"/>
        <v>0</v>
      </c>
      <c r="K748" s="30" t="s">
        <v>120</v>
      </c>
      <c r="L748" s="19"/>
      <c r="M748" s="3"/>
    </row>
    <row r="749" s="1" customFormat="1" spans="1:13">
      <c r="A749" s="22"/>
      <c r="B749" s="23" t="s">
        <v>1391</v>
      </c>
      <c r="C749" s="24" t="s">
        <v>1388</v>
      </c>
      <c r="D749" s="25" t="s">
        <v>1234</v>
      </c>
      <c r="E749" s="19" t="s">
        <v>353</v>
      </c>
      <c r="F749" s="26" t="s">
        <v>197</v>
      </c>
      <c r="G749" s="27">
        <f>SUMIF(物料月初库存!$C$3:$C$303,$B749,物料月初库存!$F$3:$F$303)</f>
        <v>0</v>
      </c>
      <c r="H749" s="28">
        <f>SUMIF(半成品入库明细!$D$2:$D$650,$B749,半成品入库明细!$G$2:$G$650)</f>
        <v>0</v>
      </c>
      <c r="I749" s="28">
        <f ca="1">SUMIF(半成品出库明细!$D$2:$D$558,$B749,半成品出库明细!$G$2:$G$2)</f>
        <v>0</v>
      </c>
      <c r="J749" s="28">
        <f ca="1" t="shared" si="12"/>
        <v>0</v>
      </c>
      <c r="K749" s="30" t="s">
        <v>133</v>
      </c>
      <c r="L749" s="19"/>
      <c r="M749" s="3"/>
    </row>
    <row r="750" s="1" customFormat="1" spans="1:13">
      <c r="A750" s="22"/>
      <c r="B750" s="23" t="s">
        <v>1392</v>
      </c>
      <c r="C750" s="24" t="s">
        <v>1388</v>
      </c>
      <c r="D750" s="25" t="s">
        <v>1234</v>
      </c>
      <c r="E750" s="19" t="s">
        <v>270</v>
      </c>
      <c r="F750" s="26" t="s">
        <v>197</v>
      </c>
      <c r="G750" s="27">
        <f>SUMIF(物料月初库存!$C$3:$C$303,$B750,物料月初库存!$F$3:$F$303)</f>
        <v>0</v>
      </c>
      <c r="H750" s="28">
        <f>SUMIF(半成品入库明细!$D$2:$D$650,$B750,半成品入库明细!$G$2:$G$650)</f>
        <v>0</v>
      </c>
      <c r="I750" s="28">
        <f ca="1">SUMIF(半成品出库明细!$D$2:$D$558,$B750,半成品出库明细!$G$2:$G$2)</f>
        <v>0</v>
      </c>
      <c r="J750" s="28">
        <f ca="1" t="shared" si="12"/>
        <v>0</v>
      </c>
      <c r="K750" s="29" t="s">
        <v>1386</v>
      </c>
      <c r="L750" s="19"/>
      <c r="M750" s="3"/>
    </row>
    <row r="751" s="1" customFormat="1" spans="1:13">
      <c r="A751" s="22"/>
      <c r="B751" s="23" t="s">
        <v>1393</v>
      </c>
      <c r="C751" s="24" t="s">
        <v>1394</v>
      </c>
      <c r="D751" s="25" t="s">
        <v>1234</v>
      </c>
      <c r="E751" s="19" t="s">
        <v>76</v>
      </c>
      <c r="F751" s="26" t="s">
        <v>197</v>
      </c>
      <c r="G751" s="27">
        <f>SUMIF(物料月初库存!$C$3:$C$303,$B751,物料月初库存!$F$3:$F$303)</f>
        <v>0</v>
      </c>
      <c r="H751" s="28">
        <f>SUMIF(半成品入库明细!$D$2:$D$650,$B751,半成品入库明细!$G$2:$G$650)</f>
        <v>0</v>
      </c>
      <c r="I751" s="28">
        <f ca="1">SUMIF(半成品出库明细!$D$2:$D$558,$B751,半成品出库明细!$G$2:$G$2)</f>
        <v>0</v>
      </c>
      <c r="J751" s="28">
        <f ca="1" t="shared" si="12"/>
        <v>0</v>
      </c>
      <c r="K751" s="30"/>
      <c r="L751" s="19"/>
      <c r="M751" s="3"/>
    </row>
    <row r="752" s="1" customFormat="1" spans="1:13">
      <c r="A752" s="22"/>
      <c r="B752" s="23" t="s">
        <v>1395</v>
      </c>
      <c r="C752" s="24" t="s">
        <v>1394</v>
      </c>
      <c r="D752" s="25" t="s">
        <v>1234</v>
      </c>
      <c r="E752" s="19" t="s">
        <v>225</v>
      </c>
      <c r="F752" s="26" t="s">
        <v>197</v>
      </c>
      <c r="G752" s="27">
        <f>SUMIF(物料月初库存!$C$3:$C$303,$B752,物料月初库存!$F$3:$F$303)</f>
        <v>0</v>
      </c>
      <c r="H752" s="28">
        <f>SUMIF(半成品入库明细!$D$2:$D$650,$B752,半成品入库明细!$G$2:$G$650)</f>
        <v>0</v>
      </c>
      <c r="I752" s="28">
        <f ca="1">SUMIF(半成品出库明细!$D$2:$D$558,$B752,半成品出库明细!$G$2:$G$2)</f>
        <v>0</v>
      </c>
      <c r="J752" s="28">
        <f ca="1" t="shared" si="12"/>
        <v>0</v>
      </c>
      <c r="K752" s="29"/>
      <c r="L752" s="19"/>
      <c r="M752" s="3"/>
    </row>
    <row r="753" s="1" customFormat="1" spans="1:13">
      <c r="A753" s="22"/>
      <c r="B753" s="23" t="s">
        <v>1396</v>
      </c>
      <c r="C753" s="24" t="s">
        <v>1394</v>
      </c>
      <c r="D753" s="25" t="s">
        <v>1234</v>
      </c>
      <c r="E753" s="19" t="s">
        <v>353</v>
      </c>
      <c r="F753" s="26" t="s">
        <v>197</v>
      </c>
      <c r="G753" s="27">
        <f>SUMIF(物料月初库存!$C$3:$C$303,$B753,物料月初库存!$F$3:$F$303)</f>
        <v>0</v>
      </c>
      <c r="H753" s="28">
        <f>SUMIF(半成品入库明细!$D$2:$D$650,$B753,半成品入库明细!$G$2:$G$650)</f>
        <v>0</v>
      </c>
      <c r="I753" s="28">
        <f ca="1">SUMIF(半成品出库明细!$D$2:$D$558,$B753,半成品出库明细!$G$2:$G$2)</f>
        <v>0</v>
      </c>
      <c r="J753" s="28">
        <f ca="1" t="shared" si="12"/>
        <v>0</v>
      </c>
      <c r="K753" s="29"/>
      <c r="L753" s="19"/>
      <c r="M753" s="3"/>
    </row>
    <row r="754" s="1" customFormat="1" spans="1:13">
      <c r="A754" s="22"/>
      <c r="B754" s="23" t="s">
        <v>1397</v>
      </c>
      <c r="C754" s="24" t="s">
        <v>1398</v>
      </c>
      <c r="D754" s="25" t="s">
        <v>1234</v>
      </c>
      <c r="E754" s="19" t="s">
        <v>76</v>
      </c>
      <c r="F754" s="26" t="s">
        <v>197</v>
      </c>
      <c r="G754" s="27">
        <f>SUMIF(物料月初库存!$C$3:$C$303,$B754,物料月初库存!$F$3:$F$303)</f>
        <v>0</v>
      </c>
      <c r="H754" s="28">
        <f>SUMIF(半成品入库明细!$D$2:$D$650,$B754,半成品入库明细!$G$2:$G$650)</f>
        <v>0</v>
      </c>
      <c r="I754" s="28">
        <f ca="1">SUMIF(半成品出库明细!$D$2:$D$558,$B754,半成品出库明细!$G$2:$G$2)</f>
        <v>0</v>
      </c>
      <c r="J754" s="28">
        <f ca="1" t="shared" si="12"/>
        <v>0</v>
      </c>
      <c r="K754" s="30"/>
      <c r="L754" s="19"/>
      <c r="M754" s="3"/>
    </row>
    <row r="755" s="1" customFormat="1" spans="1:13">
      <c r="A755" s="22"/>
      <c r="B755" s="23" t="s">
        <v>1399</v>
      </c>
      <c r="C755" s="24" t="s">
        <v>1398</v>
      </c>
      <c r="D755" s="25" t="s">
        <v>1234</v>
      </c>
      <c r="E755" s="19" t="s">
        <v>225</v>
      </c>
      <c r="F755" s="26" t="s">
        <v>197</v>
      </c>
      <c r="G755" s="27">
        <f>SUMIF(物料月初库存!$C$3:$C$303,$B755,物料月初库存!$F$3:$F$303)</f>
        <v>0</v>
      </c>
      <c r="H755" s="28">
        <f>SUMIF(半成品入库明细!$D$2:$D$650,$B755,半成品入库明细!$G$2:$G$650)</f>
        <v>0</v>
      </c>
      <c r="I755" s="28">
        <f ca="1">SUMIF(半成品出库明细!$D$2:$D$558,$B755,半成品出库明细!$G$2:$G$2)</f>
        <v>0</v>
      </c>
      <c r="J755" s="28">
        <f ca="1" t="shared" si="12"/>
        <v>0</v>
      </c>
      <c r="K755" s="29"/>
      <c r="L755" s="19"/>
      <c r="M755" s="3"/>
    </row>
    <row r="756" s="1" customFormat="1" spans="1:13">
      <c r="A756" s="22"/>
      <c r="B756" s="23" t="s">
        <v>1400</v>
      </c>
      <c r="C756" s="24" t="s">
        <v>1398</v>
      </c>
      <c r="D756" s="25" t="s">
        <v>1234</v>
      </c>
      <c r="E756" s="19" t="s">
        <v>839</v>
      </c>
      <c r="F756" s="26" t="s">
        <v>197</v>
      </c>
      <c r="G756" s="27">
        <f>SUMIF(物料月初库存!$C$3:$C$303,$B756,物料月初库存!$F$3:$F$303)</f>
        <v>0</v>
      </c>
      <c r="H756" s="28">
        <f>SUMIF(半成品入库明细!$D$2:$D$650,$B756,半成品入库明细!$G$2:$G$650)</f>
        <v>0</v>
      </c>
      <c r="I756" s="28">
        <f ca="1">SUMIF(半成品出库明细!$D$2:$D$558,$B756,半成品出库明细!$G$2:$G$2)</f>
        <v>0</v>
      </c>
      <c r="J756" s="28">
        <f ca="1" t="shared" si="12"/>
        <v>0</v>
      </c>
      <c r="K756" s="29"/>
      <c r="L756" s="19"/>
      <c r="M756" s="3"/>
    </row>
    <row r="757" s="1" customFormat="1" spans="1:13">
      <c r="A757" s="22"/>
      <c r="B757" s="23" t="s">
        <v>1401</v>
      </c>
      <c r="C757" s="24" t="s">
        <v>1398</v>
      </c>
      <c r="D757" s="25" t="s">
        <v>1234</v>
      </c>
      <c r="E757" s="19" t="s">
        <v>353</v>
      </c>
      <c r="F757" s="26" t="s">
        <v>197</v>
      </c>
      <c r="G757" s="27">
        <f>SUMIF(物料月初库存!$C$3:$C$303,$B757,物料月初库存!$F$3:$F$303)</f>
        <v>0</v>
      </c>
      <c r="H757" s="28">
        <f>SUMIF(半成品入库明细!$D$2:$D$650,$B757,半成品入库明细!$G$2:$G$650)</f>
        <v>0</v>
      </c>
      <c r="I757" s="28">
        <f ca="1">SUMIF(半成品出库明细!$D$2:$D$558,$B757,半成品出库明细!$G$2:$G$2)</f>
        <v>0</v>
      </c>
      <c r="J757" s="28">
        <f ca="1" t="shared" si="12"/>
        <v>0</v>
      </c>
      <c r="K757" s="29"/>
      <c r="L757" s="19"/>
      <c r="M757" s="3"/>
    </row>
    <row r="758" s="1" customFormat="1" spans="1:13">
      <c r="A758" s="22"/>
      <c r="B758" s="23" t="s">
        <v>1402</v>
      </c>
      <c r="C758" s="24" t="s">
        <v>1398</v>
      </c>
      <c r="D758" s="25" t="s">
        <v>1234</v>
      </c>
      <c r="E758" s="19" t="s">
        <v>270</v>
      </c>
      <c r="F758" s="26" t="s">
        <v>197</v>
      </c>
      <c r="G758" s="27">
        <f>SUMIF(物料月初库存!$C$3:$C$303,$B758,物料月初库存!$F$3:$F$303)</f>
        <v>0</v>
      </c>
      <c r="H758" s="28">
        <f>SUMIF(半成品入库明细!$D$2:$D$650,$B758,半成品入库明细!$G$2:$G$650)</f>
        <v>0</v>
      </c>
      <c r="I758" s="28">
        <f ca="1">SUMIF(半成品出库明细!$D$2:$D$558,$B758,半成品出库明细!$G$2:$G$2)</f>
        <v>0</v>
      </c>
      <c r="J758" s="28">
        <f ca="1" t="shared" si="12"/>
        <v>0</v>
      </c>
      <c r="K758" s="29"/>
      <c r="L758" s="19"/>
      <c r="M758" s="3"/>
    </row>
    <row r="759" s="1" customFormat="1" spans="1:13">
      <c r="A759" s="22"/>
      <c r="B759" s="23" t="s">
        <v>1403</v>
      </c>
      <c r="C759" s="24" t="s">
        <v>1404</v>
      </c>
      <c r="D759" s="25" t="s">
        <v>1234</v>
      </c>
      <c r="E759" s="19" t="s">
        <v>76</v>
      </c>
      <c r="F759" s="26" t="s">
        <v>197</v>
      </c>
      <c r="G759" s="27">
        <f>SUMIF(物料月初库存!$C$3:$C$303,$B759,物料月初库存!$F$3:$F$303)</f>
        <v>0</v>
      </c>
      <c r="H759" s="28">
        <f>SUMIF(半成品入库明细!$D$2:$D$650,$B759,半成品入库明细!$G$2:$G$650)</f>
        <v>0</v>
      </c>
      <c r="I759" s="28">
        <f ca="1">SUMIF(半成品出库明细!$D$2:$D$558,$B759,半成品出库明细!$G$2:$G$2)</f>
        <v>0</v>
      </c>
      <c r="J759" s="28">
        <f ca="1" t="shared" si="12"/>
        <v>0</v>
      </c>
      <c r="K759" s="30"/>
      <c r="L759" s="19"/>
      <c r="M759" s="3"/>
    </row>
    <row r="760" s="1" customFormat="1" spans="1:13">
      <c r="A760" s="22"/>
      <c r="B760" s="23" t="s">
        <v>1405</v>
      </c>
      <c r="C760" s="24" t="s">
        <v>1404</v>
      </c>
      <c r="D760" s="25" t="s">
        <v>1234</v>
      </c>
      <c r="E760" s="19" t="s">
        <v>225</v>
      </c>
      <c r="F760" s="26" t="s">
        <v>197</v>
      </c>
      <c r="G760" s="27">
        <f>SUMIF(物料月初库存!$C$3:$C$303,$B760,物料月初库存!$F$3:$F$303)</f>
        <v>0</v>
      </c>
      <c r="H760" s="28">
        <f>SUMIF(半成品入库明细!$D$2:$D$650,$B760,半成品入库明细!$G$2:$G$650)</f>
        <v>0</v>
      </c>
      <c r="I760" s="28">
        <f ca="1">SUMIF(半成品出库明细!$D$2:$D$558,$B760,半成品出库明细!$G$2:$G$2)</f>
        <v>0</v>
      </c>
      <c r="J760" s="28">
        <f ca="1" t="shared" si="12"/>
        <v>0</v>
      </c>
      <c r="K760" s="29"/>
      <c r="L760" s="19"/>
      <c r="M760" s="3"/>
    </row>
    <row r="761" s="1" customFormat="1" spans="1:13">
      <c r="A761" s="22"/>
      <c r="B761" s="23" t="s">
        <v>1406</v>
      </c>
      <c r="C761" s="24" t="s">
        <v>1404</v>
      </c>
      <c r="D761" s="25" t="s">
        <v>1234</v>
      </c>
      <c r="E761" s="19" t="s">
        <v>353</v>
      </c>
      <c r="F761" s="26" t="s">
        <v>197</v>
      </c>
      <c r="G761" s="27">
        <f>SUMIF(物料月初库存!$C$3:$C$303,$B761,物料月初库存!$F$3:$F$303)</f>
        <v>0</v>
      </c>
      <c r="H761" s="28">
        <f>SUMIF(半成品入库明细!$D$2:$D$650,$B761,半成品入库明细!$G$2:$G$650)</f>
        <v>0</v>
      </c>
      <c r="I761" s="28">
        <f ca="1">SUMIF(半成品出库明细!$D$2:$D$558,$B761,半成品出库明细!$G$2:$G$2)</f>
        <v>0</v>
      </c>
      <c r="J761" s="28">
        <f ca="1" t="shared" si="12"/>
        <v>0</v>
      </c>
      <c r="K761" s="29"/>
      <c r="L761" s="19"/>
      <c r="M761" s="3"/>
    </row>
    <row r="762" s="1" customFormat="1" spans="1:13">
      <c r="A762" s="22"/>
      <c r="B762" s="23" t="s">
        <v>1407</v>
      </c>
      <c r="C762" s="24" t="s">
        <v>1408</v>
      </c>
      <c r="D762" s="25" t="s">
        <v>1234</v>
      </c>
      <c r="E762" s="19" t="s">
        <v>76</v>
      </c>
      <c r="F762" s="26" t="s">
        <v>197</v>
      </c>
      <c r="G762" s="27">
        <f>SUMIF(物料月初库存!$C$3:$C$303,$B762,物料月初库存!$F$3:$F$303)</f>
        <v>0</v>
      </c>
      <c r="H762" s="28">
        <f>SUMIF(半成品入库明细!$D$2:$D$650,$B762,半成品入库明细!$G$2:$G$650)</f>
        <v>0</v>
      </c>
      <c r="I762" s="28">
        <f ca="1">SUMIF(半成品出库明细!$D$2:$D$558,$B762,半成品出库明细!$G$2:$G$2)</f>
        <v>0</v>
      </c>
      <c r="J762" s="28">
        <f ca="1" t="shared" si="12"/>
        <v>0</v>
      </c>
      <c r="K762" s="29"/>
      <c r="L762" s="19"/>
      <c r="M762" s="3"/>
    </row>
    <row r="763" s="1" customFormat="1" spans="1:13">
      <c r="A763" s="22"/>
      <c r="B763" s="23" t="s">
        <v>1409</v>
      </c>
      <c r="C763" s="24" t="s">
        <v>1408</v>
      </c>
      <c r="D763" s="25" t="s">
        <v>1234</v>
      </c>
      <c r="E763" s="50" t="s">
        <v>1211</v>
      </c>
      <c r="F763" s="26" t="s">
        <v>197</v>
      </c>
      <c r="G763" s="27">
        <f>SUMIF(物料月初库存!$C$3:$C$303,$B763,物料月初库存!$F$3:$F$303)</f>
        <v>0</v>
      </c>
      <c r="H763" s="28">
        <f>SUMIF(半成品入库明细!$D$2:$D$650,$B763,半成品入库明细!$G$2:$G$650)</f>
        <v>0</v>
      </c>
      <c r="I763" s="28">
        <f ca="1">SUMIF(半成品出库明细!$D$2:$D$558,$B763,半成品出库明细!$G$2:$G$2)</f>
        <v>0</v>
      </c>
      <c r="J763" s="28">
        <f ca="1" t="shared" si="12"/>
        <v>0</v>
      </c>
      <c r="K763" s="29"/>
      <c r="L763" s="19"/>
      <c r="M763" s="3"/>
    </row>
    <row r="764" s="1" customFormat="1" spans="1:13">
      <c r="A764" s="22"/>
      <c r="B764" s="23" t="s">
        <v>1410</v>
      </c>
      <c r="C764" s="24" t="s">
        <v>1408</v>
      </c>
      <c r="D764" s="25" t="s">
        <v>1234</v>
      </c>
      <c r="E764" s="37" t="s">
        <v>839</v>
      </c>
      <c r="F764" s="26" t="s">
        <v>197</v>
      </c>
      <c r="G764" s="27">
        <f>SUMIF(物料月初库存!$C$3:$C$303,$B764,物料月初库存!$F$3:$F$303)</f>
        <v>0</v>
      </c>
      <c r="H764" s="28">
        <f>SUMIF(半成品入库明细!$D$2:$D$650,$B764,半成品入库明细!$G$2:$G$650)</f>
        <v>0</v>
      </c>
      <c r="I764" s="28">
        <f ca="1">SUMIF(半成品出库明细!$D$2:$D$558,$B764,半成品出库明细!$G$2:$G$2)</f>
        <v>0</v>
      </c>
      <c r="J764" s="28">
        <f ca="1" t="shared" si="12"/>
        <v>0</v>
      </c>
      <c r="K764" s="29"/>
      <c r="L764" s="19"/>
      <c r="M764" s="3"/>
    </row>
    <row r="765" s="1" customFormat="1" spans="1:13">
      <c r="A765" s="22"/>
      <c r="B765" s="23" t="s">
        <v>1411</v>
      </c>
      <c r="C765" s="24" t="s">
        <v>1408</v>
      </c>
      <c r="D765" s="25" t="s">
        <v>1234</v>
      </c>
      <c r="E765" s="28" t="s">
        <v>353</v>
      </c>
      <c r="F765" s="26" t="s">
        <v>197</v>
      </c>
      <c r="G765" s="27">
        <f>SUMIF(物料月初库存!$C$3:$C$303,$B765,物料月初库存!$F$3:$F$303)</f>
        <v>0</v>
      </c>
      <c r="H765" s="28">
        <f>SUMIF(半成品入库明细!$D$2:$D$650,$B765,半成品入库明细!$G$2:$G$650)</f>
        <v>0</v>
      </c>
      <c r="I765" s="28">
        <f ca="1">SUMIF(半成品出库明细!$D$2:$D$558,$B765,半成品出库明细!$G$2:$G$2)</f>
        <v>0</v>
      </c>
      <c r="J765" s="28">
        <f ca="1" t="shared" si="12"/>
        <v>0</v>
      </c>
      <c r="K765" s="29"/>
      <c r="L765" s="19"/>
      <c r="M765" s="3"/>
    </row>
    <row r="766" s="1" customFormat="1" spans="1:13">
      <c r="A766" s="22"/>
      <c r="B766" s="23" t="s">
        <v>1412</v>
      </c>
      <c r="C766" s="24" t="s">
        <v>1408</v>
      </c>
      <c r="D766" s="25" t="s">
        <v>1234</v>
      </c>
      <c r="E766" s="50" t="s">
        <v>575</v>
      </c>
      <c r="F766" s="26" t="s">
        <v>197</v>
      </c>
      <c r="G766" s="27">
        <f>SUMIF(物料月初库存!$C$3:$C$303,$B766,物料月初库存!$F$3:$F$303)</f>
        <v>0</v>
      </c>
      <c r="H766" s="28">
        <f>SUMIF(半成品入库明细!$D$2:$D$650,$B766,半成品入库明细!$G$2:$G$650)</f>
        <v>0</v>
      </c>
      <c r="I766" s="28">
        <f ca="1">SUMIF(半成品出库明细!$D$2:$D$558,$B766,半成品出库明细!$G$2:$G$2)</f>
        <v>0</v>
      </c>
      <c r="J766" s="28">
        <f ca="1" t="shared" si="12"/>
        <v>0</v>
      </c>
      <c r="K766" s="29"/>
      <c r="L766" s="19"/>
      <c r="M766" s="3"/>
    </row>
    <row r="767" s="1" customFormat="1" spans="1:13">
      <c r="A767" s="22"/>
      <c r="B767" s="23" t="s">
        <v>1413</v>
      </c>
      <c r="C767" s="24" t="s">
        <v>1414</v>
      </c>
      <c r="D767" s="25" t="s">
        <v>1234</v>
      </c>
      <c r="E767" s="19" t="s">
        <v>76</v>
      </c>
      <c r="F767" s="26" t="s">
        <v>197</v>
      </c>
      <c r="G767" s="27">
        <f>SUMIF(物料月初库存!$C$3:$C$303,$B767,物料月初库存!$F$3:$F$303)</f>
        <v>0</v>
      </c>
      <c r="H767" s="28">
        <f>SUMIF(半成品入库明细!$D$2:$D$650,$B767,半成品入库明细!$G$2:$G$650)</f>
        <v>0</v>
      </c>
      <c r="I767" s="28">
        <f ca="1">SUMIF(半成品出库明细!$D$2:$D$558,$B767,半成品出库明细!$G$2:$G$2)</f>
        <v>0</v>
      </c>
      <c r="J767" s="28">
        <f ca="1" t="shared" si="12"/>
        <v>0</v>
      </c>
      <c r="K767" s="29"/>
      <c r="L767" s="19"/>
      <c r="M767" s="3"/>
    </row>
    <row r="768" s="1" customFormat="1" spans="1:13">
      <c r="A768" s="22"/>
      <c r="B768" s="23" t="s">
        <v>1415</v>
      </c>
      <c r="C768" s="24" t="s">
        <v>1414</v>
      </c>
      <c r="D768" s="25" t="s">
        <v>1234</v>
      </c>
      <c r="E768" s="50" t="s">
        <v>1211</v>
      </c>
      <c r="F768" s="26" t="s">
        <v>197</v>
      </c>
      <c r="G768" s="27">
        <f>SUMIF(物料月初库存!$C$3:$C$303,$B768,物料月初库存!$F$3:$F$303)</f>
        <v>0</v>
      </c>
      <c r="H768" s="28">
        <f>SUMIF(半成品入库明细!$D$2:$D$650,$B768,半成品入库明细!$G$2:$G$650)</f>
        <v>0</v>
      </c>
      <c r="I768" s="28">
        <f ca="1">SUMIF(半成品出库明细!$D$2:$D$558,$B768,半成品出库明细!$G$2:$G$2)</f>
        <v>0</v>
      </c>
      <c r="J768" s="28">
        <f ca="1" t="shared" si="12"/>
        <v>0</v>
      </c>
      <c r="K768" s="29" t="s">
        <v>1242</v>
      </c>
      <c r="L768" s="19"/>
      <c r="M768" s="3"/>
    </row>
    <row r="769" s="1" customFormat="1" spans="1:13">
      <c r="A769" s="22"/>
      <c r="B769" s="23" t="s">
        <v>1416</v>
      </c>
      <c r="C769" s="24" t="s">
        <v>1414</v>
      </c>
      <c r="D769" s="25" t="s">
        <v>1234</v>
      </c>
      <c r="E769" s="19" t="s">
        <v>839</v>
      </c>
      <c r="F769" s="26" t="s">
        <v>197</v>
      </c>
      <c r="G769" s="27">
        <f>SUMIF(物料月初库存!$C$3:$C$303,$B769,物料月初库存!$F$3:$F$303)</f>
        <v>0</v>
      </c>
      <c r="H769" s="28">
        <f>SUMIF(半成品入库明细!$D$2:$D$650,$B769,半成品入库明细!$G$2:$G$650)</f>
        <v>0</v>
      </c>
      <c r="I769" s="28">
        <f ca="1">SUMIF(半成品出库明细!$D$2:$D$558,$B769,半成品出库明细!$G$2:$G$2)</f>
        <v>0</v>
      </c>
      <c r="J769" s="28">
        <f ca="1" t="shared" si="12"/>
        <v>0</v>
      </c>
      <c r="K769" s="113" t="s">
        <v>120</v>
      </c>
      <c r="L769" s="19"/>
      <c r="M769" s="3"/>
    </row>
    <row r="770" s="1" customFormat="1" spans="1:13">
      <c r="A770" s="22"/>
      <c r="B770" s="23" t="s">
        <v>1417</v>
      </c>
      <c r="C770" s="24" t="s">
        <v>1414</v>
      </c>
      <c r="D770" s="25" t="s">
        <v>1234</v>
      </c>
      <c r="E770" s="28" t="s">
        <v>353</v>
      </c>
      <c r="F770" s="26" t="s">
        <v>197</v>
      </c>
      <c r="G770" s="27">
        <f>SUMIF(物料月初库存!$C$3:$C$303,$B770,物料月初库存!$F$3:$F$303)</f>
        <v>0</v>
      </c>
      <c r="H770" s="28">
        <f>SUMIF(半成品入库明细!$D$2:$D$650,$B770,半成品入库明细!$G$2:$G$650)</f>
        <v>0</v>
      </c>
      <c r="I770" s="28">
        <f ca="1">SUMIF(半成品出库明细!$D$2:$D$558,$B770,半成品出库明细!$G$2:$G$2)</f>
        <v>0</v>
      </c>
      <c r="J770" s="28">
        <f ca="1" t="shared" si="12"/>
        <v>0</v>
      </c>
      <c r="K770" s="116" t="s">
        <v>1335</v>
      </c>
      <c r="L770" s="19"/>
      <c r="M770" s="3"/>
    </row>
    <row r="771" s="1" customFormat="1" spans="1:13">
      <c r="A771" s="22"/>
      <c r="B771" s="23" t="s">
        <v>1418</v>
      </c>
      <c r="C771" s="24" t="s">
        <v>1414</v>
      </c>
      <c r="D771" s="25" t="s">
        <v>1234</v>
      </c>
      <c r="E771" s="50" t="s">
        <v>575</v>
      </c>
      <c r="F771" s="26" t="s">
        <v>197</v>
      </c>
      <c r="G771" s="27">
        <f>SUMIF(物料月初库存!$C$3:$C$303,$B771,物料月初库存!$F$3:$F$303)</f>
        <v>0</v>
      </c>
      <c r="H771" s="28">
        <f>SUMIF(半成品入库明细!$D$2:$D$650,$B771,半成品入库明细!$G$2:$G$650)</f>
        <v>0</v>
      </c>
      <c r="I771" s="28">
        <f ca="1">SUMIF(半成品出库明细!$D$2:$D$558,$B771,半成品出库明细!$G$2:$G$2)</f>
        <v>0</v>
      </c>
      <c r="J771" s="28">
        <f ca="1" t="shared" si="12"/>
        <v>0</v>
      </c>
      <c r="K771" s="32" t="s">
        <v>180</v>
      </c>
      <c r="L771" s="19"/>
      <c r="M771" s="3"/>
    </row>
    <row r="772" s="1" customFormat="1" spans="1:13">
      <c r="A772" s="22">
        <v>669</v>
      </c>
      <c r="B772" s="23" t="s">
        <v>1419</v>
      </c>
      <c r="C772" s="24" t="s">
        <v>1420</v>
      </c>
      <c r="D772" s="25" t="s">
        <v>1421</v>
      </c>
      <c r="E772" s="19" t="s">
        <v>76</v>
      </c>
      <c r="F772" s="26" t="s">
        <v>197</v>
      </c>
      <c r="G772" s="27">
        <f>SUMIF(物料月初库存!$C$3:$C$303,$B772,物料月初库存!$F$3:$F$303)</f>
        <v>0</v>
      </c>
      <c r="H772" s="28">
        <f>SUMIF(半成品入库明细!$D$2:$D$650,$B772,半成品入库明细!$G$2:$G$650)</f>
        <v>0</v>
      </c>
      <c r="I772" s="28">
        <f ca="1">SUMIF(半成品出库明细!$D$2:$D$558,$B772,半成品出库明细!$G$2:$G$2)</f>
        <v>0</v>
      </c>
      <c r="J772" s="28">
        <f ca="1" t="shared" si="12"/>
        <v>0</v>
      </c>
      <c r="K772" s="29"/>
      <c r="L772" s="19">
        <v>1</v>
      </c>
      <c r="M772" s="3"/>
    </row>
    <row r="773" s="1" customFormat="1" spans="1:13">
      <c r="A773" s="22">
        <v>670</v>
      </c>
      <c r="B773" s="23" t="s">
        <v>1422</v>
      </c>
      <c r="C773" s="24" t="s">
        <v>1420</v>
      </c>
      <c r="D773" s="25" t="s">
        <v>1421</v>
      </c>
      <c r="E773" s="28" t="s">
        <v>691</v>
      </c>
      <c r="F773" s="26" t="s">
        <v>197</v>
      </c>
      <c r="G773" s="27">
        <f>SUMIF(物料月初库存!$C$3:$C$303,$B773,物料月初库存!$F$3:$F$303)</f>
        <v>0</v>
      </c>
      <c r="H773" s="28">
        <f>SUMIF(半成品入库明细!$D$2:$D$650,$B773,半成品入库明细!$G$2:$G$650)</f>
        <v>0</v>
      </c>
      <c r="I773" s="28">
        <f ca="1">SUMIF(半成品出库明细!$D$2:$D$558,$B773,半成品出库明细!$G$2:$G$2)</f>
        <v>0</v>
      </c>
      <c r="J773" s="28">
        <f ca="1" t="shared" si="12"/>
        <v>0</v>
      </c>
      <c r="K773" s="29" t="s">
        <v>92</v>
      </c>
      <c r="L773" s="19">
        <v>3</v>
      </c>
      <c r="M773" s="3"/>
    </row>
    <row r="774" s="1" customFormat="1" spans="1:13">
      <c r="A774" s="22">
        <v>671</v>
      </c>
      <c r="B774" s="23" t="s">
        <v>1423</v>
      </c>
      <c r="C774" s="24" t="s">
        <v>1420</v>
      </c>
      <c r="D774" s="25" t="s">
        <v>1421</v>
      </c>
      <c r="E774" s="19" t="s">
        <v>267</v>
      </c>
      <c r="F774" s="26" t="s">
        <v>197</v>
      </c>
      <c r="G774" s="27">
        <f>SUMIF(物料月初库存!$C$3:$C$303,$B774,物料月初库存!$F$3:$F$303)</f>
        <v>0</v>
      </c>
      <c r="H774" s="28">
        <f>SUMIF(半成品入库明细!$D$2:$D$650,$B774,半成品入库明细!$G$2:$G$650)</f>
        <v>0</v>
      </c>
      <c r="I774" s="28">
        <f ca="1">SUMIF(半成品出库明细!$D$2:$D$558,$B774,半成品出库明细!$G$2:$G$2)</f>
        <v>0</v>
      </c>
      <c r="J774" s="28">
        <f ca="1" t="shared" si="12"/>
        <v>0</v>
      </c>
      <c r="K774" s="29" t="s">
        <v>495</v>
      </c>
      <c r="L774" s="19">
        <v>4</v>
      </c>
      <c r="M774" s="3"/>
    </row>
    <row r="775" s="1" customFormat="1" spans="1:13">
      <c r="A775" s="22">
        <v>672</v>
      </c>
      <c r="B775" s="23" t="s">
        <v>1424</v>
      </c>
      <c r="C775" s="24" t="s">
        <v>1420</v>
      </c>
      <c r="D775" s="25" t="s">
        <v>1421</v>
      </c>
      <c r="E775" s="28" t="s">
        <v>353</v>
      </c>
      <c r="F775" s="26" t="s">
        <v>197</v>
      </c>
      <c r="G775" s="27">
        <f>SUMIF(物料月初库存!$C$3:$C$303,$B775,物料月初库存!$F$3:$F$303)</f>
        <v>0</v>
      </c>
      <c r="H775" s="28">
        <f>SUMIF(半成品入库明细!$D$2:$D$650,$B775,半成品入库明细!$G$2:$G$650)</f>
        <v>0</v>
      </c>
      <c r="I775" s="28">
        <f ca="1">SUMIF(半成品出库明细!$D$2:$D$558,$B775,半成品出库明细!$G$2:$G$2)</f>
        <v>0</v>
      </c>
      <c r="J775" s="28">
        <f ca="1" t="shared" si="12"/>
        <v>0</v>
      </c>
      <c r="K775" s="29" t="s">
        <v>1271</v>
      </c>
      <c r="L775" s="19">
        <v>2</v>
      </c>
      <c r="M775" s="3"/>
    </row>
    <row r="776" s="1" customFormat="1" spans="1:13">
      <c r="A776" s="22">
        <v>673</v>
      </c>
      <c r="B776" s="23" t="s">
        <v>1422</v>
      </c>
      <c r="C776" s="24" t="s">
        <v>1420</v>
      </c>
      <c r="D776" s="25" t="s">
        <v>1421</v>
      </c>
      <c r="E776" s="28" t="s">
        <v>201</v>
      </c>
      <c r="F776" s="26" t="s">
        <v>197</v>
      </c>
      <c r="G776" s="27">
        <f>SUMIF(物料月初库存!$C$3:$C$303,$B776,物料月初库存!$F$3:$F$303)</f>
        <v>0</v>
      </c>
      <c r="H776" s="28">
        <f>SUMIF(半成品入库明细!$D$2:$D$650,$B776,半成品入库明细!$G$2:$G$650)</f>
        <v>0</v>
      </c>
      <c r="I776" s="28">
        <f ca="1">SUMIF(半成品出库明细!$D$2:$D$558,$B776,半成品出库明细!$G$2:$G$2)</f>
        <v>0</v>
      </c>
      <c r="J776" s="28">
        <f ca="1" t="shared" si="12"/>
        <v>0</v>
      </c>
      <c r="K776" s="29" t="s">
        <v>183</v>
      </c>
      <c r="L776" s="19">
        <v>5</v>
      </c>
      <c r="M776" s="3"/>
    </row>
    <row r="777" s="1" customFormat="1" spans="1:13">
      <c r="A777" s="22">
        <v>674</v>
      </c>
      <c r="B777" s="23" t="s">
        <v>1425</v>
      </c>
      <c r="C777" s="24" t="s">
        <v>1420</v>
      </c>
      <c r="D777" s="25" t="s">
        <v>1421</v>
      </c>
      <c r="E777" s="19" t="s">
        <v>256</v>
      </c>
      <c r="F777" s="26" t="s">
        <v>197</v>
      </c>
      <c r="G777" s="27">
        <f>SUMIF(物料月初库存!$C$3:$C$303,$B777,物料月初库存!$F$3:$F$303)</f>
        <v>0</v>
      </c>
      <c r="H777" s="28">
        <f>SUMIF(半成品入库明细!$D$2:$D$650,$B777,半成品入库明细!$G$2:$G$650)</f>
        <v>0</v>
      </c>
      <c r="I777" s="28">
        <f ca="1">SUMIF(半成品出库明细!$D$2:$D$558,$B777,半成品出库明细!$G$2:$G$2)</f>
        <v>0</v>
      </c>
      <c r="J777" s="28">
        <f ca="1" t="shared" ref="J777:J793" si="13">G777+H777-I777</f>
        <v>0</v>
      </c>
      <c r="K777" s="29"/>
      <c r="L777" s="19" t="s">
        <v>202</v>
      </c>
      <c r="M777" s="3"/>
    </row>
    <row r="778" s="1" customFormat="1" spans="1:13">
      <c r="A778" s="22">
        <v>675</v>
      </c>
      <c r="B778" s="23" t="s">
        <v>1426</v>
      </c>
      <c r="C778" s="24" t="s">
        <v>1427</v>
      </c>
      <c r="D778" s="25" t="s">
        <v>1421</v>
      </c>
      <c r="E778" s="19" t="s">
        <v>76</v>
      </c>
      <c r="F778" s="26" t="s">
        <v>197</v>
      </c>
      <c r="G778" s="27">
        <f>SUMIF(物料月初库存!$C$3:$C$303,$B778,物料月初库存!$F$3:$F$303)</f>
        <v>0</v>
      </c>
      <c r="H778" s="28">
        <f>SUMIF(半成品入库明细!$D$2:$D$650,$B778,半成品入库明细!$G$2:$G$650)</f>
        <v>0</v>
      </c>
      <c r="I778" s="28">
        <f ca="1">SUMIF(半成品出库明细!$D$2:$D$558,$B778,半成品出库明细!$G$2:$G$2)</f>
        <v>0</v>
      </c>
      <c r="J778" s="28">
        <f ca="1" t="shared" si="13"/>
        <v>0</v>
      </c>
      <c r="K778" s="29"/>
      <c r="L778" s="19"/>
      <c r="M778" s="3"/>
    </row>
    <row r="779" s="1" customFormat="1" spans="1:13">
      <c r="A779" s="22">
        <v>676</v>
      </c>
      <c r="B779" s="23" t="s">
        <v>1428</v>
      </c>
      <c r="C779" s="24" t="s">
        <v>1427</v>
      </c>
      <c r="D779" s="25" t="s">
        <v>1421</v>
      </c>
      <c r="E779" s="49" t="s">
        <v>316</v>
      </c>
      <c r="F779" s="26" t="s">
        <v>197</v>
      </c>
      <c r="G779" s="27">
        <f>SUMIF(物料月初库存!$C$3:$C$303,$B779,物料月初库存!$F$3:$F$303)</f>
        <v>0</v>
      </c>
      <c r="H779" s="28">
        <f>SUMIF(半成品入库明细!$D$2:$D$650,$B779,半成品入库明细!$G$2:$G$650)</f>
        <v>0</v>
      </c>
      <c r="I779" s="28">
        <f ca="1">SUMIF(半成品出库明细!$D$2:$D$558,$B779,半成品出库明细!$G$2:$G$2)</f>
        <v>0</v>
      </c>
      <c r="J779" s="28">
        <f ca="1" t="shared" si="13"/>
        <v>0</v>
      </c>
      <c r="K779" s="29"/>
      <c r="L779" s="19"/>
      <c r="M779" s="3"/>
    </row>
    <row r="780" s="1" customFormat="1" spans="1:13">
      <c r="A780" s="22">
        <v>677</v>
      </c>
      <c r="B780" s="23" t="s">
        <v>1429</v>
      </c>
      <c r="C780" s="24" t="s">
        <v>1427</v>
      </c>
      <c r="D780" s="25" t="s">
        <v>1421</v>
      </c>
      <c r="E780" s="19" t="s">
        <v>235</v>
      </c>
      <c r="F780" s="26" t="s">
        <v>197</v>
      </c>
      <c r="G780" s="27">
        <f>SUMIF(物料月初库存!$C$3:$C$303,$B780,物料月初库存!$F$3:$F$303)</f>
        <v>0</v>
      </c>
      <c r="H780" s="28">
        <f>SUMIF(半成品入库明细!$D$2:$D$650,$B780,半成品入库明细!$G$2:$G$650)</f>
        <v>0</v>
      </c>
      <c r="I780" s="28">
        <f ca="1">SUMIF(半成品出库明细!$D$2:$D$558,$B780,半成品出库明细!$G$2:$G$2)</f>
        <v>0</v>
      </c>
      <c r="J780" s="28">
        <f ca="1" t="shared" si="13"/>
        <v>0</v>
      </c>
      <c r="K780" s="29"/>
      <c r="L780" s="19"/>
      <c r="M780" s="3"/>
    </row>
    <row r="781" s="1" customFormat="1" ht="15" customHeight="1" spans="1:13">
      <c r="A781" s="22">
        <v>678</v>
      </c>
      <c r="B781" s="23" t="s">
        <v>1430</v>
      </c>
      <c r="C781" s="24" t="s">
        <v>1427</v>
      </c>
      <c r="D781" s="25" t="s">
        <v>1421</v>
      </c>
      <c r="E781" s="28" t="s">
        <v>201</v>
      </c>
      <c r="F781" s="26" t="s">
        <v>197</v>
      </c>
      <c r="G781" s="27">
        <f>SUMIF(物料月初库存!$C$3:$C$303,$B781,物料月初库存!$F$3:$F$303)</f>
        <v>0</v>
      </c>
      <c r="H781" s="28">
        <f>SUMIF(半成品入库明细!$D$2:$D$650,$B781,半成品入库明细!$G$2:$G$650)</f>
        <v>0</v>
      </c>
      <c r="I781" s="28">
        <f ca="1">SUMIF(半成品出库明细!$D$2:$D$558,$B781,半成品出库明细!$G$2:$G$2)</f>
        <v>0</v>
      </c>
      <c r="J781" s="28">
        <f ca="1" t="shared" si="13"/>
        <v>0</v>
      </c>
      <c r="K781" s="29"/>
      <c r="L781" s="19"/>
      <c r="M781" s="3"/>
    </row>
    <row r="782" s="1" customFormat="1" spans="1:13">
      <c r="A782" s="22">
        <v>679</v>
      </c>
      <c r="B782" s="23" t="s">
        <v>1431</v>
      </c>
      <c r="C782" s="24" t="s">
        <v>1427</v>
      </c>
      <c r="D782" s="25" t="s">
        <v>1421</v>
      </c>
      <c r="E782" s="19" t="s">
        <v>256</v>
      </c>
      <c r="F782" s="26" t="s">
        <v>197</v>
      </c>
      <c r="G782" s="27">
        <f>SUMIF(物料月初库存!$C$3:$C$303,$B782,物料月初库存!$F$3:$F$303)</f>
        <v>0</v>
      </c>
      <c r="H782" s="28">
        <f>SUMIF(半成品入库明细!$D$2:$D$650,$B782,半成品入库明细!$G$2:$G$650)</f>
        <v>0</v>
      </c>
      <c r="I782" s="28">
        <f ca="1">SUMIF(半成品出库明细!$D$2:$D$558,$B782,半成品出库明细!$G$2:$G$2)</f>
        <v>0</v>
      </c>
      <c r="J782" s="28">
        <f ca="1" t="shared" si="13"/>
        <v>0</v>
      </c>
      <c r="K782" s="29"/>
      <c r="L782" s="19" t="s">
        <v>202</v>
      </c>
      <c r="M782" s="3"/>
    </row>
    <row r="783" s="1" customFormat="1" spans="1:13">
      <c r="A783" s="22">
        <v>680</v>
      </c>
      <c r="B783" s="23" t="s">
        <v>1432</v>
      </c>
      <c r="C783" s="25" t="s">
        <v>1433</v>
      </c>
      <c r="D783" s="25" t="s">
        <v>1421</v>
      </c>
      <c r="E783" s="19" t="s">
        <v>1434</v>
      </c>
      <c r="F783" s="26" t="s">
        <v>197</v>
      </c>
      <c r="G783" s="27">
        <f>SUMIF(物料月初库存!$C$3:$C$303,$B783,物料月初库存!$F$3:$F$303)</f>
        <v>0</v>
      </c>
      <c r="H783" s="28">
        <f>SUMIF(半成品入库明细!$D$2:$D$650,$B783,半成品入库明细!$G$2:$G$650)</f>
        <v>0</v>
      </c>
      <c r="I783" s="28">
        <f ca="1">SUMIF(半成品出库明细!$D$2:$D$558,$B783,半成品出库明细!$G$2:$G$2)</f>
        <v>0</v>
      </c>
      <c r="J783" s="28">
        <f ca="1" t="shared" si="13"/>
        <v>0</v>
      </c>
      <c r="K783" s="29" t="s">
        <v>1435</v>
      </c>
      <c r="L783" s="19"/>
      <c r="M783" s="3"/>
    </row>
    <row r="784" s="1" customFormat="1" spans="1:13">
      <c r="A784" s="22">
        <v>681</v>
      </c>
      <c r="B784" s="23" t="s">
        <v>1436</v>
      </c>
      <c r="C784" s="25" t="s">
        <v>1433</v>
      </c>
      <c r="D784" s="25" t="s">
        <v>1421</v>
      </c>
      <c r="E784" s="19" t="s">
        <v>267</v>
      </c>
      <c r="F784" s="26" t="s">
        <v>197</v>
      </c>
      <c r="G784" s="27">
        <f>SUMIF(物料月初库存!$C$3:$C$303,$B784,物料月初库存!$F$3:$F$303)</f>
        <v>0</v>
      </c>
      <c r="H784" s="28">
        <f>SUMIF(半成品入库明细!$D$2:$D$650,$B784,半成品入库明细!$G$2:$G$650)</f>
        <v>0</v>
      </c>
      <c r="I784" s="28">
        <f ca="1">SUMIF(半成品出库明细!$D$2:$D$558,$B784,半成品出库明细!$G$2:$G$2)</f>
        <v>0</v>
      </c>
      <c r="J784" s="28">
        <f ca="1" t="shared" si="13"/>
        <v>0</v>
      </c>
      <c r="K784" s="106" t="s">
        <v>1437</v>
      </c>
      <c r="L784" s="19"/>
      <c r="M784" s="3"/>
    </row>
    <row r="785" s="1" customFormat="1" spans="1:13">
      <c r="A785" s="22">
        <v>682</v>
      </c>
      <c r="B785" s="23" t="s">
        <v>1438</v>
      </c>
      <c r="C785" s="25" t="s">
        <v>1433</v>
      </c>
      <c r="D785" s="25" t="s">
        <v>1421</v>
      </c>
      <c r="E785" s="19" t="s">
        <v>316</v>
      </c>
      <c r="F785" s="26" t="s">
        <v>197</v>
      </c>
      <c r="G785" s="27">
        <f>SUMIF(物料月初库存!$C$3:$C$303,$B785,物料月初库存!$F$3:$F$303)</f>
        <v>0</v>
      </c>
      <c r="H785" s="28">
        <f>SUMIF(半成品入库明细!$D$2:$D$650,$B785,半成品入库明细!$G$2:$G$650)</f>
        <v>0</v>
      </c>
      <c r="I785" s="28">
        <f ca="1">SUMIF(半成品出库明细!$D$2:$D$558,$B785,半成品出库明细!$G$2:$G$2)</f>
        <v>0</v>
      </c>
      <c r="J785" s="28">
        <f ca="1" t="shared" si="13"/>
        <v>0</v>
      </c>
      <c r="K785" s="30" t="s">
        <v>1439</v>
      </c>
      <c r="L785" s="19"/>
      <c r="M785" s="3"/>
    </row>
    <row r="786" s="1" customFormat="1" spans="1:13">
      <c r="A786" s="22">
        <v>683</v>
      </c>
      <c r="B786" s="23" t="s">
        <v>1440</v>
      </c>
      <c r="C786" s="25" t="s">
        <v>1433</v>
      </c>
      <c r="D786" s="25" t="s">
        <v>1421</v>
      </c>
      <c r="E786" s="19" t="s">
        <v>201</v>
      </c>
      <c r="F786" s="26" t="s">
        <v>197</v>
      </c>
      <c r="G786" s="27">
        <f>SUMIF(物料月初库存!$C$3:$C$303,$B786,物料月初库存!$F$3:$F$303)</f>
        <v>0</v>
      </c>
      <c r="H786" s="28">
        <f>SUMIF(半成品入库明细!$D$2:$D$650,$B786,半成品入库明细!$G$2:$G$650)</f>
        <v>0</v>
      </c>
      <c r="I786" s="28">
        <f ca="1">SUMIF(半成品出库明细!$D$2:$D$558,$B786,半成品出库明细!$G$2:$G$2)</f>
        <v>0</v>
      </c>
      <c r="J786" s="28">
        <f ca="1" t="shared" si="13"/>
        <v>0</v>
      </c>
      <c r="K786" s="30" t="s">
        <v>1441</v>
      </c>
      <c r="L786" s="19"/>
      <c r="M786" s="3"/>
    </row>
    <row r="787" s="1" customFormat="1" spans="1:13">
      <c r="A787" s="22">
        <v>684</v>
      </c>
      <c r="B787" s="23" t="s">
        <v>15</v>
      </c>
      <c r="C787" s="25" t="s">
        <v>1442</v>
      </c>
      <c r="D787" s="25" t="s">
        <v>1443</v>
      </c>
      <c r="E787" s="19" t="s">
        <v>76</v>
      </c>
      <c r="F787" s="26" t="s">
        <v>197</v>
      </c>
      <c r="G787" s="75">
        <f>SUMIF(物料月初库存!$C$3:$C$303,$B787,物料月初库存!$F$3:$F$303)</f>
        <v>278</v>
      </c>
      <c r="H787" s="28">
        <f>SUMIF(半成品入库明细!$D$2:$D$650,$B787,半成品入库明细!$G$2:$G$650)</f>
        <v>0</v>
      </c>
      <c r="I787" s="28">
        <f ca="1">SUMIF(半成品出库明细!$D$2:$D$558,$B787,半成品出库明细!$G$2:$G$2)</f>
        <v>0</v>
      </c>
      <c r="J787" s="28">
        <f ca="1" t="shared" si="13"/>
        <v>278</v>
      </c>
      <c r="K787" s="29"/>
      <c r="L787" s="19"/>
      <c r="M787" s="3"/>
    </row>
    <row r="788" s="1" customFormat="1" spans="1:13">
      <c r="A788" s="22">
        <v>685</v>
      </c>
      <c r="B788" s="23" t="s">
        <v>1444</v>
      </c>
      <c r="C788" s="25" t="s">
        <v>1442</v>
      </c>
      <c r="D788" s="25" t="s">
        <v>1443</v>
      </c>
      <c r="E788" s="49" t="s">
        <v>316</v>
      </c>
      <c r="F788" s="26" t="s">
        <v>197</v>
      </c>
      <c r="G788" s="27">
        <f>SUMIF(物料月初库存!$C$3:$C$303,$B788,物料月初库存!$F$3:$F$303)</f>
        <v>0</v>
      </c>
      <c r="H788" s="28">
        <f>SUMIF(半成品入库明细!$D$2:$D$650,$B788,半成品入库明细!$G$2:$G$650)</f>
        <v>0</v>
      </c>
      <c r="I788" s="28">
        <f ca="1">SUMIF(半成品出库明细!$D$2:$D$558,$B788,半成品出库明细!$G$2:$G$2)</f>
        <v>0</v>
      </c>
      <c r="J788" s="28">
        <f ca="1" t="shared" si="13"/>
        <v>0</v>
      </c>
      <c r="K788" s="30" t="s">
        <v>1439</v>
      </c>
      <c r="L788" s="19"/>
      <c r="M788" s="3"/>
    </row>
    <row r="789" s="3" customFormat="1" spans="1:13">
      <c r="A789" s="22">
        <v>686</v>
      </c>
      <c r="B789" s="23" t="s">
        <v>1445</v>
      </c>
      <c r="C789" s="25" t="s">
        <v>1442</v>
      </c>
      <c r="D789" s="25" t="s">
        <v>1443</v>
      </c>
      <c r="E789" s="28" t="s">
        <v>199</v>
      </c>
      <c r="F789" s="26" t="s">
        <v>197</v>
      </c>
      <c r="G789" s="27">
        <f>SUMIF(物料月初库存!$C$3:$C$303,$B789,物料月初库存!$F$3:$F$303)</f>
        <v>0</v>
      </c>
      <c r="H789" s="28">
        <f>SUMIF(半成品入库明细!$D$2:$D$650,$B789,半成品入库明细!$G$2:$G$650)</f>
        <v>0</v>
      </c>
      <c r="I789" s="28">
        <f ca="1">SUMIF(半成品出库明细!$D$2:$D$558,$B789,半成品出库明细!$G$2:$G$2)</f>
        <v>0</v>
      </c>
      <c r="J789" s="28">
        <f ca="1" t="shared" si="13"/>
        <v>0</v>
      </c>
      <c r="K789" s="30" t="s">
        <v>173</v>
      </c>
      <c r="L789" s="19"/>
    </row>
    <row r="790" s="3" customFormat="1" spans="1:13">
      <c r="A790" s="22">
        <v>687</v>
      </c>
      <c r="B790" s="23" t="s">
        <v>1446</v>
      </c>
      <c r="C790" s="25" t="s">
        <v>1442</v>
      </c>
      <c r="D790" s="25" t="s">
        <v>1443</v>
      </c>
      <c r="E790" s="19" t="s">
        <v>256</v>
      </c>
      <c r="F790" s="26" t="s">
        <v>197</v>
      </c>
      <c r="G790" s="27">
        <f>SUMIF(物料月初库存!$C$3:$C$303,$B790,物料月初库存!$F$3:$F$303)</f>
        <v>0</v>
      </c>
      <c r="H790" s="28">
        <f>SUMIF(半成品入库明细!$D$2:$D$650,$B790,半成品入库明细!$G$2:$G$650)</f>
        <v>0</v>
      </c>
      <c r="I790" s="28">
        <f ca="1">SUMIF(半成品出库明细!$D$2:$D$558,$B790,半成品出库明细!$G$2:$G$2)</f>
        <v>0</v>
      </c>
      <c r="J790" s="28">
        <f ca="1" t="shared" si="13"/>
        <v>0</v>
      </c>
      <c r="K790" s="30" t="s">
        <v>1447</v>
      </c>
      <c r="L790" s="19"/>
    </row>
    <row r="791" s="3" customFormat="1" spans="1:13">
      <c r="A791" s="22">
        <v>688</v>
      </c>
      <c r="B791" s="23" t="s">
        <v>1448</v>
      </c>
      <c r="C791" s="25" t="s">
        <v>1449</v>
      </c>
      <c r="D791" s="25" t="s">
        <v>1443</v>
      </c>
      <c r="E791" s="19" t="s">
        <v>76</v>
      </c>
      <c r="F791" s="26" t="s">
        <v>197</v>
      </c>
      <c r="G791" s="75">
        <f>SUMIF(物料月初库存!$C$3:$C$303,$B791,物料月初库存!$F$3:$F$303)</f>
        <v>0</v>
      </c>
      <c r="H791" s="28">
        <f>SUMIF(半成品入库明细!$D$2:$D$650,$B791,半成品入库明细!$G$2:$G$650)</f>
        <v>0</v>
      </c>
      <c r="I791" s="28">
        <f ca="1">SUMIF(半成品出库明细!$D$2:$D$558,$B791,半成品出库明细!$G$2:$G$2)</f>
        <v>0</v>
      </c>
      <c r="J791" s="28">
        <f ca="1" t="shared" si="13"/>
        <v>0</v>
      </c>
      <c r="K791" s="29"/>
      <c r="L791" s="19"/>
    </row>
    <row r="792" s="1" customFormat="1" spans="1:13">
      <c r="A792" s="22">
        <v>689</v>
      </c>
      <c r="B792" s="23" t="s">
        <v>1450</v>
      </c>
      <c r="C792" s="25" t="s">
        <v>1449</v>
      </c>
      <c r="D792" s="25" t="s">
        <v>1443</v>
      </c>
      <c r="E792" s="49" t="s">
        <v>316</v>
      </c>
      <c r="F792" s="26" t="s">
        <v>197</v>
      </c>
      <c r="G792" s="27">
        <f>SUMIF(物料月初库存!$C$3:$C$303,$B792,物料月初库存!$F$3:$F$303)</f>
        <v>0</v>
      </c>
      <c r="H792" s="28">
        <f>SUMIF(半成品入库明细!$D$2:$D$650,$B792,半成品入库明细!$G$2:$G$650)</f>
        <v>0</v>
      </c>
      <c r="I792" s="28">
        <f ca="1">SUMIF(半成品出库明细!$D$2:$D$558,$B792,半成品出库明细!$G$2:$G$2)</f>
        <v>0</v>
      </c>
      <c r="J792" s="28">
        <f ca="1" t="shared" si="13"/>
        <v>0</v>
      </c>
      <c r="K792" s="30" t="s">
        <v>1439</v>
      </c>
      <c r="L792" s="19"/>
      <c r="M792" s="3"/>
    </row>
    <row r="793" s="1" customFormat="1" spans="1:13">
      <c r="A793" s="22">
        <v>690</v>
      </c>
      <c r="B793" s="23" t="s">
        <v>1451</v>
      </c>
      <c r="C793" s="25" t="s">
        <v>1449</v>
      </c>
      <c r="D793" s="25" t="s">
        <v>1443</v>
      </c>
      <c r="E793" s="28" t="s">
        <v>199</v>
      </c>
      <c r="F793" s="26" t="s">
        <v>197</v>
      </c>
      <c r="G793" s="27">
        <f>SUMIF(物料月初库存!$C$3:$C$303,$B793,物料月初库存!$F$3:$F$303)</f>
        <v>0</v>
      </c>
      <c r="H793" s="28">
        <f>SUMIF(半成品入库明细!$D$2:$D$650,$B793,半成品入库明细!$G$2:$G$650)</f>
        <v>0</v>
      </c>
      <c r="I793" s="28">
        <f ca="1">SUMIF(半成品出库明细!$D$2:$D$558,$B793,半成品出库明细!$G$2:$G$2)</f>
        <v>0</v>
      </c>
      <c r="J793" s="28">
        <f ca="1" t="shared" si="13"/>
        <v>0</v>
      </c>
      <c r="K793" s="30" t="s">
        <v>173</v>
      </c>
      <c r="L793" s="19"/>
      <c r="M793" s="3"/>
    </row>
    <row r="794" s="1" customFormat="1" spans="1:13">
      <c r="A794" s="22">
        <v>692</v>
      </c>
      <c r="B794" s="23" t="s">
        <v>1452</v>
      </c>
      <c r="C794" s="25" t="s">
        <v>1453</v>
      </c>
      <c r="D794" s="25" t="s">
        <v>1454</v>
      </c>
      <c r="E794" s="19" t="s">
        <v>76</v>
      </c>
      <c r="F794" s="26" t="s">
        <v>197</v>
      </c>
      <c r="G794" s="27">
        <f>SUMIF(物料月初库存!$C$3:$C$303,$B794,物料月初库存!$F$3:$F$303)</f>
        <v>0</v>
      </c>
      <c r="H794" s="28">
        <f>SUMIF(半成品入库明细!$D$2:$D$650,$B794,半成品入库明细!$G$2:$G$650)</f>
        <v>0</v>
      </c>
      <c r="I794" s="28">
        <f ca="1">SUMIF(半成品出库明细!$D$2:$D$558,$B794,半成品出库明细!$G$2:$G$2)</f>
        <v>0</v>
      </c>
      <c r="J794" s="28">
        <f ca="1" t="shared" ref="J794:J843" si="14">G794+H794-I794</f>
        <v>0</v>
      </c>
      <c r="K794" s="29"/>
      <c r="L794" s="19"/>
      <c r="M794" s="3"/>
    </row>
    <row r="795" s="3" customFormat="1" spans="1:13">
      <c r="A795" s="22">
        <v>693</v>
      </c>
      <c r="B795" s="23" t="s">
        <v>1455</v>
      </c>
      <c r="C795" s="25" t="s">
        <v>1453</v>
      </c>
      <c r="D795" s="25" t="s">
        <v>1454</v>
      </c>
      <c r="E795" s="28" t="s">
        <v>691</v>
      </c>
      <c r="F795" s="26" t="s">
        <v>197</v>
      </c>
      <c r="G795" s="27">
        <f>SUMIF(物料月初库存!$C$3:$C$303,$B795,物料月初库存!$F$3:$F$303)</f>
        <v>0</v>
      </c>
      <c r="H795" s="28">
        <f>SUMIF(半成品入库明细!$D$2:$D$650,$B795,半成品入库明细!$G$2:$G$650)</f>
        <v>0</v>
      </c>
      <c r="I795" s="28">
        <f ca="1">SUMIF(半成品出库明细!$D$2:$D$558,$B795,半成品出库明细!$G$2:$G$2)</f>
        <v>0</v>
      </c>
      <c r="J795" s="28">
        <f ca="1" t="shared" si="14"/>
        <v>0</v>
      </c>
      <c r="K795" s="29"/>
      <c r="L795" s="19"/>
    </row>
    <row r="796" s="3" customFormat="1" spans="1:13">
      <c r="A796" s="22">
        <v>694</v>
      </c>
      <c r="B796" s="23" t="s">
        <v>1456</v>
      </c>
      <c r="C796" s="25" t="s">
        <v>1453</v>
      </c>
      <c r="D796" s="25" t="s">
        <v>1454</v>
      </c>
      <c r="E796" s="28" t="s">
        <v>201</v>
      </c>
      <c r="F796" s="26" t="s">
        <v>197</v>
      </c>
      <c r="G796" s="27">
        <f>SUMIF(物料月初库存!$C$3:$C$303,$B796,物料月初库存!$F$3:$F$303)</f>
        <v>0</v>
      </c>
      <c r="H796" s="28">
        <f>SUMIF(半成品入库明细!$D$2:$D$650,$B796,半成品入库明细!$G$2:$G$650)</f>
        <v>0</v>
      </c>
      <c r="I796" s="28">
        <f ca="1">SUMIF(半成品出库明细!$D$2:$D$558,$B796,半成品出库明细!$G$2:$G$2)</f>
        <v>0</v>
      </c>
      <c r="J796" s="28">
        <f ca="1" t="shared" si="14"/>
        <v>0</v>
      </c>
      <c r="K796" s="29"/>
      <c r="L796" s="19"/>
    </row>
    <row r="797" s="3" customFormat="1" spans="1:13">
      <c r="A797" s="22">
        <v>695</v>
      </c>
      <c r="B797" s="23" t="s">
        <v>1457</v>
      </c>
      <c r="C797" s="25" t="s">
        <v>1458</v>
      </c>
      <c r="D797" s="25" t="s">
        <v>1454</v>
      </c>
      <c r="E797" s="19" t="s">
        <v>76</v>
      </c>
      <c r="F797" s="26" t="s">
        <v>197</v>
      </c>
      <c r="G797" s="27">
        <f>SUMIF(物料月初库存!$C$3:$C$303,$B797,物料月初库存!$F$3:$F$303)</f>
        <v>0</v>
      </c>
      <c r="H797" s="28">
        <f>SUMIF(半成品入库明细!$D$2:$D$650,$B797,半成品入库明细!$G$2:$G$650)</f>
        <v>0</v>
      </c>
      <c r="I797" s="28">
        <f ca="1">SUMIF(半成品出库明细!$D$2:$D$558,$B797,半成品出库明细!$G$2:$G$2)</f>
        <v>0</v>
      </c>
      <c r="J797" s="28">
        <f ca="1" t="shared" si="14"/>
        <v>0</v>
      </c>
      <c r="K797" s="29"/>
      <c r="L797" s="19"/>
    </row>
    <row r="798" s="3" customFormat="1" spans="1:13">
      <c r="A798" s="22">
        <v>696</v>
      </c>
      <c r="B798" s="23" t="s">
        <v>1459</v>
      </c>
      <c r="C798" s="25" t="s">
        <v>1458</v>
      </c>
      <c r="D798" s="25" t="s">
        <v>1454</v>
      </c>
      <c r="E798" s="28" t="s">
        <v>691</v>
      </c>
      <c r="F798" s="26" t="s">
        <v>197</v>
      </c>
      <c r="G798" s="27">
        <f>SUMIF(物料月初库存!$C$3:$C$303,$B798,物料月初库存!$F$3:$F$303)</f>
        <v>0</v>
      </c>
      <c r="H798" s="28">
        <f>SUMIF(半成品入库明细!$D$2:$D$650,$B798,半成品入库明细!$G$2:$G$650)</f>
        <v>0</v>
      </c>
      <c r="I798" s="28">
        <f ca="1">SUMIF(半成品出库明细!$D$2:$D$558,$B798,半成品出库明细!$G$2:$G$2)</f>
        <v>0</v>
      </c>
      <c r="J798" s="28">
        <f ca="1" t="shared" si="14"/>
        <v>0</v>
      </c>
      <c r="K798" s="29"/>
      <c r="L798" s="19"/>
    </row>
    <row r="799" s="3" customFormat="1" spans="1:13">
      <c r="A799" s="22">
        <v>697</v>
      </c>
      <c r="B799" s="23" t="s">
        <v>1460</v>
      </c>
      <c r="C799" s="25" t="s">
        <v>1458</v>
      </c>
      <c r="D799" s="25" t="s">
        <v>1454</v>
      </c>
      <c r="E799" s="28" t="s">
        <v>201</v>
      </c>
      <c r="F799" s="26" t="s">
        <v>197</v>
      </c>
      <c r="G799" s="27">
        <f>SUMIF(物料月初库存!$C$3:$C$303,$B799,物料月初库存!$F$3:$F$303)</f>
        <v>0</v>
      </c>
      <c r="H799" s="28">
        <f>SUMIF(半成品入库明细!$D$2:$D$650,$B799,半成品入库明细!$G$2:$G$650)</f>
        <v>0</v>
      </c>
      <c r="I799" s="28">
        <f ca="1">SUMIF(半成品出库明细!$D$2:$D$558,$B799,半成品出库明细!$G$2:$G$2)</f>
        <v>0</v>
      </c>
      <c r="J799" s="28">
        <f ca="1" t="shared" si="14"/>
        <v>0</v>
      </c>
      <c r="K799" s="29"/>
      <c r="L799" s="19"/>
    </row>
    <row r="800" s="3" customFormat="1" spans="1:13">
      <c r="A800" s="22">
        <v>698</v>
      </c>
      <c r="B800" s="23" t="s">
        <v>1461</v>
      </c>
      <c r="C800" s="25" t="s">
        <v>1462</v>
      </c>
      <c r="D800" s="25" t="s">
        <v>1454</v>
      </c>
      <c r="E800" s="19" t="s">
        <v>76</v>
      </c>
      <c r="F800" s="26" t="s">
        <v>197</v>
      </c>
      <c r="G800" s="27">
        <f>SUMIF(物料月初库存!$C$3:$C$303,$B800,物料月初库存!$F$3:$F$303)</f>
        <v>0</v>
      </c>
      <c r="H800" s="28">
        <f>SUMIF(半成品入库明细!$D$2:$D$650,$B800,半成品入库明细!$G$2:$G$650)</f>
        <v>0</v>
      </c>
      <c r="I800" s="28">
        <f ca="1">SUMIF(半成品出库明细!$D$2:$D$558,$B800,半成品出库明细!$G$2:$G$2)</f>
        <v>0</v>
      </c>
      <c r="J800" s="28">
        <f ca="1" t="shared" si="14"/>
        <v>0</v>
      </c>
      <c r="K800" s="29"/>
      <c r="L800" s="19"/>
    </row>
    <row r="801" s="3" customFormat="1" spans="1:12">
      <c r="A801" s="22">
        <v>699</v>
      </c>
      <c r="B801" s="23" t="s">
        <v>1463</v>
      </c>
      <c r="C801" s="25" t="s">
        <v>1462</v>
      </c>
      <c r="D801" s="25" t="s">
        <v>1454</v>
      </c>
      <c r="E801" s="28" t="s">
        <v>691</v>
      </c>
      <c r="F801" s="26" t="s">
        <v>197</v>
      </c>
      <c r="G801" s="27">
        <f>SUMIF(物料月初库存!$C$3:$C$303,$B801,物料月初库存!$F$3:$F$303)</f>
        <v>0</v>
      </c>
      <c r="H801" s="28">
        <f>SUMIF(半成品入库明细!$D$2:$D$650,$B801,半成品入库明细!$G$2:$G$650)</f>
        <v>0</v>
      </c>
      <c r="I801" s="28">
        <f ca="1">SUMIF(半成品出库明细!$D$2:$D$558,$B801,半成品出库明细!$G$2:$G$2)</f>
        <v>0</v>
      </c>
      <c r="J801" s="28">
        <f ca="1" t="shared" si="14"/>
        <v>0</v>
      </c>
      <c r="K801" s="29"/>
      <c r="L801" s="19"/>
    </row>
    <row r="802" s="3" customFormat="1" spans="1:12">
      <c r="A802" s="22">
        <v>700</v>
      </c>
      <c r="B802" s="23" t="s">
        <v>1464</v>
      </c>
      <c r="C802" s="25" t="s">
        <v>1462</v>
      </c>
      <c r="D802" s="25" t="s">
        <v>1454</v>
      </c>
      <c r="E802" s="28" t="s">
        <v>201</v>
      </c>
      <c r="F802" s="26" t="s">
        <v>197</v>
      </c>
      <c r="G802" s="27">
        <f>SUMIF(物料月初库存!$C$3:$C$303,$B802,物料月初库存!$F$3:$F$303)</f>
        <v>0</v>
      </c>
      <c r="H802" s="28">
        <f>SUMIF(半成品入库明细!$D$2:$D$650,$B802,半成品入库明细!$G$2:$G$650)</f>
        <v>0</v>
      </c>
      <c r="I802" s="28">
        <f ca="1">SUMIF(半成品出库明细!$D$2:$D$558,$B802,半成品出库明细!$G$2:$G$2)</f>
        <v>0</v>
      </c>
      <c r="J802" s="28">
        <f ca="1" t="shared" si="14"/>
        <v>0</v>
      </c>
      <c r="K802" s="29"/>
      <c r="L802" s="19"/>
    </row>
    <row r="803" s="3" customFormat="1" spans="1:12">
      <c r="A803" s="22">
        <v>701</v>
      </c>
      <c r="B803" s="23" t="s">
        <v>1465</v>
      </c>
      <c r="C803" s="25" t="s">
        <v>1466</v>
      </c>
      <c r="D803" s="25" t="s">
        <v>1454</v>
      </c>
      <c r="E803" s="19" t="s">
        <v>76</v>
      </c>
      <c r="F803" s="26" t="s">
        <v>197</v>
      </c>
      <c r="G803" s="27">
        <f>SUMIF(物料月初库存!$C$3:$C$303,$B803,物料月初库存!$F$3:$F$303)</f>
        <v>0</v>
      </c>
      <c r="H803" s="28">
        <f>SUMIF(半成品入库明细!$D$2:$D$650,$B803,半成品入库明细!$G$2:$G$650)</f>
        <v>0</v>
      </c>
      <c r="I803" s="28">
        <f ca="1">SUMIF(半成品出库明细!$D$2:$D$558,$B803,半成品出库明细!$G$2:$G$2)</f>
        <v>0</v>
      </c>
      <c r="J803" s="28">
        <f ca="1" t="shared" si="14"/>
        <v>0</v>
      </c>
      <c r="K803" s="29"/>
      <c r="L803" s="19"/>
    </row>
    <row r="804" s="3" customFormat="1" spans="1:12">
      <c r="A804" s="22">
        <v>702</v>
      </c>
      <c r="B804" s="23" t="s">
        <v>1467</v>
      </c>
      <c r="C804" s="25" t="s">
        <v>1466</v>
      </c>
      <c r="D804" s="25" t="s">
        <v>1454</v>
      </c>
      <c r="E804" s="28" t="s">
        <v>691</v>
      </c>
      <c r="F804" s="26" t="s">
        <v>197</v>
      </c>
      <c r="G804" s="27">
        <f>SUMIF(物料月初库存!$C$3:$C$303,$B804,物料月初库存!$F$3:$F$303)</f>
        <v>0</v>
      </c>
      <c r="H804" s="28">
        <f>SUMIF(半成品入库明细!$D$2:$D$650,$B804,半成品入库明细!$G$2:$G$650)</f>
        <v>0</v>
      </c>
      <c r="I804" s="28">
        <f ca="1">SUMIF(半成品出库明细!$D$2:$D$558,$B804,半成品出库明细!$G$2:$G$2)</f>
        <v>0</v>
      </c>
      <c r="J804" s="28">
        <f ca="1" t="shared" si="14"/>
        <v>0</v>
      </c>
      <c r="K804" s="29"/>
      <c r="L804" s="19"/>
    </row>
    <row r="805" s="3" customFormat="1" spans="1:12">
      <c r="A805" s="22">
        <v>703</v>
      </c>
      <c r="B805" s="23" t="s">
        <v>1468</v>
      </c>
      <c r="C805" s="25" t="s">
        <v>1466</v>
      </c>
      <c r="D805" s="25" t="s">
        <v>1454</v>
      </c>
      <c r="E805" s="28" t="s">
        <v>201</v>
      </c>
      <c r="F805" s="26" t="s">
        <v>197</v>
      </c>
      <c r="G805" s="27">
        <f>SUMIF(物料月初库存!$C$3:$C$303,$B805,物料月初库存!$F$3:$F$303)</f>
        <v>0</v>
      </c>
      <c r="H805" s="28">
        <f>SUMIF(半成品入库明细!$D$2:$D$650,$B805,半成品入库明细!$G$2:$G$650)</f>
        <v>0</v>
      </c>
      <c r="I805" s="28">
        <f ca="1">SUMIF(半成品出库明细!$D$2:$D$558,$B805,半成品出库明细!$G$2:$G$2)</f>
        <v>0</v>
      </c>
      <c r="J805" s="28">
        <f ca="1" t="shared" si="14"/>
        <v>0</v>
      </c>
      <c r="K805" s="29"/>
      <c r="L805" s="19"/>
    </row>
    <row r="806" s="3" customFormat="1" spans="1:12">
      <c r="A806" s="22">
        <v>704</v>
      </c>
      <c r="B806" s="23" t="s">
        <v>1469</v>
      </c>
      <c r="C806" s="25" t="s">
        <v>1470</v>
      </c>
      <c r="D806" s="25" t="s">
        <v>1454</v>
      </c>
      <c r="E806" s="19" t="s">
        <v>76</v>
      </c>
      <c r="F806" s="26" t="s">
        <v>197</v>
      </c>
      <c r="G806" s="27">
        <f>SUMIF(物料月初库存!$C$3:$C$303,$B806,物料月初库存!$F$3:$F$303)</f>
        <v>0</v>
      </c>
      <c r="H806" s="28">
        <f>SUMIF(半成品入库明细!$D$2:$D$650,$B806,半成品入库明细!$G$2:$G$650)</f>
        <v>0</v>
      </c>
      <c r="I806" s="28">
        <f ca="1">SUMIF(半成品出库明细!$D$2:$D$558,$B806,半成品出库明细!$G$2:$G$2)</f>
        <v>0</v>
      </c>
      <c r="J806" s="28">
        <f ca="1" t="shared" si="14"/>
        <v>0</v>
      </c>
      <c r="K806" s="29"/>
      <c r="L806" s="19"/>
    </row>
    <row r="807" s="3" customFormat="1" spans="1:12">
      <c r="A807" s="22">
        <v>705</v>
      </c>
      <c r="B807" s="23" t="s">
        <v>1471</v>
      </c>
      <c r="C807" s="25" t="s">
        <v>1470</v>
      </c>
      <c r="D807" s="25" t="s">
        <v>1454</v>
      </c>
      <c r="E807" s="28" t="s">
        <v>691</v>
      </c>
      <c r="F807" s="26" t="s">
        <v>197</v>
      </c>
      <c r="G807" s="27">
        <f>SUMIF(物料月初库存!$C$3:$C$303,$B807,物料月初库存!$F$3:$F$303)</f>
        <v>0</v>
      </c>
      <c r="H807" s="28">
        <f>SUMIF(半成品入库明细!$D$2:$D$650,$B807,半成品入库明细!$G$2:$G$650)</f>
        <v>0</v>
      </c>
      <c r="I807" s="28">
        <f ca="1">SUMIF(半成品出库明细!$D$2:$D$558,$B807,半成品出库明细!$G$2:$G$2)</f>
        <v>0</v>
      </c>
      <c r="J807" s="28">
        <f ca="1" t="shared" si="14"/>
        <v>0</v>
      </c>
      <c r="K807" s="29"/>
      <c r="L807" s="19"/>
    </row>
    <row r="808" s="3" customFormat="1" spans="1:12">
      <c r="A808" s="22">
        <v>706</v>
      </c>
      <c r="B808" s="23" t="s">
        <v>1472</v>
      </c>
      <c r="C808" s="25" t="s">
        <v>1470</v>
      </c>
      <c r="D808" s="25" t="s">
        <v>1454</v>
      </c>
      <c r="E808" s="28" t="s">
        <v>201</v>
      </c>
      <c r="F808" s="26" t="s">
        <v>197</v>
      </c>
      <c r="G808" s="27">
        <f>SUMIF(物料月初库存!$C$3:$C$303,$B808,物料月初库存!$F$3:$F$303)</f>
        <v>0</v>
      </c>
      <c r="H808" s="28">
        <f>SUMIF(半成品入库明细!$D$2:$D$650,$B808,半成品入库明细!$G$2:$G$650)</f>
        <v>0</v>
      </c>
      <c r="I808" s="28">
        <f ca="1">SUMIF(半成品出库明细!$D$2:$D$558,$B808,半成品出库明细!$G$2:$G$2)</f>
        <v>0</v>
      </c>
      <c r="J808" s="28">
        <f ca="1" t="shared" si="14"/>
        <v>0</v>
      </c>
      <c r="K808" s="29"/>
      <c r="L808" s="19"/>
    </row>
    <row r="809" s="3" customFormat="1" spans="1:12">
      <c r="A809" s="22">
        <v>707</v>
      </c>
      <c r="B809" s="23" t="s">
        <v>1473</v>
      </c>
      <c r="C809" s="25" t="s">
        <v>1474</v>
      </c>
      <c r="D809" s="25" t="s">
        <v>1454</v>
      </c>
      <c r="E809" s="28" t="s">
        <v>76</v>
      </c>
      <c r="F809" s="26" t="s">
        <v>197</v>
      </c>
      <c r="G809" s="27">
        <f>SUMIF(物料月初库存!$C$3:$C$303,$B809,物料月初库存!$F$3:$F$303)</f>
        <v>0</v>
      </c>
      <c r="H809" s="28">
        <f>SUMIF(半成品入库明细!$D$2:$D$650,$B809,半成品入库明细!$G$2:$G$650)</f>
        <v>0</v>
      </c>
      <c r="I809" s="28">
        <f ca="1">SUMIF(半成品出库明细!$D$2:$D$558,$B809,半成品出库明细!$G$2:$G$2)</f>
        <v>0</v>
      </c>
      <c r="J809" s="28">
        <f ca="1" t="shared" si="14"/>
        <v>0</v>
      </c>
      <c r="K809" s="29"/>
      <c r="L809" s="19"/>
    </row>
    <row r="810" s="3" customFormat="1" spans="1:12">
      <c r="A810" s="22">
        <v>708</v>
      </c>
      <c r="B810" s="23" t="s">
        <v>1475</v>
      </c>
      <c r="C810" s="25" t="s">
        <v>1474</v>
      </c>
      <c r="D810" s="25" t="s">
        <v>1454</v>
      </c>
      <c r="E810" s="28" t="s">
        <v>316</v>
      </c>
      <c r="F810" s="26" t="s">
        <v>197</v>
      </c>
      <c r="G810" s="27">
        <f>SUMIF(物料月初库存!$C$3:$C$303,$B810,物料月初库存!$F$3:$F$303)</f>
        <v>0</v>
      </c>
      <c r="H810" s="28">
        <f>SUMIF(半成品入库明细!$D$2:$D$650,$B810,半成品入库明细!$G$2:$G$650)</f>
        <v>0</v>
      </c>
      <c r="I810" s="28">
        <f ca="1">SUMIF(半成品出库明细!$D$2:$D$558,$B810,半成品出库明细!$G$2:$G$2)</f>
        <v>0</v>
      </c>
      <c r="J810" s="28">
        <f ca="1" t="shared" si="14"/>
        <v>0</v>
      </c>
      <c r="K810" s="30" t="s">
        <v>1476</v>
      </c>
      <c r="L810" s="19"/>
    </row>
    <row r="811" s="3" customFormat="1" spans="1:12">
      <c r="A811" s="22">
        <v>709</v>
      </c>
      <c r="B811" s="23" t="s">
        <v>1477</v>
      </c>
      <c r="C811" s="25" t="s">
        <v>1474</v>
      </c>
      <c r="D811" s="25" t="s">
        <v>1454</v>
      </c>
      <c r="E811" s="28" t="s">
        <v>201</v>
      </c>
      <c r="F811" s="26" t="s">
        <v>197</v>
      </c>
      <c r="G811" s="27">
        <f>SUMIF(物料月初库存!$C$3:$C$303,$B811,物料月初库存!$F$3:$F$303)</f>
        <v>0</v>
      </c>
      <c r="H811" s="28">
        <f>SUMIF(半成品入库明细!$D$2:$D$650,$B811,半成品入库明细!$G$2:$G$650)</f>
        <v>0</v>
      </c>
      <c r="I811" s="28">
        <f ca="1">SUMIF(半成品出库明细!$D$2:$D$558,$B811,半成品出库明细!$G$2:$G$2)</f>
        <v>0</v>
      </c>
      <c r="J811" s="28">
        <f ca="1" t="shared" si="14"/>
        <v>0</v>
      </c>
      <c r="K811" s="29"/>
      <c r="L811" s="19"/>
    </row>
    <row r="812" s="3" customFormat="1" spans="1:12">
      <c r="A812" s="22">
        <v>710</v>
      </c>
      <c r="B812" s="23" t="s">
        <v>1478</v>
      </c>
      <c r="C812" s="25" t="s">
        <v>1479</v>
      </c>
      <c r="D812" s="25" t="s">
        <v>1454</v>
      </c>
      <c r="E812" s="28" t="s">
        <v>76</v>
      </c>
      <c r="F812" s="26" t="s">
        <v>197</v>
      </c>
      <c r="G812" s="27">
        <f>SUMIF(物料月初库存!$C$3:$C$303,$B812,物料月初库存!$F$3:$F$303)</f>
        <v>0</v>
      </c>
      <c r="H812" s="28">
        <f>SUMIF(半成品入库明细!$D$2:$D$650,$B812,半成品入库明细!$G$2:$G$650)</f>
        <v>0</v>
      </c>
      <c r="I812" s="28">
        <f ca="1">SUMIF(半成品出库明细!$D$2:$D$558,$B812,半成品出库明细!$G$2:$G$2)</f>
        <v>0</v>
      </c>
      <c r="J812" s="28">
        <f ca="1" t="shared" si="14"/>
        <v>0</v>
      </c>
      <c r="K812" s="29"/>
      <c r="L812" s="19"/>
    </row>
    <row r="813" s="3" customFormat="1" ht="15" customHeight="1" spans="1:12">
      <c r="A813" s="22">
        <v>711</v>
      </c>
      <c r="B813" s="23" t="s">
        <v>1480</v>
      </c>
      <c r="C813" s="25" t="s">
        <v>1479</v>
      </c>
      <c r="D813" s="25" t="s">
        <v>1454</v>
      </c>
      <c r="E813" s="28" t="s">
        <v>316</v>
      </c>
      <c r="F813" s="26" t="s">
        <v>197</v>
      </c>
      <c r="G813" s="27">
        <f>SUMIF(物料月初库存!$C$3:$C$303,$B813,物料月初库存!$F$3:$F$303)</f>
        <v>0</v>
      </c>
      <c r="H813" s="28">
        <f>SUMIF(半成品入库明细!$D$2:$D$650,$B813,半成品入库明细!$G$2:$G$650)</f>
        <v>0</v>
      </c>
      <c r="I813" s="28">
        <f ca="1">SUMIF(半成品出库明细!$D$2:$D$558,$B813,半成品出库明细!$G$2:$G$2)</f>
        <v>0</v>
      </c>
      <c r="J813" s="28">
        <f ca="1" t="shared" si="14"/>
        <v>0</v>
      </c>
      <c r="K813" s="30" t="s">
        <v>1476</v>
      </c>
      <c r="L813" s="19"/>
    </row>
    <row r="814" s="3" customFormat="1" spans="1:12">
      <c r="A814" s="22">
        <v>712</v>
      </c>
      <c r="B814" s="23" t="s">
        <v>1481</v>
      </c>
      <c r="C814" s="25" t="s">
        <v>1479</v>
      </c>
      <c r="D814" s="25" t="s">
        <v>1454</v>
      </c>
      <c r="E814" s="28" t="s">
        <v>201</v>
      </c>
      <c r="F814" s="26" t="s">
        <v>197</v>
      </c>
      <c r="G814" s="27">
        <f>SUMIF(物料月初库存!$C$3:$C$303,$B814,物料月初库存!$F$3:$F$303)</f>
        <v>0</v>
      </c>
      <c r="H814" s="28">
        <f>SUMIF(半成品入库明细!$D$2:$D$650,$B814,半成品入库明细!$G$2:$G$650)</f>
        <v>0</v>
      </c>
      <c r="I814" s="28">
        <f ca="1">SUMIF(半成品出库明细!$D$2:$D$558,$B814,半成品出库明细!$G$2:$G$2)</f>
        <v>0</v>
      </c>
      <c r="J814" s="28">
        <f ca="1" t="shared" si="14"/>
        <v>0</v>
      </c>
      <c r="K814" s="29"/>
      <c r="L814" s="19"/>
    </row>
    <row r="815" s="3" customFormat="1" spans="1:12">
      <c r="A815" s="22">
        <v>713</v>
      </c>
      <c r="B815" s="23" t="s">
        <v>1482</v>
      </c>
      <c r="C815" s="25" t="s">
        <v>1483</v>
      </c>
      <c r="D815" s="25" t="s">
        <v>1454</v>
      </c>
      <c r="E815" s="28" t="s">
        <v>76</v>
      </c>
      <c r="F815" s="26" t="s">
        <v>197</v>
      </c>
      <c r="G815" s="27">
        <f>SUMIF(物料月初库存!$C$3:$C$303,$B815,物料月初库存!$F$3:$F$303)</f>
        <v>0</v>
      </c>
      <c r="H815" s="28">
        <f>SUMIF(半成品入库明细!$D$2:$D$650,$B815,半成品入库明细!$G$2:$G$650)</f>
        <v>0</v>
      </c>
      <c r="I815" s="28">
        <f ca="1">SUMIF(半成品出库明细!$D$2:$D$558,$B815,半成品出库明细!$G$2:$G$2)</f>
        <v>0</v>
      </c>
      <c r="J815" s="28">
        <f ca="1" t="shared" si="14"/>
        <v>0</v>
      </c>
      <c r="K815" s="29"/>
      <c r="L815" s="19"/>
    </row>
    <row r="816" s="3" customFormat="1" spans="1:12">
      <c r="A816" s="22">
        <v>714</v>
      </c>
      <c r="B816" s="23" t="s">
        <v>1484</v>
      </c>
      <c r="C816" s="25" t="s">
        <v>1483</v>
      </c>
      <c r="D816" s="25" t="s">
        <v>1454</v>
      </c>
      <c r="E816" s="28" t="s">
        <v>691</v>
      </c>
      <c r="F816" s="26" t="s">
        <v>197</v>
      </c>
      <c r="G816" s="27">
        <f>SUMIF(物料月初库存!$C$3:$C$303,$B816,物料月初库存!$F$3:$F$303)</f>
        <v>0</v>
      </c>
      <c r="H816" s="28">
        <f>SUMIF(半成品入库明细!$D$2:$D$650,$B816,半成品入库明细!$G$2:$G$650)</f>
        <v>0</v>
      </c>
      <c r="I816" s="28">
        <f ca="1">SUMIF(半成品出库明细!$D$2:$D$558,$B816,半成品出库明细!$G$2:$G$2)</f>
        <v>0</v>
      </c>
      <c r="J816" s="28">
        <f ca="1" t="shared" si="14"/>
        <v>0</v>
      </c>
      <c r="K816" s="29"/>
      <c r="L816" s="19"/>
    </row>
    <row r="817" s="3" customFormat="1" spans="1:12">
      <c r="A817" s="22">
        <v>715</v>
      </c>
      <c r="B817" s="23" t="s">
        <v>1485</v>
      </c>
      <c r="C817" s="25" t="s">
        <v>1483</v>
      </c>
      <c r="D817" s="25" t="s">
        <v>1454</v>
      </c>
      <c r="E817" s="28" t="s">
        <v>201</v>
      </c>
      <c r="F817" s="26" t="s">
        <v>197</v>
      </c>
      <c r="G817" s="27">
        <f>SUMIF(物料月初库存!$C$3:$C$303,$B817,物料月初库存!$F$3:$F$303)</f>
        <v>0</v>
      </c>
      <c r="H817" s="28">
        <f>SUMIF(半成品入库明细!$D$2:$D$650,$B817,半成品入库明细!$G$2:$G$650)</f>
        <v>0</v>
      </c>
      <c r="I817" s="28">
        <f ca="1">SUMIF(半成品出库明细!$D$2:$D$558,$B817,半成品出库明细!$G$2:$G$2)</f>
        <v>0</v>
      </c>
      <c r="J817" s="28">
        <f ca="1" t="shared" si="14"/>
        <v>0</v>
      </c>
      <c r="K817" s="29"/>
      <c r="L817" s="19"/>
    </row>
    <row r="818" s="3" customFormat="1" spans="1:12">
      <c r="A818" s="22">
        <v>716</v>
      </c>
      <c r="B818" s="23" t="s">
        <v>1486</v>
      </c>
      <c r="C818" s="25" t="s">
        <v>1487</v>
      </c>
      <c r="D818" s="25" t="s">
        <v>1454</v>
      </c>
      <c r="E818" s="19" t="s">
        <v>76</v>
      </c>
      <c r="F818" s="26" t="s">
        <v>197</v>
      </c>
      <c r="G818" s="27">
        <f>SUMIF(物料月初库存!$C$3:$C$303,$B818,物料月初库存!$F$3:$F$303)</f>
        <v>0</v>
      </c>
      <c r="H818" s="28">
        <f>SUMIF(半成品入库明细!$D$2:$D$650,$B818,半成品入库明细!$G$2:$G$650)</f>
        <v>0</v>
      </c>
      <c r="I818" s="28">
        <f ca="1">SUMIF(半成品出库明细!$D$2:$D$558,$B818,半成品出库明细!$G$2:$G$2)</f>
        <v>0</v>
      </c>
      <c r="J818" s="28">
        <f ca="1" t="shared" si="14"/>
        <v>0</v>
      </c>
      <c r="K818" s="29"/>
      <c r="L818" s="19"/>
    </row>
    <row r="819" s="3" customFormat="1" spans="1:12">
      <c r="A819" s="22">
        <v>717</v>
      </c>
      <c r="B819" s="23" t="s">
        <v>1488</v>
      </c>
      <c r="C819" s="25" t="s">
        <v>1487</v>
      </c>
      <c r="D819" s="25" t="s">
        <v>1454</v>
      </c>
      <c r="E819" s="19" t="s">
        <v>316</v>
      </c>
      <c r="F819" s="26" t="s">
        <v>197</v>
      </c>
      <c r="G819" s="27">
        <f>SUMIF(物料月初库存!$C$3:$C$303,$B819,物料月初库存!$F$3:$F$303)</f>
        <v>0</v>
      </c>
      <c r="H819" s="28">
        <f>SUMIF(半成品入库明细!$D$2:$D$650,$B819,半成品入库明细!$G$2:$G$650)</f>
        <v>0</v>
      </c>
      <c r="I819" s="28">
        <f ca="1">SUMIF(半成品出库明细!$D$2:$D$558,$B819,半成品出库明细!$G$2:$G$2)</f>
        <v>0</v>
      </c>
      <c r="J819" s="28">
        <f ca="1" t="shared" si="14"/>
        <v>0</v>
      </c>
      <c r="K819" s="30" t="s">
        <v>1476</v>
      </c>
      <c r="L819" s="19"/>
    </row>
    <row r="820" s="3" customFormat="1" spans="1:12">
      <c r="A820" s="22">
        <v>718</v>
      </c>
      <c r="B820" s="36" t="s">
        <v>1489</v>
      </c>
      <c r="C820" s="33" t="s">
        <v>1487</v>
      </c>
      <c r="D820" s="33" t="s">
        <v>1454</v>
      </c>
      <c r="E820" s="40" t="s">
        <v>691</v>
      </c>
      <c r="F820" s="38" t="s">
        <v>197</v>
      </c>
      <c r="G820" s="39">
        <f>SUMIF(物料月初库存!$C$3:$C$303,$B820,物料月初库存!$F$3:$F$303)</f>
        <v>0</v>
      </c>
      <c r="H820" s="40">
        <f>SUMIF(半成品入库明细!$D$2:$D$650,$B820,半成品入库明细!$G$2:$G$650)</f>
        <v>0</v>
      </c>
      <c r="I820" s="40">
        <f ca="1">SUMIF(半成品出库明细!$D$2:$D$558,$B820,半成品出库明细!$G$2:$G$2)</f>
        <v>0</v>
      </c>
      <c r="J820" s="40">
        <f ca="1" t="shared" si="14"/>
        <v>0</v>
      </c>
      <c r="K820" s="29" t="s">
        <v>1490</v>
      </c>
      <c r="L820" s="19"/>
    </row>
    <row r="821" s="3" customFormat="1" spans="1:12">
      <c r="A821" s="22">
        <v>719</v>
      </c>
      <c r="B821" s="23" t="s">
        <v>1491</v>
      </c>
      <c r="C821" s="25" t="s">
        <v>1487</v>
      </c>
      <c r="D821" s="25" t="s">
        <v>1454</v>
      </c>
      <c r="E821" s="28" t="s">
        <v>201</v>
      </c>
      <c r="F821" s="26" t="s">
        <v>197</v>
      </c>
      <c r="G821" s="27">
        <f>SUMIF(物料月初库存!$C$3:$C$303,$B821,物料月初库存!$F$3:$F$303)</f>
        <v>0</v>
      </c>
      <c r="H821" s="28">
        <f>SUMIF(半成品入库明细!$D$2:$D$650,$B821,半成品入库明细!$G$2:$G$650)</f>
        <v>0</v>
      </c>
      <c r="I821" s="28">
        <f ca="1">SUMIF(半成品出库明细!$D$2:$D$558,$B821,半成品出库明细!$G$2:$G$2)</f>
        <v>0</v>
      </c>
      <c r="J821" s="28">
        <f ca="1" t="shared" si="14"/>
        <v>0</v>
      </c>
      <c r="K821" s="30" t="s">
        <v>183</v>
      </c>
      <c r="L821" s="19"/>
    </row>
    <row r="822" s="3" customFormat="1" spans="1:12">
      <c r="A822" s="22">
        <v>720</v>
      </c>
      <c r="B822" s="23" t="s">
        <v>1492</v>
      </c>
      <c r="C822" s="25" t="s">
        <v>1493</v>
      </c>
      <c r="D822" s="25" t="s">
        <v>1454</v>
      </c>
      <c r="E822" s="19" t="s">
        <v>76</v>
      </c>
      <c r="F822" s="26" t="s">
        <v>197</v>
      </c>
      <c r="G822" s="27">
        <f>SUMIF(物料月初库存!$C$3:$C$303,$B822,物料月初库存!$F$3:$F$303)</f>
        <v>0</v>
      </c>
      <c r="H822" s="28">
        <f>SUMIF(半成品入库明细!$D$2:$D$650,$B822,半成品入库明细!$G$2:$G$650)</f>
        <v>0</v>
      </c>
      <c r="I822" s="28">
        <f ca="1">SUMIF(半成品出库明细!$D$2:$D$558,$B822,半成品出库明细!$G$2:$G$2)</f>
        <v>0</v>
      </c>
      <c r="J822" s="28">
        <f ca="1" t="shared" si="14"/>
        <v>0</v>
      </c>
      <c r="K822" s="29"/>
      <c r="L822" s="19"/>
    </row>
    <row r="823" s="3" customFormat="1" spans="1:12">
      <c r="A823" s="22">
        <v>721</v>
      </c>
      <c r="B823" s="23" t="s">
        <v>1494</v>
      </c>
      <c r="C823" s="25" t="s">
        <v>1493</v>
      </c>
      <c r="D823" s="25" t="s">
        <v>1454</v>
      </c>
      <c r="E823" s="28" t="s">
        <v>691</v>
      </c>
      <c r="F823" s="26" t="s">
        <v>197</v>
      </c>
      <c r="G823" s="27">
        <f>SUMIF(物料月初库存!$C$3:$C$303,$B823,物料月初库存!$F$3:$F$303)</f>
        <v>0</v>
      </c>
      <c r="H823" s="28">
        <f>SUMIF(半成品入库明细!$D$2:$D$650,$B823,半成品入库明细!$G$2:$G$650)</f>
        <v>0</v>
      </c>
      <c r="I823" s="28">
        <f ca="1">SUMIF(半成品出库明细!$D$2:$D$558,$B823,半成品出库明细!$G$2:$G$2)</f>
        <v>0</v>
      </c>
      <c r="J823" s="28">
        <f ca="1" t="shared" si="14"/>
        <v>0</v>
      </c>
      <c r="K823" s="29"/>
      <c r="L823" s="19"/>
    </row>
    <row r="824" s="3" customFormat="1" spans="1:12">
      <c r="A824" s="22">
        <v>722</v>
      </c>
      <c r="B824" s="23" t="s">
        <v>1495</v>
      </c>
      <c r="C824" s="25" t="s">
        <v>1493</v>
      </c>
      <c r="D824" s="25" t="s">
        <v>1454</v>
      </c>
      <c r="E824" s="28" t="s">
        <v>201</v>
      </c>
      <c r="F824" s="26" t="s">
        <v>197</v>
      </c>
      <c r="G824" s="27">
        <f>SUMIF(物料月初库存!$C$3:$C$303,$B824,物料月初库存!$F$3:$F$303)</f>
        <v>0</v>
      </c>
      <c r="H824" s="28">
        <f>SUMIF(半成品入库明细!$D$2:$D$650,$B824,半成品入库明细!$G$2:$G$650)</f>
        <v>0</v>
      </c>
      <c r="I824" s="28">
        <f ca="1">SUMIF(半成品出库明细!$D$2:$D$558,$B824,半成品出库明细!$G$2:$G$2)</f>
        <v>0</v>
      </c>
      <c r="J824" s="28">
        <f ca="1" t="shared" si="14"/>
        <v>0</v>
      </c>
      <c r="K824" s="29"/>
      <c r="L824" s="19"/>
    </row>
    <row r="825" s="3" customFormat="1" spans="1:12">
      <c r="A825" s="22">
        <v>723</v>
      </c>
      <c r="B825" s="23" t="s">
        <v>1496</v>
      </c>
      <c r="C825" s="25" t="s">
        <v>1497</v>
      </c>
      <c r="D825" s="25" t="s">
        <v>1454</v>
      </c>
      <c r="E825" s="19" t="s">
        <v>76</v>
      </c>
      <c r="F825" s="26" t="s">
        <v>197</v>
      </c>
      <c r="G825" s="27">
        <f>SUMIF(物料月初库存!$C$3:$C$303,$B825,物料月初库存!$F$3:$F$303)</f>
        <v>0</v>
      </c>
      <c r="H825" s="28">
        <f>SUMIF(半成品入库明细!$D$2:$D$650,$B825,半成品入库明细!$G$2:$G$650)</f>
        <v>0</v>
      </c>
      <c r="I825" s="28">
        <f ca="1">SUMIF(半成品出库明细!$D$2:$D$558,$B825,半成品出库明细!$G$2:$G$2)</f>
        <v>0</v>
      </c>
      <c r="J825" s="28">
        <f ca="1" t="shared" si="14"/>
        <v>0</v>
      </c>
      <c r="K825" s="29"/>
      <c r="L825" s="19"/>
    </row>
    <row r="826" s="3" customFormat="1" spans="1:12">
      <c r="A826" s="22">
        <v>724</v>
      </c>
      <c r="B826" s="23" t="s">
        <v>1498</v>
      </c>
      <c r="C826" s="25" t="s">
        <v>1497</v>
      </c>
      <c r="D826" s="25" t="s">
        <v>1454</v>
      </c>
      <c r="E826" s="28" t="s">
        <v>691</v>
      </c>
      <c r="F826" s="26" t="s">
        <v>197</v>
      </c>
      <c r="G826" s="27">
        <f>SUMIF(物料月初库存!$C$3:$C$303,$B826,物料月初库存!$F$3:$F$303)</f>
        <v>0</v>
      </c>
      <c r="H826" s="28">
        <f>SUMIF(半成品入库明细!$D$2:$D$650,$B826,半成品入库明细!$G$2:$G$650)</f>
        <v>0</v>
      </c>
      <c r="I826" s="28">
        <f ca="1">SUMIF(半成品出库明细!$D$2:$D$558,$B826,半成品出库明细!$G$2:$G$2)</f>
        <v>0</v>
      </c>
      <c r="J826" s="28">
        <f ca="1" t="shared" si="14"/>
        <v>0</v>
      </c>
      <c r="K826" s="29"/>
      <c r="L826" s="19"/>
    </row>
    <row r="827" s="3" customFormat="1" spans="1:12">
      <c r="A827" s="22">
        <v>725</v>
      </c>
      <c r="B827" s="23" t="s">
        <v>1499</v>
      </c>
      <c r="C827" s="25" t="s">
        <v>1497</v>
      </c>
      <c r="D827" s="25" t="s">
        <v>1454</v>
      </c>
      <c r="E827" s="28" t="s">
        <v>201</v>
      </c>
      <c r="F827" s="26" t="s">
        <v>197</v>
      </c>
      <c r="G827" s="27">
        <f>SUMIF(物料月初库存!$C$3:$C$303,$B827,物料月初库存!$F$3:$F$303)</f>
        <v>0</v>
      </c>
      <c r="H827" s="28">
        <f>SUMIF(半成品入库明细!$D$2:$D$650,$B827,半成品入库明细!$G$2:$G$650)</f>
        <v>0</v>
      </c>
      <c r="I827" s="28">
        <f ca="1">SUMIF(半成品出库明细!$D$2:$D$558,$B827,半成品出库明细!$G$2:$G$2)</f>
        <v>0</v>
      </c>
      <c r="J827" s="28">
        <f ca="1" t="shared" si="14"/>
        <v>0</v>
      </c>
      <c r="K827" s="29"/>
      <c r="L827" s="19"/>
    </row>
    <row r="828" s="3" customFormat="1" spans="1:12">
      <c r="A828" s="22">
        <v>726</v>
      </c>
      <c r="B828" s="23" t="s">
        <v>1500</v>
      </c>
      <c r="C828" s="25" t="s">
        <v>1501</v>
      </c>
      <c r="D828" s="25" t="s">
        <v>1454</v>
      </c>
      <c r="E828" s="19" t="s">
        <v>76</v>
      </c>
      <c r="F828" s="26" t="s">
        <v>197</v>
      </c>
      <c r="G828" s="27">
        <f>SUMIF(物料月初库存!$C$3:$C$303,$B828,物料月初库存!$F$3:$F$303)</f>
        <v>0</v>
      </c>
      <c r="H828" s="28">
        <f>SUMIF(半成品入库明细!$D$2:$D$650,$B828,半成品入库明细!$G$2:$G$650)</f>
        <v>0</v>
      </c>
      <c r="I828" s="28">
        <f ca="1">SUMIF(半成品出库明细!$D$2:$D$558,$B828,半成品出库明细!$G$2:$G$2)</f>
        <v>0</v>
      </c>
      <c r="J828" s="28">
        <f ca="1" t="shared" si="14"/>
        <v>0</v>
      </c>
      <c r="K828" s="29"/>
      <c r="L828" s="19"/>
    </row>
    <row r="829" s="3" customFormat="1" spans="1:12">
      <c r="A829" s="22">
        <v>727</v>
      </c>
      <c r="B829" s="23" t="s">
        <v>1502</v>
      </c>
      <c r="C829" s="25" t="s">
        <v>1501</v>
      </c>
      <c r="D829" s="25" t="s">
        <v>1454</v>
      </c>
      <c r="E829" s="19" t="s">
        <v>691</v>
      </c>
      <c r="F829" s="26" t="s">
        <v>197</v>
      </c>
      <c r="G829" s="27">
        <f>SUMIF(物料月初库存!$C$3:$C$303,$B829,物料月初库存!$F$3:$F$303)</f>
        <v>0</v>
      </c>
      <c r="H829" s="28">
        <f>SUMIF(半成品入库明细!$D$2:$D$650,$B829,半成品入库明细!$G$2:$G$650)</f>
        <v>0</v>
      </c>
      <c r="I829" s="28">
        <f ca="1">SUMIF(半成品出库明细!$D$2:$D$558,$B829,半成品出库明细!$G$2:$G$2)</f>
        <v>0</v>
      </c>
      <c r="J829" s="28">
        <f ca="1" t="shared" si="14"/>
        <v>0</v>
      </c>
      <c r="K829" s="29"/>
      <c r="L829" s="19"/>
    </row>
    <row r="830" s="3" customFormat="1" spans="1:12">
      <c r="A830" s="22">
        <v>728</v>
      </c>
      <c r="B830" s="23" t="s">
        <v>1503</v>
      </c>
      <c r="C830" s="25" t="s">
        <v>1501</v>
      </c>
      <c r="D830" s="25" t="s">
        <v>1454</v>
      </c>
      <c r="E830" s="19" t="s">
        <v>201</v>
      </c>
      <c r="F830" s="26" t="s">
        <v>197</v>
      </c>
      <c r="G830" s="27">
        <f>SUMIF(物料月初库存!$C$3:$C$303,$B830,物料月初库存!$F$3:$F$303)</f>
        <v>0</v>
      </c>
      <c r="H830" s="28">
        <f>SUMIF(半成品入库明细!$D$2:$D$650,$B830,半成品入库明细!$G$2:$G$650)</f>
        <v>0</v>
      </c>
      <c r="I830" s="28">
        <f ca="1">SUMIF(半成品出库明细!$D$2:$D$558,$B830,半成品出库明细!$G$2:$G$2)</f>
        <v>0</v>
      </c>
      <c r="J830" s="28">
        <f ca="1" t="shared" si="14"/>
        <v>0</v>
      </c>
      <c r="K830" s="29"/>
      <c r="L830" s="19"/>
    </row>
    <row r="831" s="3" customFormat="1" spans="1:12">
      <c r="A831" s="22">
        <v>729</v>
      </c>
      <c r="B831" s="23" t="s">
        <v>1504</v>
      </c>
      <c r="C831" s="25" t="s">
        <v>1505</v>
      </c>
      <c r="D831" s="25" t="s">
        <v>1454</v>
      </c>
      <c r="E831" s="19" t="s">
        <v>76</v>
      </c>
      <c r="F831" s="26" t="s">
        <v>197</v>
      </c>
      <c r="G831" s="27">
        <f>SUMIF(物料月初库存!$C$3:$C$303,$B831,物料月初库存!$F$3:$F$303)</f>
        <v>0</v>
      </c>
      <c r="H831" s="28">
        <f>SUMIF(半成品入库明细!$D$2:$D$650,$B831,半成品入库明细!$G$2:$G$650)</f>
        <v>0</v>
      </c>
      <c r="I831" s="28">
        <f ca="1">SUMIF(半成品出库明细!$D$2:$D$558,$B831,半成品出库明细!$G$2:$G$2)</f>
        <v>0</v>
      </c>
      <c r="J831" s="28">
        <f ca="1" t="shared" si="14"/>
        <v>0</v>
      </c>
      <c r="K831" s="29"/>
      <c r="L831" s="19"/>
    </row>
    <row r="832" s="3" customFormat="1" ht="24" customHeight="1" spans="1:12">
      <c r="A832" s="22">
        <v>730</v>
      </c>
      <c r="B832" s="23" t="s">
        <v>1506</v>
      </c>
      <c r="C832" s="25" t="s">
        <v>1505</v>
      </c>
      <c r="D832" s="25" t="s">
        <v>1454</v>
      </c>
      <c r="E832" s="19" t="s">
        <v>691</v>
      </c>
      <c r="F832" s="26" t="s">
        <v>197</v>
      </c>
      <c r="G832" s="27">
        <f>SUMIF(物料月初库存!$C$3:$C$303,$B832,物料月初库存!$F$3:$F$303)</f>
        <v>0</v>
      </c>
      <c r="H832" s="28">
        <f>SUMIF(半成品入库明细!$D$2:$D$650,$B832,半成品入库明细!$G$2:$G$650)</f>
        <v>0</v>
      </c>
      <c r="I832" s="28">
        <f ca="1">SUMIF(半成品出库明细!$D$2:$D$558,$B832,半成品出库明细!$G$2:$G$2)</f>
        <v>0</v>
      </c>
      <c r="J832" s="28">
        <f ca="1" t="shared" si="14"/>
        <v>0</v>
      </c>
      <c r="K832" s="29"/>
      <c r="L832" s="19"/>
    </row>
    <row r="833" s="3" customFormat="1" spans="1:12">
      <c r="A833" s="22">
        <v>731</v>
      </c>
      <c r="B833" s="23" t="s">
        <v>1507</v>
      </c>
      <c r="C833" s="25" t="s">
        <v>1505</v>
      </c>
      <c r="D833" s="25" t="s">
        <v>1454</v>
      </c>
      <c r="E833" s="19" t="s">
        <v>201</v>
      </c>
      <c r="F833" s="26" t="s">
        <v>197</v>
      </c>
      <c r="G833" s="27">
        <f>SUMIF(物料月初库存!$C$3:$C$303,$B833,物料月初库存!$F$3:$F$303)</f>
        <v>0</v>
      </c>
      <c r="H833" s="28">
        <f>SUMIF(半成品入库明细!$D$2:$D$650,$B833,半成品入库明细!$G$2:$G$650)</f>
        <v>0</v>
      </c>
      <c r="I833" s="28">
        <f ca="1">SUMIF(半成品出库明细!$D$2:$D$558,$B833,半成品出库明细!$G$2:$G$2)</f>
        <v>0</v>
      </c>
      <c r="J833" s="28">
        <f ca="1" t="shared" si="14"/>
        <v>0</v>
      </c>
      <c r="K833" s="29"/>
      <c r="L833" s="19"/>
    </row>
    <row r="834" s="3" customFormat="1" spans="1:12">
      <c r="A834" s="22">
        <v>732</v>
      </c>
      <c r="B834" s="23" t="s">
        <v>1508</v>
      </c>
      <c r="C834" s="25" t="s">
        <v>1509</v>
      </c>
      <c r="D834" s="25" t="s">
        <v>1454</v>
      </c>
      <c r="E834" s="19" t="s">
        <v>76</v>
      </c>
      <c r="F834" s="26" t="s">
        <v>197</v>
      </c>
      <c r="G834" s="27">
        <f>SUMIF(物料月初库存!$C$3:$C$303,$B834,物料月初库存!$F$3:$F$303)</f>
        <v>0</v>
      </c>
      <c r="H834" s="28">
        <f>SUMIF(半成品入库明细!$D$2:$D$650,$B834,半成品入库明细!$G$2:$G$650)</f>
        <v>0</v>
      </c>
      <c r="I834" s="28">
        <f ca="1">SUMIF(半成品出库明细!$D$2:$D$558,$B834,半成品出库明细!$G$2:$G$2)</f>
        <v>0</v>
      </c>
      <c r="J834" s="28">
        <f ca="1" t="shared" si="14"/>
        <v>0</v>
      </c>
      <c r="K834" s="29"/>
      <c r="L834" s="19"/>
    </row>
    <row r="835" s="3" customFormat="1" spans="1:12">
      <c r="A835" s="22">
        <v>733</v>
      </c>
      <c r="B835" s="23" t="s">
        <v>1510</v>
      </c>
      <c r="C835" s="25" t="s">
        <v>1509</v>
      </c>
      <c r="D835" s="25" t="s">
        <v>1454</v>
      </c>
      <c r="E835" s="19" t="s">
        <v>235</v>
      </c>
      <c r="F835" s="26" t="s">
        <v>197</v>
      </c>
      <c r="G835" s="27">
        <f>SUMIF(物料月初库存!$C$3:$C$303,$B835,物料月初库存!$F$3:$F$303)</f>
        <v>0</v>
      </c>
      <c r="H835" s="28">
        <f>SUMIF(半成品入库明细!$D$2:$D$650,$B835,半成品入库明细!$G$2:$G$650)</f>
        <v>0</v>
      </c>
      <c r="I835" s="28">
        <f ca="1">SUMIF(半成品出库明细!$D$2:$D$558,$B835,半成品出库明细!$G$2:$G$2)</f>
        <v>0</v>
      </c>
      <c r="J835" s="28">
        <f ca="1" t="shared" si="14"/>
        <v>0</v>
      </c>
      <c r="K835" s="29"/>
      <c r="L835" s="19"/>
    </row>
    <row r="836" s="3" customFormat="1" spans="1:12">
      <c r="A836" s="22">
        <v>734</v>
      </c>
      <c r="B836" s="23" t="s">
        <v>1511</v>
      </c>
      <c r="C836" s="25" t="s">
        <v>1509</v>
      </c>
      <c r="D836" s="25" t="s">
        <v>1454</v>
      </c>
      <c r="E836" s="19" t="s">
        <v>353</v>
      </c>
      <c r="F836" s="26" t="s">
        <v>197</v>
      </c>
      <c r="G836" s="27">
        <f>SUMIF(物料月初库存!$C$3:$C$303,$B836,物料月初库存!$F$3:$F$303)</f>
        <v>0</v>
      </c>
      <c r="H836" s="28">
        <f>SUMIF(半成品入库明细!$D$2:$D$650,$B836,半成品入库明细!$G$2:$G$650)</f>
        <v>0</v>
      </c>
      <c r="I836" s="28">
        <f ca="1">SUMIF(半成品出库明细!$D$2:$D$558,$B836,半成品出库明细!$G$2:$G$2)</f>
        <v>0</v>
      </c>
      <c r="J836" s="28">
        <f ca="1" t="shared" si="14"/>
        <v>0</v>
      </c>
      <c r="K836" s="29"/>
      <c r="L836" s="19"/>
    </row>
    <row r="837" s="3" customFormat="1" spans="1:12">
      <c r="A837" s="22">
        <v>735</v>
      </c>
      <c r="B837" s="23" t="s">
        <v>1512</v>
      </c>
      <c r="C837" s="25" t="s">
        <v>1513</v>
      </c>
      <c r="D837" s="25" t="s">
        <v>1454</v>
      </c>
      <c r="E837" s="19" t="s">
        <v>76</v>
      </c>
      <c r="F837" s="26" t="s">
        <v>197</v>
      </c>
      <c r="G837" s="27">
        <f>SUMIF(物料月初库存!$C$3:$C$303,$B837,物料月初库存!$F$3:$F$303)</f>
        <v>0</v>
      </c>
      <c r="H837" s="28">
        <f>SUMIF(半成品入库明细!$D$2:$D$650,$B837,半成品入库明细!$G$2:$G$650)</f>
        <v>0</v>
      </c>
      <c r="I837" s="28">
        <f ca="1">SUMIF(半成品出库明细!$D$2:$D$558,$B837,半成品出库明细!$G$2:$G$2)</f>
        <v>0</v>
      </c>
      <c r="J837" s="28">
        <f ca="1" t="shared" si="14"/>
        <v>0</v>
      </c>
      <c r="K837" s="29"/>
      <c r="L837" s="19"/>
    </row>
    <row r="838" s="3" customFormat="1" spans="1:12">
      <c r="A838" s="22">
        <v>736</v>
      </c>
      <c r="B838" s="23" t="s">
        <v>1514</v>
      </c>
      <c r="C838" s="25" t="s">
        <v>1515</v>
      </c>
      <c r="D838" s="25" t="s">
        <v>1454</v>
      </c>
      <c r="E838" s="19" t="s">
        <v>76</v>
      </c>
      <c r="F838" s="26" t="s">
        <v>197</v>
      </c>
      <c r="G838" s="27">
        <f>SUMIF(物料月初库存!$C$3:$C$303,$B838,物料月初库存!$F$3:$F$303)</f>
        <v>0</v>
      </c>
      <c r="H838" s="28">
        <f>SUMIF(半成品入库明细!$D$2:$D$650,$B838,半成品入库明细!$G$2:$G$650)</f>
        <v>0</v>
      </c>
      <c r="I838" s="28">
        <f ca="1">SUMIF(半成品出库明细!$D$2:$D$558,$B838,半成品出库明细!$G$2:$G$2)</f>
        <v>0</v>
      </c>
      <c r="J838" s="28">
        <f ca="1" t="shared" si="14"/>
        <v>0</v>
      </c>
      <c r="K838" s="29"/>
      <c r="L838" s="19"/>
    </row>
    <row r="839" s="3" customFormat="1" spans="1:12">
      <c r="A839" s="22">
        <v>737</v>
      </c>
      <c r="B839" s="23" t="s">
        <v>1516</v>
      </c>
      <c r="C839" s="25" t="s">
        <v>1517</v>
      </c>
      <c r="D839" s="25" t="s">
        <v>1454</v>
      </c>
      <c r="E839" s="19" t="s">
        <v>76</v>
      </c>
      <c r="F839" s="26" t="s">
        <v>197</v>
      </c>
      <c r="G839" s="27">
        <f>SUMIF(物料月初库存!$C$3:$C$303,$B839,物料月初库存!$F$3:$F$303)</f>
        <v>0</v>
      </c>
      <c r="H839" s="28">
        <f>SUMIF(半成品入库明细!$D$2:$D$650,$B839,半成品入库明细!$G$2:$G$650)</f>
        <v>0</v>
      </c>
      <c r="I839" s="28">
        <f ca="1">SUMIF(半成品出库明细!$D$2:$D$558,$B839,半成品出库明细!$G$2:$G$2)</f>
        <v>0</v>
      </c>
      <c r="J839" s="28">
        <f ca="1" t="shared" si="14"/>
        <v>0</v>
      </c>
      <c r="K839" s="29"/>
      <c r="L839" s="19"/>
    </row>
    <row r="840" s="3" customFormat="1" spans="1:12">
      <c r="A840" s="22">
        <v>738</v>
      </c>
      <c r="B840" s="23" t="s">
        <v>1518</v>
      </c>
      <c r="C840" s="25" t="s">
        <v>1517</v>
      </c>
      <c r="D840" s="25" t="s">
        <v>1454</v>
      </c>
      <c r="E840" s="19" t="s">
        <v>225</v>
      </c>
      <c r="F840" s="26" t="s">
        <v>197</v>
      </c>
      <c r="G840" s="27">
        <f>SUMIF(物料月初库存!$C$3:$C$303,$B840,物料月初库存!$F$3:$F$303)</f>
        <v>0</v>
      </c>
      <c r="H840" s="28">
        <f>SUMIF(半成品入库明细!$D$2:$D$650,$B840,半成品入库明细!$G$2:$G$650)</f>
        <v>0</v>
      </c>
      <c r="I840" s="28">
        <f ca="1">SUMIF(半成品出库明细!$D$2:$D$558,$B840,半成品出库明细!$G$2:$G$2)</f>
        <v>0</v>
      </c>
      <c r="J840" s="28">
        <f ca="1" t="shared" si="14"/>
        <v>0</v>
      </c>
      <c r="K840" s="29" t="s">
        <v>92</v>
      </c>
      <c r="L840" s="19"/>
    </row>
    <row r="841" s="3" customFormat="1" spans="1:12">
      <c r="A841" s="22">
        <v>739</v>
      </c>
      <c r="B841" s="23" t="s">
        <v>1519</v>
      </c>
      <c r="C841" s="25" t="s">
        <v>1517</v>
      </c>
      <c r="D841" s="25" t="s">
        <v>1454</v>
      </c>
      <c r="E841" s="28" t="s">
        <v>440</v>
      </c>
      <c r="F841" s="26" t="s">
        <v>197</v>
      </c>
      <c r="G841" s="27">
        <f>SUMIF(物料月初库存!$C$3:$C$303,$B841,物料月初库存!$F$3:$F$303)</f>
        <v>0</v>
      </c>
      <c r="H841" s="28">
        <f>SUMIF(半成品入库明细!$D$2:$D$650,$B841,半成品入库明细!$G$2:$G$650)</f>
        <v>0</v>
      </c>
      <c r="I841" s="28">
        <f ca="1">SUMIF(半成品出库明细!$D$2:$D$558,$B841,半成品出库明细!$G$2:$G$2)</f>
        <v>0</v>
      </c>
      <c r="J841" s="28">
        <f ca="1" t="shared" si="14"/>
        <v>0</v>
      </c>
      <c r="K841" s="29" t="s">
        <v>333</v>
      </c>
      <c r="L841" s="19" t="s">
        <v>202</v>
      </c>
    </row>
    <row r="842" s="3" customFormat="1" spans="1:12">
      <c r="A842" s="22">
        <v>740</v>
      </c>
      <c r="B842" s="23" t="s">
        <v>1520</v>
      </c>
      <c r="C842" s="25" t="s">
        <v>1521</v>
      </c>
      <c r="D842" s="25" t="s">
        <v>1454</v>
      </c>
      <c r="E842" s="19" t="s">
        <v>76</v>
      </c>
      <c r="F842" s="26" t="s">
        <v>197</v>
      </c>
      <c r="G842" s="27">
        <f>SUMIF(物料月初库存!$C$3:$C$303,$B842,物料月初库存!$F$3:$F$303)</f>
        <v>0</v>
      </c>
      <c r="H842" s="28">
        <f>SUMIF(半成品入库明细!$D$2:$D$650,$B842,半成品入库明细!$G$2:$G$650)</f>
        <v>0</v>
      </c>
      <c r="I842" s="28">
        <f ca="1">SUMIF(半成品出库明细!$D$2:$D$558,$B842,半成品出库明细!$G$2:$G$2)</f>
        <v>0</v>
      </c>
      <c r="J842" s="28">
        <f ca="1" t="shared" si="14"/>
        <v>0</v>
      </c>
      <c r="K842" s="29"/>
      <c r="L842" s="19"/>
    </row>
    <row r="843" s="3" customFormat="1" spans="1:12">
      <c r="A843" s="22">
        <v>741</v>
      </c>
      <c r="B843" s="23" t="s">
        <v>1522</v>
      </c>
      <c r="C843" s="25" t="s">
        <v>1521</v>
      </c>
      <c r="D843" s="25" t="s">
        <v>1454</v>
      </c>
      <c r="E843" s="19" t="s">
        <v>225</v>
      </c>
      <c r="F843" s="26" t="s">
        <v>197</v>
      </c>
      <c r="G843" s="27">
        <f>SUMIF(物料月初库存!$C$3:$C$303,$B843,物料月初库存!$F$3:$F$303)</f>
        <v>0</v>
      </c>
      <c r="H843" s="28">
        <f>SUMIF(半成品入库明细!$D$2:$D$650,$B843,半成品入库明细!$G$2:$G$650)</f>
        <v>0</v>
      </c>
      <c r="I843" s="28">
        <f ca="1">SUMIF(半成品出库明细!$D$2:$D$558,$B843,半成品出库明细!$G$2:$G$2)</f>
        <v>0</v>
      </c>
      <c r="J843" s="28">
        <f ca="1" t="shared" si="14"/>
        <v>0</v>
      </c>
      <c r="K843" s="29" t="s">
        <v>92</v>
      </c>
      <c r="L843" s="19"/>
    </row>
    <row r="844" s="3" customFormat="1" spans="1:12">
      <c r="A844" s="22">
        <v>742</v>
      </c>
      <c r="B844" s="23" t="s">
        <v>1523</v>
      </c>
      <c r="C844" s="25" t="s">
        <v>1521</v>
      </c>
      <c r="D844" s="25" t="s">
        <v>1454</v>
      </c>
      <c r="E844" s="28" t="s">
        <v>440</v>
      </c>
      <c r="F844" s="26" t="s">
        <v>197</v>
      </c>
      <c r="G844" s="27">
        <f>SUMIF(物料月初库存!$C$3:$C$303,$B844,物料月初库存!$F$3:$F$303)</f>
        <v>0</v>
      </c>
      <c r="H844" s="28">
        <f>SUMIF(半成品入库明细!$D$2:$D$650,$B844,半成品入库明细!$G$2:$G$650)</f>
        <v>0</v>
      </c>
      <c r="I844" s="28">
        <f ca="1">SUMIF(半成品出库明细!$D$2:$D$558,$B844,半成品出库明细!$G$2:$G$2)</f>
        <v>0</v>
      </c>
      <c r="J844" s="28">
        <f ca="1" t="shared" ref="J844:J907" si="15">G844+H844-I844</f>
        <v>0</v>
      </c>
      <c r="K844" s="29" t="s">
        <v>333</v>
      </c>
      <c r="L844" s="19" t="s">
        <v>202</v>
      </c>
    </row>
    <row r="845" s="3" customFormat="1" spans="1:12">
      <c r="A845" s="22">
        <v>743</v>
      </c>
      <c r="B845" s="23" t="s">
        <v>1524</v>
      </c>
      <c r="C845" s="25" t="s">
        <v>1525</v>
      </c>
      <c r="D845" s="25" t="s">
        <v>1454</v>
      </c>
      <c r="E845" s="19" t="s">
        <v>76</v>
      </c>
      <c r="F845" s="26" t="s">
        <v>197</v>
      </c>
      <c r="G845" s="27">
        <f>SUMIF(物料月初库存!$C$3:$C$303,$B845,物料月初库存!$F$3:$F$303)</f>
        <v>0</v>
      </c>
      <c r="H845" s="28">
        <f>SUMIF(半成品入库明细!$D$2:$D$650,$B845,半成品入库明细!$G$2:$G$650)</f>
        <v>0</v>
      </c>
      <c r="I845" s="28">
        <f ca="1">SUMIF(半成品出库明细!$D$2:$D$558,$B845,半成品出库明细!$G$2:$G$2)</f>
        <v>0</v>
      </c>
      <c r="J845" s="28">
        <f ca="1" t="shared" si="15"/>
        <v>0</v>
      </c>
      <c r="K845" s="29"/>
      <c r="L845" s="19"/>
    </row>
    <row r="846" s="3" customFormat="1" spans="1:12">
      <c r="A846" s="22">
        <v>744</v>
      </c>
      <c r="B846" s="23" t="s">
        <v>1526</v>
      </c>
      <c r="C846" s="25" t="s">
        <v>1525</v>
      </c>
      <c r="D846" s="25" t="s">
        <v>1454</v>
      </c>
      <c r="E846" s="28" t="s">
        <v>440</v>
      </c>
      <c r="F846" s="26" t="s">
        <v>197</v>
      </c>
      <c r="G846" s="27">
        <f>SUMIF(物料月初库存!$C$3:$C$303,$B846,物料月初库存!$F$3:$F$303)</f>
        <v>0</v>
      </c>
      <c r="H846" s="28">
        <f>SUMIF(半成品入库明细!$D$2:$D$650,$B846,半成品入库明细!$G$2:$G$650)</f>
        <v>0</v>
      </c>
      <c r="I846" s="28">
        <f ca="1">SUMIF(半成品出库明细!$D$2:$D$558,$B846,半成品出库明细!$G$2:$G$2)</f>
        <v>0</v>
      </c>
      <c r="J846" s="28">
        <f ca="1" t="shared" si="15"/>
        <v>0</v>
      </c>
      <c r="K846" s="30" t="s">
        <v>146</v>
      </c>
      <c r="L846" s="19"/>
    </row>
    <row r="847" s="3" customFormat="1" ht="16" customHeight="1" spans="1:12">
      <c r="A847" s="22">
        <v>745</v>
      </c>
      <c r="B847" s="23" t="s">
        <v>1527</v>
      </c>
      <c r="C847" s="41" t="s">
        <v>1528</v>
      </c>
      <c r="D847" s="25" t="s">
        <v>1529</v>
      </c>
      <c r="E847" s="19" t="s">
        <v>76</v>
      </c>
      <c r="F847" s="26" t="s">
        <v>197</v>
      </c>
      <c r="G847" s="27">
        <f>SUMIF(物料月初库存!$C$3:$C$303,$B847,物料月初库存!$F$3:$F$303)</f>
        <v>0</v>
      </c>
      <c r="H847" s="28">
        <f>SUMIF(半成品入库明细!$D$2:$D$650,$B847,半成品入库明细!$G$2:$G$650)</f>
        <v>0</v>
      </c>
      <c r="I847" s="28">
        <f ca="1">SUMIF(半成品出库明细!$D$2:$D$558,$B847,半成品出库明细!$G$2:$G$2)</f>
        <v>0</v>
      </c>
      <c r="J847" s="28">
        <f ca="1" t="shared" si="15"/>
        <v>0</v>
      </c>
      <c r="K847" s="29"/>
      <c r="L847" s="19"/>
    </row>
    <row r="848" s="3" customFormat="1" spans="1:12">
      <c r="A848" s="22">
        <v>746</v>
      </c>
      <c r="B848" s="23" t="s">
        <v>1530</v>
      </c>
      <c r="C848" s="41" t="s">
        <v>1528</v>
      </c>
      <c r="D848" s="25" t="s">
        <v>1529</v>
      </c>
      <c r="E848" s="19" t="s">
        <v>235</v>
      </c>
      <c r="F848" s="26" t="s">
        <v>197</v>
      </c>
      <c r="G848" s="27">
        <f>SUMIF(物料月初库存!$C$3:$C$303,$B848,物料月初库存!$F$3:$F$303)</f>
        <v>0</v>
      </c>
      <c r="H848" s="28">
        <f>SUMIF(半成品入库明细!$D$2:$D$650,$B848,半成品入库明细!$G$2:$G$650)</f>
        <v>0</v>
      </c>
      <c r="I848" s="28">
        <f ca="1">SUMIF(半成品出库明细!$D$2:$D$558,$B848,半成品出库明细!$G$2:$G$2)</f>
        <v>0</v>
      </c>
      <c r="J848" s="28">
        <f ca="1" t="shared" si="15"/>
        <v>0</v>
      </c>
      <c r="K848" s="29"/>
      <c r="L848" s="19"/>
    </row>
    <row r="849" s="3" customFormat="1" spans="1:12">
      <c r="A849" s="22">
        <v>747</v>
      </c>
      <c r="B849" s="23" t="s">
        <v>1531</v>
      </c>
      <c r="C849" s="25" t="s">
        <v>1532</v>
      </c>
      <c r="D849" s="25" t="s">
        <v>1533</v>
      </c>
      <c r="E849" s="19" t="s">
        <v>76</v>
      </c>
      <c r="F849" s="26" t="s">
        <v>197</v>
      </c>
      <c r="G849" s="27">
        <f>SUMIF(物料月初库存!$C$3:$C$303,$B849,物料月初库存!$F$3:$F$303)</f>
        <v>0</v>
      </c>
      <c r="H849" s="28">
        <f>SUMIF(半成品入库明细!$D$2:$D$650,$B849,半成品入库明细!$G$2:$G$650)</f>
        <v>0</v>
      </c>
      <c r="I849" s="28">
        <f ca="1">SUMIF(半成品出库明细!$D$2:$D$558,$B849,半成品出库明细!$G$2:$G$2)</f>
        <v>0</v>
      </c>
      <c r="J849" s="28">
        <f ca="1" t="shared" si="15"/>
        <v>0</v>
      </c>
      <c r="K849" s="29"/>
      <c r="L849" s="19"/>
    </row>
    <row r="850" s="3" customFormat="1" spans="1:12">
      <c r="A850" s="22">
        <v>748</v>
      </c>
      <c r="B850" s="117" t="s">
        <v>1534</v>
      </c>
      <c r="C850" s="25" t="s">
        <v>1532</v>
      </c>
      <c r="D850" s="25" t="s">
        <v>1533</v>
      </c>
      <c r="E850" s="28" t="s">
        <v>353</v>
      </c>
      <c r="F850" s="26" t="s">
        <v>197</v>
      </c>
      <c r="G850" s="27">
        <f>SUMIF(物料月初库存!$C$3:$C$303,$B850,物料月初库存!$F$3:$F$303)</f>
        <v>0</v>
      </c>
      <c r="H850" s="28">
        <f>SUMIF(半成品入库明细!$D$2:$D$650,$B850,半成品入库明细!$G$2:$G$650)</f>
        <v>0</v>
      </c>
      <c r="I850" s="28">
        <f ca="1">SUMIF(半成品出库明细!$D$2:$D$558,$B850,半成品出库明细!$G$2:$G$2)</f>
        <v>0</v>
      </c>
      <c r="J850" s="28">
        <f ca="1" t="shared" si="15"/>
        <v>0</v>
      </c>
      <c r="K850" s="29" t="s">
        <v>1271</v>
      </c>
      <c r="L850" s="19"/>
    </row>
    <row r="851" s="3" customFormat="1" spans="1:12">
      <c r="A851" s="22">
        <v>749</v>
      </c>
      <c r="B851" s="117" t="s">
        <v>1535</v>
      </c>
      <c r="C851" s="25" t="s">
        <v>1532</v>
      </c>
      <c r="D851" s="25" t="s">
        <v>1533</v>
      </c>
      <c r="E851" s="19" t="s">
        <v>225</v>
      </c>
      <c r="F851" s="26" t="s">
        <v>197</v>
      </c>
      <c r="G851" s="27">
        <f>SUMIF(物料月初库存!$C$3:$C$303,$B851,物料月初库存!$F$3:$F$303)</f>
        <v>0</v>
      </c>
      <c r="H851" s="28">
        <f>SUMIF(半成品入库明细!$D$2:$D$650,$B851,半成品入库明细!$G$2:$G$650)</f>
        <v>0</v>
      </c>
      <c r="I851" s="28">
        <f ca="1">SUMIF(半成品出库明细!$D$2:$D$558,$B851,半成品出库明细!$G$2:$G$2)</f>
        <v>0</v>
      </c>
      <c r="J851" s="28">
        <f ca="1" t="shared" si="15"/>
        <v>0</v>
      </c>
      <c r="K851" s="30" t="s">
        <v>92</v>
      </c>
      <c r="L851" s="19"/>
    </row>
    <row r="852" s="3" customFormat="1" spans="1:12">
      <c r="A852" s="22">
        <v>750</v>
      </c>
      <c r="B852" s="117" t="s">
        <v>1536</v>
      </c>
      <c r="C852" s="25" t="s">
        <v>1532</v>
      </c>
      <c r="D852" s="25" t="s">
        <v>1533</v>
      </c>
      <c r="E852" s="28" t="s">
        <v>199</v>
      </c>
      <c r="F852" s="26" t="s">
        <v>197</v>
      </c>
      <c r="G852" s="27">
        <f>SUMIF(物料月初库存!$C$3:$C$303,$B852,物料月初库存!$F$3:$F$303)</f>
        <v>0</v>
      </c>
      <c r="H852" s="28">
        <f>SUMIF(半成品入库明细!$D$2:$D$650,$B852,半成品入库明细!$G$2:$G$650)</f>
        <v>0</v>
      </c>
      <c r="I852" s="28">
        <f ca="1">SUMIF(半成品出库明细!$D$2:$D$558,$B852,半成品出库明细!$G$2:$G$2)</f>
        <v>0</v>
      </c>
      <c r="J852" s="28">
        <f ca="1" t="shared" si="15"/>
        <v>0</v>
      </c>
      <c r="K852" s="30" t="s">
        <v>1537</v>
      </c>
      <c r="L852" s="19" t="s">
        <v>202</v>
      </c>
    </row>
    <row r="853" s="3" customFormat="1" spans="1:12">
      <c r="A853" s="22">
        <v>751</v>
      </c>
      <c r="B853" s="23" t="s">
        <v>119</v>
      </c>
      <c r="C853" s="25" t="s">
        <v>1538</v>
      </c>
      <c r="D853" s="25" t="s">
        <v>1533</v>
      </c>
      <c r="E853" s="19" t="s">
        <v>76</v>
      </c>
      <c r="F853" s="26" t="s">
        <v>197</v>
      </c>
      <c r="G853" s="27">
        <f>SUMIF(物料月初库存!$C$3:$C$303,$B853,物料月初库存!$F$3:$F$303)</f>
        <v>0</v>
      </c>
      <c r="H853" s="28">
        <f>SUMIF(半成品入库明细!$D$2:$D$650,$B853,半成品入库明细!$G$2:$G$650)</f>
        <v>12500</v>
      </c>
      <c r="I853" s="28">
        <f ca="1">SUMIF(半成品出库明细!$D$2:$D$558,$B853,半成品出库明细!$G$2:$G$2)</f>
        <v>0</v>
      </c>
      <c r="J853" s="28">
        <f ca="1" t="shared" si="15"/>
        <v>12500</v>
      </c>
      <c r="K853" s="29"/>
      <c r="L853" s="19"/>
    </row>
    <row r="854" s="3" customFormat="1" spans="1:12">
      <c r="A854" s="22">
        <v>752</v>
      </c>
      <c r="B854" s="23" t="s">
        <v>1539</v>
      </c>
      <c r="C854" s="25" t="s">
        <v>1538</v>
      </c>
      <c r="D854" s="25" t="s">
        <v>1533</v>
      </c>
      <c r="E854" s="28" t="s">
        <v>353</v>
      </c>
      <c r="F854" s="26" t="s">
        <v>197</v>
      </c>
      <c r="G854" s="27">
        <f>SUMIF(物料月初库存!$C$3:$C$303,$B854,物料月初库存!$F$3:$F$303)</f>
        <v>0</v>
      </c>
      <c r="H854" s="28">
        <f>SUMIF(半成品入库明细!$D$2:$D$650,$B854,半成品入库明细!$G$2:$G$650)</f>
        <v>0</v>
      </c>
      <c r="I854" s="28">
        <f ca="1">SUMIF(半成品出库明细!$D$2:$D$558,$B854,半成品出库明细!$G$2:$G$2)</f>
        <v>0</v>
      </c>
      <c r="J854" s="28">
        <f ca="1" t="shared" si="15"/>
        <v>0</v>
      </c>
      <c r="K854" s="29" t="s">
        <v>1271</v>
      </c>
      <c r="L854" s="19"/>
    </row>
    <row r="855" s="3" customFormat="1" spans="1:12">
      <c r="A855" s="22">
        <v>753</v>
      </c>
      <c r="B855" s="23" t="s">
        <v>1540</v>
      </c>
      <c r="C855" s="25" t="s">
        <v>1538</v>
      </c>
      <c r="D855" s="25" t="s">
        <v>1533</v>
      </c>
      <c r="E855" s="19" t="s">
        <v>225</v>
      </c>
      <c r="F855" s="26" t="s">
        <v>197</v>
      </c>
      <c r="G855" s="27">
        <f>SUMIF(物料月初库存!$C$3:$C$303,$B855,物料月初库存!$F$3:$F$303)</f>
        <v>0</v>
      </c>
      <c r="H855" s="28">
        <f>SUMIF(半成品入库明细!$D$2:$D$650,$B855,半成品入库明细!$G$2:$G$650)</f>
        <v>0</v>
      </c>
      <c r="I855" s="28">
        <f ca="1">SUMIF(半成品出库明细!$D$2:$D$558,$B855,半成品出库明细!$G$2:$G$2)</f>
        <v>0</v>
      </c>
      <c r="J855" s="28">
        <f ca="1" t="shared" si="15"/>
        <v>0</v>
      </c>
      <c r="K855" s="29" t="s">
        <v>92</v>
      </c>
      <c r="L855" s="19"/>
    </row>
    <row r="856" s="3" customFormat="1" spans="1:12">
      <c r="A856" s="22">
        <v>754</v>
      </c>
      <c r="B856" s="118" t="s">
        <v>1541</v>
      </c>
      <c r="C856" s="33" t="s">
        <v>1538</v>
      </c>
      <c r="D856" s="33" t="s">
        <v>1533</v>
      </c>
      <c r="E856" s="40" t="s">
        <v>287</v>
      </c>
      <c r="F856" s="38" t="s">
        <v>197</v>
      </c>
      <c r="G856" s="39">
        <f>SUMIF(物料月初库存!$C$3:$C$303,$B856,物料月初库存!$F$3:$F$303)</f>
        <v>0</v>
      </c>
      <c r="H856" s="40">
        <f>SUMIF(半成品入库明细!$D$2:$D$650,$B856,半成品入库明细!$G$2:$G$650)</f>
        <v>0</v>
      </c>
      <c r="I856" s="40">
        <f ca="1">SUMIF(半成品出库明细!$D$2:$D$558,$B856,半成品出库明细!$G$2:$G$2)</f>
        <v>0</v>
      </c>
      <c r="J856" s="40">
        <f ca="1" t="shared" si="15"/>
        <v>0</v>
      </c>
      <c r="K856" s="119" t="s">
        <v>1542</v>
      </c>
      <c r="L856" s="19"/>
    </row>
    <row r="857" s="3" customFormat="1" spans="1:12">
      <c r="A857" s="22">
        <v>755</v>
      </c>
      <c r="B857" s="118" t="s">
        <v>1543</v>
      </c>
      <c r="C857" s="33" t="s">
        <v>1538</v>
      </c>
      <c r="D857" s="33" t="s">
        <v>1533</v>
      </c>
      <c r="E857" s="40" t="s">
        <v>691</v>
      </c>
      <c r="F857" s="38" t="s">
        <v>197</v>
      </c>
      <c r="G857" s="39">
        <f>SUMIF(物料月初库存!$C$3:$C$303,$B857,物料月初库存!$F$3:$F$303)</f>
        <v>0</v>
      </c>
      <c r="H857" s="40">
        <f>SUMIF(半成品入库明细!$D$2:$D$650,$B857,半成品入库明细!$G$2:$G$650)</f>
        <v>0</v>
      </c>
      <c r="I857" s="40">
        <f ca="1">SUMIF(半成品出库明细!$D$2:$D$558,$B857,半成品出库明细!$G$2:$G$2)</f>
        <v>0</v>
      </c>
      <c r="J857" s="40">
        <f ca="1" t="shared" si="15"/>
        <v>0</v>
      </c>
      <c r="K857" s="119"/>
      <c r="L857" s="19"/>
    </row>
    <row r="858" s="3" customFormat="1" spans="1:12">
      <c r="A858" s="22">
        <v>756</v>
      </c>
      <c r="B858" s="117" t="s">
        <v>1544</v>
      </c>
      <c r="C858" s="25" t="s">
        <v>1538</v>
      </c>
      <c r="D858" s="25" t="s">
        <v>1533</v>
      </c>
      <c r="E858" s="28" t="s">
        <v>199</v>
      </c>
      <c r="F858" s="26" t="s">
        <v>197</v>
      </c>
      <c r="G858" s="27">
        <f>SUMIF(物料月初库存!$C$3:$C$303,$B858,物料月初库存!$F$3:$F$303)</f>
        <v>0</v>
      </c>
      <c r="H858" s="28">
        <f>SUMIF(半成品入库明细!$D$2:$D$650,$B858,半成品入库明细!$G$2:$G$650)</f>
        <v>0</v>
      </c>
      <c r="I858" s="28">
        <f ca="1">SUMIF(半成品出库明细!$D$2:$D$558,$B858,半成品出库明细!$G$2:$G$2)</f>
        <v>0</v>
      </c>
      <c r="J858" s="28">
        <f ca="1" t="shared" si="15"/>
        <v>0</v>
      </c>
      <c r="K858" s="29" t="s">
        <v>1545</v>
      </c>
      <c r="L858" s="19" t="s">
        <v>202</v>
      </c>
    </row>
    <row r="859" s="3" customFormat="1" spans="1:12">
      <c r="A859" s="22">
        <v>757</v>
      </c>
      <c r="B859" s="23" t="s">
        <v>1546</v>
      </c>
      <c r="C859" s="25" t="s">
        <v>1547</v>
      </c>
      <c r="D859" s="25" t="s">
        <v>1533</v>
      </c>
      <c r="E859" s="19" t="s">
        <v>76</v>
      </c>
      <c r="F859" s="26" t="s">
        <v>197</v>
      </c>
      <c r="G859" s="27">
        <f>SUMIF(物料月初库存!$C$3:$C$303,$B859,物料月初库存!$F$3:$F$303)</f>
        <v>0</v>
      </c>
      <c r="H859" s="28">
        <f>SUMIF(半成品入库明细!$D$2:$D$650,$B859,半成品入库明细!$G$2:$G$650)</f>
        <v>0</v>
      </c>
      <c r="I859" s="28">
        <f ca="1">SUMIF(半成品出库明细!$D$2:$D$558,$B859,半成品出库明细!$G$2:$G$2)</f>
        <v>0</v>
      </c>
      <c r="J859" s="28">
        <f ca="1" t="shared" si="15"/>
        <v>0</v>
      </c>
      <c r="K859" s="29"/>
      <c r="L859" s="19"/>
    </row>
    <row r="860" s="3" customFormat="1" spans="1:12">
      <c r="A860" s="22">
        <v>758</v>
      </c>
      <c r="B860" s="23" t="s">
        <v>1548</v>
      </c>
      <c r="C860" s="25" t="s">
        <v>1547</v>
      </c>
      <c r="D860" s="25" t="s">
        <v>1533</v>
      </c>
      <c r="E860" s="28" t="s">
        <v>353</v>
      </c>
      <c r="F860" s="26" t="s">
        <v>197</v>
      </c>
      <c r="G860" s="27">
        <f>SUMIF(物料月初库存!$C$3:$C$303,$B860,物料月初库存!$F$3:$F$303)</f>
        <v>0</v>
      </c>
      <c r="H860" s="28">
        <f>SUMIF(半成品入库明细!$D$2:$D$650,$B860,半成品入库明细!$G$2:$G$650)</f>
        <v>0</v>
      </c>
      <c r="I860" s="28">
        <f ca="1">SUMIF(半成品出库明细!$D$2:$D$558,$B860,半成品出库明细!$G$2:$G$2)</f>
        <v>0</v>
      </c>
      <c r="J860" s="28">
        <f ca="1" t="shared" si="15"/>
        <v>0</v>
      </c>
      <c r="K860" s="29"/>
      <c r="L860" s="19"/>
    </row>
    <row r="861" s="3" customFormat="1" spans="1:12">
      <c r="A861" s="22"/>
      <c r="B861" s="23" t="s">
        <v>1549</v>
      </c>
      <c r="C861" s="25" t="s">
        <v>1547</v>
      </c>
      <c r="D861" s="25" t="s">
        <v>1533</v>
      </c>
      <c r="E861" s="73" t="s">
        <v>235</v>
      </c>
      <c r="F861" s="26" t="s">
        <v>197</v>
      </c>
      <c r="G861" s="27">
        <f>SUMIF(物料月初库存!$C$3:$C$303,$B861,物料月初库存!$F$3:$F$303)</f>
        <v>0</v>
      </c>
      <c r="H861" s="28">
        <f>SUMIF(半成品入库明细!$D$2:$D$650,$B861,半成品入库明细!$G$2:$G$650)</f>
        <v>0</v>
      </c>
      <c r="I861" s="28">
        <f ca="1">SUMIF(半成品出库明细!$D$2:$D$558,$B861,半成品出库明细!$G$2:$G$2)</f>
        <v>0</v>
      </c>
      <c r="J861" s="28">
        <f ca="1" t="shared" si="15"/>
        <v>0</v>
      </c>
      <c r="K861" s="29"/>
      <c r="L861" s="19"/>
    </row>
    <row r="862" s="3" customFormat="1" ht="16" customHeight="1" spans="1:12">
      <c r="A862" s="22">
        <v>759</v>
      </c>
      <c r="B862" s="23" t="s">
        <v>1550</v>
      </c>
      <c r="C862" s="25" t="s">
        <v>1547</v>
      </c>
      <c r="D862" s="25" t="s">
        <v>1533</v>
      </c>
      <c r="E862" s="28" t="s">
        <v>691</v>
      </c>
      <c r="F862" s="26" t="s">
        <v>197</v>
      </c>
      <c r="G862" s="27">
        <f>SUMIF(物料月初库存!$C$3:$C$303,$B862,物料月初库存!$F$3:$F$303)</f>
        <v>0</v>
      </c>
      <c r="H862" s="28">
        <f>SUMIF(半成品入库明细!$D$2:$D$650,$B862,半成品入库明细!$G$2:$G$650)</f>
        <v>0</v>
      </c>
      <c r="I862" s="28">
        <f ca="1">SUMIF(半成品出库明细!$D$2:$D$558,$B862,半成品出库明细!$G$2:$G$2)</f>
        <v>0</v>
      </c>
      <c r="J862" s="28">
        <f ca="1" t="shared" si="15"/>
        <v>0</v>
      </c>
      <c r="K862" s="29"/>
      <c r="L862" s="19"/>
    </row>
    <row r="863" s="3" customFormat="1" spans="1:12">
      <c r="A863" s="22">
        <v>760</v>
      </c>
      <c r="B863" s="23" t="s">
        <v>1551</v>
      </c>
      <c r="C863" s="25" t="s">
        <v>1547</v>
      </c>
      <c r="D863" s="25" t="s">
        <v>1533</v>
      </c>
      <c r="E863" s="28" t="s">
        <v>199</v>
      </c>
      <c r="F863" s="26" t="s">
        <v>197</v>
      </c>
      <c r="G863" s="27">
        <f>SUMIF(物料月初库存!$C$3:$C$303,$B863,物料月初库存!$F$3:$F$303)</f>
        <v>0</v>
      </c>
      <c r="H863" s="28">
        <f>SUMIF(半成品入库明细!$D$2:$D$650,$B863,半成品入库明细!$G$2:$G$650)</f>
        <v>0</v>
      </c>
      <c r="I863" s="28">
        <f ca="1">SUMIF(半成品出库明细!$D$2:$D$558,$B863,半成品出库明细!$G$2:$G$2)</f>
        <v>0</v>
      </c>
      <c r="J863" s="28">
        <f ca="1" t="shared" si="15"/>
        <v>0</v>
      </c>
      <c r="K863" s="29"/>
      <c r="L863" s="19" t="s">
        <v>202</v>
      </c>
    </row>
    <row r="864" s="3" customFormat="1" spans="1:12">
      <c r="A864" s="22">
        <v>761</v>
      </c>
      <c r="B864" s="23" t="s">
        <v>1552</v>
      </c>
      <c r="C864" s="25" t="s">
        <v>1553</v>
      </c>
      <c r="D864" s="25" t="s">
        <v>1533</v>
      </c>
      <c r="E864" s="19" t="s">
        <v>76</v>
      </c>
      <c r="F864" s="26" t="s">
        <v>197</v>
      </c>
      <c r="G864" s="27">
        <f>SUMIF(物料月初库存!$C$3:$C$303,$B864,物料月初库存!$F$3:$F$303)</f>
        <v>0</v>
      </c>
      <c r="H864" s="28">
        <f>SUMIF(半成品入库明细!$D$2:$D$650,$B864,半成品入库明细!$G$2:$G$650)</f>
        <v>0</v>
      </c>
      <c r="I864" s="28">
        <f ca="1">SUMIF(半成品出库明细!$D$2:$D$558,$B864,半成品出库明细!$G$2:$G$2)</f>
        <v>0</v>
      </c>
      <c r="J864" s="28">
        <f ca="1" t="shared" si="15"/>
        <v>0</v>
      </c>
      <c r="K864" s="29">
        <v>1</v>
      </c>
      <c r="L864" s="19"/>
    </row>
    <row r="865" s="3" customFormat="1" spans="1:12">
      <c r="A865" s="22">
        <v>762</v>
      </c>
      <c r="B865" s="23" t="s">
        <v>1554</v>
      </c>
      <c r="C865" s="25" t="s">
        <v>1553</v>
      </c>
      <c r="D865" s="25" t="s">
        <v>1533</v>
      </c>
      <c r="E865" s="28" t="s">
        <v>353</v>
      </c>
      <c r="F865" s="26" t="s">
        <v>197</v>
      </c>
      <c r="G865" s="27">
        <f>SUMIF(物料月初库存!$C$3:$C$303,$B865,物料月初库存!$F$3:$F$303)</f>
        <v>0</v>
      </c>
      <c r="H865" s="28">
        <f>SUMIF(半成品入库明细!$D$2:$D$650,$B865,半成品入库明细!$G$2:$G$650)</f>
        <v>0</v>
      </c>
      <c r="I865" s="28">
        <f ca="1">SUMIF(半成品出库明细!$D$2:$D$558,$B865,半成品出库明细!$G$2:$G$2)</f>
        <v>0</v>
      </c>
      <c r="J865" s="28">
        <f ca="1" t="shared" si="15"/>
        <v>0</v>
      </c>
      <c r="K865" s="29" t="s">
        <v>1271</v>
      </c>
      <c r="L865" s="19"/>
    </row>
    <row r="866" s="3" customFormat="1" spans="1:12">
      <c r="A866" s="22"/>
      <c r="B866" s="23" t="s">
        <v>1555</v>
      </c>
      <c r="C866" s="25" t="s">
        <v>1553</v>
      </c>
      <c r="D866" s="25" t="s">
        <v>1533</v>
      </c>
      <c r="E866" s="73" t="s">
        <v>235</v>
      </c>
      <c r="F866" s="26" t="s">
        <v>197</v>
      </c>
      <c r="G866" s="27">
        <f>SUMIF(物料月初库存!$C$3:$C$303,$B866,物料月初库存!$F$3:$F$303)</f>
        <v>0</v>
      </c>
      <c r="H866" s="28">
        <f>SUMIF(半成品入库明细!$D$2:$D$650,$B866,半成品入库明细!$G$2:$G$650)</f>
        <v>0</v>
      </c>
      <c r="I866" s="28">
        <f ca="1">SUMIF(半成品出库明细!$D$2:$D$558,$B866,半成品出库明细!$G$2:$G$2)</f>
        <v>0</v>
      </c>
      <c r="J866" s="28">
        <f ca="1" t="shared" si="15"/>
        <v>0</v>
      </c>
      <c r="K866" s="29" t="s">
        <v>244</v>
      </c>
      <c r="L866" s="19"/>
    </row>
    <row r="867" s="3" customFormat="1" spans="1:12">
      <c r="A867" s="22">
        <v>763</v>
      </c>
      <c r="B867" s="23" t="s">
        <v>1556</v>
      </c>
      <c r="C867" s="25" t="s">
        <v>1553</v>
      </c>
      <c r="D867" s="25" t="s">
        <v>1533</v>
      </c>
      <c r="E867" s="28" t="s">
        <v>225</v>
      </c>
      <c r="F867" s="26" t="s">
        <v>197</v>
      </c>
      <c r="G867" s="27">
        <f>SUMIF(物料月初库存!$C$3:$C$303,$B867,物料月初库存!$F$3:$F$303)</f>
        <v>0</v>
      </c>
      <c r="H867" s="28">
        <f>SUMIF(半成品入库明细!$D$2:$D$650,$B867,半成品入库明细!$G$2:$G$650)</f>
        <v>0</v>
      </c>
      <c r="I867" s="28">
        <f ca="1">SUMIF(半成品出库明细!$D$2:$D$558,$B867,半成品出库明细!$G$2:$G$2)</f>
        <v>0</v>
      </c>
      <c r="J867" s="28">
        <f ca="1" t="shared" si="15"/>
        <v>0</v>
      </c>
      <c r="K867" s="30" t="s">
        <v>92</v>
      </c>
      <c r="L867" s="19"/>
    </row>
    <row r="868" s="3" customFormat="1" spans="1:12">
      <c r="A868" s="22">
        <v>764</v>
      </c>
      <c r="B868" s="23" t="s">
        <v>1557</v>
      </c>
      <c r="C868" s="25" t="s">
        <v>1553</v>
      </c>
      <c r="D868" s="25" t="s">
        <v>1533</v>
      </c>
      <c r="E868" s="28" t="s">
        <v>199</v>
      </c>
      <c r="F868" s="26" t="s">
        <v>197</v>
      </c>
      <c r="G868" s="27">
        <f>SUMIF(物料月初库存!$C$3:$C$303,$B868,物料月初库存!$F$3:$F$303)</f>
        <v>0</v>
      </c>
      <c r="H868" s="28">
        <f>SUMIF(半成品入库明细!$D$2:$D$650,$B868,半成品入库明细!$G$2:$G$650)</f>
        <v>0</v>
      </c>
      <c r="I868" s="28">
        <f ca="1">SUMIF(半成品出库明细!$D$2:$D$558,$B868,半成品出库明细!$G$2:$G$2)</f>
        <v>0</v>
      </c>
      <c r="J868" s="28">
        <f ca="1" t="shared" si="15"/>
        <v>0</v>
      </c>
      <c r="K868" s="30" t="s">
        <v>1558</v>
      </c>
      <c r="L868" s="19" t="s">
        <v>202</v>
      </c>
    </row>
    <row r="869" s="3" customFormat="1" spans="1:12">
      <c r="A869" s="22">
        <v>766</v>
      </c>
      <c r="B869" s="23" t="s">
        <v>1559</v>
      </c>
      <c r="C869" s="25" t="s">
        <v>1560</v>
      </c>
      <c r="D869" s="25" t="s">
        <v>1533</v>
      </c>
      <c r="E869" s="19" t="s">
        <v>76</v>
      </c>
      <c r="F869" s="26" t="s">
        <v>197</v>
      </c>
      <c r="G869" s="27">
        <f>SUMIF(物料月初库存!$C$3:$C$303,$B869,物料月初库存!$F$3:$F$303)</f>
        <v>0</v>
      </c>
      <c r="H869" s="28">
        <f>SUMIF(半成品入库明细!$D$2:$D$650,$B869,半成品入库明细!$G$2:$G$650)</f>
        <v>0</v>
      </c>
      <c r="I869" s="28">
        <f ca="1">SUMIF(半成品出库明细!$D$2:$D$558,$B869,半成品出库明细!$G$2:$G$2)</f>
        <v>0</v>
      </c>
      <c r="J869" s="28">
        <f ca="1" t="shared" si="15"/>
        <v>0</v>
      </c>
      <c r="K869" s="29"/>
      <c r="L869" s="19"/>
    </row>
    <row r="870" s="3" customFormat="1" spans="1:12">
      <c r="A870" s="22">
        <v>767</v>
      </c>
      <c r="B870" s="36" t="s">
        <v>1561</v>
      </c>
      <c r="C870" s="33" t="s">
        <v>1560</v>
      </c>
      <c r="D870" s="33" t="s">
        <v>1533</v>
      </c>
      <c r="E870" s="37" t="s">
        <v>225</v>
      </c>
      <c r="F870" s="38" t="s">
        <v>197</v>
      </c>
      <c r="G870" s="39">
        <f>SUMIF(物料月初库存!$C$3:$C$303,$B870,物料月初库存!$F$3:$F$303)</f>
        <v>0</v>
      </c>
      <c r="H870" s="40">
        <f>SUMIF(半成品入库明细!$D$2:$D$650,$B870,半成品入库明细!$G$2:$G$650)</f>
        <v>0</v>
      </c>
      <c r="I870" s="40">
        <f ca="1">SUMIF(半成品出库明细!$D$2:$D$558,$B870,半成品出库明细!$G$2:$G$2)</f>
        <v>0</v>
      </c>
      <c r="J870" s="40">
        <f ca="1" t="shared" si="15"/>
        <v>0</v>
      </c>
      <c r="K870" s="29" t="s">
        <v>1562</v>
      </c>
      <c r="L870" s="19"/>
    </row>
    <row r="871" s="3" customFormat="1" spans="1:12">
      <c r="A871" s="22">
        <v>768</v>
      </c>
      <c r="B871" s="23" t="s">
        <v>1563</v>
      </c>
      <c r="C871" s="25" t="s">
        <v>1560</v>
      </c>
      <c r="D871" s="25" t="s">
        <v>1533</v>
      </c>
      <c r="E871" s="28" t="s">
        <v>199</v>
      </c>
      <c r="F871" s="26" t="s">
        <v>197</v>
      </c>
      <c r="G871" s="27">
        <f>SUMIF(物料月初库存!$C$3:$C$303,$B871,物料月初库存!$F$3:$F$303)</f>
        <v>0</v>
      </c>
      <c r="H871" s="28">
        <f>SUMIF(半成品入库明细!$D$2:$D$650,$B871,半成品入库明细!$G$2:$G$650)</f>
        <v>0</v>
      </c>
      <c r="I871" s="28">
        <f ca="1">SUMIF(半成品出库明细!$D$2:$D$558,$B871,半成品出库明细!$G$2:$G$2)</f>
        <v>0</v>
      </c>
      <c r="J871" s="28">
        <f ca="1" t="shared" si="15"/>
        <v>0</v>
      </c>
      <c r="K871" s="29" t="s">
        <v>1239</v>
      </c>
      <c r="L871" s="19" t="s">
        <v>202</v>
      </c>
    </row>
    <row r="872" s="3" customFormat="1" spans="1:12">
      <c r="A872" s="22">
        <v>769</v>
      </c>
      <c r="B872" s="23" t="s">
        <v>1564</v>
      </c>
      <c r="C872" s="25" t="s">
        <v>1565</v>
      </c>
      <c r="D872" s="25" t="s">
        <v>1533</v>
      </c>
      <c r="E872" s="19" t="s">
        <v>76</v>
      </c>
      <c r="F872" s="26" t="s">
        <v>197</v>
      </c>
      <c r="G872" s="27">
        <f>SUMIF(物料月初库存!$C$3:$C$303,$B872,物料月初库存!$F$3:$F$303)</f>
        <v>0</v>
      </c>
      <c r="H872" s="28">
        <f>SUMIF(半成品入库明细!$D$2:$D$650,$B872,半成品入库明细!$G$2:$G$650)</f>
        <v>0</v>
      </c>
      <c r="I872" s="28">
        <f ca="1">SUMIF(半成品出库明细!$D$2:$D$558,$B872,半成品出库明细!$G$2:$G$2)</f>
        <v>0</v>
      </c>
      <c r="J872" s="28">
        <f ca="1" t="shared" si="15"/>
        <v>0</v>
      </c>
      <c r="K872" s="29"/>
      <c r="L872" s="19"/>
    </row>
    <row r="873" s="3" customFormat="1" spans="1:12">
      <c r="A873" s="22">
        <v>770</v>
      </c>
      <c r="B873" s="23" t="s">
        <v>1566</v>
      </c>
      <c r="C873" s="25" t="s">
        <v>1565</v>
      </c>
      <c r="D873" s="25" t="s">
        <v>1533</v>
      </c>
      <c r="E873" s="28" t="s">
        <v>464</v>
      </c>
      <c r="F873" s="26" t="s">
        <v>197</v>
      </c>
      <c r="G873" s="27">
        <f>SUMIF(物料月初库存!$C$3:$C$303,$B873,物料月初库存!$F$3:$F$303)</f>
        <v>0</v>
      </c>
      <c r="H873" s="28">
        <f>SUMIF(半成品入库明细!$D$2:$D$650,$B873,半成品入库明细!$G$2:$G$650)</f>
        <v>0</v>
      </c>
      <c r="I873" s="28">
        <f ca="1">SUMIF(半成品出库明细!$D$2:$D$558,$B873,半成品出库明细!$G$2:$G$2)</f>
        <v>0</v>
      </c>
      <c r="J873" s="28">
        <f ca="1" t="shared" si="15"/>
        <v>0</v>
      </c>
      <c r="K873" s="29"/>
      <c r="L873" s="19"/>
    </row>
    <row r="874" s="3" customFormat="1" spans="1:12">
      <c r="A874" s="22">
        <v>771</v>
      </c>
      <c r="B874" s="23" t="s">
        <v>1567</v>
      </c>
      <c r="C874" s="25" t="s">
        <v>1565</v>
      </c>
      <c r="D874" s="25" t="s">
        <v>1533</v>
      </c>
      <c r="E874" s="19" t="s">
        <v>256</v>
      </c>
      <c r="F874" s="26" t="s">
        <v>197</v>
      </c>
      <c r="G874" s="27">
        <f>SUMIF(物料月初库存!$C$3:$C$303,$B874,物料月初库存!$F$3:$F$303)</f>
        <v>0</v>
      </c>
      <c r="H874" s="28">
        <f>SUMIF(半成品入库明细!$D$2:$D$650,$B874,半成品入库明细!$G$2:$G$650)</f>
        <v>0</v>
      </c>
      <c r="I874" s="28">
        <f ca="1">SUMIF(半成品出库明细!$D$2:$D$558,$B874,半成品出库明细!$G$2:$G$2)</f>
        <v>0</v>
      </c>
      <c r="J874" s="28">
        <f ca="1" t="shared" si="15"/>
        <v>0</v>
      </c>
      <c r="K874" s="29"/>
      <c r="L874" s="19" t="s">
        <v>202</v>
      </c>
    </row>
    <row r="875" s="3" customFormat="1" spans="1:12">
      <c r="A875" s="22">
        <v>772</v>
      </c>
      <c r="B875" s="23" t="s">
        <v>1568</v>
      </c>
      <c r="C875" s="25" t="s">
        <v>1569</v>
      </c>
      <c r="D875" s="25" t="s">
        <v>1533</v>
      </c>
      <c r="E875" s="19" t="s">
        <v>76</v>
      </c>
      <c r="F875" s="26" t="s">
        <v>197</v>
      </c>
      <c r="G875" s="27">
        <f>SUMIF(物料月初库存!$C$3:$C$303,$B875,物料月初库存!$F$3:$F$303)</f>
        <v>0</v>
      </c>
      <c r="H875" s="28">
        <f>SUMIF(半成品入库明细!$D$2:$D$650,$B875,半成品入库明细!$G$2:$G$650)</f>
        <v>0</v>
      </c>
      <c r="I875" s="28">
        <f ca="1">SUMIF(半成品出库明细!$D$2:$D$558,$B875,半成品出库明细!$G$2:$G$2)</f>
        <v>0</v>
      </c>
      <c r="J875" s="28">
        <f ca="1" t="shared" si="15"/>
        <v>0</v>
      </c>
      <c r="K875" s="119">
        <v>1</v>
      </c>
      <c r="L875" s="19"/>
    </row>
    <row r="876" s="3" customFormat="1" spans="1:12">
      <c r="A876" s="22">
        <v>774</v>
      </c>
      <c r="B876" s="23" t="s">
        <v>1570</v>
      </c>
      <c r="C876" s="25" t="s">
        <v>1569</v>
      </c>
      <c r="D876" s="25" t="s">
        <v>1533</v>
      </c>
      <c r="E876" s="50" t="s">
        <v>691</v>
      </c>
      <c r="F876" s="26" t="s">
        <v>197</v>
      </c>
      <c r="G876" s="27">
        <f>SUMIF(物料月初库存!$C$3:$C$303,$B876,物料月初库存!$F$3:$F$303)</f>
        <v>0</v>
      </c>
      <c r="H876" s="28">
        <f>SUMIF(半成品入库明细!$D$2:$D$650,$B876,半成品入库明细!$G$2:$G$650)</f>
        <v>0</v>
      </c>
      <c r="I876" s="28">
        <f ca="1">SUMIF(半成品出库明细!$D$2:$D$558,$B876,半成品出库明细!$G$2:$G$2)</f>
        <v>0</v>
      </c>
      <c r="J876" s="28">
        <f ca="1" t="shared" si="15"/>
        <v>0</v>
      </c>
      <c r="K876" s="119" t="s">
        <v>1571</v>
      </c>
      <c r="L876" s="19"/>
    </row>
    <row r="877" s="3" customFormat="1" spans="1:12">
      <c r="A877" s="22">
        <v>775</v>
      </c>
      <c r="B877" s="23" t="s">
        <v>1572</v>
      </c>
      <c r="C877" s="25" t="s">
        <v>1569</v>
      </c>
      <c r="D877" s="25" t="s">
        <v>1533</v>
      </c>
      <c r="E877" s="28" t="s">
        <v>199</v>
      </c>
      <c r="F877" s="26" t="s">
        <v>197</v>
      </c>
      <c r="G877" s="27">
        <f>SUMIF(物料月初库存!$C$3:$C$303,$B877,物料月初库存!$F$3:$F$303)</f>
        <v>0</v>
      </c>
      <c r="H877" s="28">
        <f>SUMIF(半成品入库明细!$D$2:$D$650,$B877,半成品入库明细!$G$2:$G$650)</f>
        <v>0</v>
      </c>
      <c r="I877" s="28">
        <f ca="1">SUMIF(半成品出库明细!$D$2:$D$558,$B877,半成品出库明细!$G$2:$G$2)</f>
        <v>0</v>
      </c>
      <c r="J877" s="28">
        <f ca="1" t="shared" si="15"/>
        <v>0</v>
      </c>
      <c r="K877" s="119" t="s">
        <v>1573</v>
      </c>
      <c r="L877" s="19" t="s">
        <v>202</v>
      </c>
    </row>
    <row r="878" s="3" customFormat="1" spans="1:12">
      <c r="A878" s="22">
        <v>773</v>
      </c>
      <c r="B878" s="23" t="s">
        <v>1574</v>
      </c>
      <c r="C878" s="25" t="s">
        <v>1569</v>
      </c>
      <c r="D878" s="25" t="s">
        <v>1533</v>
      </c>
      <c r="E878" s="28" t="s">
        <v>353</v>
      </c>
      <c r="F878" s="26" t="s">
        <v>197</v>
      </c>
      <c r="G878" s="27">
        <f>SUMIF(物料月初库存!$C$3:$C$303,$B878,物料月初库存!$F$3:$F$303)</f>
        <v>0</v>
      </c>
      <c r="H878" s="28">
        <f>SUMIF(半成品入库明细!$D$2:$D$650,$B878,半成品入库明细!$G$2:$G$650)</f>
        <v>0</v>
      </c>
      <c r="I878" s="28">
        <f ca="1">SUMIF(半成品出库明细!$D$2:$D$558,$B878,半成品出库明细!$G$2:$G$2)</f>
        <v>0</v>
      </c>
      <c r="J878" s="28">
        <f ca="1" t="shared" si="15"/>
        <v>0</v>
      </c>
      <c r="K878" s="119" t="s">
        <v>1575</v>
      </c>
      <c r="L878" s="19"/>
    </row>
    <row r="879" s="3" customFormat="1" spans="1:12">
      <c r="A879" s="22">
        <v>776</v>
      </c>
      <c r="B879" s="23" t="s">
        <v>1576</v>
      </c>
      <c r="C879" s="25" t="s">
        <v>1577</v>
      </c>
      <c r="D879" s="25" t="s">
        <v>1533</v>
      </c>
      <c r="E879" s="19" t="s">
        <v>76</v>
      </c>
      <c r="F879" s="26" t="s">
        <v>197</v>
      </c>
      <c r="G879" s="27">
        <f>SUMIF(物料月初库存!$C$3:$C$303,$B879,物料月初库存!$F$3:$F$303)</f>
        <v>0</v>
      </c>
      <c r="H879" s="28">
        <f>SUMIF(半成品入库明细!$D$2:$D$650,$B879,半成品入库明细!$G$2:$G$650)</f>
        <v>0</v>
      </c>
      <c r="I879" s="28">
        <f ca="1">SUMIF(半成品出库明细!$D$2:$D$558,$B879,半成品出库明细!$G$2:$G$2)</f>
        <v>0</v>
      </c>
      <c r="J879" s="28">
        <f ca="1" t="shared" si="15"/>
        <v>0</v>
      </c>
      <c r="K879" s="29"/>
      <c r="L879" s="19" t="s">
        <v>202</v>
      </c>
    </row>
    <row r="880" s="3" customFormat="1" spans="1:12">
      <c r="A880" s="22">
        <v>777</v>
      </c>
      <c r="B880" s="23" t="s">
        <v>1578</v>
      </c>
      <c r="C880" s="25" t="s">
        <v>1579</v>
      </c>
      <c r="D880" s="25" t="s">
        <v>1533</v>
      </c>
      <c r="E880" s="19" t="s">
        <v>76</v>
      </c>
      <c r="F880" s="26" t="s">
        <v>197</v>
      </c>
      <c r="G880" s="27">
        <f>SUMIF(物料月初库存!$C$3:$C$303,$B880,物料月初库存!$F$3:$F$303)</f>
        <v>0</v>
      </c>
      <c r="H880" s="28">
        <f>SUMIF(半成品入库明细!$D$2:$D$650,$B880,半成品入库明细!$G$2:$G$650)</f>
        <v>0</v>
      </c>
      <c r="I880" s="28">
        <f ca="1">SUMIF(半成品出库明细!$D$2:$D$558,$B880,半成品出库明细!$G$2:$G$2)</f>
        <v>0</v>
      </c>
      <c r="J880" s="28">
        <f ca="1" t="shared" si="15"/>
        <v>0</v>
      </c>
      <c r="K880" s="29"/>
      <c r="L880" s="19" t="s">
        <v>202</v>
      </c>
    </row>
    <row r="881" s="3" customFormat="1" spans="1:12">
      <c r="A881" s="22">
        <v>778</v>
      </c>
      <c r="B881" s="23" t="s">
        <v>1580</v>
      </c>
      <c r="C881" s="25" t="s">
        <v>1581</v>
      </c>
      <c r="D881" s="25" t="s">
        <v>1533</v>
      </c>
      <c r="E881" s="19" t="s">
        <v>76</v>
      </c>
      <c r="F881" s="26" t="s">
        <v>197</v>
      </c>
      <c r="G881" s="27">
        <f>SUMIF(物料月初库存!$C$3:$C$303,$B881,物料月初库存!$F$3:$F$303)</f>
        <v>0</v>
      </c>
      <c r="H881" s="28">
        <f>SUMIF(半成品入库明细!$D$2:$D$650,$B881,半成品入库明细!$G$2:$G$650)</f>
        <v>0</v>
      </c>
      <c r="I881" s="28">
        <f ca="1">SUMIF(半成品出库明细!$D$2:$D$558,$B881,半成品出库明细!$G$2:$G$2)</f>
        <v>0</v>
      </c>
      <c r="J881" s="28">
        <f ca="1" t="shared" si="15"/>
        <v>0</v>
      </c>
      <c r="K881" s="29"/>
      <c r="L881" s="19"/>
    </row>
    <row r="882" s="3" customFormat="1" spans="1:12">
      <c r="A882" s="22">
        <v>779</v>
      </c>
      <c r="B882" s="23" t="s">
        <v>1582</v>
      </c>
      <c r="C882" s="25" t="s">
        <v>1581</v>
      </c>
      <c r="D882" s="25" t="s">
        <v>1533</v>
      </c>
      <c r="E882" s="28" t="s">
        <v>199</v>
      </c>
      <c r="F882" s="26" t="s">
        <v>197</v>
      </c>
      <c r="G882" s="27">
        <f>SUMIF(物料月初库存!$C$3:$C$303,$B882,物料月初库存!$F$3:$F$303)</f>
        <v>0</v>
      </c>
      <c r="H882" s="28">
        <f>SUMIF(半成品入库明细!$D$2:$D$650,$B882,半成品入库明细!$G$2:$G$650)</f>
        <v>0</v>
      </c>
      <c r="I882" s="28">
        <f ca="1">SUMIF(半成品出库明细!$D$2:$D$558,$B882,半成品出库明细!$G$2:$G$2)</f>
        <v>0</v>
      </c>
      <c r="J882" s="28">
        <f ca="1" t="shared" si="15"/>
        <v>0</v>
      </c>
      <c r="K882" s="29"/>
      <c r="L882" s="19" t="s">
        <v>202</v>
      </c>
    </row>
    <row r="883" s="3" customFormat="1" spans="1:12">
      <c r="A883" s="22">
        <v>780</v>
      </c>
      <c r="B883" s="23" t="s">
        <v>1583</v>
      </c>
      <c r="C883" s="41" t="s">
        <v>1584</v>
      </c>
      <c r="D883" s="25" t="s">
        <v>1585</v>
      </c>
      <c r="E883" s="19" t="s">
        <v>76</v>
      </c>
      <c r="F883" s="26" t="s">
        <v>197</v>
      </c>
      <c r="G883" s="27">
        <f>SUMIF(物料月初库存!$C$3:$C$303,$B883,物料月初库存!$F$3:$F$303)</f>
        <v>0</v>
      </c>
      <c r="H883" s="28">
        <f>SUMIF(半成品入库明细!$D$2:$D$650,$B883,半成品入库明细!$G$2:$G$650)</f>
        <v>0</v>
      </c>
      <c r="I883" s="28">
        <f ca="1">SUMIF(半成品出库明细!$D$2:$D$558,$B883,半成品出库明细!$G$2:$G$2)</f>
        <v>0</v>
      </c>
      <c r="J883" s="28">
        <f ca="1" t="shared" si="15"/>
        <v>0</v>
      </c>
      <c r="K883" s="29"/>
      <c r="L883" s="19"/>
    </row>
    <row r="884" s="3" customFormat="1" spans="1:12">
      <c r="A884" s="22">
        <v>781</v>
      </c>
      <c r="B884" s="23" t="s">
        <v>1586</v>
      </c>
      <c r="C884" s="41" t="s">
        <v>1587</v>
      </c>
      <c r="D884" s="25" t="s">
        <v>1585</v>
      </c>
      <c r="E884" s="19" t="s">
        <v>76</v>
      </c>
      <c r="F884" s="26" t="s">
        <v>197</v>
      </c>
      <c r="G884" s="27">
        <f>SUMIF(物料月初库存!$C$3:$C$303,$B884,物料月初库存!$F$3:$F$303)</f>
        <v>0</v>
      </c>
      <c r="H884" s="28">
        <f>SUMIF(半成品入库明细!$D$2:$D$650,$B884,半成品入库明细!$G$2:$G$650)</f>
        <v>0</v>
      </c>
      <c r="I884" s="28">
        <f ca="1">SUMIF(半成品出库明细!$D$2:$D$558,$B884,半成品出库明细!$G$2:$G$2)</f>
        <v>0</v>
      </c>
      <c r="J884" s="28">
        <f ca="1" t="shared" si="15"/>
        <v>0</v>
      </c>
      <c r="K884" s="29"/>
      <c r="L884" s="19"/>
    </row>
    <row r="885" s="3" customFormat="1" spans="1:12">
      <c r="A885" s="22">
        <v>782</v>
      </c>
      <c r="B885" s="23" t="s">
        <v>1588</v>
      </c>
      <c r="C885" s="41" t="s">
        <v>1589</v>
      </c>
      <c r="D885" s="25" t="s">
        <v>1585</v>
      </c>
      <c r="E885" s="19" t="s">
        <v>76</v>
      </c>
      <c r="F885" s="26" t="s">
        <v>197</v>
      </c>
      <c r="G885" s="27">
        <f>SUMIF(物料月初库存!$C$3:$C$303,$B885,物料月初库存!$F$3:$F$303)</f>
        <v>0</v>
      </c>
      <c r="H885" s="28">
        <f>SUMIF(半成品入库明细!$D$2:$D$650,$B885,半成品入库明细!$G$2:$G$650)</f>
        <v>0</v>
      </c>
      <c r="I885" s="28">
        <f ca="1">SUMIF(半成品出库明细!$D$2:$D$558,$B885,半成品出库明细!$G$2:$G$2)</f>
        <v>0</v>
      </c>
      <c r="J885" s="28">
        <f ca="1" t="shared" si="15"/>
        <v>0</v>
      </c>
      <c r="K885" s="29"/>
      <c r="L885" s="19"/>
    </row>
    <row r="886" s="3" customFormat="1" spans="1:12">
      <c r="A886" s="22">
        <v>783</v>
      </c>
      <c r="B886" s="23" t="s">
        <v>1590</v>
      </c>
      <c r="C886" s="41" t="s">
        <v>1591</v>
      </c>
      <c r="D886" s="25" t="s">
        <v>1585</v>
      </c>
      <c r="E886" s="19" t="s">
        <v>76</v>
      </c>
      <c r="F886" s="26" t="s">
        <v>197</v>
      </c>
      <c r="G886" s="27">
        <f>SUMIF(物料月初库存!$C$3:$C$303,$B886,物料月初库存!$F$3:$F$303)</f>
        <v>0</v>
      </c>
      <c r="H886" s="28">
        <f>SUMIF(半成品入库明细!$D$2:$D$650,$B886,半成品入库明细!$G$2:$G$650)</f>
        <v>0</v>
      </c>
      <c r="I886" s="28">
        <f ca="1">SUMIF(半成品出库明细!$D$2:$D$558,$B886,半成品出库明细!$G$2:$G$2)</f>
        <v>0</v>
      </c>
      <c r="J886" s="28">
        <f ca="1" t="shared" si="15"/>
        <v>0</v>
      </c>
      <c r="K886" s="29"/>
      <c r="L886" s="19"/>
    </row>
    <row r="887" s="3" customFormat="1" spans="1:12">
      <c r="A887" s="22">
        <v>784</v>
      </c>
      <c r="B887" s="23" t="s">
        <v>1592</v>
      </c>
      <c r="C887" s="24" t="s">
        <v>1593</v>
      </c>
      <c r="D887" s="25" t="s">
        <v>1594</v>
      </c>
      <c r="E887" s="19" t="s">
        <v>76</v>
      </c>
      <c r="F887" s="26" t="s">
        <v>197</v>
      </c>
      <c r="G887" s="27">
        <f>SUMIF(物料月初库存!$C$3:$C$303,$B887,物料月初库存!$F$3:$F$303)</f>
        <v>0</v>
      </c>
      <c r="H887" s="28">
        <f>SUMIF(半成品入库明细!$D$2:$D$650,$B887,半成品入库明细!$G$2:$G$650)</f>
        <v>0</v>
      </c>
      <c r="I887" s="28">
        <f ca="1">SUMIF(半成品出库明细!$D$2:$D$558,$B887,半成品出库明细!$G$2:$G$2)</f>
        <v>0</v>
      </c>
      <c r="J887" s="28">
        <f ca="1" t="shared" si="15"/>
        <v>0</v>
      </c>
      <c r="K887" s="29"/>
      <c r="L887" s="19"/>
    </row>
    <row r="888" s="3" customFormat="1" spans="1:12">
      <c r="A888" s="22">
        <v>785</v>
      </c>
      <c r="B888" s="23" t="s">
        <v>1595</v>
      </c>
      <c r="C888" s="24" t="s">
        <v>1596</v>
      </c>
      <c r="D888" s="25" t="s">
        <v>1594</v>
      </c>
      <c r="E888" s="19" t="s">
        <v>76</v>
      </c>
      <c r="F888" s="26" t="s">
        <v>197</v>
      </c>
      <c r="G888" s="27">
        <f>SUMIF(物料月初库存!$C$3:$C$303,$B888,物料月初库存!$F$3:$F$303)</f>
        <v>0</v>
      </c>
      <c r="H888" s="28">
        <f>SUMIF(半成品入库明细!$D$2:$D$650,$B888,半成品入库明细!$G$2:$G$650)</f>
        <v>0</v>
      </c>
      <c r="I888" s="28">
        <f ca="1">SUMIF(半成品出库明细!$D$2:$D$558,$B888,半成品出库明细!$G$2:$G$2)</f>
        <v>0</v>
      </c>
      <c r="J888" s="28">
        <f ca="1" t="shared" si="15"/>
        <v>0</v>
      </c>
      <c r="K888" s="29"/>
      <c r="L888" s="19"/>
    </row>
    <row r="889" s="3" customFormat="1" spans="1:12">
      <c r="A889" s="22">
        <v>786</v>
      </c>
      <c r="B889" s="23" t="s">
        <v>1597</v>
      </c>
      <c r="C889" s="24" t="s">
        <v>1598</v>
      </c>
      <c r="D889" s="52" t="s">
        <v>1594</v>
      </c>
      <c r="E889" s="19" t="s">
        <v>76</v>
      </c>
      <c r="F889" s="26" t="s">
        <v>197</v>
      </c>
      <c r="G889" s="27">
        <f>SUMIF(物料月初库存!$C$3:$C$303,$B889,物料月初库存!$F$3:$F$303)</f>
        <v>0</v>
      </c>
      <c r="H889" s="28">
        <f>SUMIF(半成品入库明细!$D$2:$D$650,$B889,半成品入库明细!$G$2:$G$650)</f>
        <v>0</v>
      </c>
      <c r="I889" s="28">
        <f ca="1">SUMIF(半成品出库明细!$D$2:$D$558,$B889,半成品出库明细!$G$2:$G$2)</f>
        <v>0</v>
      </c>
      <c r="J889" s="28">
        <f ca="1" t="shared" si="15"/>
        <v>0</v>
      </c>
      <c r="K889" s="29"/>
      <c r="L889" s="19"/>
    </row>
    <row r="890" s="3" customFormat="1" spans="1:12">
      <c r="A890" s="22">
        <v>787</v>
      </c>
      <c r="B890" s="23" t="s">
        <v>1599</v>
      </c>
      <c r="C890" s="24" t="s">
        <v>1600</v>
      </c>
      <c r="D890" s="25" t="s">
        <v>1601</v>
      </c>
      <c r="E890" s="19" t="s">
        <v>76</v>
      </c>
      <c r="F890" s="26" t="s">
        <v>197</v>
      </c>
      <c r="G890" s="27">
        <f>SUMIF(物料月初库存!$C$3:$C$303,$B890,物料月初库存!$F$3:$F$303)</f>
        <v>0</v>
      </c>
      <c r="H890" s="28">
        <f>SUMIF(半成品入库明细!$D$2:$D$650,$B890,半成品入库明细!$G$2:$G$650)</f>
        <v>0</v>
      </c>
      <c r="I890" s="28">
        <f ca="1">SUMIF(半成品出库明细!$D$2:$D$558,$B890,半成品出库明细!$G$2:$G$2)</f>
        <v>0</v>
      </c>
      <c r="J890" s="28">
        <f ca="1" t="shared" si="15"/>
        <v>0</v>
      </c>
      <c r="K890" s="29"/>
      <c r="L890" s="19"/>
    </row>
    <row r="891" s="3" customFormat="1" spans="1:12">
      <c r="A891" s="22">
        <v>788</v>
      </c>
      <c r="B891" s="23" t="s">
        <v>1602</v>
      </c>
      <c r="C891" s="24" t="s">
        <v>1600</v>
      </c>
      <c r="D891" s="25" t="s">
        <v>1601</v>
      </c>
      <c r="E891" s="28" t="s">
        <v>326</v>
      </c>
      <c r="F891" s="26" t="s">
        <v>197</v>
      </c>
      <c r="G891" s="27">
        <f>SUMIF(物料月初库存!$C$3:$C$303,$B891,物料月初库存!$F$3:$F$303)</f>
        <v>0</v>
      </c>
      <c r="H891" s="28">
        <f>SUMIF(半成品入库明细!$D$2:$D$650,$B891,半成品入库明细!$G$2:$G$650)</f>
        <v>0</v>
      </c>
      <c r="I891" s="28">
        <f ca="1">SUMIF(半成品出库明细!$D$2:$D$558,$B891,半成品出库明细!$G$2:$G$2)</f>
        <v>0</v>
      </c>
      <c r="J891" s="28">
        <f ca="1" t="shared" si="15"/>
        <v>0</v>
      </c>
      <c r="K891" s="29"/>
      <c r="L891" s="19"/>
    </row>
    <row r="892" s="3" customFormat="1" spans="1:12">
      <c r="A892" s="22">
        <v>789</v>
      </c>
      <c r="B892" s="23" t="s">
        <v>1603</v>
      </c>
      <c r="C892" s="24" t="s">
        <v>1600</v>
      </c>
      <c r="D892" s="25" t="s">
        <v>1601</v>
      </c>
      <c r="E892" s="19" t="s">
        <v>199</v>
      </c>
      <c r="F892" s="26" t="s">
        <v>197</v>
      </c>
      <c r="G892" s="27">
        <f>SUMIF(物料月初库存!$C$3:$C$303,$B892,物料月初库存!$F$3:$F$303)</f>
        <v>0</v>
      </c>
      <c r="H892" s="28">
        <f>SUMIF(半成品入库明细!$D$2:$D$650,$B892,半成品入库明细!$G$2:$G$650)</f>
        <v>0</v>
      </c>
      <c r="I892" s="28">
        <f ca="1">SUMIF(半成品出库明细!$D$2:$D$558,$B892,半成品出库明细!$G$2:$G$2)</f>
        <v>0</v>
      </c>
      <c r="J892" s="28">
        <f ca="1" t="shared" si="15"/>
        <v>0</v>
      </c>
      <c r="K892" s="29"/>
      <c r="L892" s="19" t="s">
        <v>202</v>
      </c>
    </row>
    <row r="893" s="3" customFormat="1" spans="1:12">
      <c r="A893" s="22">
        <v>790</v>
      </c>
      <c r="B893" s="23" t="s">
        <v>1604</v>
      </c>
      <c r="C893" s="24" t="s">
        <v>1605</v>
      </c>
      <c r="D893" s="25" t="s">
        <v>1601</v>
      </c>
      <c r="E893" s="19" t="s">
        <v>76</v>
      </c>
      <c r="F893" s="26" t="s">
        <v>197</v>
      </c>
      <c r="G893" s="27">
        <f>SUMIF(物料月初库存!$C$3:$C$303,$B893,物料月初库存!$F$3:$F$303)</f>
        <v>0</v>
      </c>
      <c r="H893" s="28">
        <f>SUMIF(半成品入库明细!$D$2:$D$650,$B893,半成品入库明细!$G$2:$G$650)</f>
        <v>0</v>
      </c>
      <c r="I893" s="28">
        <f ca="1">SUMIF(半成品出库明细!$D$2:$D$558,$B893,半成品出库明细!$G$2:$G$2)</f>
        <v>0</v>
      </c>
      <c r="J893" s="28">
        <f ca="1" t="shared" si="15"/>
        <v>0</v>
      </c>
      <c r="K893" s="29"/>
      <c r="L893" s="19"/>
    </row>
    <row r="894" s="3" customFormat="1" spans="1:12">
      <c r="A894" s="22">
        <v>791</v>
      </c>
      <c r="B894" s="23" t="s">
        <v>1606</v>
      </c>
      <c r="C894" s="24" t="s">
        <v>1605</v>
      </c>
      <c r="D894" s="25" t="s">
        <v>1601</v>
      </c>
      <c r="E894" s="28" t="s">
        <v>326</v>
      </c>
      <c r="F894" s="26" t="s">
        <v>197</v>
      </c>
      <c r="G894" s="27">
        <f>SUMIF(物料月初库存!$C$3:$C$303,$B894,物料月初库存!$F$3:$F$303)</f>
        <v>0</v>
      </c>
      <c r="H894" s="28">
        <f>SUMIF(半成品入库明细!$D$2:$D$650,$B894,半成品入库明细!$G$2:$G$650)</f>
        <v>0</v>
      </c>
      <c r="I894" s="28">
        <f ca="1">SUMIF(半成品出库明细!$D$2:$D$558,$B894,半成品出库明细!$G$2:$G$2)</f>
        <v>0</v>
      </c>
      <c r="J894" s="28">
        <f ca="1" t="shared" si="15"/>
        <v>0</v>
      </c>
      <c r="K894" s="29" t="s">
        <v>333</v>
      </c>
      <c r="L894" s="19"/>
    </row>
    <row r="895" s="3" customFormat="1" spans="1:12">
      <c r="A895" s="22">
        <v>793</v>
      </c>
      <c r="B895" s="23" t="s">
        <v>1607</v>
      </c>
      <c r="C895" s="24" t="s">
        <v>1605</v>
      </c>
      <c r="D895" s="25" t="s">
        <v>1601</v>
      </c>
      <c r="E895" s="28" t="s">
        <v>199</v>
      </c>
      <c r="F895" s="26" t="s">
        <v>197</v>
      </c>
      <c r="G895" s="27">
        <f>SUMIF(物料月初库存!$C$3:$C$303,$B895,物料月初库存!$F$3:$F$303)</f>
        <v>0</v>
      </c>
      <c r="H895" s="28">
        <f>SUMIF(半成品入库明细!$D$2:$D$650,$B895,半成品入库明细!$G$2:$G$650)</f>
        <v>0</v>
      </c>
      <c r="I895" s="28">
        <f ca="1">SUMIF(半成品出库明细!$D$2:$D$558,$B895,半成品出库明细!$G$2:$G$2)</f>
        <v>0</v>
      </c>
      <c r="J895" s="28">
        <f ca="1" t="shared" si="15"/>
        <v>0</v>
      </c>
      <c r="K895" s="29" t="s">
        <v>1608</v>
      </c>
      <c r="L895" s="19" t="s">
        <v>202</v>
      </c>
    </row>
    <row r="896" s="3" customFormat="1" spans="1:12">
      <c r="A896" s="22">
        <v>794</v>
      </c>
      <c r="B896" s="23" t="s">
        <v>1609</v>
      </c>
      <c r="C896" s="24" t="s">
        <v>1610</v>
      </c>
      <c r="D896" s="25" t="s">
        <v>1601</v>
      </c>
      <c r="E896" s="19" t="s">
        <v>76</v>
      </c>
      <c r="F896" s="26" t="s">
        <v>197</v>
      </c>
      <c r="G896" s="27">
        <f>SUMIF(物料月初库存!$C$3:$C$303,$B896,物料月初库存!$F$3:$F$303)</f>
        <v>0</v>
      </c>
      <c r="H896" s="28">
        <f>SUMIF(半成品入库明细!$D$2:$D$650,$B896,半成品入库明细!$G$2:$G$650)</f>
        <v>0</v>
      </c>
      <c r="I896" s="28">
        <f ca="1">SUMIF(半成品出库明细!$D$2:$D$558,$B896,半成品出库明细!$G$2:$G$2)</f>
        <v>0</v>
      </c>
      <c r="J896" s="28">
        <f ca="1" t="shared" si="15"/>
        <v>0</v>
      </c>
      <c r="K896" s="29"/>
      <c r="L896" s="19"/>
    </row>
    <row r="897" s="3" customFormat="1" ht="16" customHeight="1" spans="1:12">
      <c r="A897" s="22">
        <v>795</v>
      </c>
      <c r="B897" s="23" t="s">
        <v>1611</v>
      </c>
      <c r="C897" s="24" t="s">
        <v>1610</v>
      </c>
      <c r="D897" s="25" t="s">
        <v>1601</v>
      </c>
      <c r="E897" s="19" t="s">
        <v>199</v>
      </c>
      <c r="F897" s="26" t="s">
        <v>197</v>
      </c>
      <c r="G897" s="27">
        <f>SUMIF(物料月初库存!$C$3:$C$303,$B897,物料月初库存!$F$3:$F$303)</f>
        <v>0</v>
      </c>
      <c r="H897" s="28">
        <f>SUMIF(半成品入库明细!$D$2:$D$650,$B897,半成品入库明细!$G$2:$G$650)</f>
        <v>0</v>
      </c>
      <c r="I897" s="28">
        <f ca="1">SUMIF(半成品出库明细!$D$2:$D$558,$B897,半成品出库明细!$G$2:$G$2)</f>
        <v>0</v>
      </c>
      <c r="J897" s="28">
        <f ca="1" t="shared" si="15"/>
        <v>0</v>
      </c>
      <c r="K897" s="29" t="s">
        <v>1612</v>
      </c>
      <c r="L897" s="19" t="s">
        <v>202</v>
      </c>
    </row>
    <row r="898" s="3" customFormat="1" spans="1:12">
      <c r="A898" s="22">
        <v>796</v>
      </c>
      <c r="B898" s="23" t="s">
        <v>1613</v>
      </c>
      <c r="C898" s="24" t="s">
        <v>1614</v>
      </c>
      <c r="D898" s="25" t="s">
        <v>1601</v>
      </c>
      <c r="E898" s="19" t="s">
        <v>76</v>
      </c>
      <c r="F898" s="26" t="s">
        <v>197</v>
      </c>
      <c r="G898" s="27">
        <f>SUMIF(物料月初库存!$C$3:$C$303,$B898,物料月初库存!$F$3:$F$303)</f>
        <v>0</v>
      </c>
      <c r="H898" s="28">
        <f>SUMIF(半成品入库明细!$D$2:$D$650,$B898,半成品入库明细!$G$2:$G$650)</f>
        <v>0</v>
      </c>
      <c r="I898" s="28">
        <f ca="1">SUMIF(半成品出库明细!$D$2:$D$558,$B898,半成品出库明细!$G$2:$G$2)</f>
        <v>0</v>
      </c>
      <c r="J898" s="28">
        <f ca="1" t="shared" si="15"/>
        <v>0</v>
      </c>
      <c r="K898" s="29"/>
      <c r="L898" s="19"/>
    </row>
    <row r="899" s="3" customFormat="1" spans="1:12">
      <c r="A899" s="22">
        <v>797</v>
      </c>
      <c r="B899" s="23" t="s">
        <v>1615</v>
      </c>
      <c r="C899" s="24" t="s">
        <v>1614</v>
      </c>
      <c r="D899" s="25" t="s">
        <v>1601</v>
      </c>
      <c r="E899" s="19" t="s">
        <v>267</v>
      </c>
      <c r="F899" s="26" t="s">
        <v>197</v>
      </c>
      <c r="G899" s="27">
        <f>SUMIF(物料月初库存!$C$3:$C$303,$B899,物料月初库存!$F$3:$F$303)</f>
        <v>0</v>
      </c>
      <c r="H899" s="28">
        <f>SUMIF(半成品入库明细!$D$2:$D$650,$B899,半成品入库明细!$G$2:$G$650)</f>
        <v>0</v>
      </c>
      <c r="I899" s="28">
        <f ca="1">SUMIF(半成品出库明细!$D$2:$D$558,$B899,半成品出库明细!$G$2:$G$2)</f>
        <v>0</v>
      </c>
      <c r="J899" s="28">
        <f ca="1" t="shared" si="15"/>
        <v>0</v>
      </c>
      <c r="K899" s="29" t="s">
        <v>327</v>
      </c>
      <c r="L899" s="19"/>
    </row>
    <row r="900" s="3" customFormat="1" spans="1:12">
      <c r="A900" s="22">
        <v>798</v>
      </c>
      <c r="B900" s="23" t="s">
        <v>1616</v>
      </c>
      <c r="C900" s="24" t="s">
        <v>1614</v>
      </c>
      <c r="D900" s="25" t="s">
        <v>1601</v>
      </c>
      <c r="E900" s="19" t="s">
        <v>199</v>
      </c>
      <c r="F900" s="26" t="s">
        <v>197</v>
      </c>
      <c r="G900" s="27">
        <f>SUMIF(物料月初库存!$C$3:$C$303,$B900,物料月初库存!$F$3:$F$303)</f>
        <v>0</v>
      </c>
      <c r="H900" s="28">
        <f>SUMIF(半成品入库明细!$D$2:$D$650,$B900,半成品入库明细!$G$2:$G$650)</f>
        <v>0</v>
      </c>
      <c r="I900" s="28">
        <f ca="1">SUMIF(半成品出库明细!$D$2:$D$558,$B900,半成品出库明细!$G$2:$G$2)</f>
        <v>0</v>
      </c>
      <c r="J900" s="28">
        <f ca="1" t="shared" si="15"/>
        <v>0</v>
      </c>
      <c r="K900" s="29"/>
      <c r="L900" s="19" t="s">
        <v>202</v>
      </c>
    </row>
    <row r="901" s="3" customFormat="1" spans="1:12">
      <c r="A901" s="22">
        <v>799</v>
      </c>
      <c r="B901" s="23" t="s">
        <v>1617</v>
      </c>
      <c r="C901" s="24" t="s">
        <v>1618</v>
      </c>
      <c r="D901" s="25" t="s">
        <v>1601</v>
      </c>
      <c r="E901" s="19" t="s">
        <v>76</v>
      </c>
      <c r="F901" s="26" t="s">
        <v>197</v>
      </c>
      <c r="G901" s="27">
        <f>SUMIF(物料月初库存!$C$3:$C$303,$B901,物料月初库存!$F$3:$F$303)</f>
        <v>0</v>
      </c>
      <c r="H901" s="28">
        <f>SUMIF(半成品入库明细!$D$2:$D$650,$B901,半成品入库明细!$G$2:$G$650)</f>
        <v>0</v>
      </c>
      <c r="I901" s="28">
        <f ca="1">SUMIF(半成品出库明细!$D$2:$D$558,$B901,半成品出库明细!$G$2:$G$2)</f>
        <v>0</v>
      </c>
      <c r="J901" s="28">
        <f ca="1" t="shared" si="15"/>
        <v>0</v>
      </c>
      <c r="K901" s="29"/>
      <c r="L901" s="19"/>
    </row>
    <row r="902" s="3" customFormat="1" spans="1:12">
      <c r="A902" s="22">
        <v>800</v>
      </c>
      <c r="B902" s="23" t="s">
        <v>1619</v>
      </c>
      <c r="C902" s="24" t="s">
        <v>1618</v>
      </c>
      <c r="D902" s="25" t="s">
        <v>1601</v>
      </c>
      <c r="E902" s="19" t="s">
        <v>254</v>
      </c>
      <c r="F902" s="26" t="s">
        <v>197</v>
      </c>
      <c r="G902" s="27">
        <f>SUMIF(物料月初库存!$C$3:$C$303,$B902,物料月初库存!$F$3:$F$303)</f>
        <v>0</v>
      </c>
      <c r="H902" s="28">
        <f>SUMIF(半成品入库明细!$D$2:$D$650,$B902,半成品入库明细!$G$2:$G$650)</f>
        <v>0</v>
      </c>
      <c r="I902" s="28">
        <f ca="1">SUMIF(半成品出库明细!$D$2:$D$558,$B902,半成品出库明细!$G$2:$G$2)</f>
        <v>0</v>
      </c>
      <c r="J902" s="28">
        <f ca="1" t="shared" si="15"/>
        <v>0</v>
      </c>
      <c r="K902" s="29" t="s">
        <v>113</v>
      </c>
      <c r="L902" s="19"/>
    </row>
    <row r="903" s="3" customFormat="1" spans="1:12">
      <c r="A903" s="22">
        <v>801</v>
      </c>
      <c r="B903" s="23" t="s">
        <v>1620</v>
      </c>
      <c r="C903" s="24" t="s">
        <v>1618</v>
      </c>
      <c r="D903" s="25" t="s">
        <v>1601</v>
      </c>
      <c r="E903" s="28" t="s">
        <v>326</v>
      </c>
      <c r="F903" s="26" t="s">
        <v>197</v>
      </c>
      <c r="G903" s="27">
        <f>SUMIF(物料月初库存!$C$3:$C$303,$B903,物料月初库存!$F$3:$F$303)</f>
        <v>0</v>
      </c>
      <c r="H903" s="28">
        <f>SUMIF(半成品入库明细!$D$2:$D$650,$B903,半成品入库明细!$G$2:$G$650)</f>
        <v>0</v>
      </c>
      <c r="I903" s="28">
        <f ca="1">SUMIF(半成品出库明细!$D$2:$D$558,$B903,半成品出库明细!$G$2:$G$2)</f>
        <v>0</v>
      </c>
      <c r="J903" s="28">
        <f ca="1" t="shared" si="15"/>
        <v>0</v>
      </c>
      <c r="K903" s="32" t="s">
        <v>333</v>
      </c>
      <c r="L903" s="19"/>
    </row>
    <row r="904" s="3" customFormat="1" spans="1:12">
      <c r="A904" s="22">
        <v>802</v>
      </c>
      <c r="B904" s="23" t="s">
        <v>1621</v>
      </c>
      <c r="C904" s="24" t="s">
        <v>1618</v>
      </c>
      <c r="D904" s="25" t="s">
        <v>1601</v>
      </c>
      <c r="E904" s="28" t="s">
        <v>199</v>
      </c>
      <c r="F904" s="26" t="s">
        <v>197</v>
      </c>
      <c r="G904" s="27">
        <f>SUMIF(物料月初库存!$C$3:$C$303,$B904,物料月初库存!$F$3:$F$303)</f>
        <v>0</v>
      </c>
      <c r="H904" s="28">
        <f>SUMIF(半成品入库明细!$D$2:$D$650,$B904,半成品入库明细!$G$2:$G$650)</f>
        <v>0</v>
      </c>
      <c r="I904" s="28">
        <f ca="1">SUMIF(半成品出库明细!$D$2:$D$558,$B904,半成品出库明细!$G$2:$G$2)</f>
        <v>0</v>
      </c>
      <c r="J904" s="28">
        <f ca="1" t="shared" si="15"/>
        <v>0</v>
      </c>
      <c r="K904" s="30" t="s">
        <v>173</v>
      </c>
      <c r="L904" s="19"/>
    </row>
    <row r="905" s="3" customFormat="1" spans="1:12">
      <c r="A905" s="22">
        <v>803</v>
      </c>
      <c r="B905" s="23" t="s">
        <v>1622</v>
      </c>
      <c r="C905" s="24" t="s">
        <v>1618</v>
      </c>
      <c r="D905" s="25" t="s">
        <v>1601</v>
      </c>
      <c r="E905" s="28" t="s">
        <v>201</v>
      </c>
      <c r="F905" s="26" t="s">
        <v>197</v>
      </c>
      <c r="G905" s="27">
        <f>SUMIF(物料月初库存!$C$3:$C$303,$B905,物料月初库存!$F$3:$F$303)</f>
        <v>0</v>
      </c>
      <c r="H905" s="28">
        <f>SUMIF(半成品入库明细!$D$2:$D$650,$B905,半成品入库明细!$G$2:$G$650)</f>
        <v>0</v>
      </c>
      <c r="I905" s="28">
        <f ca="1">SUMIF(半成品出库明细!$D$2:$D$558,$B905,半成品出库明细!$G$2:$G$2)</f>
        <v>0</v>
      </c>
      <c r="J905" s="28">
        <f ca="1" t="shared" si="15"/>
        <v>0</v>
      </c>
      <c r="K905" s="30" t="s">
        <v>183</v>
      </c>
      <c r="L905" s="19" t="s">
        <v>202</v>
      </c>
    </row>
    <row r="906" s="3" customFormat="1" spans="1:12">
      <c r="A906" s="22">
        <v>804</v>
      </c>
      <c r="B906" s="23" t="s">
        <v>1623</v>
      </c>
      <c r="C906" s="24" t="s">
        <v>1624</v>
      </c>
      <c r="D906" s="25" t="s">
        <v>1601</v>
      </c>
      <c r="E906" s="19" t="s">
        <v>76</v>
      </c>
      <c r="F906" s="26" t="s">
        <v>197</v>
      </c>
      <c r="G906" s="27">
        <f>SUMIF(物料月初库存!$C$3:$C$303,$B906,物料月初库存!$F$3:$F$303)</f>
        <v>0</v>
      </c>
      <c r="H906" s="28">
        <f>SUMIF(半成品入库明细!$D$2:$D$650,$B906,半成品入库明细!$G$2:$G$650)</f>
        <v>0</v>
      </c>
      <c r="I906" s="28">
        <f ca="1">SUMIF(半成品出库明细!$D$2:$D$558,$B906,半成品出库明细!$G$2:$G$2)</f>
        <v>0</v>
      </c>
      <c r="J906" s="28">
        <f ca="1" t="shared" si="15"/>
        <v>0</v>
      </c>
      <c r="K906" s="29"/>
      <c r="L906" s="19"/>
    </row>
    <row r="907" s="3" customFormat="1" spans="1:12">
      <c r="A907" s="22">
        <v>805</v>
      </c>
      <c r="B907" s="23" t="s">
        <v>1625</v>
      </c>
      <c r="C907" s="24" t="s">
        <v>1624</v>
      </c>
      <c r="D907" s="25" t="s">
        <v>1601</v>
      </c>
      <c r="E907" s="19" t="s">
        <v>1626</v>
      </c>
      <c r="F907" s="26" t="s">
        <v>197</v>
      </c>
      <c r="G907" s="27">
        <f>SUMIF(物料月初库存!$C$3:$C$303,$B907,物料月初库存!$F$3:$F$303)</f>
        <v>0</v>
      </c>
      <c r="H907" s="28">
        <f>SUMIF(半成品入库明细!$D$2:$D$650,$B907,半成品入库明细!$G$2:$G$650)</f>
        <v>0</v>
      </c>
      <c r="I907" s="28">
        <f ca="1">SUMIF(半成品出库明细!$D$2:$D$558,$B907,半成品出库明细!$G$2:$G$2)</f>
        <v>0</v>
      </c>
      <c r="J907" s="28">
        <f ca="1" t="shared" ref="J907:J970" si="16">G907+H907-I907</f>
        <v>0</v>
      </c>
      <c r="K907" s="29"/>
      <c r="L907" s="19"/>
    </row>
    <row r="908" s="3" customFormat="1" spans="1:12">
      <c r="A908" s="22">
        <v>806</v>
      </c>
      <c r="B908" s="23" t="s">
        <v>1627</v>
      </c>
      <c r="C908" s="24" t="s">
        <v>1624</v>
      </c>
      <c r="D908" s="25" t="s">
        <v>1601</v>
      </c>
      <c r="E908" s="28" t="s">
        <v>199</v>
      </c>
      <c r="F908" s="26" t="s">
        <v>197</v>
      </c>
      <c r="G908" s="27">
        <f>SUMIF(物料月初库存!$C$3:$C$303,$B908,物料月初库存!$F$3:$F$303)</f>
        <v>0</v>
      </c>
      <c r="H908" s="28">
        <f>SUMIF(半成品入库明细!$D$2:$D$650,$B908,半成品入库明细!$G$2:$G$650)</f>
        <v>0</v>
      </c>
      <c r="I908" s="28">
        <f ca="1">SUMIF(半成品出库明细!$D$2:$D$558,$B908,半成品出库明细!$G$2:$G$2)</f>
        <v>0</v>
      </c>
      <c r="J908" s="28">
        <f ca="1" t="shared" si="16"/>
        <v>0</v>
      </c>
      <c r="K908" s="29"/>
      <c r="L908" s="19"/>
    </row>
    <row r="909" s="3" customFormat="1" spans="1:12">
      <c r="A909" s="22">
        <v>807</v>
      </c>
      <c r="B909" s="23" t="s">
        <v>1628</v>
      </c>
      <c r="C909" s="24" t="s">
        <v>1624</v>
      </c>
      <c r="D909" s="25" t="s">
        <v>1601</v>
      </c>
      <c r="E909" s="28" t="s">
        <v>316</v>
      </c>
      <c r="F909" s="26" t="s">
        <v>197</v>
      </c>
      <c r="G909" s="27">
        <f>SUMIF(物料月初库存!$C$3:$C$303,$B909,物料月初库存!$F$3:$F$303)</f>
        <v>0</v>
      </c>
      <c r="H909" s="28">
        <f>SUMIF(半成品入库明细!$D$2:$D$650,$B909,半成品入库明细!$G$2:$G$650)</f>
        <v>0</v>
      </c>
      <c r="I909" s="28">
        <f ca="1">SUMIF(半成品出库明细!$D$2:$D$558,$B909,半成品出库明细!$G$2:$G$2)</f>
        <v>0</v>
      </c>
      <c r="J909" s="28">
        <f ca="1" t="shared" si="16"/>
        <v>0</v>
      </c>
      <c r="K909" s="29"/>
      <c r="L909" s="19"/>
    </row>
    <row r="910" s="3" customFormat="1" spans="1:12">
      <c r="A910" s="22">
        <v>808</v>
      </c>
      <c r="B910" s="23" t="s">
        <v>1629</v>
      </c>
      <c r="C910" s="24" t="s">
        <v>1624</v>
      </c>
      <c r="D910" s="25" t="s">
        <v>1601</v>
      </c>
      <c r="E910" s="28" t="s">
        <v>239</v>
      </c>
      <c r="F910" s="26" t="s">
        <v>197</v>
      </c>
      <c r="G910" s="27">
        <f>SUMIF(物料月初库存!$C$3:$C$303,$B910,物料月初库存!$F$3:$F$303)</f>
        <v>0</v>
      </c>
      <c r="H910" s="28">
        <f>SUMIF(半成品入库明细!$D$2:$D$650,$B910,半成品入库明细!$G$2:$G$650)</f>
        <v>0</v>
      </c>
      <c r="I910" s="28">
        <f ca="1">SUMIF(半成品出库明细!$D$2:$D$558,$B910,半成品出库明细!$G$2:$G$2)</f>
        <v>0</v>
      </c>
      <c r="J910" s="28">
        <f ca="1" t="shared" si="16"/>
        <v>0</v>
      </c>
      <c r="K910" s="29"/>
      <c r="L910" s="19" t="s">
        <v>202</v>
      </c>
    </row>
    <row r="911" s="3" customFormat="1" spans="1:12">
      <c r="A911" s="22">
        <v>809</v>
      </c>
      <c r="B911" s="23" t="s">
        <v>1630</v>
      </c>
      <c r="C911" s="24" t="s">
        <v>1631</v>
      </c>
      <c r="D911" s="25" t="s">
        <v>1601</v>
      </c>
      <c r="E911" s="19" t="s">
        <v>76</v>
      </c>
      <c r="F911" s="26" t="s">
        <v>197</v>
      </c>
      <c r="G911" s="27">
        <f>SUMIF(物料月初库存!$C$3:$C$303,$B911,物料月初库存!$F$3:$F$303)</f>
        <v>0</v>
      </c>
      <c r="H911" s="28">
        <f>SUMIF(半成品入库明细!$D$2:$D$650,$B911,半成品入库明细!$G$2:$G$650)</f>
        <v>0</v>
      </c>
      <c r="I911" s="28">
        <f ca="1">SUMIF(半成品出库明细!$D$2:$D$558,$B911,半成品出库明细!$G$2:$G$2)</f>
        <v>0</v>
      </c>
      <c r="J911" s="28">
        <f ca="1" t="shared" si="16"/>
        <v>0</v>
      </c>
      <c r="K911" s="29"/>
      <c r="L911" s="19"/>
    </row>
    <row r="912" s="3" customFormat="1" spans="1:12">
      <c r="A912" s="22">
        <v>810</v>
      </c>
      <c r="B912" s="23" t="s">
        <v>1632</v>
      </c>
      <c r="C912" s="24" t="s">
        <v>1631</v>
      </c>
      <c r="D912" s="25" t="s">
        <v>1601</v>
      </c>
      <c r="E912" s="19" t="s">
        <v>1626</v>
      </c>
      <c r="F912" s="26" t="s">
        <v>197</v>
      </c>
      <c r="G912" s="27">
        <f>SUMIF(物料月初库存!$C$3:$C$303,$B912,物料月初库存!$F$3:$F$303)</f>
        <v>0</v>
      </c>
      <c r="H912" s="28">
        <f>SUMIF(半成品入库明细!$D$2:$D$650,$B912,半成品入库明细!$G$2:$G$650)</f>
        <v>0</v>
      </c>
      <c r="I912" s="28">
        <f ca="1">SUMIF(半成品出库明细!$D$2:$D$558,$B912,半成品出库明细!$G$2:$G$2)</f>
        <v>0</v>
      </c>
      <c r="J912" s="28">
        <f ca="1" t="shared" si="16"/>
        <v>0</v>
      </c>
      <c r="K912" s="120" t="s">
        <v>1633</v>
      </c>
      <c r="L912" s="19"/>
    </row>
    <row r="913" s="3" customFormat="1" spans="1:12">
      <c r="A913" s="22">
        <v>811</v>
      </c>
      <c r="B913" s="23" t="s">
        <v>1634</v>
      </c>
      <c r="C913" s="24" t="s">
        <v>1631</v>
      </c>
      <c r="D913" s="25" t="s">
        <v>1601</v>
      </c>
      <c r="E913" s="28" t="s">
        <v>199</v>
      </c>
      <c r="F913" s="26" t="s">
        <v>197</v>
      </c>
      <c r="G913" s="27">
        <f>SUMIF(物料月初库存!$C$3:$C$303,$B913,物料月初库存!$F$3:$F$303)</f>
        <v>0</v>
      </c>
      <c r="H913" s="28">
        <f>SUMIF(半成品入库明细!$D$2:$D$650,$B913,半成品入库明细!$G$2:$G$650)</f>
        <v>0</v>
      </c>
      <c r="I913" s="28">
        <f ca="1">SUMIF(半成品出库明细!$D$2:$D$558,$B913,半成品出库明细!$G$2:$G$2)</f>
        <v>0</v>
      </c>
      <c r="J913" s="28">
        <f ca="1" t="shared" si="16"/>
        <v>0</v>
      </c>
      <c r="K913" s="120" t="s">
        <v>1612</v>
      </c>
      <c r="L913" s="19"/>
    </row>
    <row r="914" s="3" customFormat="1" spans="1:12">
      <c r="A914" s="22">
        <v>812</v>
      </c>
      <c r="B914" s="23" t="s">
        <v>1635</v>
      </c>
      <c r="C914" s="24" t="s">
        <v>1631</v>
      </c>
      <c r="D914" s="25" t="s">
        <v>1601</v>
      </c>
      <c r="E914" s="28" t="s">
        <v>316</v>
      </c>
      <c r="F914" s="26" t="s">
        <v>197</v>
      </c>
      <c r="G914" s="27">
        <f>SUMIF(物料月初库存!$C$3:$C$303,$B914,物料月初库存!$F$3:$F$303)</f>
        <v>0</v>
      </c>
      <c r="H914" s="28">
        <f>SUMIF(半成品入库明细!$D$2:$D$650,$B914,半成品入库明细!$G$2:$G$650)</f>
        <v>0</v>
      </c>
      <c r="I914" s="28">
        <f ca="1">SUMIF(半成品出库明细!$D$2:$D$558,$B914,半成品出库明细!$G$2:$G$2)</f>
        <v>0</v>
      </c>
      <c r="J914" s="28">
        <f ca="1" t="shared" si="16"/>
        <v>0</v>
      </c>
      <c r="K914" s="32" t="s">
        <v>1636</v>
      </c>
      <c r="L914" s="19"/>
    </row>
    <row r="915" s="3" customFormat="1" spans="1:12">
      <c r="A915" s="22">
        <v>813</v>
      </c>
      <c r="B915" s="23" t="s">
        <v>1637</v>
      </c>
      <c r="C915" s="24" t="s">
        <v>1631</v>
      </c>
      <c r="D915" s="25" t="s">
        <v>1601</v>
      </c>
      <c r="E915" s="28" t="s">
        <v>239</v>
      </c>
      <c r="F915" s="26" t="s">
        <v>197</v>
      </c>
      <c r="G915" s="27">
        <f>SUMIF(物料月初库存!$C$3:$C$303,$B915,物料月初库存!$F$3:$F$303)</f>
        <v>0</v>
      </c>
      <c r="H915" s="28">
        <f>SUMIF(半成品入库明细!$D$2:$D$650,$B915,半成品入库明细!$G$2:$G$650)</f>
        <v>0</v>
      </c>
      <c r="I915" s="28">
        <f ca="1">SUMIF(半成品出库明细!$D$2:$D$558,$B915,半成品出库明细!$G$2:$G$2)</f>
        <v>0</v>
      </c>
      <c r="J915" s="28">
        <f ca="1" t="shared" si="16"/>
        <v>0</v>
      </c>
      <c r="K915" s="121" t="s">
        <v>1638</v>
      </c>
      <c r="L915" s="19" t="s">
        <v>202</v>
      </c>
    </row>
    <row r="916" s="3" customFormat="1" spans="1:12">
      <c r="A916" s="22">
        <v>814</v>
      </c>
      <c r="B916" s="23" t="s">
        <v>1639</v>
      </c>
      <c r="C916" s="122" t="s">
        <v>1640</v>
      </c>
      <c r="D916" s="25" t="s">
        <v>1601</v>
      </c>
      <c r="E916" s="19" t="s">
        <v>76</v>
      </c>
      <c r="F916" s="26" t="s">
        <v>197</v>
      </c>
      <c r="G916" s="27">
        <f>SUMIF(物料月初库存!$C$3:$C$303,$B916,物料月初库存!$F$3:$F$303)</f>
        <v>0</v>
      </c>
      <c r="H916" s="28">
        <f>SUMIF(半成品入库明细!$D$2:$D$650,$B916,半成品入库明细!$G$2:$G$650)</f>
        <v>0</v>
      </c>
      <c r="I916" s="28">
        <f ca="1">SUMIF(半成品出库明细!$D$2:$D$558,$B916,半成品出库明细!$G$2:$G$2)</f>
        <v>0</v>
      </c>
      <c r="J916" s="28">
        <f ca="1" t="shared" si="16"/>
        <v>0</v>
      </c>
      <c r="K916" s="29"/>
      <c r="L916" s="19"/>
    </row>
    <row r="917" s="3" customFormat="1" spans="1:12">
      <c r="A917" s="22">
        <v>815</v>
      </c>
      <c r="B917" s="23" t="s">
        <v>1641</v>
      </c>
      <c r="C917" s="122" t="s">
        <v>1640</v>
      </c>
      <c r="D917" s="25" t="s">
        <v>1601</v>
      </c>
      <c r="E917" s="28" t="s">
        <v>199</v>
      </c>
      <c r="F917" s="26" t="s">
        <v>197</v>
      </c>
      <c r="G917" s="27">
        <f>SUMIF(物料月初库存!$C$3:$C$303,$B917,物料月初库存!$F$3:$F$303)</f>
        <v>0</v>
      </c>
      <c r="H917" s="28">
        <f>SUMIF(半成品入库明细!$D$2:$D$650,$B917,半成品入库明细!$G$2:$G$650)</f>
        <v>0</v>
      </c>
      <c r="I917" s="28">
        <f ca="1">SUMIF(半成品出库明细!$D$2:$D$558,$B917,半成品出库明细!$G$2:$G$2)</f>
        <v>0</v>
      </c>
      <c r="J917" s="28">
        <f ca="1" t="shared" si="16"/>
        <v>0</v>
      </c>
      <c r="K917" s="29" t="s">
        <v>1612</v>
      </c>
      <c r="L917" s="19" t="s">
        <v>202</v>
      </c>
    </row>
    <row r="918" s="3" customFormat="1" spans="1:12">
      <c r="A918" s="22">
        <v>816</v>
      </c>
      <c r="B918" s="23" t="s">
        <v>1642</v>
      </c>
      <c r="C918" s="122" t="s">
        <v>1643</v>
      </c>
      <c r="D918" s="25" t="s">
        <v>1601</v>
      </c>
      <c r="E918" s="19" t="s">
        <v>76</v>
      </c>
      <c r="F918" s="26" t="s">
        <v>197</v>
      </c>
      <c r="G918" s="27">
        <f>SUMIF(物料月初库存!$C$3:$C$303,$B918,物料月初库存!$F$3:$F$303)</f>
        <v>0</v>
      </c>
      <c r="H918" s="28">
        <f>SUMIF(半成品入库明细!$D$2:$D$650,$B918,半成品入库明细!$G$2:$G$650)</f>
        <v>0</v>
      </c>
      <c r="I918" s="28">
        <f ca="1">SUMIF(半成品出库明细!$D$2:$D$558,$B918,半成品出库明细!$G$2:$G$2)</f>
        <v>0</v>
      </c>
      <c r="J918" s="28">
        <f ca="1" t="shared" si="16"/>
        <v>0</v>
      </c>
      <c r="K918" s="29"/>
      <c r="L918" s="19"/>
    </row>
    <row r="919" s="3" customFormat="1" spans="1:12">
      <c r="A919" s="22">
        <v>817</v>
      </c>
      <c r="B919" s="23" t="s">
        <v>1644</v>
      </c>
      <c r="C919" s="122" t="s">
        <v>1643</v>
      </c>
      <c r="D919" s="25" t="s">
        <v>1601</v>
      </c>
      <c r="E919" s="19" t="s">
        <v>267</v>
      </c>
      <c r="F919" s="26" t="s">
        <v>197</v>
      </c>
      <c r="G919" s="27">
        <f>SUMIF(物料月初库存!$C$3:$C$303,$B919,物料月初库存!$F$3:$F$303)</f>
        <v>0</v>
      </c>
      <c r="H919" s="28">
        <f>SUMIF(半成品入库明细!$D$2:$D$650,$B919,半成品入库明细!$G$2:$G$650)</f>
        <v>0</v>
      </c>
      <c r="I919" s="28">
        <f ca="1">SUMIF(半成品出库明细!$D$2:$D$558,$B919,半成品出库明细!$G$2:$G$2)</f>
        <v>0</v>
      </c>
      <c r="J919" s="28">
        <f ca="1" t="shared" si="16"/>
        <v>0</v>
      </c>
      <c r="K919" s="29" t="s">
        <v>333</v>
      </c>
      <c r="L919" s="19"/>
    </row>
    <row r="920" s="3" customFormat="1" spans="1:12">
      <c r="A920" s="22">
        <v>818</v>
      </c>
      <c r="B920" s="23" t="s">
        <v>1645</v>
      </c>
      <c r="C920" s="122" t="s">
        <v>1643</v>
      </c>
      <c r="D920" s="25" t="s">
        <v>1601</v>
      </c>
      <c r="E920" s="28" t="s">
        <v>199</v>
      </c>
      <c r="F920" s="26" t="s">
        <v>197</v>
      </c>
      <c r="G920" s="27">
        <f>SUMIF(物料月初库存!$C$3:$C$303,$B920,物料月初库存!$F$3:$F$303)</f>
        <v>0</v>
      </c>
      <c r="H920" s="28">
        <f>SUMIF(半成品入库明细!$D$2:$D$650,$B920,半成品入库明细!$G$2:$G$650)</f>
        <v>0</v>
      </c>
      <c r="I920" s="28">
        <f ca="1">SUMIF(半成品出库明细!$D$2:$D$558,$B920,半成品出库明细!$G$2:$G$2)</f>
        <v>0</v>
      </c>
      <c r="J920" s="28">
        <f ca="1" t="shared" si="16"/>
        <v>0</v>
      </c>
      <c r="K920" s="29" t="s">
        <v>1612</v>
      </c>
      <c r="L920" s="19" t="s">
        <v>202</v>
      </c>
    </row>
    <row r="921" s="3" customFormat="1" spans="1:12">
      <c r="A921" s="22">
        <v>819</v>
      </c>
      <c r="B921" s="23" t="s">
        <v>1646</v>
      </c>
      <c r="C921" s="24" t="s">
        <v>1647</v>
      </c>
      <c r="D921" s="25" t="s">
        <v>1648</v>
      </c>
      <c r="E921" s="28" t="s">
        <v>76</v>
      </c>
      <c r="F921" s="26" t="s">
        <v>197</v>
      </c>
      <c r="G921" s="27">
        <f>SUMIF(物料月初库存!$C$3:$C$303,$B921,物料月初库存!$F$3:$F$303)</f>
        <v>0</v>
      </c>
      <c r="H921" s="28">
        <f>SUMIF(半成品入库明细!$D$2:$D$650,$B921,半成品入库明细!$G$2:$G$650)</f>
        <v>0</v>
      </c>
      <c r="I921" s="28">
        <f ca="1">SUMIF(半成品出库明细!$D$2:$D$558,$B921,半成品出库明细!$G$2:$G$2)</f>
        <v>0</v>
      </c>
      <c r="J921" s="28">
        <f ca="1" t="shared" si="16"/>
        <v>0</v>
      </c>
      <c r="K921" s="29"/>
      <c r="L921" s="19"/>
    </row>
    <row r="922" s="3" customFormat="1" spans="1:12">
      <c r="A922" s="22">
        <v>820</v>
      </c>
      <c r="B922" s="23" t="s">
        <v>1649</v>
      </c>
      <c r="C922" s="24" t="s">
        <v>1647</v>
      </c>
      <c r="D922" s="25" t="s">
        <v>1648</v>
      </c>
      <c r="E922" s="28" t="s">
        <v>1650</v>
      </c>
      <c r="F922" s="26" t="s">
        <v>197</v>
      </c>
      <c r="G922" s="27">
        <f>SUMIF(物料月初库存!$C$3:$C$303,$B922,物料月初库存!$F$3:$F$303)</f>
        <v>0</v>
      </c>
      <c r="H922" s="28">
        <f>SUMIF(半成品入库明细!$D$2:$D$650,$B922,半成品入库明细!$G$2:$G$650)</f>
        <v>0</v>
      </c>
      <c r="I922" s="28">
        <f ca="1">SUMIF(半成品出库明细!$D$2:$D$558,$B922,半成品出库明细!$G$2:$G$2)</f>
        <v>0</v>
      </c>
      <c r="J922" s="28">
        <f ca="1" t="shared" si="16"/>
        <v>0</v>
      </c>
      <c r="K922" s="32" t="s">
        <v>1633</v>
      </c>
    </row>
    <row r="923" s="3" customFormat="1" spans="1:12">
      <c r="A923" s="22">
        <v>821</v>
      </c>
      <c r="B923" s="23" t="s">
        <v>1651</v>
      </c>
      <c r="C923" s="24" t="s">
        <v>1647</v>
      </c>
      <c r="D923" s="25" t="s">
        <v>1648</v>
      </c>
      <c r="E923" s="50" t="s">
        <v>316</v>
      </c>
      <c r="F923" s="26" t="s">
        <v>197</v>
      </c>
      <c r="G923" s="27">
        <f>SUMIF(物料月初库存!$C$3:$C$303,$B923,物料月初库存!$F$3:$F$303)</f>
        <v>0</v>
      </c>
      <c r="H923" s="28">
        <f>SUMIF(半成品入库明细!$D$2:$D$650,$B923,半成品入库明细!$G$2:$G$650)</f>
        <v>0</v>
      </c>
      <c r="I923" s="28">
        <f ca="1">SUMIF(半成品出库明细!$D$2:$D$558,$B923,半成品出库明细!$G$2:$G$2)</f>
        <v>0</v>
      </c>
      <c r="J923" s="28">
        <f ca="1" t="shared" si="16"/>
        <v>0</v>
      </c>
      <c r="K923" s="32" t="s">
        <v>317</v>
      </c>
    </row>
    <row r="924" s="3" customFormat="1" spans="1:12">
      <c r="A924" s="22">
        <v>822</v>
      </c>
      <c r="B924" s="23" t="s">
        <v>1652</v>
      </c>
      <c r="C924" s="24" t="s">
        <v>1647</v>
      </c>
      <c r="D924" s="25" t="s">
        <v>1648</v>
      </c>
      <c r="E924" s="19" t="s">
        <v>199</v>
      </c>
      <c r="F924" s="26" t="s">
        <v>197</v>
      </c>
      <c r="G924" s="27">
        <f>SUMIF(物料月初库存!$C$3:$C$303,$B924,物料月初库存!$F$3:$F$303)</f>
        <v>0</v>
      </c>
      <c r="H924" s="28">
        <f>SUMIF(半成品入库明细!$D$2:$D$650,$B924,半成品入库明细!$G$2:$G$650)</f>
        <v>0</v>
      </c>
      <c r="I924" s="28">
        <f ca="1">SUMIF(半成品出库明细!$D$2:$D$558,$B924,半成品出库明细!$G$2:$G$2)</f>
        <v>0</v>
      </c>
      <c r="J924" s="28">
        <f ca="1" t="shared" si="16"/>
        <v>0</v>
      </c>
      <c r="K924" s="32" t="s">
        <v>1653</v>
      </c>
    </row>
    <row r="925" s="3" customFormat="1" spans="1:12">
      <c r="A925" s="22">
        <v>823</v>
      </c>
      <c r="B925" s="23" t="s">
        <v>1654</v>
      </c>
      <c r="C925" s="24" t="s">
        <v>1647</v>
      </c>
      <c r="D925" s="25" t="s">
        <v>1648</v>
      </c>
      <c r="E925" s="28" t="s">
        <v>443</v>
      </c>
      <c r="F925" s="26" t="s">
        <v>197</v>
      </c>
      <c r="G925" s="27">
        <f>SUMIF(物料月初库存!$C$3:$C$303,$B925,物料月初库存!$F$3:$F$303)</f>
        <v>0</v>
      </c>
      <c r="H925" s="28">
        <f>SUMIF(半成品入库明细!$D$2:$D$650,$B925,半成品入库明细!$G$2:$G$650)</f>
        <v>0</v>
      </c>
      <c r="I925" s="28">
        <f ca="1">SUMIF(半成品出库明细!$D$2:$D$558,$B925,半成品出库明细!$G$2:$G$2)</f>
        <v>0</v>
      </c>
      <c r="J925" s="28">
        <f ca="1" t="shared" si="16"/>
        <v>0</v>
      </c>
      <c r="K925" s="30" t="s">
        <v>168</v>
      </c>
      <c r="L925" s="32" t="s">
        <v>202</v>
      </c>
    </row>
    <row r="926" s="3" customFormat="1" spans="1:12">
      <c r="A926" s="22">
        <v>824</v>
      </c>
      <c r="B926" s="23" t="s">
        <v>1655</v>
      </c>
      <c r="C926" s="24" t="s">
        <v>1656</v>
      </c>
      <c r="D926" s="25" t="s">
        <v>1648</v>
      </c>
      <c r="E926" s="28" t="s">
        <v>76</v>
      </c>
      <c r="F926" s="26" t="s">
        <v>197</v>
      </c>
      <c r="G926" s="27">
        <f>SUMIF(物料月初库存!$C$3:$C$303,$B926,物料月初库存!$F$3:$F$303)</f>
        <v>0</v>
      </c>
      <c r="H926" s="28">
        <f>SUMIF(半成品入库明细!$D$2:$D$650,$B926,半成品入库明细!$G$2:$G$650)</f>
        <v>0</v>
      </c>
      <c r="I926" s="28">
        <f ca="1">SUMIF(半成品出库明细!$D$2:$D$558,$B926,半成品出库明细!$G$2:$G$2)</f>
        <v>0</v>
      </c>
      <c r="J926" s="28">
        <f ca="1" t="shared" si="16"/>
        <v>0</v>
      </c>
      <c r="K926" s="29"/>
      <c r="L926" s="19"/>
    </row>
    <row r="927" s="3" customFormat="1" spans="1:12">
      <c r="A927" s="22">
        <v>825</v>
      </c>
      <c r="B927" s="23" t="s">
        <v>1657</v>
      </c>
      <c r="C927" s="25" t="s">
        <v>1656</v>
      </c>
      <c r="D927" s="25" t="s">
        <v>1648</v>
      </c>
      <c r="E927" s="19" t="s">
        <v>1650</v>
      </c>
      <c r="F927" s="26" t="s">
        <v>197</v>
      </c>
      <c r="G927" s="27">
        <f>SUMIF(物料月初库存!$C$3:$C$303,$B927,物料月初库存!$F$3:$F$303)</f>
        <v>0</v>
      </c>
      <c r="H927" s="28">
        <f>SUMIF(半成品入库明细!$D$2:$D$650,$B927,半成品入库明细!$G$2:$G$650)</f>
        <v>0</v>
      </c>
      <c r="I927" s="28">
        <f ca="1">SUMIF(半成品出库明细!$D$2:$D$558,$B927,半成品出库明细!$G$2:$G$2)</f>
        <v>0</v>
      </c>
      <c r="J927" s="28">
        <f ca="1" t="shared" si="16"/>
        <v>0</v>
      </c>
      <c r="K927" s="32" t="s">
        <v>1633</v>
      </c>
    </row>
    <row r="928" s="3" customFormat="1" spans="1:12">
      <c r="A928" s="22">
        <v>826</v>
      </c>
      <c r="B928" s="118" t="s">
        <v>1658</v>
      </c>
      <c r="C928" s="33" t="s">
        <v>1656</v>
      </c>
      <c r="D928" s="33" t="s">
        <v>1648</v>
      </c>
      <c r="E928" s="37" t="s">
        <v>235</v>
      </c>
      <c r="F928" s="26" t="s">
        <v>197</v>
      </c>
      <c r="G928" s="27">
        <f>SUMIF(物料月初库存!$C$3:$C$303,$B928,物料月初库存!$F$3:$F$303)</f>
        <v>0</v>
      </c>
      <c r="H928" s="28">
        <f>SUMIF(半成品入库明细!$D$2:$D$650,$B928,半成品入库明细!$G$2:$G$650)</f>
        <v>0</v>
      </c>
      <c r="I928" s="28">
        <f ca="1">SUMIF(半成品出库明细!$D$2:$D$558,$B928,半成品出库明细!$G$2:$G$2)</f>
        <v>0</v>
      </c>
      <c r="J928" s="28">
        <f ca="1" t="shared" si="16"/>
        <v>0</v>
      </c>
      <c r="K928" s="32" t="s">
        <v>1659</v>
      </c>
    </row>
    <row r="929" s="3" customFormat="1" spans="1:13">
      <c r="A929" s="22">
        <v>827</v>
      </c>
      <c r="B929" s="23" t="s">
        <v>1660</v>
      </c>
      <c r="C929" s="25" t="s">
        <v>1656</v>
      </c>
      <c r="D929" s="25" t="s">
        <v>1648</v>
      </c>
      <c r="E929" s="28" t="s">
        <v>316</v>
      </c>
      <c r="F929" s="26" t="s">
        <v>197</v>
      </c>
      <c r="G929" s="27">
        <f>SUMIF(物料月初库存!$C$3:$C$303,$B929,物料月初库存!$F$3:$F$303)</f>
        <v>0</v>
      </c>
      <c r="H929" s="28">
        <f>SUMIF(半成品入库明细!$D$2:$D$650,$B929,半成品入库明细!$G$2:$G$650)</f>
        <v>0</v>
      </c>
      <c r="I929" s="28">
        <f ca="1">SUMIF(半成品出库明细!$D$2:$D$558,$B929,半成品出库明细!$G$2:$G$2)</f>
        <v>0</v>
      </c>
      <c r="J929" s="28">
        <f ca="1" t="shared" si="16"/>
        <v>0</v>
      </c>
      <c r="K929" s="32" t="s">
        <v>1661</v>
      </c>
    </row>
    <row r="930" s="3" customFormat="1" spans="1:13">
      <c r="A930" s="22">
        <v>828</v>
      </c>
      <c r="B930" s="23" t="s">
        <v>1662</v>
      </c>
      <c r="C930" s="25" t="s">
        <v>1656</v>
      </c>
      <c r="D930" s="25" t="s">
        <v>1648</v>
      </c>
      <c r="E930" s="28" t="s">
        <v>199</v>
      </c>
      <c r="F930" s="26" t="s">
        <v>197</v>
      </c>
      <c r="G930" s="27">
        <f>SUMIF(物料月初库存!$C$3:$C$303,$B930,物料月初库存!$F$3:$F$303)</f>
        <v>0</v>
      </c>
      <c r="H930" s="28">
        <f>SUMIF(半成品入库明细!$D$2:$D$650,$B930,半成品入库明细!$G$2:$G$650)</f>
        <v>0</v>
      </c>
      <c r="I930" s="28">
        <f ca="1">SUMIF(半成品出库明细!$D$2:$D$558,$B930,半成品出库明细!$G$2:$G$2)</f>
        <v>0</v>
      </c>
      <c r="J930" s="28">
        <f ca="1" t="shared" si="16"/>
        <v>0</v>
      </c>
      <c r="K930" s="32" t="s">
        <v>1663</v>
      </c>
    </row>
    <row r="931" s="3" customFormat="1" spans="1:13">
      <c r="A931" s="22">
        <v>829</v>
      </c>
      <c r="B931" s="23" t="s">
        <v>1664</v>
      </c>
      <c r="C931" s="123" t="s">
        <v>1665</v>
      </c>
      <c r="D931" s="25" t="s">
        <v>1648</v>
      </c>
      <c r="E931" s="28" t="s">
        <v>76</v>
      </c>
      <c r="F931" s="26" t="s">
        <v>197</v>
      </c>
      <c r="G931" s="27">
        <f>SUMIF(物料月初库存!$C$3:$C$303,$B931,物料月初库存!$F$3:$F$303)</f>
        <v>0</v>
      </c>
      <c r="H931" s="28">
        <f>SUMIF(半成品入库明细!$D$2:$D$650,$B931,半成品入库明细!$G$2:$G$650)</f>
        <v>0</v>
      </c>
      <c r="I931" s="28">
        <f ca="1">SUMIF(半成品出库明细!$D$2:$D$558,$B931,半成品出库明细!$G$2:$G$2)</f>
        <v>0</v>
      </c>
      <c r="J931" s="28">
        <f ca="1" t="shared" si="16"/>
        <v>0</v>
      </c>
      <c r="K931" s="29" t="s">
        <v>704</v>
      </c>
      <c r="L931" s="19"/>
    </row>
    <row r="932" s="3" customFormat="1" spans="1:13">
      <c r="A932" s="22">
        <v>831</v>
      </c>
      <c r="B932" s="23" t="s">
        <v>1666</v>
      </c>
      <c r="C932" s="123" t="s">
        <v>1665</v>
      </c>
      <c r="D932" s="25" t="s">
        <v>1648</v>
      </c>
      <c r="E932" s="28" t="s">
        <v>316</v>
      </c>
      <c r="F932" s="26" t="s">
        <v>197</v>
      </c>
      <c r="G932" s="27">
        <f>SUMIF(物料月初库存!$C$3:$C$303,$B932,物料月初库存!$F$3:$F$303)</f>
        <v>0</v>
      </c>
      <c r="H932" s="28">
        <f>SUMIF(半成品入库明细!$D$2:$D$650,$B932,半成品入库明细!$G$2:$G$650)</f>
        <v>0</v>
      </c>
      <c r="I932" s="28">
        <f ca="1">SUMIF(半成品出库明细!$D$2:$D$558,$B932,半成品出库明细!$G$2:$G$2)</f>
        <v>0</v>
      </c>
      <c r="J932" s="28">
        <f ca="1" t="shared" si="16"/>
        <v>0</v>
      </c>
      <c r="K932" s="29" t="s">
        <v>113</v>
      </c>
      <c r="L932" s="19"/>
    </row>
    <row r="933" s="3" customFormat="1" spans="1:13">
      <c r="A933" s="22">
        <v>835</v>
      </c>
      <c r="B933" s="23" t="s">
        <v>1667</v>
      </c>
      <c r="C933" s="123" t="s">
        <v>1665</v>
      </c>
      <c r="D933" s="25" t="s">
        <v>1648</v>
      </c>
      <c r="E933" s="37" t="s">
        <v>644</v>
      </c>
      <c r="F933" s="26" t="s">
        <v>197</v>
      </c>
      <c r="G933" s="27">
        <f>SUMIF(物料月初库存!$C$3:$C$303,$B933,物料月初库存!$F$3:$F$303)</f>
        <v>0</v>
      </c>
      <c r="H933" s="28">
        <f>SUMIF(半成品入库明细!$D$2:$D$650,$B933,半成品入库明细!$G$2:$G$650)</f>
        <v>0</v>
      </c>
      <c r="I933" s="28">
        <f ca="1">SUMIF(半成品出库明细!$D$2:$D$558,$B933,半成品出库明细!$G$2:$G$2)</f>
        <v>0</v>
      </c>
      <c r="J933" s="28">
        <f ca="1" t="shared" si="16"/>
        <v>0</v>
      </c>
      <c r="K933" s="30" t="s">
        <v>173</v>
      </c>
      <c r="L933" s="19"/>
    </row>
    <row r="934" s="3" customFormat="1" spans="1:13">
      <c r="A934" s="22">
        <v>836</v>
      </c>
      <c r="B934" s="23" t="s">
        <v>1668</v>
      </c>
      <c r="C934" s="25" t="s">
        <v>1669</v>
      </c>
      <c r="D934" s="25" t="s">
        <v>1648</v>
      </c>
      <c r="E934" s="28" t="s">
        <v>76</v>
      </c>
      <c r="F934" s="26" t="s">
        <v>197</v>
      </c>
      <c r="G934" s="27">
        <f>SUMIF(物料月初库存!$C$3:$C$303,$B934,物料月初库存!$F$3:$F$303)</f>
        <v>0</v>
      </c>
      <c r="H934" s="28">
        <f>SUMIF(半成品入库明细!$D$2:$D$650,$B934,半成品入库明细!$G$2:$G$650)</f>
        <v>0</v>
      </c>
      <c r="I934" s="28">
        <f ca="1">SUMIF(半成品出库明细!$D$2:$D$558,$B934,半成品出库明细!$G$2:$G$2)</f>
        <v>0</v>
      </c>
      <c r="J934" s="28">
        <f ca="1" t="shared" si="16"/>
        <v>0</v>
      </c>
      <c r="K934" s="29"/>
      <c r="L934" s="19"/>
    </row>
    <row r="935" s="3" customFormat="1" spans="1:13">
      <c r="A935" s="22">
        <v>837</v>
      </c>
      <c r="B935" s="23" t="s">
        <v>1670</v>
      </c>
      <c r="C935" s="25" t="s">
        <v>1669</v>
      </c>
      <c r="D935" s="25" t="s">
        <v>1648</v>
      </c>
      <c r="E935" s="19" t="s">
        <v>1650</v>
      </c>
      <c r="F935" s="26" t="s">
        <v>197</v>
      </c>
      <c r="G935" s="27">
        <f>SUMIF(物料月初库存!$C$3:$C$303,$B935,物料月初库存!$F$3:$F$303)</f>
        <v>0</v>
      </c>
      <c r="H935" s="28">
        <f>SUMIF(半成品入库明细!$D$2:$D$650,$B935,半成品入库明细!$G$2:$G$650)</f>
        <v>0</v>
      </c>
      <c r="I935" s="28">
        <f ca="1">SUMIF(半成品出库明细!$D$2:$D$558,$B935,半成品出库明细!$G$2:$G$2)</f>
        <v>0</v>
      </c>
      <c r="J935" s="28">
        <f ca="1" t="shared" si="16"/>
        <v>0</v>
      </c>
      <c r="K935" s="29" t="s">
        <v>1633</v>
      </c>
      <c r="L935" s="19"/>
    </row>
    <row r="936" s="3" customFormat="1" spans="1:13">
      <c r="A936" s="22">
        <v>838</v>
      </c>
      <c r="B936" s="23" t="s">
        <v>1671</v>
      </c>
      <c r="C936" s="25" t="s">
        <v>1669</v>
      </c>
      <c r="D936" s="25" t="s">
        <v>1648</v>
      </c>
      <c r="E936" s="28" t="s">
        <v>326</v>
      </c>
      <c r="F936" s="26" t="s">
        <v>197</v>
      </c>
      <c r="G936" s="27">
        <f>SUMIF(物料月初库存!$C$3:$C$303,$B936,物料月初库存!$F$3:$F$303)</f>
        <v>0</v>
      </c>
      <c r="H936" s="28">
        <f>SUMIF(半成品入库明细!$D$2:$D$650,$B936,半成品入库明细!$G$2:$G$650)</f>
        <v>0</v>
      </c>
      <c r="I936" s="28">
        <f ca="1">SUMIF(半成品出库明细!$D$2:$D$558,$B936,半成品出库明细!$G$2:$G$2)</f>
        <v>0</v>
      </c>
      <c r="J936" s="28">
        <f ca="1" t="shared" si="16"/>
        <v>0</v>
      </c>
      <c r="K936" s="30" t="s">
        <v>146</v>
      </c>
      <c r="L936" s="19"/>
    </row>
    <row r="937" s="1" customFormat="1" spans="1:13">
      <c r="A937" s="22">
        <v>839</v>
      </c>
      <c r="B937" s="23" t="s">
        <v>1672</v>
      </c>
      <c r="C937" s="25" t="s">
        <v>1669</v>
      </c>
      <c r="D937" s="25" t="s">
        <v>1648</v>
      </c>
      <c r="E937" s="28" t="s">
        <v>316</v>
      </c>
      <c r="F937" s="26" t="s">
        <v>197</v>
      </c>
      <c r="G937" s="27">
        <f>SUMIF(物料月初库存!$C$3:$C$303,$B937,物料月初库存!$F$3:$F$303)</f>
        <v>0</v>
      </c>
      <c r="H937" s="28">
        <f>SUMIF(半成品入库明细!$D$2:$D$650,$B937,半成品入库明细!$G$2:$G$650)</f>
        <v>0</v>
      </c>
      <c r="I937" s="28">
        <f ca="1">SUMIF(半成品出库明细!$D$2:$D$558,$B937,半成品出库明细!$G$2:$G$2)</f>
        <v>0</v>
      </c>
      <c r="J937" s="28">
        <f ca="1" t="shared" si="16"/>
        <v>0</v>
      </c>
      <c r="K937" s="29" t="s">
        <v>1271</v>
      </c>
      <c r="L937" s="19"/>
      <c r="M937" s="3"/>
    </row>
    <row r="938" s="1" customFormat="1" spans="1:13">
      <c r="A938" s="22">
        <v>840</v>
      </c>
      <c r="B938" s="23" t="s">
        <v>1673</v>
      </c>
      <c r="C938" s="25" t="s">
        <v>1669</v>
      </c>
      <c r="D938" s="25" t="s">
        <v>1648</v>
      </c>
      <c r="E938" s="28" t="s">
        <v>1674</v>
      </c>
      <c r="F938" s="26" t="s">
        <v>197</v>
      </c>
      <c r="G938" s="27">
        <f>SUMIF(物料月初库存!$C$3:$C$303,$B938,物料月初库存!$F$3:$F$303)</f>
        <v>0</v>
      </c>
      <c r="H938" s="28">
        <f>SUMIF(半成品入库明细!$D$2:$D$650,$B938,半成品入库明细!$G$2:$G$650)</f>
        <v>0</v>
      </c>
      <c r="I938" s="28">
        <f ca="1">SUMIF(半成品出库明细!$D$2:$D$558,$B938,半成品出库明细!$G$2:$G$2)</f>
        <v>0</v>
      </c>
      <c r="J938" s="28">
        <f ca="1" t="shared" si="16"/>
        <v>0</v>
      </c>
      <c r="K938" s="29" t="s">
        <v>223</v>
      </c>
      <c r="L938" s="19" t="s">
        <v>202</v>
      </c>
      <c r="M938" s="3"/>
    </row>
    <row r="939" s="1" customFormat="1" spans="1:13">
      <c r="A939" s="22">
        <v>841</v>
      </c>
      <c r="B939" s="23" t="s">
        <v>1675</v>
      </c>
      <c r="C939" s="25" t="s">
        <v>1676</v>
      </c>
      <c r="D939" s="25" t="s">
        <v>1648</v>
      </c>
      <c r="E939" s="28" t="s">
        <v>76</v>
      </c>
      <c r="F939" s="26" t="s">
        <v>197</v>
      </c>
      <c r="G939" s="27">
        <f>SUMIF(物料月初库存!$C$3:$C$303,$B939,物料月初库存!$F$3:$F$303)</f>
        <v>0</v>
      </c>
      <c r="H939" s="28">
        <f>SUMIF(半成品入库明细!$D$2:$D$650,$B939,半成品入库明细!$G$2:$G$650)</f>
        <v>0</v>
      </c>
      <c r="I939" s="28">
        <f ca="1">SUMIF(半成品出库明细!$D$2:$D$558,$B939,半成品出库明细!$G$2:$G$2)</f>
        <v>0</v>
      </c>
      <c r="J939" s="28">
        <f ca="1" t="shared" si="16"/>
        <v>0</v>
      </c>
      <c r="K939" s="29"/>
      <c r="L939" s="19"/>
      <c r="M939" s="3"/>
    </row>
    <row r="940" s="1" customFormat="1" spans="1:13">
      <c r="A940" s="22">
        <v>842</v>
      </c>
      <c r="B940" s="23" t="s">
        <v>1677</v>
      </c>
      <c r="C940" s="25" t="s">
        <v>1676</v>
      </c>
      <c r="D940" s="25" t="s">
        <v>1648</v>
      </c>
      <c r="E940" s="19" t="s">
        <v>1650</v>
      </c>
      <c r="F940" s="26" t="s">
        <v>197</v>
      </c>
      <c r="G940" s="27">
        <f>SUMIF(物料月初库存!$C$3:$C$303,$B940,物料月初库存!$F$3:$F$303)</f>
        <v>0</v>
      </c>
      <c r="H940" s="28">
        <f>SUMIF(半成品入库明细!$D$2:$D$650,$B940,半成品入库明细!$G$2:$G$650)</f>
        <v>0</v>
      </c>
      <c r="I940" s="28">
        <f ca="1">SUMIF(半成品出库明细!$D$2:$D$558,$B940,半成品出库明细!$G$2:$G$2)</f>
        <v>0</v>
      </c>
      <c r="J940" s="28">
        <f ca="1" t="shared" si="16"/>
        <v>0</v>
      </c>
      <c r="K940" s="29" t="s">
        <v>1633</v>
      </c>
      <c r="L940" s="19"/>
      <c r="M940" s="3"/>
    </row>
    <row r="941" s="1" customFormat="1" spans="1:13">
      <c r="A941" s="22">
        <v>843</v>
      </c>
      <c r="B941" s="23" t="s">
        <v>1678</v>
      </c>
      <c r="C941" s="25" t="s">
        <v>1676</v>
      </c>
      <c r="D941" s="25" t="s">
        <v>1648</v>
      </c>
      <c r="E941" s="28" t="s">
        <v>316</v>
      </c>
      <c r="F941" s="26" t="s">
        <v>197</v>
      </c>
      <c r="G941" s="27">
        <f>SUMIF(物料月初库存!$C$3:$C$303,$B941,物料月初库存!$F$3:$F$303)</f>
        <v>0</v>
      </c>
      <c r="H941" s="28">
        <f>SUMIF(半成品入库明细!$D$2:$D$650,$B941,半成品入库明细!$G$2:$G$650)</f>
        <v>0</v>
      </c>
      <c r="I941" s="28">
        <f ca="1">SUMIF(半成品出库明细!$D$2:$D$558,$B941,半成品出库明细!$G$2:$G$2)</f>
        <v>0</v>
      </c>
      <c r="J941" s="28">
        <f ca="1" t="shared" si="16"/>
        <v>0</v>
      </c>
      <c r="K941" s="30" t="s">
        <v>113</v>
      </c>
      <c r="L941" s="19"/>
      <c r="M941" s="3"/>
    </row>
    <row r="942" s="1" customFormat="1" spans="1:13">
      <c r="A942" s="22">
        <v>845</v>
      </c>
      <c r="B942" s="23" t="s">
        <v>1679</v>
      </c>
      <c r="C942" s="25" t="s">
        <v>1676</v>
      </c>
      <c r="D942" s="25" t="s">
        <v>1648</v>
      </c>
      <c r="E942" s="19" t="s">
        <v>356</v>
      </c>
      <c r="F942" s="26" t="s">
        <v>197</v>
      </c>
      <c r="G942" s="27">
        <f>SUMIF(物料月初库存!$C$3:$C$303,$B942,物料月初库存!$F$3:$F$303)</f>
        <v>0</v>
      </c>
      <c r="H942" s="28">
        <f>SUMIF(半成品入库明细!$D$2:$D$650,$B942,半成品入库明细!$G$2:$G$650)</f>
        <v>0</v>
      </c>
      <c r="I942" s="28">
        <f ca="1">SUMIF(半成品出库明细!$D$2:$D$558,$B942,半成品出库明细!$G$2:$G$2)</f>
        <v>0</v>
      </c>
      <c r="J942" s="28">
        <f ca="1" t="shared" si="16"/>
        <v>0</v>
      </c>
      <c r="K942" s="30"/>
      <c r="L942" s="19" t="s">
        <v>202</v>
      </c>
      <c r="M942" s="3"/>
    </row>
    <row r="943" s="1" customFormat="1" spans="1:13">
      <c r="A943" s="22">
        <v>846</v>
      </c>
      <c r="B943" s="23" t="s">
        <v>1680</v>
      </c>
      <c r="C943" s="25" t="s">
        <v>1681</v>
      </c>
      <c r="D943" s="25" t="s">
        <v>1648</v>
      </c>
      <c r="E943" s="28" t="s">
        <v>76</v>
      </c>
      <c r="F943" s="26" t="s">
        <v>197</v>
      </c>
      <c r="G943" s="27">
        <f>SUMIF(物料月初库存!$C$3:$C$303,$B943,物料月初库存!$F$3:$F$303)</f>
        <v>0</v>
      </c>
      <c r="H943" s="28">
        <f>SUMIF(半成品入库明细!$D$2:$D$650,$B943,半成品入库明细!$G$2:$G$650)</f>
        <v>0</v>
      </c>
      <c r="I943" s="28">
        <f ca="1">SUMIF(半成品出库明细!$D$2:$D$558,$B943,半成品出库明细!$G$2:$G$2)</f>
        <v>0</v>
      </c>
      <c r="J943" s="28">
        <f ca="1" t="shared" si="16"/>
        <v>0</v>
      </c>
      <c r="K943" s="29"/>
      <c r="L943" s="19"/>
      <c r="M943" s="3"/>
    </row>
    <row r="944" s="1" customFormat="1" spans="1:13">
      <c r="A944" s="22">
        <v>847</v>
      </c>
      <c r="B944" s="23" t="s">
        <v>1682</v>
      </c>
      <c r="C944" s="25" t="s">
        <v>1681</v>
      </c>
      <c r="D944" s="25" t="s">
        <v>1648</v>
      </c>
      <c r="E944" s="28" t="s">
        <v>267</v>
      </c>
      <c r="F944" s="26" t="s">
        <v>197</v>
      </c>
      <c r="G944" s="27">
        <f>SUMIF(物料月初库存!$C$3:$C$303,$B944,物料月初库存!$F$3:$F$303)</f>
        <v>0</v>
      </c>
      <c r="H944" s="28">
        <f>SUMIF(半成品入库明细!$D$2:$D$650,$B944,半成品入库明细!$G$2:$G$650)</f>
        <v>0</v>
      </c>
      <c r="I944" s="28">
        <f ca="1">SUMIF(半成品出库明细!$D$2:$D$558,$B944,半成品出库明细!$G$2:$G$2)</f>
        <v>0</v>
      </c>
      <c r="J944" s="28">
        <f ca="1" t="shared" si="16"/>
        <v>0</v>
      </c>
      <c r="K944" s="29" t="s">
        <v>333</v>
      </c>
      <c r="L944" s="19"/>
      <c r="M944" s="3"/>
    </row>
    <row r="945" s="1" customFormat="1" spans="1:13">
      <c r="A945" s="22">
        <v>848</v>
      </c>
      <c r="B945" s="23" t="s">
        <v>1683</v>
      </c>
      <c r="C945" s="25" t="s">
        <v>1681</v>
      </c>
      <c r="D945" s="25" t="s">
        <v>1648</v>
      </c>
      <c r="E945" s="19" t="s">
        <v>353</v>
      </c>
      <c r="F945" s="26" t="s">
        <v>197</v>
      </c>
      <c r="G945" s="27">
        <f>SUMIF(物料月初库存!$C$3:$C$303,$B945,物料月初库存!$F$3:$F$303)</f>
        <v>0</v>
      </c>
      <c r="H945" s="28">
        <f>SUMIF(半成品入库明细!$D$2:$D$650,$B945,半成品入库明细!$G$2:$G$650)</f>
        <v>0</v>
      </c>
      <c r="I945" s="28">
        <f ca="1">SUMIF(半成品出库明细!$D$2:$D$558,$B945,半成品出库明细!$G$2:$G$2)</f>
        <v>0</v>
      </c>
      <c r="J945" s="28">
        <f ca="1" t="shared" si="16"/>
        <v>0</v>
      </c>
      <c r="K945" s="29" t="s">
        <v>1684</v>
      </c>
      <c r="L945" s="1" t="s">
        <v>1271</v>
      </c>
      <c r="M945" s="3"/>
    </row>
    <row r="946" s="1" customFormat="1" spans="1:13">
      <c r="A946" s="22">
        <v>849</v>
      </c>
      <c r="B946" s="23" t="s">
        <v>1685</v>
      </c>
      <c r="C946" s="25" t="s">
        <v>1681</v>
      </c>
      <c r="D946" s="25" t="s">
        <v>1648</v>
      </c>
      <c r="E946" s="28" t="s">
        <v>616</v>
      </c>
      <c r="F946" s="26" t="s">
        <v>197</v>
      </c>
      <c r="G946" s="27">
        <f>SUMIF(物料月初库存!$C$3:$C$303,$B946,物料月初库存!$F$3:$F$303)</f>
        <v>0</v>
      </c>
      <c r="H946" s="28">
        <f>SUMIF(半成品入库明细!$D$2:$D$650,$B946,半成品入库明细!$G$2:$G$650)</f>
        <v>0</v>
      </c>
      <c r="I946" s="28">
        <f ca="1">SUMIF(半成品出库明细!$D$2:$D$558,$B946,半成品出库明细!$G$2:$G$2)</f>
        <v>0</v>
      </c>
      <c r="J946" s="28">
        <f ca="1" t="shared" si="16"/>
        <v>0</v>
      </c>
      <c r="K946" s="30" t="s">
        <v>1686</v>
      </c>
      <c r="L946" s="124" t="s">
        <v>113</v>
      </c>
      <c r="M946" s="3"/>
    </row>
    <row r="947" s="1" customFormat="1" spans="1:13">
      <c r="A947" s="22">
        <v>850</v>
      </c>
      <c r="B947" s="23" t="s">
        <v>1687</v>
      </c>
      <c r="C947" s="25" t="s">
        <v>1681</v>
      </c>
      <c r="D947" s="25" t="s">
        <v>1648</v>
      </c>
      <c r="E947" s="28" t="s">
        <v>225</v>
      </c>
      <c r="F947" s="26" t="s">
        <v>197</v>
      </c>
      <c r="G947" s="27">
        <f>SUMIF(物料月初库存!$C$3:$C$303,$B947,物料月初库存!$F$3:$F$303)</f>
        <v>0</v>
      </c>
      <c r="H947" s="28">
        <f>SUMIF(半成品入库明细!$D$2:$D$650,$B947,半成品入库明细!$G$2:$G$650)</f>
        <v>0</v>
      </c>
      <c r="I947" s="28">
        <f ca="1">SUMIF(半成品出库明细!$D$2:$D$558,$B947,半成品出库明细!$G$2:$G$2)</f>
        <v>0</v>
      </c>
      <c r="J947" s="28">
        <f ca="1" t="shared" si="16"/>
        <v>0</v>
      </c>
      <c r="K947" s="29" t="s">
        <v>92</v>
      </c>
      <c r="L947" s="19"/>
      <c r="M947" s="3"/>
    </row>
    <row r="948" s="1" customFormat="1" spans="1:13">
      <c r="A948" s="22">
        <v>851</v>
      </c>
      <c r="B948" s="23" t="s">
        <v>1688</v>
      </c>
      <c r="C948" s="25" t="s">
        <v>1689</v>
      </c>
      <c r="D948" s="25" t="s">
        <v>1648</v>
      </c>
      <c r="E948" s="28" t="s">
        <v>76</v>
      </c>
      <c r="F948" s="26" t="s">
        <v>197</v>
      </c>
      <c r="G948" s="27">
        <f>SUMIF(物料月初库存!$C$3:$C$303,$B948,物料月初库存!$F$3:$F$303)</f>
        <v>0</v>
      </c>
      <c r="H948" s="28">
        <f>SUMIF(半成品入库明细!$D$2:$D$650,$B948,半成品入库明细!$G$2:$G$650)</f>
        <v>0</v>
      </c>
      <c r="I948" s="28">
        <f ca="1">SUMIF(半成品出库明细!$D$2:$D$558,$B948,半成品出库明细!$G$2:$G$2)</f>
        <v>0</v>
      </c>
      <c r="J948" s="28">
        <f ca="1" t="shared" si="16"/>
        <v>0</v>
      </c>
      <c r="K948" s="29"/>
      <c r="L948" s="19"/>
      <c r="M948" s="3"/>
    </row>
    <row r="949" s="1" customFormat="1" spans="1:13">
      <c r="A949" s="22">
        <v>852</v>
      </c>
      <c r="B949" s="23" t="s">
        <v>1690</v>
      </c>
      <c r="C949" s="25" t="s">
        <v>1689</v>
      </c>
      <c r="D949" s="25" t="s">
        <v>1648</v>
      </c>
      <c r="E949" s="50" t="s">
        <v>1691</v>
      </c>
      <c r="F949" s="26" t="s">
        <v>197</v>
      </c>
      <c r="G949" s="27">
        <f>SUMIF(物料月初库存!$C$3:$C$303,$B949,物料月初库存!$F$3:$F$303)</f>
        <v>0</v>
      </c>
      <c r="H949" s="28">
        <f>SUMIF(半成品入库明细!$D$2:$D$650,$B949,半成品入库明细!$G$2:$G$650)</f>
        <v>0</v>
      </c>
      <c r="I949" s="28">
        <f ca="1">SUMIF(半成品出库明细!$D$2:$D$558,$B949,半成品出库明细!$G$2:$G$2)</f>
        <v>0</v>
      </c>
      <c r="J949" s="28">
        <f ca="1" t="shared" si="16"/>
        <v>0</v>
      </c>
      <c r="K949" s="29" t="s">
        <v>113</v>
      </c>
      <c r="L949" s="19"/>
      <c r="M949" s="3"/>
    </row>
    <row r="950" s="1" customFormat="1" spans="1:13">
      <c r="A950" s="22">
        <v>853</v>
      </c>
      <c r="B950" s="23" t="s">
        <v>1692</v>
      </c>
      <c r="C950" s="25" t="s">
        <v>1689</v>
      </c>
      <c r="D950" s="25" t="s">
        <v>1648</v>
      </c>
      <c r="E950" s="28" t="s">
        <v>199</v>
      </c>
      <c r="F950" s="26" t="s">
        <v>197</v>
      </c>
      <c r="G950" s="27">
        <f>SUMIF(物料月初库存!$C$3:$C$303,$B950,物料月初库存!$F$3:$F$303)</f>
        <v>0</v>
      </c>
      <c r="H950" s="28">
        <f>SUMIF(半成品入库明细!$D$2:$D$650,$B950,半成品入库明细!$G$2:$G$650)</f>
        <v>0</v>
      </c>
      <c r="I950" s="28">
        <f ca="1">SUMIF(半成品出库明细!$D$2:$D$558,$B950,半成品出库明细!$G$2:$G$2)</f>
        <v>0</v>
      </c>
      <c r="J950" s="28">
        <f ca="1" t="shared" si="16"/>
        <v>0</v>
      </c>
      <c r="K950" s="29" t="s">
        <v>1693</v>
      </c>
      <c r="L950" s="19"/>
      <c r="M950" s="3"/>
    </row>
    <row r="951" s="1" customFormat="1" spans="1:13">
      <c r="A951" s="22">
        <v>854</v>
      </c>
      <c r="B951" s="23" t="s">
        <v>1694</v>
      </c>
      <c r="C951" s="25" t="s">
        <v>1695</v>
      </c>
      <c r="D951" s="25" t="s">
        <v>1648</v>
      </c>
      <c r="E951" s="28" t="s">
        <v>76</v>
      </c>
      <c r="F951" s="26" t="s">
        <v>197</v>
      </c>
      <c r="G951" s="27">
        <f>SUMIF(物料月初库存!$C$3:$C$303,$B951,物料月初库存!$F$3:$F$303)</f>
        <v>0</v>
      </c>
      <c r="H951" s="28">
        <f>SUMIF(半成品入库明细!$D$2:$D$650,$B951,半成品入库明细!$G$2:$G$650)</f>
        <v>0</v>
      </c>
      <c r="I951" s="28">
        <f ca="1">SUMIF(半成品出库明细!$D$2:$D$558,$B951,半成品出库明细!$G$2:$G$2)</f>
        <v>0</v>
      </c>
      <c r="J951" s="28">
        <f ca="1" t="shared" si="16"/>
        <v>0</v>
      </c>
      <c r="K951" s="29"/>
      <c r="L951" s="19"/>
      <c r="M951" s="3"/>
    </row>
    <row r="952" s="1" customFormat="1" spans="1:13">
      <c r="A952" s="22">
        <v>855</v>
      </c>
      <c r="B952" s="23" t="s">
        <v>1696</v>
      </c>
      <c r="C952" s="25" t="s">
        <v>1695</v>
      </c>
      <c r="D952" s="25" t="s">
        <v>1648</v>
      </c>
      <c r="E952" s="28" t="s">
        <v>225</v>
      </c>
      <c r="F952" s="26" t="s">
        <v>197</v>
      </c>
      <c r="G952" s="27">
        <f>SUMIF(物料月初库存!$C$3:$C$303,$B952,物料月初库存!$F$3:$F$303)</f>
        <v>0</v>
      </c>
      <c r="H952" s="28">
        <f>SUMIF(半成品入库明细!$D$2:$D$650,$B952,半成品入库明细!$G$2:$G$650)</f>
        <v>0</v>
      </c>
      <c r="I952" s="28">
        <f ca="1">SUMIF(半成品出库明细!$D$2:$D$558,$B952,半成品出库明细!$G$2:$G$2)</f>
        <v>0</v>
      </c>
      <c r="J952" s="28">
        <f ca="1" t="shared" si="16"/>
        <v>0</v>
      </c>
      <c r="K952" s="30" t="s">
        <v>92</v>
      </c>
      <c r="L952" s="19"/>
      <c r="M952" s="3"/>
    </row>
    <row r="953" s="1" customFormat="1" spans="1:13">
      <c r="A953" s="22">
        <v>856</v>
      </c>
      <c r="B953" s="23" t="s">
        <v>1697</v>
      </c>
      <c r="C953" s="125" t="s">
        <v>1698</v>
      </c>
      <c r="D953" s="25" t="s">
        <v>1648</v>
      </c>
      <c r="E953" s="28" t="s">
        <v>76</v>
      </c>
      <c r="F953" s="26" t="s">
        <v>197</v>
      </c>
      <c r="G953" s="27">
        <f>SUMIF(物料月初库存!$C$3:$C$303,$B953,物料月初库存!$F$3:$F$303)</f>
        <v>0</v>
      </c>
      <c r="H953" s="28">
        <f>SUMIF(半成品入库明细!$D$2:$D$650,$B953,半成品入库明细!$G$2:$G$650)</f>
        <v>0</v>
      </c>
      <c r="I953" s="28">
        <f ca="1">SUMIF(半成品出库明细!$D$2:$D$558,$B953,半成品出库明细!$G$2:$G$2)</f>
        <v>0</v>
      </c>
      <c r="J953" s="28">
        <f ca="1" t="shared" si="16"/>
        <v>0</v>
      </c>
      <c r="K953" s="30"/>
      <c r="L953" s="19"/>
      <c r="M953" s="3"/>
    </row>
    <row r="954" s="1" customFormat="1" spans="1:13">
      <c r="A954" s="22">
        <v>857</v>
      </c>
      <c r="B954" s="36" t="s">
        <v>1699</v>
      </c>
      <c r="C954" s="126" t="s">
        <v>1698</v>
      </c>
      <c r="D954" s="33" t="s">
        <v>1648</v>
      </c>
      <c r="E954" s="80" t="s">
        <v>1700</v>
      </c>
      <c r="F954" s="38" t="s">
        <v>197</v>
      </c>
      <c r="G954" s="39">
        <f>SUMIF(物料月初库存!$C$3:$C$303,$B954,物料月初库存!$F$3:$F$303)</f>
        <v>0</v>
      </c>
      <c r="H954" s="40">
        <f>SUMIF(半成品入库明细!$D$2:$D$650,$B954,半成品入库明细!$G$2:$G$650)</f>
        <v>0</v>
      </c>
      <c r="I954" s="40">
        <f ca="1">SUMIF(半成品出库明细!$D$2:$D$558,$B954,半成品出库明细!$G$2:$G$2)</f>
        <v>0</v>
      </c>
      <c r="J954" s="40">
        <f ca="1" t="shared" si="16"/>
        <v>0</v>
      </c>
      <c r="K954" s="30" t="s">
        <v>113</v>
      </c>
      <c r="L954" s="19"/>
      <c r="M954" s="3"/>
    </row>
    <row r="955" s="1" customFormat="1" spans="1:13">
      <c r="A955" s="22">
        <v>858</v>
      </c>
      <c r="B955" s="36" t="s">
        <v>1701</v>
      </c>
      <c r="C955" s="126" t="s">
        <v>1698</v>
      </c>
      <c r="D955" s="33" t="s">
        <v>1648</v>
      </c>
      <c r="E955" s="37" t="s">
        <v>267</v>
      </c>
      <c r="F955" s="38" t="s">
        <v>197</v>
      </c>
      <c r="G955" s="39">
        <f>SUMIF(物料月初库存!$C$3:$C$303,$B955,物料月初库存!$F$3:$F$303)</f>
        <v>0</v>
      </c>
      <c r="H955" s="40">
        <f>SUMIF(半成品入库明细!$D$2:$D$650,$B955,半成品入库明细!$G$2:$G$650)</f>
        <v>0</v>
      </c>
      <c r="I955" s="40">
        <f ca="1">SUMIF(半成品出库明细!$D$2:$D$558,$B955,半成品出库明细!$G$2:$G$2)</f>
        <v>0</v>
      </c>
      <c r="J955" s="40">
        <f ca="1" t="shared" si="16"/>
        <v>0</v>
      </c>
      <c r="K955" s="30"/>
      <c r="L955" s="19"/>
      <c r="M955" s="3"/>
    </row>
    <row r="956" s="1" customFormat="1" spans="1:13">
      <c r="A956" s="22">
        <v>859</v>
      </c>
      <c r="B956" s="36" t="s">
        <v>1702</v>
      </c>
      <c r="C956" s="126" t="s">
        <v>1698</v>
      </c>
      <c r="D956" s="33" t="s">
        <v>1648</v>
      </c>
      <c r="E956" s="37" t="s">
        <v>1703</v>
      </c>
      <c r="F956" s="38" t="s">
        <v>197</v>
      </c>
      <c r="G956" s="39">
        <f>SUMIF(物料月初库存!$C$3:$C$303,$B956,物料月初库存!$F$3:$F$303)</f>
        <v>0</v>
      </c>
      <c r="H956" s="40">
        <f>SUMIF(半成品入库明细!$D$2:$D$650,$B956,半成品入库明细!$G$2:$G$650)</f>
        <v>0</v>
      </c>
      <c r="I956" s="40">
        <f ca="1">SUMIF(半成品出库明细!$D$2:$D$558,$B956,半成品出库明细!$G$2:$G$2)</f>
        <v>0</v>
      </c>
      <c r="J956" s="40">
        <f ca="1" t="shared" si="16"/>
        <v>0</v>
      </c>
      <c r="K956" s="30"/>
      <c r="L956" s="19"/>
      <c r="M956" s="3"/>
    </row>
    <row r="957" s="1" customFormat="1" spans="1:13">
      <c r="A957" s="22">
        <v>860</v>
      </c>
      <c r="B957" s="23" t="s">
        <v>1704</v>
      </c>
      <c r="C957" s="125" t="s">
        <v>1698</v>
      </c>
      <c r="D957" s="25" t="s">
        <v>1648</v>
      </c>
      <c r="E957" s="50" t="s">
        <v>1705</v>
      </c>
      <c r="F957" s="26" t="s">
        <v>197</v>
      </c>
      <c r="G957" s="27">
        <f>SUMIF(物料月初库存!$C$3:$C$303,$B957,物料月初库存!$F$3:$F$303)</f>
        <v>0</v>
      </c>
      <c r="H957" s="28">
        <f>SUMIF(半成品入库明细!$D$2:$D$650,$B957,半成品入库明细!$G$2:$G$650)</f>
        <v>0</v>
      </c>
      <c r="I957" s="28">
        <f ca="1">SUMIF(半成品出库明细!$D$2:$D$558,$B957,半成品出库明细!$G$2:$G$2)</f>
        <v>0</v>
      </c>
      <c r="J957" s="28">
        <f ca="1" t="shared" si="16"/>
        <v>0</v>
      </c>
      <c r="K957" s="29" t="s">
        <v>1706</v>
      </c>
      <c r="L957" s="19"/>
      <c r="M957" s="3"/>
    </row>
    <row r="958" s="1" customFormat="1" spans="1:13">
      <c r="A958" s="22">
        <v>861</v>
      </c>
      <c r="B958" s="23" t="s">
        <v>1707</v>
      </c>
      <c r="C958" s="127" t="s">
        <v>1708</v>
      </c>
      <c r="D958" s="25" t="s">
        <v>1648</v>
      </c>
      <c r="E958" s="28" t="s">
        <v>76</v>
      </c>
      <c r="F958" s="26" t="s">
        <v>197</v>
      </c>
      <c r="G958" s="27">
        <f>SUMIF(物料月初库存!$C$3:$C$303,$B958,物料月初库存!$F$3:$F$303)</f>
        <v>0</v>
      </c>
      <c r="H958" s="28">
        <f>SUMIF(半成品入库明细!$D$2:$D$650,$B958,半成品入库明细!$G$2:$G$650)</f>
        <v>0</v>
      </c>
      <c r="I958" s="28">
        <f ca="1">SUMIF(半成品出库明细!$D$2:$D$558,$B958,半成品出库明细!$G$2:$G$2)</f>
        <v>0</v>
      </c>
      <c r="J958" s="28">
        <f ca="1" t="shared" si="16"/>
        <v>0</v>
      </c>
      <c r="K958" s="29"/>
      <c r="L958" s="19"/>
      <c r="M958" s="3"/>
    </row>
    <row r="959" s="1" customFormat="1" spans="1:13">
      <c r="A959" s="22">
        <v>862</v>
      </c>
      <c r="B959" s="23" t="s">
        <v>1709</v>
      </c>
      <c r="C959" s="127" t="s">
        <v>1708</v>
      </c>
      <c r="D959" s="25" t="s">
        <v>1648</v>
      </c>
      <c r="E959" s="50" t="s">
        <v>1710</v>
      </c>
      <c r="F959" s="26" t="s">
        <v>197</v>
      </c>
      <c r="G959" s="27">
        <f>SUMIF(物料月初库存!$C$3:$C$303,$B959,物料月初库存!$F$3:$F$303)</f>
        <v>0</v>
      </c>
      <c r="H959" s="28">
        <f>SUMIF(半成品入库明细!$D$2:$D$650,$B959,半成品入库明细!$G$2:$G$650)</f>
        <v>0</v>
      </c>
      <c r="I959" s="28">
        <f ca="1">SUMIF(半成品出库明细!$D$2:$D$558,$B959,半成品出库明细!$G$2:$G$2)</f>
        <v>0</v>
      </c>
      <c r="J959" s="28">
        <f ca="1" t="shared" si="16"/>
        <v>0</v>
      </c>
      <c r="K959" s="29" t="s">
        <v>1633</v>
      </c>
      <c r="L959" s="19"/>
      <c r="M959" s="3"/>
    </row>
    <row r="960" s="1" customFormat="1" spans="1:13">
      <c r="A960" s="22">
        <v>863</v>
      </c>
      <c r="B960" s="23" t="s">
        <v>1711</v>
      </c>
      <c r="C960" s="127" t="s">
        <v>1708</v>
      </c>
      <c r="D960" s="25" t="s">
        <v>1648</v>
      </c>
      <c r="E960" s="80" t="s">
        <v>316</v>
      </c>
      <c r="F960" s="26" t="s">
        <v>197</v>
      </c>
      <c r="G960" s="27">
        <f>SUMIF(物料月初库存!$C$3:$C$303,$B960,物料月初库存!$F$3:$F$303)</f>
        <v>0</v>
      </c>
      <c r="H960" s="28">
        <f>SUMIF(半成品入库明细!$D$2:$D$650,$B960,半成品入库明细!$G$2:$G$650)</f>
        <v>0</v>
      </c>
      <c r="I960" s="28">
        <f ca="1">SUMIF(半成品出库明细!$D$2:$D$558,$B960,半成品出库明细!$G$2:$G$2)</f>
        <v>0</v>
      </c>
      <c r="J960" s="28">
        <f ca="1" t="shared" si="16"/>
        <v>0</v>
      </c>
      <c r="K960" s="30" t="s">
        <v>113</v>
      </c>
      <c r="L960" s="19"/>
      <c r="M960" s="3"/>
    </row>
    <row r="961" s="1" customFormat="1" spans="1:13">
      <c r="A961" s="22">
        <v>864</v>
      </c>
      <c r="B961" s="23" t="s">
        <v>1712</v>
      </c>
      <c r="C961" s="127" t="s">
        <v>1708</v>
      </c>
      <c r="D961" s="25" t="s">
        <v>1648</v>
      </c>
      <c r="E961" s="37" t="s">
        <v>356</v>
      </c>
      <c r="F961" s="26" t="s">
        <v>197</v>
      </c>
      <c r="G961" s="27">
        <f>SUMIF(物料月初库存!$C$3:$C$303,$B961,物料月初库存!$F$3:$F$303)</f>
        <v>0</v>
      </c>
      <c r="H961" s="28">
        <f>SUMIF(半成品入库明细!$D$2:$D$650,$B961,半成品入库明细!$G$2:$G$650)</f>
        <v>0</v>
      </c>
      <c r="I961" s="28">
        <f ca="1">SUMIF(半成品出库明细!$D$2:$D$558,$B961,半成品出库明细!$G$2:$G$2)</f>
        <v>0</v>
      </c>
      <c r="J961" s="28">
        <f ca="1" t="shared" si="16"/>
        <v>0</v>
      </c>
      <c r="K961" s="30"/>
      <c r="L961" s="19"/>
      <c r="M961" s="3"/>
    </row>
    <row r="962" s="1" customFormat="1" spans="1:13">
      <c r="A962" s="22">
        <v>865</v>
      </c>
      <c r="B962" s="23" t="s">
        <v>1713</v>
      </c>
      <c r="C962" s="127" t="s">
        <v>1708</v>
      </c>
      <c r="D962" s="25" t="s">
        <v>1648</v>
      </c>
      <c r="E962" s="19" t="s">
        <v>1714</v>
      </c>
      <c r="F962" s="26" t="s">
        <v>197</v>
      </c>
      <c r="G962" s="27">
        <f>SUMIF(物料月初库存!$C$3:$C$303,$B962,物料月初库存!$F$3:$F$303)</f>
        <v>0</v>
      </c>
      <c r="H962" s="28">
        <f>SUMIF(半成品入库明细!$D$2:$D$650,$B962,半成品入库明细!$G$2:$G$650)</f>
        <v>0</v>
      </c>
      <c r="I962" s="28">
        <f ca="1">SUMIF(半成品出库明细!$D$2:$D$558,$B962,半成品出库明细!$G$2:$G$2)</f>
        <v>0</v>
      </c>
      <c r="J962" s="28">
        <f ca="1" t="shared" si="16"/>
        <v>0</v>
      </c>
      <c r="K962" s="29" t="s">
        <v>1706</v>
      </c>
      <c r="L962" s="19"/>
      <c r="M962" s="3"/>
    </row>
    <row r="963" s="1" customFormat="1" spans="1:13">
      <c r="A963" s="22"/>
      <c r="B963" s="23" t="s">
        <v>1715</v>
      </c>
      <c r="C963" s="127" t="s">
        <v>1716</v>
      </c>
      <c r="D963" s="25" t="s">
        <v>1648</v>
      </c>
      <c r="E963" s="19" t="s">
        <v>76</v>
      </c>
      <c r="F963" s="26" t="s">
        <v>197</v>
      </c>
      <c r="G963" s="27">
        <f>SUMIF(物料月初库存!$C$3:$C$303,$B963,物料月初库存!$F$3:$F$303)</f>
        <v>0</v>
      </c>
      <c r="H963" s="28">
        <f>SUMIF(半成品入库明细!$D$2:$D$650,$B963,半成品入库明细!$G$2:$G$650)</f>
        <v>0</v>
      </c>
      <c r="I963" s="28">
        <f ca="1">SUMIF(半成品出库明细!$D$2:$D$558,$B963,半成品出库明细!$G$2:$G$2)</f>
        <v>0</v>
      </c>
      <c r="J963" s="28">
        <f ca="1" t="shared" si="16"/>
        <v>0</v>
      </c>
      <c r="K963" s="29"/>
      <c r="L963" s="19"/>
      <c r="M963" s="3"/>
    </row>
    <row r="964" s="1" customFormat="1" spans="1:13">
      <c r="A964" s="22"/>
      <c r="B964" s="23" t="s">
        <v>1717</v>
      </c>
      <c r="C964" s="127" t="s">
        <v>1716</v>
      </c>
      <c r="D964" s="25" t="s">
        <v>1648</v>
      </c>
      <c r="E964" s="80" t="s">
        <v>316</v>
      </c>
      <c r="F964" s="26" t="s">
        <v>197</v>
      </c>
      <c r="G964" s="27">
        <f>SUMIF(物料月初库存!$C$3:$C$303,$B964,物料月初库存!$F$3:$F$303)</f>
        <v>0</v>
      </c>
      <c r="H964" s="28">
        <f>SUMIF(半成品入库明细!$D$2:$D$650,$B964,半成品入库明细!$G$2:$G$650)</f>
        <v>0</v>
      </c>
      <c r="I964" s="28">
        <f ca="1">SUMIF(半成品出库明细!$D$2:$D$558,$B964,半成品出库明细!$G$2:$G$2)</f>
        <v>0</v>
      </c>
      <c r="J964" s="28">
        <f ca="1" t="shared" si="16"/>
        <v>0</v>
      </c>
      <c r="K964" s="30" t="s">
        <v>1439</v>
      </c>
      <c r="L964" s="19"/>
      <c r="M964" s="3"/>
    </row>
    <row r="965" s="1" customFormat="1" spans="1:13">
      <c r="A965" s="22"/>
      <c r="B965" s="23" t="s">
        <v>1718</v>
      </c>
      <c r="C965" s="127" t="s">
        <v>1716</v>
      </c>
      <c r="D965" s="25" t="s">
        <v>1648</v>
      </c>
      <c r="E965" s="37" t="s">
        <v>356</v>
      </c>
      <c r="F965" s="26" t="s">
        <v>197</v>
      </c>
      <c r="G965" s="27">
        <f>SUMIF(物料月初库存!$C$3:$C$303,$B965,物料月初库存!$F$3:$F$303)</f>
        <v>0</v>
      </c>
      <c r="H965" s="28">
        <f>SUMIF(半成品入库明细!$D$2:$D$650,$B965,半成品入库明细!$G$2:$G$650)</f>
        <v>0</v>
      </c>
      <c r="I965" s="28">
        <f ca="1">SUMIF(半成品出库明细!$D$2:$D$558,$B965,半成品出库明细!$G$2:$G$2)</f>
        <v>0</v>
      </c>
      <c r="J965" s="28">
        <f ca="1" t="shared" si="16"/>
        <v>0</v>
      </c>
      <c r="K965" s="30" t="s">
        <v>1719</v>
      </c>
      <c r="L965" s="19"/>
      <c r="M965" s="3"/>
    </row>
    <row r="966" s="1" customFormat="1" spans="1:13">
      <c r="A966" s="22">
        <v>866</v>
      </c>
      <c r="B966" s="23" t="s">
        <v>1720</v>
      </c>
      <c r="C966" s="25">
        <v>7589</v>
      </c>
      <c r="D966" s="25" t="s">
        <v>1721</v>
      </c>
      <c r="E966" s="28" t="s">
        <v>76</v>
      </c>
      <c r="F966" s="26" t="s">
        <v>197</v>
      </c>
      <c r="G966" s="27">
        <f>SUMIF(物料月初库存!$C$3:$C$303,$B966,物料月初库存!$F$3:$F$303)</f>
        <v>0</v>
      </c>
      <c r="H966" s="28">
        <f>SUMIF(半成品入库明细!$D$2:$D$650,$B966,半成品入库明细!$G$2:$G$650)</f>
        <v>0</v>
      </c>
      <c r="I966" s="28">
        <f ca="1">SUMIF(半成品出库明细!$D$2:$D$558,$B966,半成品出库明细!$G$2:$G$2)</f>
        <v>0</v>
      </c>
      <c r="J966" s="28">
        <f ca="1" t="shared" si="16"/>
        <v>0</v>
      </c>
      <c r="K966" s="29"/>
      <c r="L966" s="19"/>
      <c r="M966" s="3"/>
    </row>
    <row r="967" s="1" customFormat="1" spans="1:13">
      <c r="A967" s="22">
        <v>867</v>
      </c>
      <c r="B967" s="23" t="s">
        <v>1722</v>
      </c>
      <c r="C967" s="25">
        <v>5328</v>
      </c>
      <c r="D967" s="25" t="s">
        <v>1721</v>
      </c>
      <c r="E967" s="28" t="s">
        <v>76</v>
      </c>
      <c r="F967" s="26" t="s">
        <v>197</v>
      </c>
      <c r="G967" s="27">
        <f>SUMIF(物料月初库存!$C$3:$C$303,$B967,物料月初库存!$F$3:$F$303)</f>
        <v>0</v>
      </c>
      <c r="H967" s="28">
        <f>SUMIF(半成品入库明细!$D$2:$D$650,$B967,半成品入库明细!$G$2:$G$650)</f>
        <v>0</v>
      </c>
      <c r="I967" s="28">
        <f ca="1">SUMIF(半成品出库明细!$D$2:$D$558,$B967,半成品出库明细!$G$2:$G$2)</f>
        <v>0</v>
      </c>
      <c r="J967" s="28">
        <f ca="1" t="shared" si="16"/>
        <v>0</v>
      </c>
      <c r="K967" s="29"/>
      <c r="L967" s="19"/>
      <c r="M967" s="3"/>
    </row>
    <row r="968" s="1" customFormat="1" spans="1:13">
      <c r="A968" s="22">
        <v>868</v>
      </c>
      <c r="B968" s="23" t="s">
        <v>1723</v>
      </c>
      <c r="C968" s="25" t="s">
        <v>1724</v>
      </c>
      <c r="D968" s="25" t="s">
        <v>1725</v>
      </c>
      <c r="E968" s="19" t="s">
        <v>76</v>
      </c>
      <c r="F968" s="26" t="s">
        <v>197</v>
      </c>
      <c r="G968" s="27">
        <f>SUMIF(物料月初库存!$C$3:$C$303,$B968,物料月初库存!$F$3:$F$303)</f>
        <v>0</v>
      </c>
      <c r="H968" s="28">
        <f>SUMIF(半成品入库明细!$D$2:$D$650,$B968,半成品入库明细!$G$2:$G$650)</f>
        <v>0</v>
      </c>
      <c r="I968" s="28">
        <f ca="1">SUMIF(半成品出库明细!$D$2:$D$558,$B968,半成品出库明细!$G$2:$G$2)</f>
        <v>0</v>
      </c>
      <c r="J968" s="28">
        <f ca="1" t="shared" si="16"/>
        <v>0</v>
      </c>
      <c r="K968" s="29"/>
      <c r="L968" s="19"/>
      <c r="M968" s="3"/>
    </row>
    <row r="969" s="1" customFormat="1" spans="1:13">
      <c r="A969" s="22">
        <v>869</v>
      </c>
      <c r="B969" s="23" t="s">
        <v>1726</v>
      </c>
      <c r="C969" s="25" t="s">
        <v>1724</v>
      </c>
      <c r="D969" s="25" t="s">
        <v>1725</v>
      </c>
      <c r="E969" s="28" t="s">
        <v>326</v>
      </c>
      <c r="F969" s="26" t="s">
        <v>197</v>
      </c>
      <c r="G969" s="27">
        <f>SUMIF(物料月初库存!$C$3:$C$303,$B969,物料月初库存!$F$3:$F$303)</f>
        <v>0</v>
      </c>
      <c r="H969" s="28">
        <f>SUMIF(半成品入库明细!$D$2:$D$650,$B969,半成品入库明细!$G$2:$G$650)</f>
        <v>0</v>
      </c>
      <c r="I969" s="28">
        <f ca="1">SUMIF(半成品出库明细!$D$2:$D$558,$B969,半成品出库明细!$G$2:$G$2)</f>
        <v>0</v>
      </c>
      <c r="J969" s="28">
        <f ca="1" t="shared" si="16"/>
        <v>0</v>
      </c>
      <c r="K969" s="29"/>
      <c r="L969" s="19"/>
      <c r="M969" s="3"/>
    </row>
    <row r="970" s="1" customFormat="1" spans="1:13">
      <c r="A970" s="22">
        <v>870</v>
      </c>
      <c r="B970" s="23" t="s">
        <v>1727</v>
      </c>
      <c r="C970" s="25" t="s">
        <v>1728</v>
      </c>
      <c r="D970" s="25" t="s">
        <v>1725</v>
      </c>
      <c r="E970" s="19" t="s">
        <v>76</v>
      </c>
      <c r="F970" s="26" t="s">
        <v>197</v>
      </c>
      <c r="G970" s="27">
        <f>SUMIF(物料月初库存!$C$3:$C$303,$B970,物料月初库存!$F$3:$F$303)</f>
        <v>0</v>
      </c>
      <c r="H970" s="28">
        <f>SUMIF(半成品入库明细!$D$2:$D$650,$B970,半成品入库明细!$G$2:$G$650)</f>
        <v>0</v>
      </c>
      <c r="I970" s="28">
        <f ca="1">SUMIF(半成品出库明细!$D$2:$D$558,$B970,半成品出库明细!$G$2:$G$2)</f>
        <v>0</v>
      </c>
      <c r="J970" s="28">
        <f ca="1" t="shared" si="16"/>
        <v>0</v>
      </c>
      <c r="K970" s="29"/>
      <c r="L970" s="19"/>
      <c r="M970" s="3"/>
    </row>
    <row r="971" s="1" customFormat="1" spans="1:13">
      <c r="A971" s="22">
        <v>871</v>
      </c>
      <c r="B971" s="23" t="s">
        <v>1729</v>
      </c>
      <c r="C971" s="25" t="s">
        <v>1728</v>
      </c>
      <c r="D971" s="25" t="s">
        <v>1725</v>
      </c>
      <c r="E971" s="28" t="s">
        <v>326</v>
      </c>
      <c r="F971" s="26" t="s">
        <v>197</v>
      </c>
      <c r="G971" s="27">
        <f>SUMIF(物料月初库存!$C$3:$C$303,$B971,物料月初库存!$F$3:$F$303)</f>
        <v>0</v>
      </c>
      <c r="H971" s="28">
        <f>SUMIF(半成品入库明细!$D$2:$D$650,$B971,半成品入库明细!$G$2:$G$650)</f>
        <v>0</v>
      </c>
      <c r="I971" s="28">
        <f ca="1">SUMIF(半成品出库明细!$D$2:$D$558,$B971,半成品出库明细!$G$2:$G$2)</f>
        <v>0</v>
      </c>
      <c r="J971" s="28">
        <f ca="1" t="shared" ref="J971:J1034" si="17">G971+H971-I971</f>
        <v>0</v>
      </c>
      <c r="K971" s="29"/>
      <c r="L971" s="19"/>
      <c r="M971" s="3"/>
    </row>
    <row r="972" s="1" customFormat="1" spans="1:13">
      <c r="A972" s="22">
        <v>872</v>
      </c>
      <c r="B972" s="23" t="s">
        <v>1730</v>
      </c>
      <c r="C972" s="25" t="s">
        <v>1728</v>
      </c>
      <c r="D972" s="25" t="s">
        <v>1725</v>
      </c>
      <c r="E972" s="28" t="s">
        <v>199</v>
      </c>
      <c r="F972" s="26" t="s">
        <v>197</v>
      </c>
      <c r="G972" s="27">
        <f>SUMIF(物料月初库存!$C$3:$C$303,$B972,物料月初库存!$F$3:$F$303)</f>
        <v>0</v>
      </c>
      <c r="H972" s="28">
        <f>SUMIF(半成品入库明细!$D$2:$D$650,$B972,半成品入库明细!$G$2:$G$650)</f>
        <v>0</v>
      </c>
      <c r="I972" s="28">
        <f ca="1">SUMIF(半成品出库明细!$D$2:$D$558,$B972,半成品出库明细!$G$2:$G$2)</f>
        <v>0</v>
      </c>
      <c r="J972" s="28">
        <f ca="1" t="shared" si="17"/>
        <v>0</v>
      </c>
      <c r="K972" s="29"/>
      <c r="L972" s="19"/>
      <c r="M972" s="3"/>
    </row>
    <row r="973" s="1" customFormat="1" spans="1:13">
      <c r="A973" s="22">
        <v>873</v>
      </c>
      <c r="B973" s="23" t="s">
        <v>1731</v>
      </c>
      <c r="C973" s="25" t="s">
        <v>1732</v>
      </c>
      <c r="D973" s="25" t="s">
        <v>1725</v>
      </c>
      <c r="E973" s="19" t="s">
        <v>76</v>
      </c>
      <c r="F973" s="26" t="s">
        <v>197</v>
      </c>
      <c r="G973" s="27">
        <f>SUMIF(物料月初库存!$C$3:$C$303,$B973,物料月初库存!$F$3:$F$303)</f>
        <v>0</v>
      </c>
      <c r="H973" s="28">
        <f>SUMIF(半成品入库明细!$D$2:$D$650,$B973,半成品入库明细!$G$2:$G$650)</f>
        <v>0</v>
      </c>
      <c r="I973" s="28">
        <f ca="1">SUMIF(半成品出库明细!$D$2:$D$558,$B973,半成品出库明细!$G$2:$G$2)</f>
        <v>0</v>
      </c>
      <c r="J973" s="28">
        <f ca="1" t="shared" si="17"/>
        <v>0</v>
      </c>
      <c r="K973" s="29"/>
      <c r="L973" s="19"/>
      <c r="M973" s="3"/>
    </row>
    <row r="974" s="1" customFormat="1" spans="1:13">
      <c r="A974" s="22">
        <v>874</v>
      </c>
      <c r="B974" s="23" t="s">
        <v>1733</v>
      </c>
      <c r="C974" s="25" t="s">
        <v>1732</v>
      </c>
      <c r="D974" s="25" t="s">
        <v>1725</v>
      </c>
      <c r="E974" s="28" t="s">
        <v>326</v>
      </c>
      <c r="F974" s="26" t="s">
        <v>197</v>
      </c>
      <c r="G974" s="27">
        <f>SUMIF(物料月初库存!$C$3:$C$303,$B974,物料月初库存!$F$3:$F$303)</f>
        <v>0</v>
      </c>
      <c r="H974" s="28">
        <f>SUMIF(半成品入库明细!$D$2:$D$650,$B974,半成品入库明细!$G$2:$G$650)</f>
        <v>0</v>
      </c>
      <c r="I974" s="28">
        <f ca="1">SUMIF(半成品出库明细!$D$2:$D$558,$B974,半成品出库明细!$G$2:$G$2)</f>
        <v>0</v>
      </c>
      <c r="J974" s="28">
        <f ca="1" t="shared" si="17"/>
        <v>0</v>
      </c>
      <c r="K974" s="29"/>
      <c r="L974" s="19"/>
      <c r="M974" s="3"/>
    </row>
    <row r="975" s="1" customFormat="1" spans="1:13">
      <c r="A975" s="22">
        <v>875</v>
      </c>
      <c r="B975" s="128" t="s">
        <v>1734</v>
      </c>
      <c r="C975" s="128" t="s">
        <v>1735</v>
      </c>
      <c r="D975" s="52" t="s">
        <v>1736</v>
      </c>
      <c r="E975" s="19" t="s">
        <v>76</v>
      </c>
      <c r="F975" s="26" t="s">
        <v>197</v>
      </c>
      <c r="G975" s="27">
        <f>SUMIF(物料月初库存!$C$3:$C$303,$B975,物料月初库存!$F$3:$F$303)</f>
        <v>0</v>
      </c>
      <c r="H975" s="28">
        <f>SUMIF(半成品入库明细!$D$2:$D$650,$B975,半成品入库明细!$G$2:$G$650)</f>
        <v>0</v>
      </c>
      <c r="I975" s="28">
        <f ca="1">SUMIF(半成品出库明细!$D$2:$D$558,$B975,半成品出库明细!$G$2:$G$2)</f>
        <v>0</v>
      </c>
      <c r="J975" s="28">
        <f ca="1" t="shared" si="17"/>
        <v>0</v>
      </c>
      <c r="K975" s="29"/>
      <c r="L975" s="19"/>
      <c r="M975" s="3"/>
    </row>
    <row r="976" s="1" customFormat="1" spans="1:13">
      <c r="A976" s="22">
        <v>876</v>
      </c>
      <c r="B976" s="128" t="s">
        <v>1737</v>
      </c>
      <c r="C976" s="128" t="s">
        <v>1735</v>
      </c>
      <c r="D976" s="52" t="s">
        <v>1736</v>
      </c>
      <c r="E976" s="19" t="s">
        <v>235</v>
      </c>
      <c r="F976" s="26" t="s">
        <v>197</v>
      </c>
      <c r="G976" s="27">
        <f>SUMIF(物料月初库存!$C$3:$C$303,$B976,物料月初库存!$F$3:$F$303)</f>
        <v>0</v>
      </c>
      <c r="H976" s="28">
        <f>SUMIF(半成品入库明细!$D$2:$D$650,$B976,半成品入库明细!$G$2:$G$650)</f>
        <v>0</v>
      </c>
      <c r="I976" s="28">
        <f ca="1">SUMIF(半成品出库明细!$D$2:$D$558,$B976,半成品出库明细!$G$2:$G$2)</f>
        <v>0</v>
      </c>
      <c r="J976" s="28">
        <f ca="1" t="shared" si="17"/>
        <v>0</v>
      </c>
      <c r="K976" s="29"/>
      <c r="L976" s="19"/>
      <c r="M976" s="3"/>
    </row>
    <row r="977" s="1" customFormat="1" spans="1:13">
      <c r="A977" s="22">
        <v>877</v>
      </c>
      <c r="B977" s="128" t="s">
        <v>1738</v>
      </c>
      <c r="C977" s="128" t="s">
        <v>1735</v>
      </c>
      <c r="D977" s="52" t="s">
        <v>1736</v>
      </c>
      <c r="E977" s="50" t="s">
        <v>1739</v>
      </c>
      <c r="F977" s="26" t="s">
        <v>197</v>
      </c>
      <c r="G977" s="27">
        <f>SUMIF(物料月初库存!$C$3:$C$303,$B977,物料月初库存!$F$3:$F$303)</f>
        <v>0</v>
      </c>
      <c r="H977" s="28">
        <f>SUMIF(半成品入库明细!$D$2:$D$650,$B977,半成品入库明细!$G$2:$G$650)</f>
        <v>0</v>
      </c>
      <c r="I977" s="28">
        <f ca="1">SUMIF(半成品出库明细!$D$2:$D$558,$B977,半成品出库明细!$G$2:$G$2)</f>
        <v>0</v>
      </c>
      <c r="J977" s="28">
        <f ca="1" t="shared" si="17"/>
        <v>0</v>
      </c>
      <c r="K977" s="29"/>
      <c r="L977" s="19"/>
      <c r="M977" s="3"/>
    </row>
    <row r="978" s="1" customFormat="1" spans="1:13">
      <c r="A978" s="22">
        <v>878</v>
      </c>
      <c r="B978" s="128" t="s">
        <v>1740</v>
      </c>
      <c r="C978" s="128" t="s">
        <v>1735</v>
      </c>
      <c r="D978" s="52" t="s">
        <v>1736</v>
      </c>
      <c r="E978" s="19" t="s">
        <v>256</v>
      </c>
      <c r="F978" s="26" t="s">
        <v>197</v>
      </c>
      <c r="G978" s="27">
        <f>SUMIF(物料月初库存!$C$3:$C$303,$B978,物料月初库存!$F$3:$F$303)</f>
        <v>0</v>
      </c>
      <c r="H978" s="28">
        <f>SUMIF(半成品入库明细!$D$2:$D$650,$B978,半成品入库明细!$G$2:$G$650)</f>
        <v>0</v>
      </c>
      <c r="I978" s="28">
        <f ca="1">SUMIF(半成品出库明细!$D$2:$D$558,$B978,半成品出库明细!$G$2:$G$2)</f>
        <v>0</v>
      </c>
      <c r="J978" s="28">
        <f ca="1" t="shared" si="17"/>
        <v>0</v>
      </c>
      <c r="K978" s="29"/>
      <c r="L978" s="19"/>
      <c r="M978" s="3"/>
    </row>
    <row r="979" s="1" customFormat="1" spans="1:13">
      <c r="A979" s="22">
        <v>879</v>
      </c>
      <c r="B979" s="128" t="s">
        <v>1741</v>
      </c>
      <c r="C979" s="128" t="s">
        <v>1742</v>
      </c>
      <c r="D979" s="52" t="s">
        <v>1736</v>
      </c>
      <c r="E979" s="19" t="s">
        <v>76</v>
      </c>
      <c r="F979" s="26" t="s">
        <v>197</v>
      </c>
      <c r="G979" s="27">
        <f>SUMIF(物料月初库存!$C$3:$C$303,$B979,物料月初库存!$F$3:$F$303)</f>
        <v>0</v>
      </c>
      <c r="H979" s="28">
        <f>SUMIF(半成品入库明细!$D$2:$D$650,$B979,半成品入库明细!$G$2:$G$650)</f>
        <v>0</v>
      </c>
      <c r="I979" s="28">
        <f ca="1">SUMIF(半成品出库明细!$D$2:$D$558,$B979,半成品出库明细!$G$2:$G$2)</f>
        <v>0</v>
      </c>
      <c r="J979" s="28">
        <f ca="1" t="shared" si="17"/>
        <v>0</v>
      </c>
      <c r="K979" s="29"/>
      <c r="L979" s="19"/>
      <c r="M979" s="3"/>
    </row>
    <row r="980" s="1" customFormat="1" spans="1:13">
      <c r="A980" s="22">
        <v>880</v>
      </c>
      <c r="B980" s="128" t="s">
        <v>1743</v>
      </c>
      <c r="C980" s="128" t="s">
        <v>1742</v>
      </c>
      <c r="D980" s="52" t="s">
        <v>1736</v>
      </c>
      <c r="E980" s="19" t="s">
        <v>256</v>
      </c>
      <c r="F980" s="26" t="s">
        <v>197</v>
      </c>
      <c r="G980" s="27">
        <f>SUMIF(物料月初库存!$C$3:$C$303,$B980,物料月初库存!$F$3:$F$303)</f>
        <v>0</v>
      </c>
      <c r="H980" s="28">
        <f>SUMIF(半成品入库明细!$D$2:$D$650,$B980,半成品入库明细!$G$2:$G$650)</f>
        <v>0</v>
      </c>
      <c r="I980" s="28">
        <f ca="1">SUMIF(半成品出库明细!$D$2:$D$558,$B980,半成品出库明细!$G$2:$G$2)</f>
        <v>0</v>
      </c>
      <c r="J980" s="28">
        <f ca="1" t="shared" si="17"/>
        <v>0</v>
      </c>
      <c r="K980" s="29"/>
      <c r="L980" s="19"/>
      <c r="M980" s="3"/>
    </row>
    <row r="981" s="1" customFormat="1" spans="1:13">
      <c r="A981" s="22">
        <v>881</v>
      </c>
      <c r="B981" s="128" t="s">
        <v>1744</v>
      </c>
      <c r="C981" s="52" t="s">
        <v>1745</v>
      </c>
      <c r="D981" s="52" t="s">
        <v>1736</v>
      </c>
      <c r="E981" s="19" t="s">
        <v>76</v>
      </c>
      <c r="F981" s="26" t="s">
        <v>197</v>
      </c>
      <c r="G981" s="27">
        <f>SUMIF(物料月初库存!$C$3:$C$303,$B981,物料月初库存!$F$3:$F$303)</f>
        <v>0</v>
      </c>
      <c r="H981" s="28">
        <f>SUMIF(半成品入库明细!$D$2:$D$650,$B981,半成品入库明细!$G$2:$G$650)</f>
        <v>0</v>
      </c>
      <c r="I981" s="28">
        <f ca="1">SUMIF(半成品出库明细!$D$2:$D$558,$B981,半成品出库明细!$G$2:$G$2)</f>
        <v>0</v>
      </c>
      <c r="J981" s="28">
        <f ca="1" t="shared" si="17"/>
        <v>0</v>
      </c>
      <c r="K981" s="29"/>
      <c r="L981" s="19"/>
      <c r="M981" s="3"/>
    </row>
    <row r="982" s="1" customFormat="1" spans="1:13">
      <c r="A982" s="22">
        <v>882</v>
      </c>
      <c r="B982" s="128" t="s">
        <v>1746</v>
      </c>
      <c r="C982" s="52" t="s">
        <v>1745</v>
      </c>
      <c r="D982" s="52" t="s">
        <v>1736</v>
      </c>
      <c r="E982" s="19" t="s">
        <v>256</v>
      </c>
      <c r="F982" s="26" t="s">
        <v>197</v>
      </c>
      <c r="G982" s="27">
        <f>SUMIF(物料月初库存!$C$3:$C$303,$B982,物料月初库存!$F$3:$F$303)</f>
        <v>0</v>
      </c>
      <c r="H982" s="28">
        <f>SUMIF(半成品入库明细!$D$2:$D$650,$B982,半成品入库明细!$G$2:$G$650)</f>
        <v>0</v>
      </c>
      <c r="I982" s="28">
        <f ca="1">SUMIF(半成品出库明细!$D$2:$D$558,$B982,半成品出库明细!$G$2:$G$2)</f>
        <v>0</v>
      </c>
      <c r="J982" s="28">
        <f ca="1" t="shared" si="17"/>
        <v>0</v>
      </c>
      <c r="K982" s="29"/>
      <c r="L982" s="19"/>
      <c r="M982" s="3"/>
    </row>
    <row r="983" s="1" customFormat="1" spans="1:13">
      <c r="A983" s="22">
        <v>883</v>
      </c>
      <c r="B983" s="128" t="s">
        <v>1747</v>
      </c>
      <c r="C983" s="52" t="s">
        <v>1748</v>
      </c>
      <c r="D983" s="52" t="s">
        <v>1736</v>
      </c>
      <c r="E983" s="19" t="s">
        <v>76</v>
      </c>
      <c r="F983" s="26" t="s">
        <v>197</v>
      </c>
      <c r="G983" s="27">
        <f>SUMIF(物料月初库存!$C$3:$C$303,$B983,物料月初库存!$F$3:$F$303)</f>
        <v>0</v>
      </c>
      <c r="H983" s="28">
        <f>SUMIF(半成品入库明细!$D$2:$D$650,$B983,半成品入库明细!$G$2:$G$650)</f>
        <v>0</v>
      </c>
      <c r="I983" s="28">
        <f ca="1">SUMIF(半成品出库明细!$D$2:$D$558,$B983,半成品出库明细!$G$2:$G$2)</f>
        <v>0</v>
      </c>
      <c r="J983" s="28">
        <f ca="1" t="shared" si="17"/>
        <v>0</v>
      </c>
      <c r="K983" s="29"/>
      <c r="L983" s="19"/>
      <c r="M983" s="3"/>
    </row>
    <row r="984" s="1" customFormat="1" spans="1:13">
      <c r="A984" s="22">
        <v>884</v>
      </c>
      <c r="B984" s="128" t="s">
        <v>1749</v>
      </c>
      <c r="C984" s="52" t="s">
        <v>1748</v>
      </c>
      <c r="D984" s="52" t="s">
        <v>1736</v>
      </c>
      <c r="E984" s="19" t="s">
        <v>235</v>
      </c>
      <c r="F984" s="26" t="s">
        <v>197</v>
      </c>
      <c r="G984" s="27">
        <f>SUMIF(物料月初库存!$C$3:$C$303,$B984,物料月初库存!$F$3:$F$303)</f>
        <v>0</v>
      </c>
      <c r="H984" s="28">
        <f>SUMIF(半成品入库明细!$D$2:$D$650,$B984,半成品入库明细!$G$2:$G$650)</f>
        <v>0</v>
      </c>
      <c r="I984" s="28">
        <f ca="1">SUMIF(半成品出库明细!$D$2:$D$558,$B984,半成品出库明细!$G$2:$G$2)</f>
        <v>0</v>
      </c>
      <c r="J984" s="28">
        <f ca="1" t="shared" si="17"/>
        <v>0</v>
      </c>
      <c r="K984" s="29"/>
      <c r="L984" s="19"/>
      <c r="M984" s="3"/>
    </row>
    <row r="985" s="1" customFormat="1" spans="1:13">
      <c r="A985" s="22">
        <v>885</v>
      </c>
      <c r="B985" s="128" t="s">
        <v>1750</v>
      </c>
      <c r="C985" s="52" t="s">
        <v>636</v>
      </c>
      <c r="D985" s="52" t="s">
        <v>1736</v>
      </c>
      <c r="E985" s="19" t="s">
        <v>76</v>
      </c>
      <c r="F985" s="26" t="s">
        <v>197</v>
      </c>
      <c r="G985" s="27">
        <f>SUMIF(物料月初库存!$C$3:$C$303,$B985,物料月初库存!$F$3:$F$303)</f>
        <v>0</v>
      </c>
      <c r="H985" s="28">
        <f>SUMIF(半成品入库明细!$D$2:$D$650,$B985,半成品入库明细!$G$2:$G$650)</f>
        <v>0</v>
      </c>
      <c r="I985" s="28">
        <f ca="1">SUMIF(半成品出库明细!$D$2:$D$558,$B985,半成品出库明细!$G$2:$G$2)</f>
        <v>0</v>
      </c>
      <c r="J985" s="28">
        <f ca="1" t="shared" si="17"/>
        <v>0</v>
      </c>
      <c r="K985" s="29"/>
      <c r="L985" s="19"/>
      <c r="M985" s="3"/>
    </row>
    <row r="986" s="1" customFormat="1" spans="1:13">
      <c r="A986" s="22">
        <v>886</v>
      </c>
      <c r="B986" s="128" t="s">
        <v>1751</v>
      </c>
      <c r="C986" s="52" t="s">
        <v>636</v>
      </c>
      <c r="D986" s="52" t="s">
        <v>1736</v>
      </c>
      <c r="E986" s="19" t="s">
        <v>256</v>
      </c>
      <c r="F986" s="26" t="s">
        <v>197</v>
      </c>
      <c r="G986" s="27">
        <f>SUMIF(物料月初库存!$C$3:$C$303,$B986,物料月初库存!$F$3:$F$303)</f>
        <v>0</v>
      </c>
      <c r="H986" s="28">
        <f>SUMIF(半成品入库明细!$D$2:$D$650,$B986,半成品入库明细!$G$2:$G$650)</f>
        <v>0</v>
      </c>
      <c r="I986" s="28">
        <f ca="1">SUMIF(半成品出库明细!$D$2:$D$558,$B986,半成品出库明细!$G$2:$G$2)</f>
        <v>0</v>
      </c>
      <c r="J986" s="28">
        <f ca="1" t="shared" si="17"/>
        <v>0</v>
      </c>
      <c r="K986" s="29"/>
      <c r="L986" s="19"/>
      <c r="M986" s="3"/>
    </row>
    <row r="987" s="1" customFormat="1" spans="1:13">
      <c r="A987" s="22">
        <v>887</v>
      </c>
      <c r="B987" s="128" t="s">
        <v>1752</v>
      </c>
      <c r="C987" s="128" t="s">
        <v>1753</v>
      </c>
      <c r="D987" s="52" t="s">
        <v>1754</v>
      </c>
      <c r="E987" s="19" t="s">
        <v>76</v>
      </c>
      <c r="F987" s="26" t="s">
        <v>197</v>
      </c>
      <c r="G987" s="27">
        <f>SUMIF(物料月初库存!$C$3:$C$303,$B987,物料月初库存!$F$3:$F$303)</f>
        <v>0</v>
      </c>
      <c r="H987" s="28">
        <f>SUMIF(半成品入库明细!$D$2:$D$650,$B987,半成品入库明细!$G$2:$G$650)</f>
        <v>0</v>
      </c>
      <c r="I987" s="28">
        <f ca="1">SUMIF(半成品出库明细!$D$2:$D$558,$B987,半成品出库明细!$G$2:$G$2)</f>
        <v>0</v>
      </c>
      <c r="J987" s="28">
        <f ca="1" t="shared" si="17"/>
        <v>0</v>
      </c>
      <c r="K987" s="29"/>
      <c r="L987" s="19"/>
      <c r="M987" s="3"/>
    </row>
    <row r="988" s="1" customFormat="1" spans="1:13">
      <c r="A988" s="22">
        <v>888</v>
      </c>
      <c r="B988" s="128" t="s">
        <v>1755</v>
      </c>
      <c r="C988" s="128" t="s">
        <v>1753</v>
      </c>
      <c r="D988" s="52" t="s">
        <v>1754</v>
      </c>
      <c r="E988" s="19" t="s">
        <v>235</v>
      </c>
      <c r="F988" s="26" t="s">
        <v>197</v>
      </c>
      <c r="G988" s="27">
        <f>SUMIF(物料月初库存!$C$3:$C$303,$B988,物料月初库存!$F$3:$F$303)</f>
        <v>0</v>
      </c>
      <c r="H988" s="28">
        <f>SUMIF(半成品入库明细!$D$2:$D$650,$B988,半成品入库明细!$G$2:$G$650)</f>
        <v>0</v>
      </c>
      <c r="I988" s="28">
        <f ca="1">SUMIF(半成品出库明细!$D$2:$D$558,$B988,半成品出库明细!$G$2:$G$2)</f>
        <v>0</v>
      </c>
      <c r="J988" s="28">
        <f ca="1" t="shared" si="17"/>
        <v>0</v>
      </c>
      <c r="K988" s="29"/>
      <c r="L988" s="19"/>
      <c r="M988" s="3"/>
    </row>
    <row r="989" s="1" customFormat="1" spans="1:13">
      <c r="A989" s="22">
        <v>889</v>
      </c>
      <c r="B989" s="23" t="s">
        <v>1756</v>
      </c>
      <c r="C989" s="25" t="s">
        <v>1757</v>
      </c>
      <c r="D989" s="52" t="s">
        <v>1758</v>
      </c>
      <c r="E989" s="19" t="s">
        <v>76</v>
      </c>
      <c r="F989" s="26" t="s">
        <v>197</v>
      </c>
      <c r="G989" s="27">
        <f>SUMIF(物料月初库存!$C$3:$C$303,$B989,物料月初库存!$F$3:$F$303)</f>
        <v>0</v>
      </c>
      <c r="H989" s="28">
        <f>SUMIF(半成品入库明细!$D$2:$D$650,$B989,半成品入库明细!$G$2:$G$650)</f>
        <v>0</v>
      </c>
      <c r="I989" s="28">
        <f ca="1">SUMIF(半成品出库明细!$D$2:$D$558,$B989,半成品出库明细!$G$2:$G$2)</f>
        <v>0</v>
      </c>
      <c r="J989" s="28">
        <f ca="1" t="shared" si="17"/>
        <v>0</v>
      </c>
      <c r="K989" s="29"/>
      <c r="L989" s="19"/>
      <c r="M989" s="3"/>
    </row>
    <row r="990" s="1" customFormat="1" spans="1:13">
      <c r="A990" s="22">
        <v>890</v>
      </c>
      <c r="B990" s="23" t="s">
        <v>1759</v>
      </c>
      <c r="C990" s="25" t="s">
        <v>1757</v>
      </c>
      <c r="D990" s="52" t="s">
        <v>1758</v>
      </c>
      <c r="E990" s="28" t="s">
        <v>287</v>
      </c>
      <c r="F990" s="26" t="s">
        <v>197</v>
      </c>
      <c r="G990" s="27">
        <f>SUMIF(物料月初库存!$C$3:$C$303,$B990,物料月初库存!$F$3:$F$303)</f>
        <v>0</v>
      </c>
      <c r="H990" s="28">
        <f>SUMIF(半成品入库明细!$D$2:$D$650,$B990,半成品入库明细!$G$2:$G$650)</f>
        <v>0</v>
      </c>
      <c r="I990" s="28">
        <f ca="1">SUMIF(半成品出库明细!$D$2:$D$558,$B990,半成品出库明细!$G$2:$G$2)</f>
        <v>0</v>
      </c>
      <c r="J990" s="28">
        <f ca="1" t="shared" si="17"/>
        <v>0</v>
      </c>
      <c r="K990" s="29"/>
      <c r="L990" s="19"/>
      <c r="M990" s="3"/>
    </row>
    <row r="991" s="1" customFormat="1" spans="1:13">
      <c r="A991" s="22">
        <v>891</v>
      </c>
      <c r="B991" s="23" t="s">
        <v>1760</v>
      </c>
      <c r="C991" s="25" t="s">
        <v>1761</v>
      </c>
      <c r="D991" s="52" t="s">
        <v>1758</v>
      </c>
      <c r="E991" s="19" t="s">
        <v>76</v>
      </c>
      <c r="F991" s="26" t="s">
        <v>197</v>
      </c>
      <c r="G991" s="27">
        <f>SUMIF(物料月初库存!$C$3:$C$303,$B991,物料月初库存!$F$3:$F$303)</f>
        <v>0</v>
      </c>
      <c r="H991" s="28">
        <f>SUMIF(半成品入库明细!$D$2:$D$650,$B991,半成品入库明细!$G$2:$G$650)</f>
        <v>0</v>
      </c>
      <c r="I991" s="28">
        <f ca="1">SUMIF(半成品出库明细!$D$2:$D$558,$B991,半成品出库明细!$G$2:$G$2)</f>
        <v>0</v>
      </c>
      <c r="J991" s="28">
        <f ca="1" t="shared" si="17"/>
        <v>0</v>
      </c>
      <c r="K991" s="29"/>
      <c r="L991" s="19"/>
      <c r="M991" s="3"/>
    </row>
    <row r="992" s="1" customFormat="1" spans="1:13">
      <c r="A992" s="22">
        <v>892</v>
      </c>
      <c r="B992" s="23" t="s">
        <v>1762</v>
      </c>
      <c r="C992" s="25" t="s">
        <v>1761</v>
      </c>
      <c r="D992" s="52" t="s">
        <v>1758</v>
      </c>
      <c r="E992" s="28" t="s">
        <v>287</v>
      </c>
      <c r="F992" s="26" t="s">
        <v>197</v>
      </c>
      <c r="G992" s="27">
        <f>SUMIF(物料月初库存!$C$3:$C$303,$B992,物料月初库存!$F$3:$F$303)</f>
        <v>0</v>
      </c>
      <c r="H992" s="28">
        <f>SUMIF(半成品入库明细!$D$2:$D$650,$B992,半成品入库明细!$G$2:$G$650)</f>
        <v>0</v>
      </c>
      <c r="I992" s="28">
        <f ca="1">SUMIF(半成品出库明细!$D$2:$D$558,$B992,半成品出库明细!$G$2:$G$2)</f>
        <v>0</v>
      </c>
      <c r="J992" s="28">
        <f ca="1" t="shared" si="17"/>
        <v>0</v>
      </c>
      <c r="K992" s="29"/>
      <c r="L992" s="19"/>
      <c r="M992" s="3"/>
    </row>
    <row r="993" s="1" customFormat="1" spans="1:13">
      <c r="A993" s="22">
        <v>893</v>
      </c>
      <c r="B993" s="23" t="s">
        <v>1763</v>
      </c>
      <c r="C993" s="25" t="s">
        <v>1764</v>
      </c>
      <c r="D993" s="52" t="s">
        <v>1758</v>
      </c>
      <c r="E993" s="19" t="s">
        <v>76</v>
      </c>
      <c r="F993" s="26" t="s">
        <v>197</v>
      </c>
      <c r="G993" s="27">
        <f>SUMIF(物料月初库存!$C$3:$C$303,$B993,物料月初库存!$F$3:$F$303)</f>
        <v>0</v>
      </c>
      <c r="H993" s="28">
        <f>SUMIF(半成品入库明细!$D$2:$D$650,$B993,半成品入库明细!$G$2:$G$650)</f>
        <v>0</v>
      </c>
      <c r="I993" s="28">
        <f ca="1">SUMIF(半成品出库明细!$D$2:$D$558,$B993,半成品出库明细!$G$2:$G$2)</f>
        <v>0</v>
      </c>
      <c r="J993" s="28">
        <f ca="1" t="shared" si="17"/>
        <v>0</v>
      </c>
      <c r="K993" s="29"/>
      <c r="L993" s="19"/>
      <c r="M993" s="3"/>
    </row>
    <row r="994" s="1" customFormat="1" spans="1:13">
      <c r="A994" s="22">
        <v>894</v>
      </c>
      <c r="B994" s="23" t="s">
        <v>1765</v>
      </c>
      <c r="C994" s="25" t="s">
        <v>1764</v>
      </c>
      <c r="D994" s="52" t="s">
        <v>1758</v>
      </c>
      <c r="E994" s="28" t="s">
        <v>287</v>
      </c>
      <c r="F994" s="26" t="s">
        <v>197</v>
      </c>
      <c r="G994" s="27">
        <f>SUMIF(物料月初库存!$C$3:$C$303,$B994,物料月初库存!$F$3:$F$303)</f>
        <v>0</v>
      </c>
      <c r="H994" s="28">
        <f>SUMIF(半成品入库明细!$D$2:$D$650,$B994,半成品入库明细!$G$2:$G$650)</f>
        <v>0</v>
      </c>
      <c r="I994" s="28">
        <f ca="1">SUMIF(半成品出库明细!$D$2:$D$558,$B994,半成品出库明细!$G$2:$G$2)</f>
        <v>0</v>
      </c>
      <c r="J994" s="28">
        <f ca="1" t="shared" si="17"/>
        <v>0</v>
      </c>
      <c r="K994" s="29"/>
      <c r="L994" s="19"/>
      <c r="M994" s="3"/>
    </row>
    <row r="995" s="1" customFormat="1" spans="1:13">
      <c r="A995" s="22">
        <v>895</v>
      </c>
      <c r="B995" s="23" t="s">
        <v>1766</v>
      </c>
      <c r="C995" s="25" t="s">
        <v>1767</v>
      </c>
      <c r="D995" s="52" t="s">
        <v>1758</v>
      </c>
      <c r="E995" s="19" t="s">
        <v>76</v>
      </c>
      <c r="F995" s="26" t="s">
        <v>197</v>
      </c>
      <c r="G995" s="27">
        <f>SUMIF(物料月初库存!$C$3:$C$303,$B995,物料月初库存!$F$3:$F$303)</f>
        <v>0</v>
      </c>
      <c r="H995" s="28">
        <f>SUMIF(半成品入库明细!$D$2:$D$650,$B995,半成品入库明细!$G$2:$G$650)</f>
        <v>0</v>
      </c>
      <c r="I995" s="28">
        <f ca="1">SUMIF(半成品出库明细!$D$2:$D$558,$B995,半成品出库明细!$G$2:$G$2)</f>
        <v>0</v>
      </c>
      <c r="J995" s="28">
        <f ca="1" t="shared" si="17"/>
        <v>0</v>
      </c>
      <c r="K995" s="29"/>
      <c r="L995" s="19"/>
      <c r="M995" s="3"/>
    </row>
    <row r="996" s="1" customFormat="1" spans="1:13">
      <c r="A996" s="22">
        <v>896</v>
      </c>
      <c r="B996" s="23" t="s">
        <v>1768</v>
      </c>
      <c r="C996" s="25" t="s">
        <v>1767</v>
      </c>
      <c r="D996" s="52" t="s">
        <v>1758</v>
      </c>
      <c r="E996" s="28" t="s">
        <v>287</v>
      </c>
      <c r="F996" s="26" t="s">
        <v>197</v>
      </c>
      <c r="G996" s="27">
        <f>SUMIF(物料月初库存!$C$3:$C$303,$B996,物料月初库存!$F$3:$F$303)</f>
        <v>0</v>
      </c>
      <c r="H996" s="28">
        <f>SUMIF(半成品入库明细!$D$2:$D$650,$B996,半成品入库明细!$G$2:$G$650)</f>
        <v>0</v>
      </c>
      <c r="I996" s="28">
        <f ca="1">SUMIF(半成品出库明细!$D$2:$D$558,$B996,半成品出库明细!$G$2:$G$2)</f>
        <v>0</v>
      </c>
      <c r="J996" s="28">
        <f ca="1" t="shared" si="17"/>
        <v>0</v>
      </c>
      <c r="K996" s="29"/>
      <c r="L996" s="19"/>
      <c r="M996" s="3"/>
    </row>
    <row r="997" s="1" customFormat="1" spans="1:13">
      <c r="A997" s="22">
        <v>897</v>
      </c>
      <c r="B997" s="23" t="s">
        <v>1769</v>
      </c>
      <c r="C997" s="25" t="s">
        <v>1770</v>
      </c>
      <c r="D997" s="52" t="s">
        <v>1758</v>
      </c>
      <c r="E997" s="19" t="s">
        <v>76</v>
      </c>
      <c r="F997" s="26" t="s">
        <v>197</v>
      </c>
      <c r="G997" s="27">
        <f>SUMIF(物料月初库存!$C$3:$C$303,$B997,物料月初库存!$F$3:$F$303)</f>
        <v>0</v>
      </c>
      <c r="H997" s="28">
        <f>SUMIF(半成品入库明细!$D$2:$D$650,$B997,半成品入库明细!$G$2:$G$650)</f>
        <v>0</v>
      </c>
      <c r="I997" s="28">
        <f ca="1">SUMIF(半成品出库明细!$D$2:$D$558,$B997,半成品出库明细!$G$2:$G$2)</f>
        <v>0</v>
      </c>
      <c r="J997" s="28">
        <f ca="1" t="shared" si="17"/>
        <v>0</v>
      </c>
      <c r="K997" s="29"/>
      <c r="L997" s="19"/>
      <c r="M997" s="3"/>
    </row>
    <row r="998" s="1" customFormat="1" spans="1:13">
      <c r="A998" s="22">
        <v>898</v>
      </c>
      <c r="B998" s="23" t="s">
        <v>1771</v>
      </c>
      <c r="C998" s="25" t="s">
        <v>1770</v>
      </c>
      <c r="D998" s="52" t="s">
        <v>1758</v>
      </c>
      <c r="E998" s="28" t="s">
        <v>287</v>
      </c>
      <c r="F998" s="26" t="s">
        <v>197</v>
      </c>
      <c r="G998" s="27">
        <f>SUMIF(物料月初库存!$C$3:$C$303,$B998,物料月初库存!$F$3:$F$303)</f>
        <v>0</v>
      </c>
      <c r="H998" s="28">
        <f>SUMIF(半成品入库明细!$D$2:$D$650,$B998,半成品入库明细!$G$2:$G$650)</f>
        <v>0</v>
      </c>
      <c r="I998" s="28">
        <f ca="1">SUMIF(半成品出库明细!$D$2:$D$558,$B998,半成品出库明细!$G$2:$G$2)</f>
        <v>0</v>
      </c>
      <c r="J998" s="28">
        <f ca="1" t="shared" si="17"/>
        <v>0</v>
      </c>
      <c r="K998" s="29"/>
      <c r="L998" s="19"/>
      <c r="M998" s="3"/>
    </row>
    <row r="999" s="1" customFormat="1" spans="1:13">
      <c r="A999" s="22">
        <v>899</v>
      </c>
      <c r="B999" s="23" t="s">
        <v>1772</v>
      </c>
      <c r="C999" s="25" t="s">
        <v>1773</v>
      </c>
      <c r="D999" s="52" t="s">
        <v>1758</v>
      </c>
      <c r="E999" s="19" t="s">
        <v>76</v>
      </c>
      <c r="F999" s="26" t="s">
        <v>197</v>
      </c>
      <c r="G999" s="27">
        <f>SUMIF(物料月初库存!$C$3:$C$303,$B999,物料月初库存!$F$3:$F$303)</f>
        <v>0</v>
      </c>
      <c r="H999" s="28">
        <f>SUMIF(半成品入库明细!$D$2:$D$650,$B999,半成品入库明细!$G$2:$G$650)</f>
        <v>0</v>
      </c>
      <c r="I999" s="28">
        <f ca="1">SUMIF(半成品出库明细!$D$2:$D$558,$B999,半成品出库明细!$G$2:$G$2)</f>
        <v>0</v>
      </c>
      <c r="J999" s="28">
        <f ca="1" t="shared" si="17"/>
        <v>0</v>
      </c>
      <c r="K999" s="29"/>
      <c r="L999" s="19"/>
      <c r="M999" s="3"/>
    </row>
    <row r="1000" s="1" customFormat="1" spans="1:13">
      <c r="A1000" s="22">
        <v>900</v>
      </c>
      <c r="B1000" s="23" t="s">
        <v>1774</v>
      </c>
      <c r="C1000" s="25" t="s">
        <v>1773</v>
      </c>
      <c r="D1000" s="52" t="s">
        <v>1758</v>
      </c>
      <c r="E1000" s="28" t="s">
        <v>356</v>
      </c>
      <c r="F1000" s="26" t="s">
        <v>197</v>
      </c>
      <c r="G1000" s="27">
        <f>SUMIF(物料月初库存!$C$3:$C$303,$B1000,物料月初库存!$F$3:$F$303)</f>
        <v>0</v>
      </c>
      <c r="H1000" s="28">
        <f>SUMIF(半成品入库明细!$D$2:$D$650,$B1000,半成品入库明细!$G$2:$G$650)</f>
        <v>0</v>
      </c>
      <c r="I1000" s="28">
        <f ca="1">SUMIF(半成品出库明细!$D$2:$D$558,$B1000,半成品出库明细!$G$2:$G$2)</f>
        <v>0</v>
      </c>
      <c r="J1000" s="28">
        <f ca="1" t="shared" si="17"/>
        <v>0</v>
      </c>
      <c r="K1000" s="29"/>
      <c r="L1000" s="19"/>
      <c r="M1000" s="3"/>
    </row>
    <row r="1001" s="1" customFormat="1" spans="1:13">
      <c r="A1001" s="22">
        <v>901</v>
      </c>
      <c r="B1001" s="23" t="s">
        <v>1775</v>
      </c>
      <c r="C1001" s="25" t="s">
        <v>1776</v>
      </c>
      <c r="D1001" s="52" t="s">
        <v>1758</v>
      </c>
      <c r="E1001" s="19" t="s">
        <v>76</v>
      </c>
      <c r="F1001" s="26" t="s">
        <v>197</v>
      </c>
      <c r="G1001" s="27">
        <f>SUMIF(物料月初库存!$C$3:$C$303,$B1001,物料月初库存!$F$3:$F$303)</f>
        <v>0</v>
      </c>
      <c r="H1001" s="28">
        <f>SUMIF(半成品入库明细!$D$2:$D$650,$B1001,半成品入库明细!$G$2:$G$650)</f>
        <v>0</v>
      </c>
      <c r="I1001" s="28">
        <f ca="1">SUMIF(半成品出库明细!$D$2:$D$558,$B1001,半成品出库明细!$G$2:$G$2)</f>
        <v>0</v>
      </c>
      <c r="J1001" s="28">
        <f ca="1" t="shared" si="17"/>
        <v>0</v>
      </c>
      <c r="K1001" s="29"/>
      <c r="L1001" s="19"/>
      <c r="M1001" s="3"/>
    </row>
    <row r="1002" s="1" customFormat="1" spans="1:13">
      <c r="A1002" s="22">
        <v>902</v>
      </c>
      <c r="B1002" s="23" t="s">
        <v>1777</v>
      </c>
      <c r="C1002" s="25" t="s">
        <v>1776</v>
      </c>
      <c r="D1002" s="52" t="s">
        <v>1758</v>
      </c>
      <c r="E1002" s="28" t="s">
        <v>356</v>
      </c>
      <c r="F1002" s="26" t="s">
        <v>197</v>
      </c>
      <c r="G1002" s="27">
        <f>SUMIF(物料月初库存!$C$3:$C$303,$B1002,物料月初库存!$F$3:$F$303)</f>
        <v>0</v>
      </c>
      <c r="H1002" s="28">
        <f>SUMIF(半成品入库明细!$D$2:$D$650,$B1002,半成品入库明细!$G$2:$G$650)</f>
        <v>0</v>
      </c>
      <c r="I1002" s="28">
        <f ca="1">SUMIF(半成品出库明细!$D$2:$D$558,$B1002,半成品出库明细!$G$2:$G$2)</f>
        <v>0</v>
      </c>
      <c r="J1002" s="28">
        <f ca="1" t="shared" si="17"/>
        <v>0</v>
      </c>
      <c r="K1002" s="29"/>
      <c r="L1002" s="19"/>
      <c r="M1002" s="3"/>
    </row>
    <row r="1003" s="1" customFormat="1" spans="1:13">
      <c r="A1003" s="22">
        <v>903</v>
      </c>
      <c r="B1003" s="23" t="s">
        <v>1778</v>
      </c>
      <c r="C1003" s="25" t="s">
        <v>1779</v>
      </c>
      <c r="D1003" s="52" t="s">
        <v>1758</v>
      </c>
      <c r="E1003" s="19" t="s">
        <v>76</v>
      </c>
      <c r="F1003" s="26" t="s">
        <v>197</v>
      </c>
      <c r="G1003" s="27">
        <f>SUMIF(物料月初库存!$C$3:$C$303,$B1003,物料月初库存!$F$3:$F$303)</f>
        <v>0</v>
      </c>
      <c r="H1003" s="28">
        <f>SUMIF(半成品入库明细!$D$2:$D$650,$B1003,半成品入库明细!$G$2:$G$650)</f>
        <v>0</v>
      </c>
      <c r="I1003" s="28">
        <f ca="1">SUMIF(半成品出库明细!$D$2:$D$558,$B1003,半成品出库明细!$G$2:$G$2)</f>
        <v>0</v>
      </c>
      <c r="J1003" s="28">
        <f ca="1" t="shared" si="17"/>
        <v>0</v>
      </c>
      <c r="K1003" s="29"/>
      <c r="L1003" s="19"/>
      <c r="M1003" s="3"/>
    </row>
    <row r="1004" s="1" customFormat="1" spans="1:13">
      <c r="A1004" s="22">
        <v>904</v>
      </c>
      <c r="B1004" s="23" t="s">
        <v>1780</v>
      </c>
      <c r="C1004" s="25" t="s">
        <v>1779</v>
      </c>
      <c r="D1004" s="52" t="s">
        <v>1758</v>
      </c>
      <c r="E1004" s="28" t="s">
        <v>356</v>
      </c>
      <c r="F1004" s="26" t="s">
        <v>197</v>
      </c>
      <c r="G1004" s="27">
        <f>SUMIF(物料月初库存!$C$3:$C$303,$B1004,物料月初库存!$F$3:$F$303)</f>
        <v>0</v>
      </c>
      <c r="H1004" s="28">
        <f>SUMIF(半成品入库明细!$D$2:$D$650,$B1004,半成品入库明细!$G$2:$G$650)</f>
        <v>0</v>
      </c>
      <c r="I1004" s="28">
        <f ca="1">SUMIF(半成品出库明细!$D$2:$D$558,$B1004,半成品出库明细!$G$2:$G$2)</f>
        <v>0</v>
      </c>
      <c r="J1004" s="28">
        <f ca="1" t="shared" si="17"/>
        <v>0</v>
      </c>
      <c r="K1004" s="29"/>
      <c r="L1004" s="19"/>
      <c r="M1004" s="3"/>
    </row>
    <row r="1005" s="1" customFormat="1" spans="1:13">
      <c r="A1005" s="22">
        <v>905</v>
      </c>
      <c r="B1005" s="23" t="s">
        <v>1781</v>
      </c>
      <c r="C1005" s="25" t="s">
        <v>1782</v>
      </c>
      <c r="D1005" s="52" t="s">
        <v>1758</v>
      </c>
      <c r="E1005" s="19" t="s">
        <v>76</v>
      </c>
      <c r="F1005" s="26" t="s">
        <v>197</v>
      </c>
      <c r="G1005" s="27">
        <f>SUMIF(物料月初库存!$C$3:$C$303,$B1005,物料月初库存!$F$3:$F$303)</f>
        <v>0</v>
      </c>
      <c r="H1005" s="28">
        <f>SUMIF(半成品入库明细!$D$2:$D$650,$B1005,半成品入库明细!$G$2:$G$650)</f>
        <v>0</v>
      </c>
      <c r="I1005" s="28">
        <f ca="1">SUMIF(半成品出库明细!$D$2:$D$558,$B1005,半成品出库明细!$G$2:$G$2)</f>
        <v>0</v>
      </c>
      <c r="J1005" s="28">
        <f ca="1" t="shared" si="17"/>
        <v>0</v>
      </c>
      <c r="K1005" s="29"/>
      <c r="L1005" s="19"/>
      <c r="M1005" s="3"/>
    </row>
    <row r="1006" s="1" customFormat="1" spans="1:13">
      <c r="A1006" s="22">
        <v>906</v>
      </c>
      <c r="B1006" s="23" t="s">
        <v>1783</v>
      </c>
      <c r="C1006" s="25" t="s">
        <v>1782</v>
      </c>
      <c r="D1006" s="52" t="s">
        <v>1758</v>
      </c>
      <c r="E1006" s="28" t="s">
        <v>356</v>
      </c>
      <c r="F1006" s="26" t="s">
        <v>197</v>
      </c>
      <c r="G1006" s="27">
        <f>SUMIF(物料月初库存!$C$3:$C$303,$B1006,物料月初库存!$F$3:$F$303)</f>
        <v>0</v>
      </c>
      <c r="H1006" s="28">
        <f>SUMIF(半成品入库明细!$D$2:$D$650,$B1006,半成品入库明细!$G$2:$G$650)</f>
        <v>0</v>
      </c>
      <c r="I1006" s="28">
        <f ca="1">SUMIF(半成品出库明细!$D$2:$D$558,$B1006,半成品出库明细!$G$2:$G$2)</f>
        <v>0</v>
      </c>
      <c r="J1006" s="28">
        <f ca="1" t="shared" si="17"/>
        <v>0</v>
      </c>
      <c r="K1006" s="29"/>
      <c r="L1006" s="19"/>
      <c r="M1006" s="3"/>
    </row>
    <row r="1007" s="1" customFormat="1" spans="1:13">
      <c r="A1007" s="22">
        <v>907</v>
      </c>
      <c r="B1007" s="23" t="s">
        <v>1784</v>
      </c>
      <c r="C1007" s="25" t="s">
        <v>1785</v>
      </c>
      <c r="D1007" s="52" t="s">
        <v>1758</v>
      </c>
      <c r="E1007" s="19" t="s">
        <v>76</v>
      </c>
      <c r="F1007" s="26" t="s">
        <v>197</v>
      </c>
      <c r="G1007" s="27">
        <f>SUMIF(物料月初库存!$C$3:$C$303,$B1007,物料月初库存!$F$3:$F$303)</f>
        <v>0</v>
      </c>
      <c r="H1007" s="28">
        <f>SUMIF(半成品入库明细!$D$2:$D$650,$B1007,半成品入库明细!$G$2:$G$650)</f>
        <v>0</v>
      </c>
      <c r="I1007" s="28">
        <f ca="1">SUMIF(半成品出库明细!$D$2:$D$558,$B1007,半成品出库明细!$G$2:$G$2)</f>
        <v>0</v>
      </c>
      <c r="J1007" s="28">
        <f ca="1" t="shared" si="17"/>
        <v>0</v>
      </c>
      <c r="K1007" s="29"/>
      <c r="L1007" s="19"/>
      <c r="M1007" s="3"/>
    </row>
    <row r="1008" s="1" customFormat="1" spans="1:13">
      <c r="A1008" s="22">
        <v>908</v>
      </c>
      <c r="B1008" s="23" t="s">
        <v>1786</v>
      </c>
      <c r="C1008" s="25" t="s">
        <v>1785</v>
      </c>
      <c r="D1008" s="52" t="s">
        <v>1758</v>
      </c>
      <c r="E1008" s="28" t="s">
        <v>356</v>
      </c>
      <c r="F1008" s="26" t="s">
        <v>197</v>
      </c>
      <c r="G1008" s="27">
        <f>SUMIF(物料月初库存!$C$3:$C$303,$B1008,物料月初库存!$F$3:$F$303)</f>
        <v>0</v>
      </c>
      <c r="H1008" s="28">
        <f>SUMIF(半成品入库明细!$D$2:$D$650,$B1008,半成品入库明细!$G$2:$G$650)</f>
        <v>0</v>
      </c>
      <c r="I1008" s="28">
        <f ca="1">SUMIF(半成品出库明细!$D$2:$D$558,$B1008,半成品出库明细!$G$2:$G$2)</f>
        <v>0</v>
      </c>
      <c r="J1008" s="28">
        <f ca="1" t="shared" si="17"/>
        <v>0</v>
      </c>
      <c r="K1008" s="29"/>
      <c r="L1008" s="19"/>
      <c r="M1008" s="3"/>
    </row>
    <row r="1009" s="1" customFormat="1" spans="1:13">
      <c r="A1009" s="22">
        <v>909</v>
      </c>
      <c r="B1009" s="23" t="s">
        <v>1787</v>
      </c>
      <c r="C1009" s="25" t="s">
        <v>1788</v>
      </c>
      <c r="D1009" s="52" t="s">
        <v>1758</v>
      </c>
      <c r="E1009" s="19" t="s">
        <v>76</v>
      </c>
      <c r="F1009" s="26" t="s">
        <v>197</v>
      </c>
      <c r="G1009" s="27">
        <f>SUMIF(物料月初库存!$C$3:$C$303,$B1009,物料月初库存!$F$3:$F$303)</f>
        <v>0</v>
      </c>
      <c r="H1009" s="28">
        <f>SUMIF(半成品入库明细!$D$2:$D$650,$B1009,半成品入库明细!$G$2:$G$650)</f>
        <v>0</v>
      </c>
      <c r="I1009" s="28">
        <f ca="1">SUMIF(半成品出库明细!$D$2:$D$558,$B1009,半成品出库明细!$G$2:$G$2)</f>
        <v>0</v>
      </c>
      <c r="J1009" s="28">
        <f ca="1" t="shared" si="17"/>
        <v>0</v>
      </c>
      <c r="K1009" s="29"/>
      <c r="L1009" s="19"/>
      <c r="M1009" s="3"/>
    </row>
    <row r="1010" s="1" customFormat="1" spans="1:13">
      <c r="A1010" s="22">
        <v>910</v>
      </c>
      <c r="B1010" s="23" t="s">
        <v>1789</v>
      </c>
      <c r="C1010" s="25" t="s">
        <v>1788</v>
      </c>
      <c r="D1010" s="52" t="s">
        <v>1758</v>
      </c>
      <c r="E1010" s="28" t="s">
        <v>356</v>
      </c>
      <c r="F1010" s="26" t="s">
        <v>197</v>
      </c>
      <c r="G1010" s="27">
        <f>SUMIF(物料月初库存!$C$3:$C$303,$B1010,物料月初库存!$F$3:$F$303)</f>
        <v>0</v>
      </c>
      <c r="H1010" s="28">
        <f>SUMIF(半成品入库明细!$D$2:$D$650,$B1010,半成品入库明细!$G$2:$G$650)</f>
        <v>0</v>
      </c>
      <c r="I1010" s="28">
        <f ca="1">SUMIF(半成品出库明细!$D$2:$D$558,$B1010,半成品出库明细!$G$2:$G$2)</f>
        <v>0</v>
      </c>
      <c r="J1010" s="28">
        <f ca="1" t="shared" si="17"/>
        <v>0</v>
      </c>
      <c r="K1010" s="29"/>
      <c r="L1010" s="19"/>
      <c r="M1010" s="3"/>
    </row>
    <row r="1011" s="1" customFormat="1" spans="1:13">
      <c r="A1011" s="22">
        <v>911</v>
      </c>
      <c r="B1011" s="23" t="s">
        <v>1790</v>
      </c>
      <c r="C1011" s="24" t="s">
        <v>1791</v>
      </c>
      <c r="D1011" s="52" t="s">
        <v>1792</v>
      </c>
      <c r="E1011" s="19" t="s">
        <v>76</v>
      </c>
      <c r="F1011" s="26" t="s">
        <v>197</v>
      </c>
      <c r="G1011" s="27">
        <f>SUMIF(物料月初库存!$C$3:$C$303,$B1011,物料月初库存!$F$3:$F$303)</f>
        <v>0</v>
      </c>
      <c r="H1011" s="28">
        <f>SUMIF(半成品入库明细!$D$2:$D$650,$B1011,半成品入库明细!$G$2:$G$650)</f>
        <v>0</v>
      </c>
      <c r="I1011" s="28">
        <f ca="1">SUMIF(半成品出库明细!$D$2:$D$558,$B1011,半成品出库明细!$G$2:$G$2)</f>
        <v>0</v>
      </c>
      <c r="J1011" s="28">
        <f ca="1" t="shared" si="17"/>
        <v>0</v>
      </c>
      <c r="K1011" s="29"/>
      <c r="L1011" s="19"/>
      <c r="M1011" s="3"/>
    </row>
    <row r="1012" s="1" customFormat="1" spans="1:13">
      <c r="A1012" s="22">
        <v>912</v>
      </c>
      <c r="B1012" s="23" t="s">
        <v>1793</v>
      </c>
      <c r="C1012" s="25" t="s">
        <v>1794</v>
      </c>
      <c r="D1012" s="52" t="s">
        <v>1792</v>
      </c>
      <c r="E1012" s="19" t="s">
        <v>76</v>
      </c>
      <c r="F1012" s="26" t="s">
        <v>197</v>
      </c>
      <c r="G1012" s="27">
        <f>SUMIF(物料月初库存!$C$3:$C$303,$B1012,物料月初库存!$F$3:$F$303)</f>
        <v>0</v>
      </c>
      <c r="H1012" s="28">
        <f>SUMIF(半成品入库明细!$D$2:$D$650,$B1012,半成品入库明细!$G$2:$G$650)</f>
        <v>0</v>
      </c>
      <c r="I1012" s="28">
        <f ca="1">SUMIF(半成品出库明细!$D$2:$D$558,$B1012,半成品出库明细!$G$2:$G$2)</f>
        <v>0</v>
      </c>
      <c r="J1012" s="28">
        <f ca="1" t="shared" si="17"/>
        <v>0</v>
      </c>
      <c r="K1012" s="29"/>
      <c r="L1012" s="19"/>
      <c r="M1012" s="3"/>
    </row>
    <row r="1013" s="1" customFormat="1" spans="1:13">
      <c r="A1013" s="22">
        <v>913</v>
      </c>
      <c r="B1013" s="23" t="s">
        <v>1795</v>
      </c>
      <c r="C1013" s="25" t="s">
        <v>1796</v>
      </c>
      <c r="D1013" s="52" t="s">
        <v>1792</v>
      </c>
      <c r="E1013" s="19" t="s">
        <v>76</v>
      </c>
      <c r="F1013" s="26" t="s">
        <v>197</v>
      </c>
      <c r="G1013" s="27">
        <f>SUMIF(物料月初库存!$C$3:$C$303,$B1013,物料月初库存!$F$3:$F$303)</f>
        <v>0</v>
      </c>
      <c r="H1013" s="28">
        <f>SUMIF(半成品入库明细!$D$2:$D$650,$B1013,半成品入库明细!$G$2:$G$650)</f>
        <v>0</v>
      </c>
      <c r="I1013" s="28">
        <f ca="1">SUMIF(半成品出库明细!$D$2:$D$558,$B1013,半成品出库明细!$G$2:$G$2)</f>
        <v>0</v>
      </c>
      <c r="J1013" s="28">
        <f ca="1" t="shared" si="17"/>
        <v>0</v>
      </c>
      <c r="K1013" s="29"/>
      <c r="L1013" s="19"/>
      <c r="M1013" s="3"/>
    </row>
    <row r="1014" s="1" customFormat="1" spans="1:13">
      <c r="A1014" s="22">
        <v>914</v>
      </c>
      <c r="B1014" s="23" t="s">
        <v>1797</v>
      </c>
      <c r="C1014" s="25" t="s">
        <v>1798</v>
      </c>
      <c r="D1014" s="25" t="s">
        <v>1799</v>
      </c>
      <c r="E1014" s="19" t="s">
        <v>76</v>
      </c>
      <c r="F1014" s="26" t="s">
        <v>197</v>
      </c>
      <c r="G1014" s="27">
        <f>SUMIF(物料月初库存!$C$3:$C$303,$B1014,物料月初库存!$F$3:$F$303)</f>
        <v>0</v>
      </c>
      <c r="H1014" s="28">
        <f>SUMIF(半成品入库明细!$D$2:$D$650,$B1014,半成品入库明细!$G$2:$G$650)</f>
        <v>0</v>
      </c>
      <c r="I1014" s="28">
        <f ca="1">SUMIF(半成品出库明细!$D$2:$D$558,$B1014,半成品出库明细!$G$2:$G$2)</f>
        <v>0</v>
      </c>
      <c r="J1014" s="28">
        <f ca="1" t="shared" si="17"/>
        <v>0</v>
      </c>
      <c r="K1014" s="29"/>
      <c r="L1014" s="19"/>
      <c r="M1014" s="3"/>
    </row>
    <row r="1015" s="1" customFormat="1" spans="1:13">
      <c r="A1015" s="22">
        <v>915</v>
      </c>
      <c r="B1015" s="23" t="s">
        <v>1800</v>
      </c>
      <c r="C1015" s="25" t="s">
        <v>1798</v>
      </c>
      <c r="D1015" s="25" t="s">
        <v>1799</v>
      </c>
      <c r="E1015" s="19" t="s">
        <v>267</v>
      </c>
      <c r="F1015" s="26" t="s">
        <v>197</v>
      </c>
      <c r="G1015" s="27">
        <f>SUMIF(物料月初库存!$C$3:$C$303,$B1015,物料月初库存!$F$3:$F$303)</f>
        <v>0</v>
      </c>
      <c r="H1015" s="28">
        <f>SUMIF(半成品入库明细!$D$2:$D$650,$B1015,半成品入库明细!$G$2:$G$650)</f>
        <v>0</v>
      </c>
      <c r="I1015" s="28">
        <f ca="1">SUMIF(半成品出库明细!$D$2:$D$558,$B1015,半成品出库明细!$G$2:$G$2)</f>
        <v>0</v>
      </c>
      <c r="J1015" s="28">
        <f ca="1" t="shared" si="17"/>
        <v>0</v>
      </c>
      <c r="K1015" s="29" t="s">
        <v>1801</v>
      </c>
      <c r="L1015" s="19"/>
      <c r="M1015" s="3"/>
    </row>
    <row r="1016" s="1" customFormat="1" spans="1:13">
      <c r="A1016" s="22">
        <v>916</v>
      </c>
      <c r="B1016" s="23" t="s">
        <v>1802</v>
      </c>
      <c r="C1016" s="25" t="s">
        <v>1798</v>
      </c>
      <c r="D1016" s="25" t="s">
        <v>1799</v>
      </c>
      <c r="E1016" s="19" t="s">
        <v>316</v>
      </c>
      <c r="F1016" s="26" t="s">
        <v>197</v>
      </c>
      <c r="G1016" s="27">
        <f>SUMIF(物料月初库存!$C$3:$C$303,$B1016,物料月初库存!$F$3:$F$303)</f>
        <v>0</v>
      </c>
      <c r="H1016" s="28">
        <f>SUMIF(半成品入库明细!$D$2:$D$650,$B1016,半成品入库明细!$G$2:$G$650)</f>
        <v>0</v>
      </c>
      <c r="I1016" s="28">
        <f ca="1">SUMIF(半成品出库明细!$D$2:$D$558,$B1016,半成品出库明细!$G$2:$G$2)</f>
        <v>0</v>
      </c>
      <c r="J1016" s="28">
        <f ca="1" t="shared" si="17"/>
        <v>0</v>
      </c>
      <c r="K1016" s="29" t="s">
        <v>1803</v>
      </c>
      <c r="L1016" s="19"/>
      <c r="M1016" s="3"/>
    </row>
    <row r="1017" s="1" customFormat="1" spans="1:13">
      <c r="A1017" s="22">
        <v>917</v>
      </c>
      <c r="B1017" s="23" t="s">
        <v>1804</v>
      </c>
      <c r="C1017" s="25" t="s">
        <v>1798</v>
      </c>
      <c r="D1017" s="25" t="s">
        <v>1799</v>
      </c>
      <c r="E1017" s="19" t="s">
        <v>239</v>
      </c>
      <c r="F1017" s="26" t="s">
        <v>197</v>
      </c>
      <c r="G1017" s="27">
        <f>SUMIF(物料月初库存!$C$3:$C$303,$B1017,物料月初库存!$F$3:$F$303)</f>
        <v>0</v>
      </c>
      <c r="H1017" s="28">
        <f>SUMIF(半成品入库明细!$D$2:$D$650,$B1017,半成品入库明细!$G$2:$G$650)</f>
        <v>0</v>
      </c>
      <c r="I1017" s="28">
        <f ca="1">SUMIF(半成品出库明细!$D$2:$D$558,$B1017,半成品出库明细!$G$2:$G$2)</f>
        <v>0</v>
      </c>
      <c r="J1017" s="28">
        <f ca="1" t="shared" si="17"/>
        <v>0</v>
      </c>
      <c r="K1017" s="29" t="s">
        <v>1805</v>
      </c>
      <c r="L1017" s="19" t="s">
        <v>202</v>
      </c>
      <c r="M1017" s="3"/>
    </row>
    <row r="1018" s="1" customFormat="1" spans="1:13">
      <c r="A1018" s="22">
        <v>918</v>
      </c>
      <c r="B1018" s="23" t="s">
        <v>1806</v>
      </c>
      <c r="C1018" s="25" t="s">
        <v>1807</v>
      </c>
      <c r="D1018" s="25" t="s">
        <v>1799</v>
      </c>
      <c r="E1018" s="19" t="s">
        <v>76</v>
      </c>
      <c r="F1018" s="26" t="s">
        <v>197</v>
      </c>
      <c r="G1018" s="27">
        <f>SUMIF(物料月初库存!$C$3:$C$303,$B1018,物料月初库存!$F$3:$F$303)</f>
        <v>0</v>
      </c>
      <c r="H1018" s="28">
        <f>SUMIF(半成品入库明细!$D$2:$D$650,$B1018,半成品入库明细!$G$2:$G$650)</f>
        <v>0</v>
      </c>
      <c r="I1018" s="28">
        <f ca="1">SUMIF(半成品出库明细!$D$2:$D$558,$B1018,半成品出库明细!$G$2:$G$2)</f>
        <v>0</v>
      </c>
      <c r="J1018" s="28">
        <f ca="1" t="shared" si="17"/>
        <v>0</v>
      </c>
      <c r="K1018" s="30"/>
      <c r="L1018" s="19"/>
      <c r="M1018" s="3"/>
    </row>
    <row r="1019" s="1" customFormat="1" spans="1:13">
      <c r="A1019" s="22">
        <v>919</v>
      </c>
      <c r="B1019" s="23" t="s">
        <v>1808</v>
      </c>
      <c r="C1019" s="25" t="s">
        <v>1807</v>
      </c>
      <c r="D1019" s="25" t="s">
        <v>1799</v>
      </c>
      <c r="E1019" s="19" t="s">
        <v>199</v>
      </c>
      <c r="F1019" s="26" t="s">
        <v>197</v>
      </c>
      <c r="G1019" s="27">
        <f>SUMIF(物料月初库存!$C$3:$C$303,$B1019,物料月初库存!$F$3:$F$303)</f>
        <v>0</v>
      </c>
      <c r="H1019" s="28">
        <f>SUMIF(半成品入库明细!$D$2:$D$650,$B1019,半成品入库明细!$G$2:$G$650)</f>
        <v>0</v>
      </c>
      <c r="I1019" s="28">
        <f ca="1">SUMIF(半成品出库明细!$D$2:$D$558,$B1019,半成品出库明细!$G$2:$G$2)</f>
        <v>0</v>
      </c>
      <c r="J1019" s="28">
        <f ca="1" t="shared" si="17"/>
        <v>0</v>
      </c>
      <c r="K1019" s="30" t="s">
        <v>146</v>
      </c>
      <c r="L1019" s="19" t="s">
        <v>202</v>
      </c>
      <c r="M1019" s="3"/>
    </row>
    <row r="1020" s="1" customFormat="1" spans="1:13">
      <c r="A1020" s="22">
        <v>920</v>
      </c>
      <c r="B1020" s="23" t="s">
        <v>1809</v>
      </c>
      <c r="C1020" s="25" t="s">
        <v>1810</v>
      </c>
      <c r="D1020" s="25" t="s">
        <v>1799</v>
      </c>
      <c r="E1020" s="19" t="s">
        <v>76</v>
      </c>
      <c r="F1020" s="26" t="s">
        <v>197</v>
      </c>
      <c r="G1020" s="27">
        <f>SUMIF(物料月初库存!$C$3:$C$303,$B1020,物料月初库存!$F$3:$F$303)</f>
        <v>0</v>
      </c>
      <c r="H1020" s="28">
        <f>SUMIF(半成品入库明细!$D$2:$D$650,$B1020,半成品入库明细!$G$2:$G$650)</f>
        <v>0</v>
      </c>
      <c r="I1020" s="28">
        <f ca="1">SUMIF(半成品出库明细!$D$2:$D$558,$B1020,半成品出库明细!$G$2:$G$2)</f>
        <v>0</v>
      </c>
      <c r="J1020" s="28">
        <f ca="1" t="shared" si="17"/>
        <v>0</v>
      </c>
      <c r="K1020" s="29"/>
      <c r="L1020" s="19"/>
      <c r="M1020" s="3"/>
    </row>
    <row r="1021" s="1" customFormat="1" spans="1:13">
      <c r="A1021" s="22">
        <v>921</v>
      </c>
      <c r="B1021" s="23" t="s">
        <v>1811</v>
      </c>
      <c r="C1021" s="25" t="s">
        <v>1810</v>
      </c>
      <c r="D1021" s="25" t="s">
        <v>1799</v>
      </c>
      <c r="E1021" s="19" t="s">
        <v>1812</v>
      </c>
      <c r="F1021" s="26" t="s">
        <v>197</v>
      </c>
      <c r="G1021" s="27">
        <f>SUMIF(物料月初库存!$C$3:$C$303,$B1021,物料月初库存!$F$3:$F$303)</f>
        <v>0</v>
      </c>
      <c r="H1021" s="28">
        <f>SUMIF(半成品入库明细!$D$2:$D$650,$B1021,半成品入库明细!$G$2:$G$650)</f>
        <v>0</v>
      </c>
      <c r="I1021" s="28">
        <f ca="1">SUMIF(半成品出库明细!$D$2:$D$558,$B1021,半成品出库明细!$G$2:$G$2)</f>
        <v>0</v>
      </c>
      <c r="J1021" s="28">
        <f ca="1" t="shared" si="17"/>
        <v>0</v>
      </c>
      <c r="K1021" s="30" t="s">
        <v>202</v>
      </c>
      <c r="L1021" s="19"/>
      <c r="M1021" s="3"/>
    </row>
    <row r="1022" s="1" customFormat="1" spans="1:13">
      <c r="A1022" s="22"/>
      <c r="B1022" s="23" t="s">
        <v>16</v>
      </c>
      <c r="C1022" s="25" t="s">
        <v>1813</v>
      </c>
      <c r="D1022" s="25" t="s">
        <v>1799</v>
      </c>
      <c r="E1022" s="19" t="s">
        <v>76</v>
      </c>
      <c r="F1022" s="26" t="s">
        <v>197</v>
      </c>
      <c r="G1022" s="27">
        <f>SUMIF(物料月初库存!$C$3:$C$303,$B1022,物料月初库存!$F$3:$F$303)</f>
        <v>13300</v>
      </c>
      <c r="H1022" s="28">
        <f>SUMIF(半成品入库明细!$D$2:$D$650,$B1022,半成品入库明细!$G$2:$G$650)</f>
        <v>0</v>
      </c>
      <c r="I1022" s="28">
        <f ca="1">SUMIF(半成品出库明细!$D$2:$D$558,$B1022,半成品出库明细!$G$2:$G$2)</f>
        <v>13300</v>
      </c>
      <c r="J1022" s="28">
        <f ca="1" t="shared" si="17"/>
        <v>0</v>
      </c>
      <c r="K1022" s="30"/>
      <c r="L1022" s="19"/>
      <c r="M1022" s="3"/>
    </row>
    <row r="1023" s="1" customFormat="1" spans="1:13">
      <c r="A1023" s="22">
        <v>923</v>
      </c>
      <c r="B1023" s="23" t="s">
        <v>149</v>
      </c>
      <c r="C1023" s="25" t="s">
        <v>1813</v>
      </c>
      <c r="D1023" s="25" t="s">
        <v>1799</v>
      </c>
      <c r="E1023" s="19" t="s">
        <v>267</v>
      </c>
      <c r="F1023" s="26" t="s">
        <v>197</v>
      </c>
      <c r="G1023" s="27">
        <f>SUMIF(物料月初库存!$C$3:$C$303,$B1023,物料月初库存!$F$3:$F$303)</f>
        <v>0</v>
      </c>
      <c r="H1023" s="28">
        <f>SUMIF(半成品入库明细!$D$2:$D$650,$B1023,半成品入库明细!$G$2:$G$650)</f>
        <v>6600</v>
      </c>
      <c r="I1023" s="28">
        <f ca="1">SUMIF(半成品出库明细!$D$2:$D$558,$B1023,半成品出库明细!$G$2:$G$2)</f>
        <v>6600</v>
      </c>
      <c r="J1023" s="28">
        <f ca="1" t="shared" si="17"/>
        <v>0</v>
      </c>
      <c r="K1023" s="29" t="s">
        <v>1814</v>
      </c>
      <c r="L1023" s="19"/>
      <c r="M1023" s="3"/>
    </row>
    <row r="1024" s="1" customFormat="1" spans="1:13">
      <c r="A1024" s="22">
        <v>924</v>
      </c>
      <c r="B1024" s="23" t="s">
        <v>1815</v>
      </c>
      <c r="C1024" s="25" t="s">
        <v>1813</v>
      </c>
      <c r="D1024" s="25" t="s">
        <v>1799</v>
      </c>
      <c r="E1024" s="19" t="s">
        <v>316</v>
      </c>
      <c r="F1024" s="26" t="s">
        <v>197</v>
      </c>
      <c r="G1024" s="27">
        <f>SUMIF(物料月初库存!$C$3:$C$303,$B1024,物料月初库存!$F$3:$F$303)</f>
        <v>0</v>
      </c>
      <c r="H1024" s="28">
        <f>SUMIF(半成品入库明细!$D$2:$D$650,$B1024,半成品入库明细!$G$2:$G$650)</f>
        <v>0</v>
      </c>
      <c r="I1024" s="28">
        <f ca="1">SUMIF(半成品出库明细!$D$2:$D$558,$B1024,半成品出库明细!$G$2:$G$2)</f>
        <v>0</v>
      </c>
      <c r="J1024" s="28">
        <f ca="1" t="shared" si="17"/>
        <v>0</v>
      </c>
      <c r="K1024" s="30" t="s">
        <v>1816</v>
      </c>
      <c r="L1024" s="19"/>
      <c r="M1024" s="3"/>
    </row>
    <row r="1025" s="1" customFormat="1" spans="1:13">
      <c r="A1025" s="22">
        <v>925</v>
      </c>
      <c r="B1025" s="23" t="s">
        <v>1817</v>
      </c>
      <c r="C1025" s="25" t="s">
        <v>1818</v>
      </c>
      <c r="D1025" s="25" t="s">
        <v>1799</v>
      </c>
      <c r="E1025" s="19" t="s">
        <v>76</v>
      </c>
      <c r="F1025" s="26" t="s">
        <v>197</v>
      </c>
      <c r="G1025" s="27">
        <f>SUMIF(物料月初库存!$C$3:$C$303,$B1025,物料月初库存!$F$3:$F$303)</f>
        <v>0</v>
      </c>
      <c r="H1025" s="28">
        <f>SUMIF(半成品入库明细!$D$2:$D$650,$B1025,半成品入库明细!$G$2:$G$650)</f>
        <v>0</v>
      </c>
      <c r="I1025" s="28">
        <f ca="1">SUMIF(半成品出库明细!$D$2:$D$558,$B1025,半成品出库明细!$G$2:$G$2)</f>
        <v>0</v>
      </c>
      <c r="J1025" s="28">
        <f ca="1" t="shared" si="17"/>
        <v>0</v>
      </c>
      <c r="K1025" s="29"/>
      <c r="L1025" s="19"/>
      <c r="M1025" s="3"/>
    </row>
    <row r="1026" s="1" customFormat="1" spans="1:13">
      <c r="A1026" s="22">
        <v>926</v>
      </c>
      <c r="B1026" s="23" t="s">
        <v>1819</v>
      </c>
      <c r="C1026" s="25" t="s">
        <v>1818</v>
      </c>
      <c r="D1026" s="25" t="s">
        <v>1799</v>
      </c>
      <c r="E1026" s="19" t="s">
        <v>199</v>
      </c>
      <c r="F1026" s="26" t="s">
        <v>197</v>
      </c>
      <c r="G1026" s="27">
        <f>SUMIF(物料月初库存!$C$3:$C$303,$B1026,物料月初库存!$F$3:$F$303)</f>
        <v>0</v>
      </c>
      <c r="H1026" s="28">
        <f>SUMIF(半成品入库明细!$D$2:$D$650,$B1026,半成品入库明细!$G$2:$G$650)</f>
        <v>0</v>
      </c>
      <c r="I1026" s="28">
        <f ca="1">SUMIF(半成品出库明细!$D$2:$D$558,$B1026,半成品出库明细!$G$2:$G$2)</f>
        <v>0</v>
      </c>
      <c r="J1026" s="28">
        <f ca="1" t="shared" si="17"/>
        <v>0</v>
      </c>
      <c r="K1026" s="30" t="s">
        <v>1820</v>
      </c>
      <c r="L1026" s="19" t="s">
        <v>202</v>
      </c>
      <c r="M1026" s="3"/>
    </row>
    <row r="1027" s="1" customFormat="1" spans="1:13">
      <c r="A1027" s="22">
        <v>927</v>
      </c>
      <c r="B1027" s="23" t="s">
        <v>1821</v>
      </c>
      <c r="C1027" s="25" t="s">
        <v>1818</v>
      </c>
      <c r="D1027" s="25" t="s">
        <v>1799</v>
      </c>
      <c r="E1027" s="19" t="s">
        <v>239</v>
      </c>
      <c r="F1027" s="26" t="s">
        <v>197</v>
      </c>
      <c r="G1027" s="27">
        <f>SUMIF(物料月初库存!$C$3:$C$303,$B1027,物料月初库存!$F$3:$F$303)</f>
        <v>0</v>
      </c>
      <c r="H1027" s="28">
        <f>SUMIF(半成品入库明细!$D$2:$D$650,$B1027,半成品入库明细!$G$2:$G$650)</f>
        <v>0</v>
      </c>
      <c r="I1027" s="28">
        <f ca="1">SUMIF(半成品出库明细!$D$2:$D$558,$B1027,半成品出库明细!$G$2:$G$2)</f>
        <v>0</v>
      </c>
      <c r="J1027" s="28">
        <f ca="1" t="shared" si="17"/>
        <v>0</v>
      </c>
      <c r="K1027" s="30" t="s">
        <v>1822</v>
      </c>
      <c r="L1027" s="19"/>
      <c r="M1027" s="3"/>
    </row>
    <row r="1028" s="1" customFormat="1" spans="1:13">
      <c r="A1028" s="22">
        <v>927</v>
      </c>
      <c r="B1028" s="23" t="s">
        <v>1823</v>
      </c>
      <c r="C1028" s="25" t="s">
        <v>1824</v>
      </c>
      <c r="D1028" s="25" t="s">
        <v>1799</v>
      </c>
      <c r="E1028" s="19" t="s">
        <v>76</v>
      </c>
      <c r="F1028" s="26" t="s">
        <v>197</v>
      </c>
      <c r="G1028" s="27">
        <f>SUMIF(物料月初库存!$C$3:$C$303,$B1028,物料月初库存!$F$3:$F$303)</f>
        <v>0</v>
      </c>
      <c r="H1028" s="28">
        <f>SUMIF(半成品入库明细!$D$2:$D$650,$B1028,半成品入库明细!$G$2:$G$650)</f>
        <v>0</v>
      </c>
      <c r="I1028" s="28">
        <f ca="1">SUMIF(半成品出库明细!$D$2:$D$558,$B1028,半成品出库明细!$G$2:$G$2)</f>
        <v>0</v>
      </c>
      <c r="J1028" s="28">
        <f ca="1" t="shared" si="17"/>
        <v>0</v>
      </c>
      <c r="K1028" s="29"/>
      <c r="L1028" s="19"/>
      <c r="M1028" s="3"/>
    </row>
    <row r="1029" s="1" customFormat="1" spans="1:13">
      <c r="A1029" s="22">
        <v>928</v>
      </c>
      <c r="B1029" s="23" t="s">
        <v>1825</v>
      </c>
      <c r="C1029" s="25" t="s">
        <v>1824</v>
      </c>
      <c r="D1029" s="25" t="s">
        <v>1799</v>
      </c>
      <c r="E1029" s="19" t="s">
        <v>267</v>
      </c>
      <c r="F1029" s="26" t="s">
        <v>197</v>
      </c>
      <c r="G1029" s="27">
        <f>SUMIF(物料月初库存!$C$3:$C$303,$B1029,物料月初库存!$F$3:$F$303)</f>
        <v>0</v>
      </c>
      <c r="H1029" s="28">
        <f>SUMIF(半成品入库明细!$D$2:$D$650,$B1029,半成品入库明细!$G$2:$G$650)</f>
        <v>0</v>
      </c>
      <c r="I1029" s="28">
        <f ca="1">SUMIF(半成品出库明细!$D$2:$D$558,$B1029,半成品出库明细!$G$2:$G$2)</f>
        <v>0</v>
      </c>
      <c r="J1029" s="28">
        <f ca="1" t="shared" si="17"/>
        <v>0</v>
      </c>
      <c r="K1029" s="30" t="s">
        <v>146</v>
      </c>
      <c r="L1029" s="19"/>
      <c r="M1029" s="3"/>
    </row>
    <row r="1030" s="1" customFormat="1" spans="1:13">
      <c r="A1030" s="22">
        <v>929</v>
      </c>
      <c r="B1030" s="23" t="s">
        <v>1826</v>
      </c>
      <c r="C1030" s="25" t="s">
        <v>1824</v>
      </c>
      <c r="D1030" s="25" t="s">
        <v>1799</v>
      </c>
      <c r="E1030" s="19" t="s">
        <v>199</v>
      </c>
      <c r="F1030" s="26" t="s">
        <v>197</v>
      </c>
      <c r="G1030" s="27">
        <f>SUMIF(物料月初库存!$C$3:$C$303,$B1030,物料月初库存!$F$3:$F$303)</f>
        <v>0</v>
      </c>
      <c r="H1030" s="28">
        <f>SUMIF(半成品入库明细!$D$2:$D$650,$B1030,半成品入库明细!$G$2:$G$650)</f>
        <v>0</v>
      </c>
      <c r="I1030" s="28">
        <f ca="1">SUMIF(半成品出库明细!$D$2:$D$558,$B1030,半成品出库明细!$G$2:$G$2)</f>
        <v>0</v>
      </c>
      <c r="J1030" s="28">
        <f ca="1" t="shared" si="17"/>
        <v>0</v>
      </c>
      <c r="K1030" s="30" t="s">
        <v>1653</v>
      </c>
      <c r="L1030" s="19"/>
      <c r="M1030" s="3"/>
    </row>
    <row r="1031" s="1" customFormat="1" spans="1:13">
      <c r="A1031" s="22">
        <v>930</v>
      </c>
      <c r="B1031" s="23" t="s">
        <v>1827</v>
      </c>
      <c r="C1031" s="25" t="s">
        <v>1824</v>
      </c>
      <c r="D1031" s="25" t="s">
        <v>1799</v>
      </c>
      <c r="E1031" s="19" t="s">
        <v>443</v>
      </c>
      <c r="F1031" s="26" t="s">
        <v>197</v>
      </c>
      <c r="G1031" s="27">
        <f>SUMIF(物料月初库存!$C$3:$C$303,$B1031,物料月初库存!$F$3:$F$303)</f>
        <v>0</v>
      </c>
      <c r="H1031" s="28">
        <f>SUMIF(半成品入库明细!$D$2:$D$650,$B1031,半成品入库明细!$G$2:$G$650)</f>
        <v>0</v>
      </c>
      <c r="I1031" s="28">
        <f ca="1">SUMIF(半成品出库明细!$D$2:$D$558,$B1031,半成品出库明细!$G$2:$G$2)</f>
        <v>0</v>
      </c>
      <c r="J1031" s="28">
        <f ca="1" t="shared" si="17"/>
        <v>0</v>
      </c>
      <c r="K1031" s="29" t="s">
        <v>1828</v>
      </c>
      <c r="L1031" s="19" t="s">
        <v>202</v>
      </c>
      <c r="M1031" s="3"/>
    </row>
    <row r="1032" s="1" customFormat="1" spans="1:13">
      <c r="A1032" s="22">
        <v>931</v>
      </c>
      <c r="B1032" s="23" t="s">
        <v>1829</v>
      </c>
      <c r="C1032" s="25" t="s">
        <v>1830</v>
      </c>
      <c r="D1032" s="25" t="s">
        <v>1799</v>
      </c>
      <c r="E1032" s="19" t="s">
        <v>76</v>
      </c>
      <c r="F1032" s="26" t="s">
        <v>197</v>
      </c>
      <c r="G1032" s="27">
        <f>SUMIF(物料月初库存!$C$3:$C$303,$B1032,物料月初库存!$F$3:$F$303)</f>
        <v>0</v>
      </c>
      <c r="H1032" s="28">
        <f>SUMIF(半成品入库明细!$D$2:$D$650,$B1032,半成品入库明细!$G$2:$G$650)</f>
        <v>0</v>
      </c>
      <c r="I1032" s="28">
        <f ca="1">SUMIF(半成品出库明细!$D$2:$D$558,$B1032,半成品出库明细!$G$2:$G$2)</f>
        <v>0</v>
      </c>
      <c r="J1032" s="28">
        <f ca="1" t="shared" si="17"/>
        <v>0</v>
      </c>
      <c r="K1032" s="29"/>
      <c r="L1032" s="19"/>
      <c r="M1032" s="3"/>
    </row>
    <row r="1033" s="1" customFormat="1" spans="1:13">
      <c r="A1033" s="22">
        <v>933</v>
      </c>
      <c r="B1033" s="23" t="s">
        <v>1831</v>
      </c>
      <c r="C1033" s="25" t="s">
        <v>1830</v>
      </c>
      <c r="D1033" s="25" t="s">
        <v>1799</v>
      </c>
      <c r="E1033" s="19" t="s">
        <v>267</v>
      </c>
      <c r="F1033" s="26" t="s">
        <v>197</v>
      </c>
      <c r="G1033" s="27">
        <f>SUMIF(物料月初库存!$C$3:$C$303,$B1033,物料月初库存!$F$3:$F$303)</f>
        <v>0</v>
      </c>
      <c r="H1033" s="28">
        <f>SUMIF(半成品入库明细!$D$2:$D$650,$B1033,半成品入库明细!$G$2:$G$650)</f>
        <v>0</v>
      </c>
      <c r="I1033" s="28">
        <f ca="1">SUMIF(半成品出库明细!$D$2:$D$558,$B1033,半成品出库明细!$G$2:$G$2)</f>
        <v>0</v>
      </c>
      <c r="J1033" s="28">
        <f ca="1" t="shared" si="17"/>
        <v>0</v>
      </c>
      <c r="K1033" s="29" t="s">
        <v>333</v>
      </c>
      <c r="L1033" s="19"/>
      <c r="M1033" s="3"/>
    </row>
    <row r="1034" s="1" customFormat="1" spans="1:13">
      <c r="A1034" s="22">
        <v>934</v>
      </c>
      <c r="B1034" s="23" t="s">
        <v>1832</v>
      </c>
      <c r="C1034" s="25" t="s">
        <v>1830</v>
      </c>
      <c r="D1034" s="25" t="s">
        <v>1799</v>
      </c>
      <c r="E1034" s="19" t="s">
        <v>353</v>
      </c>
      <c r="F1034" s="26" t="s">
        <v>197</v>
      </c>
      <c r="G1034" s="27">
        <f>SUMIF(物料月初库存!$C$3:$C$303,$B1034,物料月初库存!$F$3:$F$303)</f>
        <v>0</v>
      </c>
      <c r="H1034" s="28">
        <f>SUMIF(半成品入库明细!$D$2:$D$650,$B1034,半成品入库明细!$G$2:$G$650)</f>
        <v>0</v>
      </c>
      <c r="I1034" s="28">
        <f ca="1">SUMIF(半成品出库明细!$D$2:$D$558,$B1034,半成品出库明细!$G$2:$G$2)</f>
        <v>0</v>
      </c>
      <c r="J1034" s="28">
        <f ca="1" t="shared" si="17"/>
        <v>0</v>
      </c>
      <c r="K1034" s="29" t="s">
        <v>1271</v>
      </c>
      <c r="L1034" s="19"/>
      <c r="M1034" s="3"/>
    </row>
    <row r="1035" s="1" customFormat="1" spans="1:13">
      <c r="A1035" s="22">
        <v>935</v>
      </c>
      <c r="B1035" s="23" t="s">
        <v>1833</v>
      </c>
      <c r="C1035" s="25" t="s">
        <v>1830</v>
      </c>
      <c r="D1035" s="25" t="s">
        <v>1799</v>
      </c>
      <c r="E1035" s="19" t="s">
        <v>443</v>
      </c>
      <c r="F1035" s="26" t="s">
        <v>197</v>
      </c>
      <c r="G1035" s="27">
        <f>SUMIF(物料月初库存!$C$3:$C$303,$B1035,物料月初库存!$F$3:$F$303)</f>
        <v>0</v>
      </c>
      <c r="H1035" s="28">
        <f>SUMIF(半成品入库明细!$D$2:$D$650,$B1035,半成品入库明细!$G$2:$G$650)</f>
        <v>0</v>
      </c>
      <c r="I1035" s="28">
        <f ca="1">SUMIF(半成品出库明细!$D$2:$D$558,$B1035,半成品出库明细!$G$2:$G$2)</f>
        <v>0</v>
      </c>
      <c r="J1035" s="28">
        <f ca="1">G1035+H1035-I1035</f>
        <v>0</v>
      </c>
      <c r="K1035" s="29" t="s">
        <v>1828</v>
      </c>
      <c r="L1035" s="19"/>
      <c r="M1035" s="3"/>
    </row>
    <row r="1036" s="5" customFormat="1" spans="1:13">
      <c r="A1036" s="22">
        <v>936</v>
      </c>
      <c r="B1036" s="36" t="s">
        <v>1834</v>
      </c>
      <c r="C1036" s="33" t="s">
        <v>1830</v>
      </c>
      <c r="D1036" s="33" t="s">
        <v>1799</v>
      </c>
      <c r="E1036" s="37" t="s">
        <v>270</v>
      </c>
      <c r="F1036" s="38" t="s">
        <v>197</v>
      </c>
      <c r="G1036" s="39">
        <f>SUMIF(物料月初库存!$C$3:$C$303,$B1036,物料月初库存!$F$3:$F$303)</f>
        <v>0</v>
      </c>
      <c r="H1036" s="40">
        <f>SUMIF(半成品入库明细!$D$2:$D$650,$B1036,半成品入库明细!$G$2:$G$650)</f>
        <v>0</v>
      </c>
      <c r="I1036" s="40">
        <f ca="1">SUMIF(半成品出库明细!$D$2:$D$558,$B1036,半成品出库明细!$G$2:$G$2)</f>
        <v>0</v>
      </c>
      <c r="J1036" s="40">
        <f ca="1" t="shared" ref="J1036:J1099" si="18">G1036+H1036-I1036</f>
        <v>0</v>
      </c>
      <c r="K1036" s="29" t="s">
        <v>180</v>
      </c>
      <c r="L1036" s="19" t="s">
        <v>202</v>
      </c>
      <c r="M1036" s="129"/>
    </row>
    <row r="1037" s="1" customFormat="1" spans="1:13">
      <c r="A1037" s="22">
        <v>937</v>
      </c>
      <c r="B1037" s="23" t="s">
        <v>1835</v>
      </c>
      <c r="C1037" s="130" t="s">
        <v>1836</v>
      </c>
      <c r="D1037" s="25" t="s">
        <v>1799</v>
      </c>
      <c r="E1037" s="19" t="s">
        <v>76</v>
      </c>
      <c r="F1037" s="26" t="s">
        <v>197</v>
      </c>
      <c r="G1037" s="27">
        <f>SUMIF(物料月初库存!$C$3:$C$303,$B1037,物料月初库存!$F$3:$F$303)</f>
        <v>0</v>
      </c>
      <c r="H1037" s="28">
        <f>SUMIF(半成品入库明细!$D$2:$D$650,$B1037,半成品入库明细!$G$2:$G$650)</f>
        <v>0</v>
      </c>
      <c r="I1037" s="28">
        <f ca="1">SUMIF(半成品出库明细!$D$2:$D$558,$B1037,半成品出库明细!$G$2:$G$2)</f>
        <v>0</v>
      </c>
      <c r="J1037" s="28">
        <f ca="1" t="shared" si="18"/>
        <v>0</v>
      </c>
      <c r="K1037" s="29">
        <v>1</v>
      </c>
      <c r="L1037" s="19"/>
      <c r="M1037" s="3"/>
    </row>
    <row r="1038" s="1" customFormat="1" spans="1:13">
      <c r="A1038" s="22">
        <v>938</v>
      </c>
      <c r="B1038" s="23" t="s">
        <v>1837</v>
      </c>
      <c r="C1038" s="130" t="s">
        <v>1836</v>
      </c>
      <c r="D1038" s="25" t="s">
        <v>1799</v>
      </c>
      <c r="E1038" s="19" t="s">
        <v>353</v>
      </c>
      <c r="F1038" s="26" t="s">
        <v>197</v>
      </c>
      <c r="G1038" s="27">
        <f>SUMIF(物料月初库存!$C$3:$C$303,$B1038,物料月初库存!$F$3:$F$303)</f>
        <v>0</v>
      </c>
      <c r="H1038" s="28">
        <f>SUMIF(半成品入库明细!$D$2:$D$650,$B1038,半成品入库明细!$G$2:$G$650)</f>
        <v>0</v>
      </c>
      <c r="I1038" s="28">
        <f ca="1">SUMIF(半成品出库明细!$D$2:$D$558,$B1038,半成品出库明细!$G$2:$G$2)</f>
        <v>0</v>
      </c>
      <c r="J1038" s="28">
        <f ca="1" t="shared" si="18"/>
        <v>0</v>
      </c>
      <c r="K1038" s="29" t="s">
        <v>1838</v>
      </c>
      <c r="L1038" s="19"/>
      <c r="M1038" s="3"/>
    </row>
    <row r="1039" s="1" customFormat="1" spans="1:13">
      <c r="A1039" s="22">
        <v>939</v>
      </c>
      <c r="B1039" s="23" t="s">
        <v>1839</v>
      </c>
      <c r="C1039" s="130" t="s">
        <v>1836</v>
      </c>
      <c r="D1039" s="25" t="s">
        <v>1799</v>
      </c>
      <c r="E1039" s="19" t="s">
        <v>267</v>
      </c>
      <c r="F1039" s="26" t="s">
        <v>197</v>
      </c>
      <c r="G1039" s="27">
        <f>SUMIF(物料月初库存!$C$3:$C$303,$B1039,物料月初库存!$F$3:$F$303)</f>
        <v>0</v>
      </c>
      <c r="H1039" s="28">
        <f>SUMIF(半成品入库明细!$D$2:$D$650,$B1039,半成品入库明细!$G$2:$G$650)</f>
        <v>0</v>
      </c>
      <c r="I1039" s="28">
        <f ca="1">SUMIF(半成品出库明细!$D$2:$D$558,$B1039,半成品出库明细!$G$2:$G$2)</f>
        <v>0</v>
      </c>
      <c r="J1039" s="28">
        <f ca="1" t="shared" si="18"/>
        <v>0</v>
      </c>
      <c r="K1039" s="30" t="s">
        <v>146</v>
      </c>
      <c r="L1039" s="19"/>
      <c r="M1039" s="3"/>
    </row>
    <row r="1040" s="1" customFormat="1" spans="1:13">
      <c r="A1040" s="22">
        <v>940</v>
      </c>
      <c r="B1040" s="23" t="s">
        <v>1840</v>
      </c>
      <c r="C1040" s="130" t="s">
        <v>1836</v>
      </c>
      <c r="D1040" s="25" t="s">
        <v>1799</v>
      </c>
      <c r="E1040" s="19" t="s">
        <v>733</v>
      </c>
      <c r="F1040" s="26" t="s">
        <v>197</v>
      </c>
      <c r="G1040" s="27">
        <f>SUMIF(物料月初库存!$C$3:$C$303,$B1040,物料月初库存!$F$3:$F$303)</f>
        <v>0</v>
      </c>
      <c r="H1040" s="28">
        <f>SUMIF(半成品入库明细!$D$2:$D$650,$B1040,半成品入库明细!$G$2:$G$650)</f>
        <v>0</v>
      </c>
      <c r="I1040" s="28">
        <f ca="1">SUMIF(半成品出库明细!$D$2:$D$558,$B1040,半成品出库明细!$G$2:$G$2)</f>
        <v>0</v>
      </c>
      <c r="J1040" s="28">
        <f ca="1" t="shared" si="18"/>
        <v>0</v>
      </c>
      <c r="K1040" s="30" t="s">
        <v>1841</v>
      </c>
      <c r="L1040" s="19" t="s">
        <v>1841</v>
      </c>
      <c r="M1040" s="3"/>
    </row>
    <row r="1041" s="1" customFormat="1" spans="1:13">
      <c r="A1041" s="22">
        <v>941</v>
      </c>
      <c r="B1041" s="23" t="s">
        <v>1842</v>
      </c>
      <c r="C1041" s="130" t="s">
        <v>1836</v>
      </c>
      <c r="D1041" s="25" t="s">
        <v>1799</v>
      </c>
      <c r="E1041" s="19" t="s">
        <v>443</v>
      </c>
      <c r="F1041" s="26" t="s">
        <v>197</v>
      </c>
      <c r="G1041" s="27">
        <f>SUMIF(物料月初库存!$C$3:$C$303,$B1041,物料月初库存!$F$3:$F$303)</f>
        <v>0</v>
      </c>
      <c r="H1041" s="28">
        <f>SUMIF(半成品入库明细!$D$2:$D$650,$B1041,半成品入库明细!$G$2:$G$650)</f>
        <v>0</v>
      </c>
      <c r="I1041" s="28">
        <f ca="1">SUMIF(半成品出库明细!$D$2:$D$558,$B1041,半成品出库明细!$G$2:$G$2)</f>
        <v>0</v>
      </c>
      <c r="J1041" s="28">
        <f ca="1" t="shared" si="18"/>
        <v>0</v>
      </c>
      <c r="K1041" s="29" t="s">
        <v>1828</v>
      </c>
      <c r="L1041" s="19" t="s">
        <v>202</v>
      </c>
      <c r="M1041" s="3"/>
    </row>
    <row r="1042" s="1" customFormat="1" spans="1:13">
      <c r="A1042" s="22">
        <v>942</v>
      </c>
      <c r="B1042" s="23" t="s">
        <v>1843</v>
      </c>
      <c r="C1042" s="25" t="s">
        <v>1844</v>
      </c>
      <c r="D1042" s="25" t="s">
        <v>1799</v>
      </c>
      <c r="E1042" s="19" t="s">
        <v>76</v>
      </c>
      <c r="F1042" s="26" t="s">
        <v>197</v>
      </c>
      <c r="G1042" s="27">
        <f>SUMIF(物料月初库存!$C$3:$C$303,$B1042,物料月初库存!$F$3:$F$303)</f>
        <v>0</v>
      </c>
      <c r="H1042" s="28">
        <f>SUMIF(半成品入库明细!$D$2:$D$650,$B1042,半成品入库明细!$G$2:$G$650)</f>
        <v>0</v>
      </c>
      <c r="I1042" s="28">
        <f ca="1">SUMIF(半成品出库明细!$D$2:$D$558,$B1042,半成品出库明细!$G$2:$G$2)</f>
        <v>0</v>
      </c>
      <c r="J1042" s="28">
        <f ca="1" t="shared" si="18"/>
        <v>0</v>
      </c>
      <c r="K1042" s="29"/>
      <c r="L1042" s="19"/>
      <c r="M1042" s="3"/>
    </row>
    <row r="1043" s="1" customFormat="1" spans="1:13">
      <c r="A1043" s="22">
        <v>943</v>
      </c>
      <c r="B1043" s="23" t="s">
        <v>1845</v>
      </c>
      <c r="C1043" s="25" t="s">
        <v>1844</v>
      </c>
      <c r="D1043" s="25" t="s">
        <v>1799</v>
      </c>
      <c r="E1043" s="19" t="s">
        <v>267</v>
      </c>
      <c r="F1043" s="26" t="s">
        <v>197</v>
      </c>
      <c r="G1043" s="27">
        <f>SUMIF(物料月初库存!$C$3:$C$303,$B1043,物料月初库存!$F$3:$F$303)</f>
        <v>0</v>
      </c>
      <c r="H1043" s="28">
        <f>SUMIF(半成品入库明细!$D$2:$D$650,$B1043,半成品入库明细!$G$2:$G$650)</f>
        <v>0</v>
      </c>
      <c r="I1043" s="28">
        <f ca="1">SUMIF(半成品出库明细!$D$2:$D$558,$B1043,半成品出库明细!$G$2:$G$2)</f>
        <v>0</v>
      </c>
      <c r="J1043" s="28">
        <f ca="1" t="shared" si="18"/>
        <v>0</v>
      </c>
      <c r="K1043" s="30" t="s">
        <v>1805</v>
      </c>
      <c r="L1043" s="19"/>
      <c r="M1043" s="3"/>
    </row>
    <row r="1044" s="1" customFormat="1" spans="1:13">
      <c r="A1044" s="22">
        <v>944</v>
      </c>
      <c r="B1044" s="23" t="s">
        <v>1846</v>
      </c>
      <c r="C1044" s="25" t="s">
        <v>1844</v>
      </c>
      <c r="D1044" s="25" t="s">
        <v>1799</v>
      </c>
      <c r="E1044" s="19" t="s">
        <v>316</v>
      </c>
      <c r="F1044" s="26" t="s">
        <v>197</v>
      </c>
      <c r="G1044" s="27">
        <f>SUMIF(物料月初库存!$C$3:$C$303,$B1044,物料月初库存!$F$3:$F$303)</f>
        <v>0</v>
      </c>
      <c r="H1044" s="28">
        <f>SUMIF(半成品入库明细!$D$2:$D$650,$B1044,半成品入库明细!$G$2:$G$650)</f>
        <v>0</v>
      </c>
      <c r="I1044" s="28">
        <f ca="1">SUMIF(半成品出库明细!$D$2:$D$558,$B1044,半成品出库明细!$G$2:$G$2)</f>
        <v>0</v>
      </c>
      <c r="J1044" s="28">
        <f ca="1" t="shared" si="18"/>
        <v>0</v>
      </c>
      <c r="K1044" s="30" t="s">
        <v>1847</v>
      </c>
      <c r="L1044" s="19"/>
      <c r="M1044" s="3"/>
    </row>
    <row r="1045" s="1" customFormat="1" spans="1:13">
      <c r="A1045" s="22">
        <v>945</v>
      </c>
      <c r="B1045" s="23" t="s">
        <v>1848</v>
      </c>
      <c r="C1045" s="25" t="s">
        <v>1849</v>
      </c>
      <c r="D1045" s="25" t="s">
        <v>1799</v>
      </c>
      <c r="E1045" s="19" t="s">
        <v>76</v>
      </c>
      <c r="F1045" s="26" t="s">
        <v>197</v>
      </c>
      <c r="G1045" s="27">
        <f>SUMIF(物料月初库存!$C$3:$C$303,$B1045,物料月初库存!$F$3:$F$303)</f>
        <v>0</v>
      </c>
      <c r="H1045" s="28">
        <f>SUMIF(半成品入库明细!$D$2:$D$650,$B1045,半成品入库明细!$G$2:$G$650)</f>
        <v>0</v>
      </c>
      <c r="I1045" s="28">
        <f ca="1">SUMIF(半成品出库明细!$D$2:$D$558,$B1045,半成品出库明细!$G$2:$G$2)</f>
        <v>0</v>
      </c>
      <c r="J1045" s="28">
        <f ca="1" t="shared" si="18"/>
        <v>0</v>
      </c>
      <c r="K1045" s="29"/>
      <c r="L1045" s="19"/>
      <c r="M1045" s="3"/>
    </row>
    <row r="1046" s="1" customFormat="1" spans="1:13">
      <c r="A1046" s="22">
        <v>946</v>
      </c>
      <c r="B1046" s="23" t="s">
        <v>1850</v>
      </c>
      <c r="C1046" s="25" t="s">
        <v>1849</v>
      </c>
      <c r="D1046" s="25" t="s">
        <v>1799</v>
      </c>
      <c r="E1046" s="19" t="s">
        <v>267</v>
      </c>
      <c r="F1046" s="26" t="s">
        <v>197</v>
      </c>
      <c r="G1046" s="27">
        <f>SUMIF(物料月初库存!$C$3:$C$303,$B1046,物料月初库存!$F$3:$F$303)</f>
        <v>0</v>
      </c>
      <c r="H1046" s="28">
        <f>SUMIF(半成品入库明细!$D$2:$D$650,$B1046,半成品入库明细!$G$2:$G$650)</f>
        <v>0</v>
      </c>
      <c r="I1046" s="28">
        <f ca="1">SUMIF(半成品出库明细!$D$2:$D$558,$B1046,半成品出库明细!$G$2:$G$2)</f>
        <v>0</v>
      </c>
      <c r="J1046" s="28">
        <f ca="1" t="shared" si="18"/>
        <v>0</v>
      </c>
      <c r="K1046" s="29" t="s">
        <v>495</v>
      </c>
      <c r="L1046" s="19"/>
      <c r="M1046" s="3"/>
    </row>
    <row r="1047" s="1" customFormat="1" spans="1:13">
      <c r="A1047" s="22">
        <v>947</v>
      </c>
      <c r="B1047" s="23" t="s">
        <v>1851</v>
      </c>
      <c r="C1047" s="25" t="s">
        <v>1849</v>
      </c>
      <c r="D1047" s="25" t="s">
        <v>1799</v>
      </c>
      <c r="E1047" s="19" t="s">
        <v>199</v>
      </c>
      <c r="F1047" s="26" t="s">
        <v>197</v>
      </c>
      <c r="G1047" s="27">
        <f>SUMIF(物料月初库存!$C$3:$C$303,$B1047,物料月初库存!$F$3:$F$303)</f>
        <v>0</v>
      </c>
      <c r="H1047" s="28">
        <f>SUMIF(半成品入库明细!$D$2:$D$650,$B1047,半成品入库明细!$G$2:$G$650)</f>
        <v>0</v>
      </c>
      <c r="I1047" s="28">
        <f ca="1">SUMIF(半成品出库明细!$D$2:$D$558,$B1047,半成品出库明细!$G$2:$G$2)</f>
        <v>0</v>
      </c>
      <c r="J1047" s="28">
        <f ca="1" t="shared" si="18"/>
        <v>0</v>
      </c>
      <c r="K1047" s="29" t="s">
        <v>1852</v>
      </c>
      <c r="L1047" s="19" t="s">
        <v>202</v>
      </c>
      <c r="M1047" s="3"/>
    </row>
    <row r="1048" s="1" customFormat="1" spans="1:13">
      <c r="A1048" s="22">
        <v>948</v>
      </c>
      <c r="B1048" s="23" t="s">
        <v>1853</v>
      </c>
      <c r="C1048" s="25" t="s">
        <v>1854</v>
      </c>
      <c r="D1048" s="25" t="s">
        <v>1799</v>
      </c>
      <c r="E1048" s="19" t="s">
        <v>76</v>
      </c>
      <c r="F1048" s="26" t="s">
        <v>197</v>
      </c>
      <c r="G1048" s="27">
        <f>SUMIF(物料月初库存!$C$3:$C$303,$B1048,物料月初库存!$F$3:$F$303)</f>
        <v>0</v>
      </c>
      <c r="H1048" s="28">
        <f>SUMIF(半成品入库明细!$D$2:$D$650,$B1048,半成品入库明细!$G$2:$G$650)</f>
        <v>0</v>
      </c>
      <c r="I1048" s="28">
        <f ca="1">SUMIF(半成品出库明细!$D$2:$D$558,$B1048,半成品出库明细!$G$2:$G$2)</f>
        <v>0</v>
      </c>
      <c r="J1048" s="28">
        <f ca="1" t="shared" si="18"/>
        <v>0</v>
      </c>
      <c r="K1048" s="29"/>
      <c r="L1048" s="19"/>
      <c r="M1048" s="3"/>
    </row>
    <row r="1049" s="1" customFormat="1" spans="1:13">
      <c r="A1049" s="22">
        <v>949</v>
      </c>
      <c r="B1049" s="23" t="s">
        <v>1855</v>
      </c>
      <c r="C1049" s="25" t="s">
        <v>1854</v>
      </c>
      <c r="D1049" s="25" t="s">
        <v>1799</v>
      </c>
      <c r="E1049" s="19" t="s">
        <v>199</v>
      </c>
      <c r="F1049" s="26" t="s">
        <v>197</v>
      </c>
      <c r="G1049" s="27">
        <f>SUMIF(物料月初库存!$C$3:$C$303,$B1049,物料月初库存!$F$3:$F$303)</f>
        <v>0</v>
      </c>
      <c r="H1049" s="28">
        <f>SUMIF(半成品入库明细!$D$2:$D$650,$B1049,半成品入库明细!$G$2:$G$650)</f>
        <v>0</v>
      </c>
      <c r="I1049" s="28">
        <f ca="1">SUMIF(半成品出库明细!$D$2:$D$558,$B1049,半成品出库明细!$G$2:$G$2)</f>
        <v>0</v>
      </c>
      <c r="J1049" s="28">
        <f ca="1" t="shared" si="18"/>
        <v>0</v>
      </c>
      <c r="K1049" s="29" t="s">
        <v>1856</v>
      </c>
      <c r="L1049" s="19" t="s">
        <v>202</v>
      </c>
      <c r="M1049" s="3"/>
    </row>
    <row r="1050" s="1" customFormat="1" spans="1:13">
      <c r="A1050" s="22">
        <v>950</v>
      </c>
      <c r="B1050" s="23" t="s">
        <v>1857</v>
      </c>
      <c r="C1050" s="25" t="s">
        <v>1858</v>
      </c>
      <c r="D1050" s="25" t="s">
        <v>1799</v>
      </c>
      <c r="E1050" s="19" t="s">
        <v>76</v>
      </c>
      <c r="F1050" s="26" t="s">
        <v>197</v>
      </c>
      <c r="G1050" s="27">
        <f>SUMIF(物料月初库存!$C$3:$C$303,$B1050,物料月初库存!$F$3:$F$303)</f>
        <v>0</v>
      </c>
      <c r="H1050" s="28">
        <f>SUMIF(半成品入库明细!$D$2:$D$650,$B1050,半成品入库明细!$G$2:$G$650)</f>
        <v>0</v>
      </c>
      <c r="I1050" s="28">
        <f ca="1">SUMIF(半成品出库明细!$D$2:$D$558,$B1050,半成品出库明细!$G$2:$G$2)</f>
        <v>0</v>
      </c>
      <c r="J1050" s="28">
        <f ca="1" t="shared" si="18"/>
        <v>0</v>
      </c>
      <c r="K1050" s="29"/>
      <c r="L1050" s="19"/>
      <c r="M1050" s="3"/>
    </row>
    <row r="1051" s="1" customFormat="1" spans="1:13">
      <c r="A1051" s="22">
        <v>951</v>
      </c>
      <c r="B1051" s="23" t="s">
        <v>1859</v>
      </c>
      <c r="C1051" s="25" t="s">
        <v>1858</v>
      </c>
      <c r="D1051" s="25" t="s">
        <v>1799</v>
      </c>
      <c r="E1051" s="19" t="s">
        <v>316</v>
      </c>
      <c r="F1051" s="26" t="s">
        <v>197</v>
      </c>
      <c r="G1051" s="27">
        <f>SUMIF(物料月初库存!$C$3:$C$303,$B1051,物料月初库存!$F$3:$F$303)</f>
        <v>0</v>
      </c>
      <c r="H1051" s="28">
        <f>SUMIF(半成品入库明细!$D$2:$D$650,$B1051,半成品入库明细!$G$2:$G$650)</f>
        <v>0</v>
      </c>
      <c r="I1051" s="28">
        <f ca="1">SUMIF(半成品出库明细!$D$2:$D$558,$B1051,半成品出库明细!$G$2:$G$2)</f>
        <v>0</v>
      </c>
      <c r="J1051" s="28">
        <f ca="1" t="shared" si="18"/>
        <v>0</v>
      </c>
      <c r="K1051" s="29" t="s">
        <v>1860</v>
      </c>
      <c r="L1051" s="19"/>
      <c r="M1051" s="3"/>
    </row>
    <row r="1052" s="1" customFormat="1" spans="1:13">
      <c r="A1052" s="22">
        <v>952</v>
      </c>
      <c r="B1052" s="23" t="s">
        <v>1861</v>
      </c>
      <c r="C1052" s="25" t="s">
        <v>1858</v>
      </c>
      <c r="D1052" s="25" t="s">
        <v>1799</v>
      </c>
      <c r="E1052" s="19" t="s">
        <v>199</v>
      </c>
      <c r="F1052" s="26" t="s">
        <v>197</v>
      </c>
      <c r="G1052" s="27">
        <f>SUMIF(物料月初库存!$C$3:$C$303,$B1052,物料月初库存!$F$3:$F$303)</f>
        <v>0</v>
      </c>
      <c r="H1052" s="28">
        <f>SUMIF(半成品入库明细!$D$2:$D$650,$B1052,半成品入库明细!$G$2:$G$650)</f>
        <v>0</v>
      </c>
      <c r="I1052" s="28">
        <f ca="1">SUMIF(半成品出库明细!$D$2:$D$558,$B1052,半成品出库明细!$G$2:$G$2)</f>
        <v>0</v>
      </c>
      <c r="J1052" s="28">
        <f ca="1" t="shared" si="18"/>
        <v>0</v>
      </c>
      <c r="K1052" s="29" t="s">
        <v>1653</v>
      </c>
      <c r="L1052" s="19"/>
      <c r="M1052" s="3"/>
    </row>
    <row r="1053" s="1" customFormat="1" spans="1:13">
      <c r="A1053" s="22">
        <v>953</v>
      </c>
      <c r="B1053" s="23" t="s">
        <v>1862</v>
      </c>
      <c r="C1053" s="25" t="s">
        <v>1858</v>
      </c>
      <c r="D1053" s="25" t="s">
        <v>1799</v>
      </c>
      <c r="E1053" s="19" t="s">
        <v>256</v>
      </c>
      <c r="F1053" s="26" t="s">
        <v>197</v>
      </c>
      <c r="G1053" s="27">
        <f>SUMIF(物料月初库存!$C$3:$C$303,$B1053,物料月初库存!$F$3:$F$303)</f>
        <v>0</v>
      </c>
      <c r="H1053" s="28">
        <f>SUMIF(半成品入库明细!$D$2:$D$650,$B1053,半成品入库明细!$G$2:$G$650)</f>
        <v>0</v>
      </c>
      <c r="I1053" s="28">
        <f ca="1">SUMIF(半成品出库明细!$D$2:$D$558,$B1053,半成品出库明细!$G$2:$G$2)</f>
        <v>0</v>
      </c>
      <c r="J1053" s="28">
        <f ca="1" t="shared" si="18"/>
        <v>0</v>
      </c>
      <c r="K1053" s="29" t="s">
        <v>654</v>
      </c>
      <c r="L1053" s="19" t="s">
        <v>202</v>
      </c>
      <c r="M1053" s="3"/>
    </row>
    <row r="1054" s="1" customFormat="1" spans="1:13">
      <c r="A1054" s="22">
        <v>954</v>
      </c>
      <c r="B1054" s="23" t="s">
        <v>1863</v>
      </c>
      <c r="C1054" s="25" t="s">
        <v>1864</v>
      </c>
      <c r="D1054" s="25" t="s">
        <v>1799</v>
      </c>
      <c r="E1054" s="19" t="s">
        <v>76</v>
      </c>
      <c r="F1054" s="26" t="s">
        <v>197</v>
      </c>
      <c r="G1054" s="27">
        <f>SUMIF(物料月初库存!$C$3:$C$303,$B1054,物料月初库存!$F$3:$F$303)</f>
        <v>0</v>
      </c>
      <c r="H1054" s="28">
        <f>SUMIF(半成品入库明细!$D$2:$D$650,$B1054,半成品入库明细!$G$2:$G$650)</f>
        <v>0</v>
      </c>
      <c r="I1054" s="28">
        <f ca="1">SUMIF(半成品出库明细!$D$2:$D$558,$B1054,半成品出库明细!$G$2:$G$2)</f>
        <v>0</v>
      </c>
      <c r="J1054" s="28">
        <f ca="1" t="shared" si="18"/>
        <v>0</v>
      </c>
      <c r="K1054" s="29"/>
      <c r="L1054" s="19"/>
      <c r="M1054" s="3"/>
    </row>
    <row r="1055" s="1" customFormat="1" spans="1:13">
      <c r="A1055" s="22">
        <v>955</v>
      </c>
      <c r="B1055" s="23" t="s">
        <v>1865</v>
      </c>
      <c r="C1055" s="25" t="s">
        <v>1864</v>
      </c>
      <c r="D1055" s="25" t="s">
        <v>1799</v>
      </c>
      <c r="E1055" s="19" t="s">
        <v>267</v>
      </c>
      <c r="F1055" s="26" t="s">
        <v>197</v>
      </c>
      <c r="G1055" s="27">
        <f>SUMIF(物料月初库存!$C$3:$C$303,$B1055,物料月初库存!$F$3:$F$303)</f>
        <v>0</v>
      </c>
      <c r="H1055" s="28">
        <f>SUMIF(半成品入库明细!$D$2:$D$650,$B1055,半成品入库明细!$G$2:$G$650)</f>
        <v>0</v>
      </c>
      <c r="I1055" s="28">
        <f ca="1">SUMIF(半成品出库明细!$D$2:$D$558,$B1055,半成品出库明细!$G$2:$G$2)</f>
        <v>0</v>
      </c>
      <c r="J1055" s="28">
        <f ca="1" t="shared" si="18"/>
        <v>0</v>
      </c>
      <c r="K1055" s="29"/>
      <c r="L1055" s="19"/>
      <c r="M1055" s="3"/>
    </row>
    <row r="1056" s="1" customFormat="1" spans="1:13">
      <c r="A1056" s="22">
        <v>956</v>
      </c>
      <c r="B1056" s="23" t="s">
        <v>1866</v>
      </c>
      <c r="C1056" s="25" t="s">
        <v>1864</v>
      </c>
      <c r="D1056" s="25" t="s">
        <v>1799</v>
      </c>
      <c r="E1056" s="19" t="s">
        <v>316</v>
      </c>
      <c r="F1056" s="26" t="s">
        <v>197</v>
      </c>
      <c r="G1056" s="27">
        <f>SUMIF(物料月初库存!$C$3:$C$303,$B1056,物料月初库存!$F$3:$F$303)</f>
        <v>0</v>
      </c>
      <c r="H1056" s="28">
        <f>SUMIF(半成品入库明细!$D$2:$D$650,$B1056,半成品入库明细!$G$2:$G$650)</f>
        <v>0</v>
      </c>
      <c r="I1056" s="28">
        <f ca="1">SUMIF(半成品出库明细!$D$2:$D$558,$B1056,半成品出库明细!$G$2:$G$2)</f>
        <v>0</v>
      </c>
      <c r="J1056" s="28">
        <f ca="1" t="shared" si="18"/>
        <v>0</v>
      </c>
      <c r="K1056" s="29"/>
      <c r="L1056" s="19"/>
      <c r="M1056" s="3"/>
    </row>
    <row r="1057" s="1" customFormat="1" spans="1:13">
      <c r="A1057" s="22">
        <v>957</v>
      </c>
      <c r="B1057" s="23" t="s">
        <v>1867</v>
      </c>
      <c r="C1057" s="25" t="s">
        <v>1868</v>
      </c>
      <c r="D1057" s="25" t="s">
        <v>1799</v>
      </c>
      <c r="E1057" s="19" t="s">
        <v>76</v>
      </c>
      <c r="F1057" s="26" t="s">
        <v>197</v>
      </c>
      <c r="G1057" s="27">
        <f>SUMIF(物料月初库存!$C$3:$C$303,$B1057,物料月初库存!$F$3:$F$303)</f>
        <v>0</v>
      </c>
      <c r="H1057" s="28">
        <f>SUMIF(半成品入库明细!$D$2:$D$650,$B1057,半成品入库明细!$G$2:$G$650)</f>
        <v>0</v>
      </c>
      <c r="I1057" s="28">
        <f ca="1">SUMIF(半成品出库明细!$D$2:$D$558,$B1057,半成品出库明细!$G$2:$G$2)</f>
        <v>0</v>
      </c>
      <c r="J1057" s="28">
        <f ca="1" t="shared" si="18"/>
        <v>0</v>
      </c>
      <c r="K1057" s="29"/>
      <c r="L1057" s="19"/>
      <c r="M1057" s="3"/>
    </row>
    <row r="1058" s="1" customFormat="1" spans="1:13">
      <c r="A1058" s="22">
        <v>958</v>
      </c>
      <c r="B1058" s="23" t="s">
        <v>1869</v>
      </c>
      <c r="C1058" s="25" t="s">
        <v>1868</v>
      </c>
      <c r="D1058" s="25" t="s">
        <v>1799</v>
      </c>
      <c r="E1058" s="19" t="s">
        <v>316</v>
      </c>
      <c r="F1058" s="26" t="s">
        <v>197</v>
      </c>
      <c r="G1058" s="27">
        <f>SUMIF(物料月初库存!$C$3:$C$303,$B1058,物料月初库存!$F$3:$F$303)</f>
        <v>0</v>
      </c>
      <c r="H1058" s="28">
        <f>SUMIF(半成品入库明细!$D$2:$D$650,$B1058,半成品入库明细!$G$2:$G$650)</f>
        <v>0</v>
      </c>
      <c r="I1058" s="28">
        <f ca="1">SUMIF(半成品出库明细!$D$2:$D$558,$B1058,半成品出库明细!$G$2:$G$2)</f>
        <v>0</v>
      </c>
      <c r="J1058" s="28">
        <f ca="1" t="shared" si="18"/>
        <v>0</v>
      </c>
      <c r="K1058" s="29"/>
      <c r="L1058" s="19"/>
      <c r="M1058" s="3"/>
    </row>
    <row r="1059" s="1" customFormat="1" spans="1:13">
      <c r="A1059" s="22">
        <v>959</v>
      </c>
      <c r="B1059" s="23" t="s">
        <v>1870</v>
      </c>
      <c r="C1059" s="25" t="s">
        <v>1868</v>
      </c>
      <c r="D1059" s="25" t="s">
        <v>1799</v>
      </c>
      <c r="E1059" s="19" t="s">
        <v>235</v>
      </c>
      <c r="F1059" s="26" t="s">
        <v>197</v>
      </c>
      <c r="G1059" s="27">
        <f>SUMIF(物料月初库存!$C$3:$C$303,$B1059,物料月初库存!$F$3:$F$303)</f>
        <v>0</v>
      </c>
      <c r="H1059" s="28">
        <f>SUMIF(半成品入库明细!$D$2:$D$650,$B1059,半成品入库明细!$G$2:$G$650)</f>
        <v>0</v>
      </c>
      <c r="I1059" s="28">
        <f ca="1">SUMIF(半成品出库明细!$D$2:$D$558,$B1059,半成品出库明细!$G$2:$G$2)</f>
        <v>0</v>
      </c>
      <c r="J1059" s="28">
        <f ca="1" t="shared" si="18"/>
        <v>0</v>
      </c>
      <c r="K1059" s="29"/>
      <c r="L1059" s="19"/>
      <c r="M1059" s="3"/>
    </row>
    <row r="1060" s="1" customFormat="1" spans="1:13">
      <c r="A1060" s="22">
        <v>960</v>
      </c>
      <c r="B1060" s="23" t="s">
        <v>1871</v>
      </c>
      <c r="C1060" s="25" t="s">
        <v>1868</v>
      </c>
      <c r="D1060" s="25" t="s">
        <v>1799</v>
      </c>
      <c r="E1060" s="19" t="s">
        <v>256</v>
      </c>
      <c r="F1060" s="26" t="s">
        <v>197</v>
      </c>
      <c r="G1060" s="27">
        <f>SUMIF(物料月初库存!$C$3:$C$303,$B1060,物料月初库存!$F$3:$F$303)</f>
        <v>0</v>
      </c>
      <c r="H1060" s="28">
        <f>SUMIF(半成品入库明细!$D$2:$D$650,$B1060,半成品入库明细!$G$2:$G$650)</f>
        <v>0</v>
      </c>
      <c r="I1060" s="28">
        <f ca="1">SUMIF(半成品出库明细!$D$2:$D$558,$B1060,半成品出库明细!$G$2:$G$2)</f>
        <v>0</v>
      </c>
      <c r="J1060" s="28">
        <f ca="1" t="shared" si="18"/>
        <v>0</v>
      </c>
      <c r="K1060" s="29"/>
      <c r="L1060" s="19"/>
      <c r="M1060" s="3"/>
    </row>
    <row r="1061" s="1" customFormat="1" spans="1:13">
      <c r="A1061" s="22">
        <v>961</v>
      </c>
      <c r="B1061" s="23" t="s">
        <v>1872</v>
      </c>
      <c r="C1061" s="25" t="s">
        <v>1873</v>
      </c>
      <c r="D1061" s="25" t="s">
        <v>1799</v>
      </c>
      <c r="E1061" s="19" t="s">
        <v>76</v>
      </c>
      <c r="F1061" s="26" t="s">
        <v>197</v>
      </c>
      <c r="G1061" s="27">
        <f>SUMIF(物料月初库存!$C$3:$C$303,$B1061,物料月初库存!$F$3:$F$303)</f>
        <v>0</v>
      </c>
      <c r="H1061" s="28">
        <f>SUMIF(半成品入库明细!$D$2:$D$650,$B1061,半成品入库明细!$G$2:$G$650)</f>
        <v>0</v>
      </c>
      <c r="I1061" s="28">
        <f ca="1">SUMIF(半成品出库明细!$D$2:$D$558,$B1061,半成品出库明细!$G$2:$G$2)</f>
        <v>0</v>
      </c>
      <c r="J1061" s="28">
        <f ca="1" t="shared" si="18"/>
        <v>0</v>
      </c>
      <c r="K1061" s="29"/>
      <c r="L1061" s="19"/>
      <c r="M1061" s="3"/>
    </row>
    <row r="1062" s="1" customFormat="1" spans="1:13">
      <c r="A1062" s="22">
        <v>962</v>
      </c>
      <c r="B1062" s="23" t="s">
        <v>1874</v>
      </c>
      <c r="C1062" s="25" t="s">
        <v>1873</v>
      </c>
      <c r="D1062" s="25" t="s">
        <v>1799</v>
      </c>
      <c r="E1062" s="19" t="s">
        <v>225</v>
      </c>
      <c r="F1062" s="26" t="s">
        <v>197</v>
      </c>
      <c r="G1062" s="27">
        <f>SUMIF(物料月初库存!$C$3:$C$303,$B1062,物料月初库存!$F$3:$F$303)</f>
        <v>0</v>
      </c>
      <c r="H1062" s="28">
        <f>SUMIF(半成品入库明细!$D$2:$D$650,$B1062,半成品入库明细!$G$2:$G$650)</f>
        <v>0</v>
      </c>
      <c r="I1062" s="28">
        <f ca="1">SUMIF(半成品出库明细!$D$2:$D$558,$B1062,半成品出库明细!$G$2:$G$2)</f>
        <v>0</v>
      </c>
      <c r="J1062" s="28">
        <f ca="1" t="shared" si="18"/>
        <v>0</v>
      </c>
      <c r="K1062" s="29" t="s">
        <v>202</v>
      </c>
      <c r="L1062" s="19"/>
      <c r="M1062" s="3"/>
    </row>
    <row r="1063" s="1" customFormat="1" spans="1:13">
      <c r="A1063" s="22"/>
      <c r="B1063" s="23" t="s">
        <v>1875</v>
      </c>
      <c r="C1063" s="131" t="s">
        <v>1876</v>
      </c>
      <c r="D1063" s="25" t="s">
        <v>1799</v>
      </c>
      <c r="E1063" s="19" t="s">
        <v>76</v>
      </c>
      <c r="F1063" s="26" t="s">
        <v>197</v>
      </c>
      <c r="G1063" s="27">
        <f>SUMIF(物料月初库存!$C$3:$C$303,$B1063,物料月初库存!$F$3:$F$303)</f>
        <v>0</v>
      </c>
      <c r="H1063" s="28">
        <f>SUMIF(半成品入库明细!$D$2:$D$650,$B1063,半成品入库明细!$G$2:$G$650)</f>
        <v>0</v>
      </c>
      <c r="I1063" s="28">
        <f ca="1">SUMIF(半成品出库明细!$D$2:$D$558,$B1063,半成品出库明细!$G$2:$G$2)</f>
        <v>0</v>
      </c>
      <c r="J1063" s="28">
        <f ca="1" t="shared" si="18"/>
        <v>0</v>
      </c>
      <c r="K1063" s="29"/>
      <c r="L1063" s="19"/>
      <c r="M1063" s="3"/>
    </row>
    <row r="1064" s="1" customFormat="1" spans="1:13">
      <c r="A1064" s="22"/>
      <c r="B1064" s="23" t="s">
        <v>1877</v>
      </c>
      <c r="C1064" s="131" t="s">
        <v>1876</v>
      </c>
      <c r="D1064" s="25" t="s">
        <v>1799</v>
      </c>
      <c r="E1064" s="19" t="s">
        <v>353</v>
      </c>
      <c r="F1064" s="26" t="s">
        <v>197</v>
      </c>
      <c r="G1064" s="27">
        <f>SUMIF(物料月初库存!$C$3:$C$303,$B1064,物料月初库存!$F$3:$F$303)</f>
        <v>0</v>
      </c>
      <c r="H1064" s="28">
        <f>SUMIF(半成品入库明细!$D$2:$D$650,$B1064,半成品入库明细!$G$2:$G$650)</f>
        <v>0</v>
      </c>
      <c r="I1064" s="28">
        <f ca="1">SUMIF(半成品出库明细!$D$2:$D$558,$B1064,半成品出库明细!$G$2:$G$2)</f>
        <v>0</v>
      </c>
      <c r="J1064" s="28">
        <f ca="1" t="shared" si="18"/>
        <v>0</v>
      </c>
      <c r="K1064" s="29" t="s">
        <v>1878</v>
      </c>
      <c r="L1064" s="19"/>
      <c r="M1064" s="3"/>
    </row>
    <row r="1065" s="1" customFormat="1" spans="1:13">
      <c r="A1065" s="22"/>
      <c r="B1065" s="23" t="s">
        <v>1879</v>
      </c>
      <c r="C1065" s="131" t="s">
        <v>1876</v>
      </c>
      <c r="D1065" s="25" t="s">
        <v>1799</v>
      </c>
      <c r="E1065" s="19" t="s">
        <v>267</v>
      </c>
      <c r="F1065" s="26" t="s">
        <v>197</v>
      </c>
      <c r="G1065" s="27">
        <f>SUMIF(物料月初库存!$C$3:$C$303,$B1065,物料月初库存!$F$3:$F$303)</f>
        <v>0</v>
      </c>
      <c r="H1065" s="28">
        <f>SUMIF(半成品入库明细!$D$2:$D$650,$B1065,半成品入库明细!$G$2:$G$650)</f>
        <v>0</v>
      </c>
      <c r="I1065" s="28">
        <f ca="1">SUMIF(半成品出库明细!$D$2:$D$558,$B1065,半成品出库明细!$G$2:$G$2)</f>
        <v>0</v>
      </c>
      <c r="J1065" s="28">
        <f ca="1" t="shared" si="18"/>
        <v>0</v>
      </c>
      <c r="K1065" s="30" t="s">
        <v>146</v>
      </c>
      <c r="L1065" s="19"/>
      <c r="M1065" s="3"/>
    </row>
    <row r="1066" s="1" customFormat="1" spans="1:13">
      <c r="A1066" s="22"/>
      <c r="B1066" s="23" t="s">
        <v>1880</v>
      </c>
      <c r="C1066" s="131" t="s">
        <v>1876</v>
      </c>
      <c r="D1066" s="25" t="s">
        <v>1799</v>
      </c>
      <c r="E1066" s="19" t="s">
        <v>733</v>
      </c>
      <c r="F1066" s="26" t="s">
        <v>197</v>
      </c>
      <c r="G1066" s="27">
        <f>SUMIF(物料月初库存!$C$3:$C$303,$B1066,物料月初库存!$F$3:$F$303)</f>
        <v>0</v>
      </c>
      <c r="H1066" s="28">
        <f>SUMIF(半成品入库明细!$D$2:$D$650,$B1066,半成品入库明细!$G$2:$G$650)</f>
        <v>0</v>
      </c>
      <c r="I1066" s="28">
        <f ca="1">SUMIF(半成品出库明细!$D$2:$D$558,$B1066,半成品出库明细!$G$2:$G$2)</f>
        <v>0</v>
      </c>
      <c r="J1066" s="28">
        <f ca="1" t="shared" si="18"/>
        <v>0</v>
      </c>
      <c r="K1066" s="29" t="s">
        <v>1881</v>
      </c>
      <c r="L1066" s="19"/>
      <c r="M1066" s="3"/>
    </row>
    <row r="1067" s="1" customFormat="1" spans="1:13">
      <c r="A1067" s="22"/>
      <c r="B1067" s="23" t="s">
        <v>1882</v>
      </c>
      <c r="C1067" s="131" t="s">
        <v>1876</v>
      </c>
      <c r="D1067" s="25" t="s">
        <v>1799</v>
      </c>
      <c r="E1067" s="19" t="s">
        <v>443</v>
      </c>
      <c r="F1067" s="26" t="s">
        <v>197</v>
      </c>
      <c r="G1067" s="27">
        <f>SUMIF(物料月初库存!$C$3:$C$303,$B1067,物料月初库存!$F$3:$F$303)</f>
        <v>0</v>
      </c>
      <c r="H1067" s="28">
        <f>SUMIF(半成品入库明细!$D$2:$D$650,$B1067,半成品入库明细!$G$2:$G$650)</f>
        <v>0</v>
      </c>
      <c r="I1067" s="28">
        <f ca="1">SUMIF(半成品出库明细!$D$2:$D$558,$B1067,半成品出库明细!$G$2:$G$2)</f>
        <v>0</v>
      </c>
      <c r="J1067" s="28">
        <f ca="1" t="shared" si="18"/>
        <v>0</v>
      </c>
      <c r="K1067" s="30" t="s">
        <v>1883</v>
      </c>
      <c r="L1067" s="19"/>
      <c r="M1067" s="3"/>
    </row>
    <row r="1068" s="1" customFormat="1" spans="1:13">
      <c r="A1068" s="22"/>
      <c r="B1068" s="23" t="s">
        <v>1884</v>
      </c>
      <c r="C1068" s="19" t="s">
        <v>1885</v>
      </c>
      <c r="D1068" s="25" t="s">
        <v>1799</v>
      </c>
      <c r="E1068" s="19" t="s">
        <v>76</v>
      </c>
      <c r="F1068" s="26" t="s">
        <v>197</v>
      </c>
      <c r="G1068" s="27">
        <f>SUMIF(物料月初库存!$C$3:$C$303,$B1068,物料月初库存!$F$3:$F$303)</f>
        <v>0</v>
      </c>
      <c r="H1068" s="28">
        <f>SUMIF(半成品入库明细!$D$2:$D$650,$B1068,半成品入库明细!$G$2:$G$650)</f>
        <v>0</v>
      </c>
      <c r="I1068" s="28">
        <f ca="1">SUMIF(半成品出库明细!$D$2:$D$558,$B1068,半成品出库明细!$G$2:$G$2)</f>
        <v>0</v>
      </c>
      <c r="J1068" s="28">
        <f ca="1" t="shared" si="18"/>
        <v>0</v>
      </c>
      <c r="K1068" s="29"/>
      <c r="L1068" s="19"/>
      <c r="M1068" s="3"/>
    </row>
    <row r="1069" s="1" customFormat="1" spans="1:13">
      <c r="A1069" s="22"/>
      <c r="B1069" s="23" t="s">
        <v>1886</v>
      </c>
      <c r="C1069" s="19" t="s">
        <v>1885</v>
      </c>
      <c r="D1069" s="25" t="s">
        <v>1799</v>
      </c>
      <c r="E1069" s="19" t="s">
        <v>199</v>
      </c>
      <c r="F1069" s="26" t="s">
        <v>197</v>
      </c>
      <c r="G1069" s="27">
        <f>SUMIF(物料月初库存!$C$3:$C$303,$B1069,物料月初库存!$F$3:$F$303)</f>
        <v>0</v>
      </c>
      <c r="H1069" s="28">
        <f>SUMIF(半成品入库明细!$D$2:$D$650,$B1069,半成品入库明细!$G$2:$G$650)</f>
        <v>0</v>
      </c>
      <c r="I1069" s="28">
        <f ca="1">SUMIF(半成品出库明细!$D$2:$D$558,$B1069,半成品出库明细!$G$2:$G$2)</f>
        <v>0</v>
      </c>
      <c r="J1069" s="28">
        <f ca="1" t="shared" si="18"/>
        <v>0</v>
      </c>
      <c r="K1069" s="29" t="s">
        <v>202</v>
      </c>
      <c r="L1069" s="19"/>
      <c r="M1069" s="3"/>
    </row>
    <row r="1070" s="1" customFormat="1" spans="1:13">
      <c r="A1070" s="22"/>
      <c r="B1070" s="23" t="s">
        <v>1887</v>
      </c>
      <c r="C1070" s="19" t="s">
        <v>1888</v>
      </c>
      <c r="D1070" s="25" t="s">
        <v>1799</v>
      </c>
      <c r="E1070" s="19" t="s">
        <v>76</v>
      </c>
      <c r="F1070" s="26" t="s">
        <v>197</v>
      </c>
      <c r="G1070" s="27">
        <f>SUMIF(物料月初库存!$C$3:$C$303,$B1070,物料月初库存!$F$3:$F$303)</f>
        <v>0</v>
      </c>
      <c r="H1070" s="28">
        <f>SUMIF(半成品入库明细!$D$2:$D$650,$B1070,半成品入库明细!$G$2:$G$650)</f>
        <v>0</v>
      </c>
      <c r="I1070" s="28">
        <f ca="1">SUMIF(半成品出库明细!$D$2:$D$558,$B1070,半成品出库明细!$G$2:$G$2)</f>
        <v>0</v>
      </c>
      <c r="J1070" s="28">
        <f ca="1" t="shared" si="18"/>
        <v>0</v>
      </c>
      <c r="K1070" s="29"/>
      <c r="L1070" s="19"/>
      <c r="M1070" s="3"/>
    </row>
    <row r="1071" s="1" customFormat="1" spans="1:13">
      <c r="A1071" s="22"/>
      <c r="B1071" s="23" t="s">
        <v>1889</v>
      </c>
      <c r="C1071" s="19" t="s">
        <v>1888</v>
      </c>
      <c r="D1071" s="25" t="s">
        <v>1799</v>
      </c>
      <c r="E1071" s="19" t="s">
        <v>267</v>
      </c>
      <c r="F1071" s="26" t="s">
        <v>197</v>
      </c>
      <c r="G1071" s="27">
        <f>SUMIF(物料月初库存!$C$3:$C$303,$B1071,物料月初库存!$F$3:$F$303)</f>
        <v>0</v>
      </c>
      <c r="H1071" s="28">
        <f>SUMIF(半成品入库明细!$D$2:$D$650,$B1071,半成品入库明细!$G$2:$G$650)</f>
        <v>0</v>
      </c>
      <c r="I1071" s="28">
        <f ca="1">SUMIF(半成品出库明细!$D$2:$D$558,$B1071,半成品出库明细!$G$2:$G$2)</f>
        <v>0</v>
      </c>
      <c r="J1071" s="28">
        <f ca="1" t="shared" si="18"/>
        <v>0</v>
      </c>
      <c r="K1071" s="30" t="s">
        <v>146</v>
      </c>
      <c r="L1071" s="19"/>
      <c r="M1071" s="3"/>
    </row>
    <row r="1072" s="1" customFormat="1" spans="1:13">
      <c r="A1072" s="22"/>
      <c r="B1072" s="23" t="s">
        <v>1890</v>
      </c>
      <c r="C1072" s="19" t="s">
        <v>1888</v>
      </c>
      <c r="D1072" s="25" t="s">
        <v>1799</v>
      </c>
      <c r="E1072" s="19" t="s">
        <v>316</v>
      </c>
      <c r="F1072" s="26" t="s">
        <v>197</v>
      </c>
      <c r="G1072" s="27">
        <f>SUMIF(物料月初库存!$C$3:$C$303,$B1072,物料月初库存!$F$3:$F$303)</f>
        <v>0</v>
      </c>
      <c r="H1072" s="28">
        <f>SUMIF(半成品入库明细!$D$2:$D$650,$B1072,半成品入库明细!$G$2:$G$650)</f>
        <v>0</v>
      </c>
      <c r="I1072" s="28">
        <f ca="1">SUMIF(半成品出库明细!$D$2:$D$558,$B1072,半成品出库明细!$G$2:$G$2)</f>
        <v>0</v>
      </c>
      <c r="J1072" s="28">
        <f ca="1" t="shared" si="18"/>
        <v>0</v>
      </c>
      <c r="K1072" s="30" t="s">
        <v>1891</v>
      </c>
      <c r="L1072" s="19"/>
      <c r="M1072" s="3"/>
    </row>
    <row r="1073" s="1" customFormat="1" spans="1:13">
      <c r="A1073" s="22"/>
      <c r="B1073" s="23" t="s">
        <v>1892</v>
      </c>
      <c r="C1073" s="19" t="s">
        <v>1893</v>
      </c>
      <c r="D1073" s="25" t="s">
        <v>1799</v>
      </c>
      <c r="E1073" s="19" t="s">
        <v>76</v>
      </c>
      <c r="F1073" s="26" t="s">
        <v>197</v>
      </c>
      <c r="G1073" s="27">
        <f>SUMIF(物料月初库存!$C$3:$C$303,$B1073,物料月初库存!$F$3:$F$303)</f>
        <v>0</v>
      </c>
      <c r="H1073" s="28">
        <f>SUMIF(半成品入库明细!$D$2:$D$650,$B1073,半成品入库明细!$G$2:$G$650)</f>
        <v>0</v>
      </c>
      <c r="I1073" s="28">
        <f ca="1">SUMIF(半成品出库明细!$D$2:$D$558,$B1073,半成品出库明细!$G$2:$G$2)</f>
        <v>0</v>
      </c>
      <c r="J1073" s="28">
        <f ca="1" t="shared" si="18"/>
        <v>0</v>
      </c>
      <c r="K1073" s="29"/>
      <c r="L1073" s="19"/>
      <c r="M1073" s="3"/>
    </row>
    <row r="1074" s="1" customFormat="1" spans="1:13">
      <c r="A1074" s="22"/>
      <c r="B1074" s="23" t="s">
        <v>1894</v>
      </c>
      <c r="C1074" s="19" t="s">
        <v>1893</v>
      </c>
      <c r="D1074" s="25" t="s">
        <v>1799</v>
      </c>
      <c r="E1074" s="19" t="s">
        <v>644</v>
      </c>
      <c r="F1074" s="26" t="s">
        <v>197</v>
      </c>
      <c r="G1074" s="27">
        <f>SUMIF(物料月初库存!$C$3:$C$303,$B1074,物料月初库存!$F$3:$F$303)</f>
        <v>0</v>
      </c>
      <c r="H1074" s="28">
        <f>SUMIF(半成品入库明细!$D$2:$D$650,$B1074,半成品入库明细!$G$2:$G$650)</f>
        <v>0</v>
      </c>
      <c r="I1074" s="28">
        <f ca="1">SUMIF(半成品出库明细!$D$2:$D$558,$B1074,半成品出库明细!$G$2:$G$2)</f>
        <v>0</v>
      </c>
      <c r="J1074" s="28">
        <f ca="1" t="shared" si="18"/>
        <v>0</v>
      </c>
      <c r="K1074" s="30" t="s">
        <v>173</v>
      </c>
      <c r="L1074" s="19"/>
      <c r="M1074" s="3"/>
    </row>
    <row r="1075" s="1" customFormat="1" spans="1:13">
      <c r="A1075" s="22"/>
      <c r="B1075" s="23" t="s">
        <v>1895</v>
      </c>
      <c r="C1075" s="19" t="s">
        <v>1896</v>
      </c>
      <c r="D1075" s="25" t="s">
        <v>1799</v>
      </c>
      <c r="E1075" s="19" t="s">
        <v>76</v>
      </c>
      <c r="F1075" s="26" t="s">
        <v>197</v>
      </c>
      <c r="G1075" s="27">
        <f>SUMIF(物料月初库存!$C$3:$C$303,$B1075,物料月初库存!$F$3:$F$303)</f>
        <v>0</v>
      </c>
      <c r="H1075" s="28">
        <f>SUMIF(半成品入库明细!$D$2:$D$650,$B1075,半成品入库明细!$G$2:$G$650)</f>
        <v>0</v>
      </c>
      <c r="I1075" s="28">
        <f ca="1">SUMIF(半成品出库明细!$D$2:$D$558,$B1075,半成品出库明细!$G$2:$G$2)</f>
        <v>0</v>
      </c>
      <c r="J1075" s="28">
        <f ca="1" t="shared" si="18"/>
        <v>0</v>
      </c>
      <c r="K1075" s="30"/>
      <c r="L1075" s="19"/>
      <c r="M1075" s="3"/>
    </row>
    <row r="1076" s="1" customFormat="1" spans="1:13">
      <c r="A1076" s="22"/>
      <c r="B1076" s="23" t="s">
        <v>1897</v>
      </c>
      <c r="C1076" s="19" t="s">
        <v>1896</v>
      </c>
      <c r="D1076" s="25" t="s">
        <v>1799</v>
      </c>
      <c r="E1076" s="19" t="s">
        <v>644</v>
      </c>
      <c r="F1076" s="26" t="s">
        <v>197</v>
      </c>
      <c r="G1076" s="27">
        <f>SUMIF(物料月初库存!$C$3:$C$303,$B1076,物料月初库存!$F$3:$F$303)</f>
        <v>0</v>
      </c>
      <c r="H1076" s="28">
        <f>SUMIF(半成品入库明细!$D$2:$D$650,$B1076,半成品入库明细!$G$2:$G$650)</f>
        <v>0</v>
      </c>
      <c r="I1076" s="28">
        <f ca="1">SUMIF(半成品出库明细!$D$2:$D$558,$B1076,半成品出库明细!$G$2:$G$2)</f>
        <v>0</v>
      </c>
      <c r="J1076" s="28">
        <f ca="1" t="shared" si="18"/>
        <v>0</v>
      </c>
      <c r="K1076" s="30" t="s">
        <v>173</v>
      </c>
      <c r="L1076" s="19"/>
      <c r="M1076" s="3"/>
    </row>
    <row r="1077" s="1" customFormat="1" spans="1:13">
      <c r="A1077" s="22"/>
      <c r="B1077" s="23" t="s">
        <v>1898</v>
      </c>
      <c r="C1077" s="19" t="s">
        <v>1899</v>
      </c>
      <c r="D1077" s="25" t="s">
        <v>1799</v>
      </c>
      <c r="E1077" s="19" t="s">
        <v>76</v>
      </c>
      <c r="F1077" s="26" t="s">
        <v>197</v>
      </c>
      <c r="G1077" s="27">
        <f>SUMIF(物料月初库存!$C$3:$C$303,$B1077,物料月初库存!$F$3:$F$303)</f>
        <v>0</v>
      </c>
      <c r="H1077" s="28">
        <f>SUMIF(半成品入库明细!$D$2:$D$650,$B1077,半成品入库明细!$G$2:$G$650)</f>
        <v>0</v>
      </c>
      <c r="I1077" s="28">
        <f ca="1">SUMIF(半成品出库明细!$D$2:$D$558,$B1077,半成品出库明细!$G$2:$G$2)</f>
        <v>0</v>
      </c>
      <c r="J1077" s="28">
        <f ca="1" t="shared" si="18"/>
        <v>0</v>
      </c>
      <c r="K1077" s="30"/>
      <c r="L1077" s="19"/>
      <c r="M1077" s="3"/>
    </row>
    <row r="1078" s="1" customFormat="1" spans="1:13">
      <c r="A1078" s="22"/>
      <c r="B1078" s="23" t="s">
        <v>1900</v>
      </c>
      <c r="C1078" s="19" t="s">
        <v>1899</v>
      </c>
      <c r="D1078" s="25" t="s">
        <v>1799</v>
      </c>
      <c r="E1078" s="19" t="s">
        <v>267</v>
      </c>
      <c r="F1078" s="26" t="s">
        <v>197</v>
      </c>
      <c r="G1078" s="27">
        <f>SUMIF(物料月初库存!$C$3:$C$303,$B1078,物料月初库存!$F$3:$F$303)</f>
        <v>0</v>
      </c>
      <c r="H1078" s="28">
        <f>SUMIF(半成品入库明细!$D$2:$D$650,$B1078,半成品入库明细!$G$2:$G$650)</f>
        <v>0</v>
      </c>
      <c r="I1078" s="28">
        <f ca="1">SUMIF(半成品出库明细!$D$2:$D$558,$B1078,半成品出库明细!$G$2:$G$2)</f>
        <v>0</v>
      </c>
      <c r="J1078" s="28">
        <f ca="1" t="shared" si="18"/>
        <v>0</v>
      </c>
      <c r="K1078" s="30" t="s">
        <v>146</v>
      </c>
      <c r="L1078" s="19"/>
      <c r="M1078" s="3"/>
    </row>
    <row r="1079" s="1" customFormat="1" spans="1:13">
      <c r="A1079" s="22"/>
      <c r="B1079" s="23" t="s">
        <v>1901</v>
      </c>
      <c r="C1079" s="19" t="s">
        <v>1899</v>
      </c>
      <c r="D1079" s="25" t="s">
        <v>1799</v>
      </c>
      <c r="E1079" s="19" t="s">
        <v>316</v>
      </c>
      <c r="F1079" s="26" t="s">
        <v>197</v>
      </c>
      <c r="G1079" s="27">
        <f>SUMIF(物料月初库存!$C$3:$C$303,$B1079,物料月初库存!$F$3:$F$303)</f>
        <v>0</v>
      </c>
      <c r="H1079" s="28">
        <f>SUMIF(半成品入库明细!$D$2:$D$650,$B1079,半成品入库明细!$G$2:$G$650)</f>
        <v>0</v>
      </c>
      <c r="I1079" s="28">
        <f ca="1">SUMIF(半成品出库明细!$D$2:$D$558,$B1079,半成品出库明细!$G$2:$G$2)</f>
        <v>0</v>
      </c>
      <c r="J1079" s="28">
        <f ca="1" t="shared" si="18"/>
        <v>0</v>
      </c>
      <c r="K1079" s="30" t="s">
        <v>1902</v>
      </c>
      <c r="L1079" s="19"/>
      <c r="M1079" s="3"/>
    </row>
    <row r="1080" s="1" customFormat="1" spans="1:13">
      <c r="A1080" s="22"/>
      <c r="B1080" s="23" t="s">
        <v>1903</v>
      </c>
      <c r="C1080" s="19" t="s">
        <v>1904</v>
      </c>
      <c r="D1080" s="25" t="s">
        <v>1799</v>
      </c>
      <c r="E1080" s="19" t="s">
        <v>76</v>
      </c>
      <c r="F1080" s="26" t="s">
        <v>197</v>
      </c>
      <c r="G1080" s="27">
        <f>SUMIF(物料月初库存!$C$3:$C$303,$B1080,物料月初库存!$F$3:$F$303)</f>
        <v>0</v>
      </c>
      <c r="H1080" s="28">
        <f>SUMIF(半成品入库明细!$D$2:$D$650,$B1080,半成品入库明细!$G$2:$G$650)</f>
        <v>0</v>
      </c>
      <c r="I1080" s="28">
        <f ca="1">SUMIF(半成品出库明细!$D$2:$D$558,$B1080,半成品出库明细!$G$2:$G$2)</f>
        <v>0</v>
      </c>
      <c r="J1080" s="28">
        <f ca="1" t="shared" si="18"/>
        <v>0</v>
      </c>
      <c r="K1080" s="30"/>
      <c r="L1080" s="19"/>
      <c r="M1080" s="3"/>
    </row>
    <row r="1081" s="1" customFormat="1" spans="1:13">
      <c r="A1081" s="22"/>
      <c r="B1081" s="23" t="s">
        <v>87</v>
      </c>
      <c r="C1081" s="19" t="s">
        <v>1904</v>
      </c>
      <c r="D1081" s="25" t="s">
        <v>1799</v>
      </c>
      <c r="E1081" s="19" t="s">
        <v>353</v>
      </c>
      <c r="F1081" s="26" t="s">
        <v>197</v>
      </c>
      <c r="G1081" s="27">
        <f>SUMIF(物料月初库存!$C$3:$C$303,$B1081,物料月初库存!$F$3:$F$303)</f>
        <v>0</v>
      </c>
      <c r="H1081" s="28">
        <f>SUMIF(半成品入库明细!$D$2:$D$650,$B1081,半成品入库明细!$G$2:$G$650)</f>
        <v>6160</v>
      </c>
      <c r="I1081" s="28">
        <f ca="1">SUMIF(半成品出库明细!$D$2:$D$558,$B1081,半成品出库明细!$G$2:$G$2)</f>
        <v>6160</v>
      </c>
      <c r="J1081" s="28">
        <f ca="1" t="shared" si="18"/>
        <v>0</v>
      </c>
      <c r="K1081" s="30" t="s">
        <v>1271</v>
      </c>
      <c r="L1081" s="19"/>
      <c r="M1081" s="3"/>
    </row>
    <row r="1082" s="1" customFormat="1" spans="1:13">
      <c r="A1082" s="22"/>
      <c r="B1082" s="23" t="s">
        <v>164</v>
      </c>
      <c r="C1082" s="19" t="s">
        <v>1904</v>
      </c>
      <c r="D1082" s="25" t="s">
        <v>1799</v>
      </c>
      <c r="E1082" s="19" t="s">
        <v>267</v>
      </c>
      <c r="F1082" s="26" t="s">
        <v>197</v>
      </c>
      <c r="G1082" s="27">
        <f>SUMIF(物料月初库存!$C$3:$C$303,$B1082,物料月初库存!$F$3:$F$303)</f>
        <v>0</v>
      </c>
      <c r="H1082" s="28">
        <f>SUMIF(半成品入库明细!$D$2:$D$650,$B1082,半成品入库明细!$G$2:$G$650)</f>
        <v>0</v>
      </c>
      <c r="I1082" s="28">
        <f ca="1">SUMIF(半成品出库明细!$D$2:$D$558,$B1082,半成品出库明细!$G$2:$G$2)</f>
        <v>200</v>
      </c>
      <c r="J1082" s="28">
        <f ca="1" t="shared" si="18"/>
        <v>-200</v>
      </c>
      <c r="K1082" s="30" t="s">
        <v>146</v>
      </c>
      <c r="L1082" s="19"/>
      <c r="M1082" s="3"/>
    </row>
    <row r="1083" s="1" customFormat="1" spans="1:13">
      <c r="A1083" s="22"/>
      <c r="B1083" s="23" t="s">
        <v>109</v>
      </c>
      <c r="C1083" s="19" t="s">
        <v>1904</v>
      </c>
      <c r="D1083" s="25" t="s">
        <v>1799</v>
      </c>
      <c r="E1083" s="19" t="s">
        <v>733</v>
      </c>
      <c r="F1083" s="26" t="s">
        <v>197</v>
      </c>
      <c r="G1083" s="27">
        <f>SUMIF(物料月初库存!$C$3:$C$303,$B1083,物料月初库存!$F$3:$F$303)</f>
        <v>0</v>
      </c>
      <c r="H1083" s="28">
        <f>SUMIF(半成品入库明细!$D$2:$D$650,$B1083,半成品入库明细!$G$2:$G$650)</f>
        <v>200</v>
      </c>
      <c r="I1083" s="28">
        <f ca="1">SUMIF(半成品出库明细!$D$2:$D$558,$B1083,半成品出库明细!$G$2:$G$2)</f>
        <v>0</v>
      </c>
      <c r="J1083" s="28">
        <f ca="1" t="shared" si="18"/>
        <v>200</v>
      </c>
      <c r="K1083" s="30" t="s">
        <v>1905</v>
      </c>
      <c r="L1083" s="19"/>
      <c r="M1083" s="3"/>
    </row>
    <row r="1084" s="1" customFormat="1" spans="1:13">
      <c r="A1084" s="22"/>
      <c r="B1084" s="23" t="s">
        <v>1906</v>
      </c>
      <c r="C1084" s="19" t="s">
        <v>1904</v>
      </c>
      <c r="D1084" s="25" t="s">
        <v>1799</v>
      </c>
      <c r="E1084" s="19" t="s">
        <v>443</v>
      </c>
      <c r="F1084" s="26" t="s">
        <v>197</v>
      </c>
      <c r="G1084" s="27">
        <f>SUMIF(物料月初库存!$C$3:$C$303,$B1084,物料月初库存!$F$3:$F$303)</f>
        <v>0</v>
      </c>
      <c r="H1084" s="28">
        <f>SUMIF(半成品入库明细!$D$2:$D$650,$B1084,半成品入库明细!$G$2:$G$650)</f>
        <v>0</v>
      </c>
      <c r="I1084" s="28">
        <f ca="1">SUMIF(半成品出库明细!$D$2:$D$558,$B1084,半成品出库明细!$G$2:$G$2)</f>
        <v>0</v>
      </c>
      <c r="J1084" s="28">
        <f ca="1" t="shared" si="18"/>
        <v>0</v>
      </c>
      <c r="K1084" s="30" t="s">
        <v>1907</v>
      </c>
      <c r="L1084" s="19"/>
      <c r="M1084" s="3"/>
    </row>
    <row r="1085" s="1" customFormat="1" spans="1:13">
      <c r="A1085" s="22"/>
      <c r="B1085" s="132" t="s">
        <v>1908</v>
      </c>
      <c r="C1085" s="19" t="s">
        <v>1909</v>
      </c>
      <c r="D1085" s="25" t="s">
        <v>1799</v>
      </c>
      <c r="E1085" s="19" t="s">
        <v>76</v>
      </c>
      <c r="F1085" s="26" t="s">
        <v>197</v>
      </c>
      <c r="G1085" s="27">
        <f>SUMIF(物料月初库存!$C$3:$C$303,$B1085,物料月初库存!$F$3:$F$303)</f>
        <v>0</v>
      </c>
      <c r="H1085" s="28">
        <f>SUMIF(半成品入库明细!$D$2:$D$650,$B1085,半成品入库明细!$G$2:$G$650)</f>
        <v>0</v>
      </c>
      <c r="I1085" s="28">
        <f ca="1">SUMIF(半成品出库明细!$D$2:$D$558,$B1085,半成品出库明细!$G$2:$G$2)</f>
        <v>0</v>
      </c>
      <c r="J1085" s="28">
        <f ca="1" t="shared" si="18"/>
        <v>0</v>
      </c>
      <c r="K1085" s="30"/>
      <c r="L1085" s="19"/>
      <c r="M1085" s="3"/>
    </row>
    <row r="1086" s="1" customFormat="1" spans="1:13">
      <c r="A1086" s="22"/>
      <c r="B1086" s="132" t="s">
        <v>1910</v>
      </c>
      <c r="C1086" s="19" t="s">
        <v>1909</v>
      </c>
      <c r="D1086" s="25" t="s">
        <v>1799</v>
      </c>
      <c r="E1086" s="19" t="s">
        <v>199</v>
      </c>
      <c r="F1086" s="26" t="s">
        <v>197</v>
      </c>
      <c r="G1086" s="27">
        <f>SUMIF(物料月初库存!$C$3:$C$303,$B1086,物料月初库存!$F$3:$F$303)</f>
        <v>0</v>
      </c>
      <c r="H1086" s="28">
        <f>SUMIF(半成品入库明细!$D$2:$D$650,$B1086,半成品入库明细!$G$2:$G$650)</f>
        <v>0</v>
      </c>
      <c r="I1086" s="28">
        <f ca="1">SUMIF(半成品出库明细!$D$2:$D$558,$B1086,半成品出库明细!$G$2:$G$2)</f>
        <v>0</v>
      </c>
      <c r="J1086" s="28">
        <f ca="1" t="shared" si="18"/>
        <v>0</v>
      </c>
      <c r="K1086" s="30" t="s">
        <v>1911</v>
      </c>
      <c r="L1086" s="19"/>
      <c r="M1086" s="3"/>
    </row>
    <row r="1087" s="1" customFormat="1" spans="1:13">
      <c r="A1087" s="22"/>
      <c r="B1087" s="132" t="s">
        <v>1912</v>
      </c>
      <c r="C1087" s="19" t="s">
        <v>1909</v>
      </c>
      <c r="D1087" s="25" t="s">
        <v>1799</v>
      </c>
      <c r="E1087" s="19" t="s">
        <v>839</v>
      </c>
      <c r="F1087" s="26" t="s">
        <v>197</v>
      </c>
      <c r="G1087" s="27">
        <f>SUMIF(物料月初库存!$C$3:$C$303,$B1087,物料月初库存!$F$3:$F$303)</f>
        <v>0</v>
      </c>
      <c r="H1087" s="28">
        <f>SUMIF(半成品入库明细!$D$2:$D$650,$B1087,半成品入库明细!$G$2:$G$650)</f>
        <v>0</v>
      </c>
      <c r="I1087" s="28">
        <f ca="1">SUMIF(半成品出库明细!$D$2:$D$558,$B1087,半成品出库明细!$G$2:$G$2)</f>
        <v>0</v>
      </c>
      <c r="J1087" s="28">
        <f ca="1" t="shared" si="18"/>
        <v>0</v>
      </c>
      <c r="K1087" s="30" t="s">
        <v>1913</v>
      </c>
      <c r="L1087" s="19"/>
      <c r="M1087" s="3"/>
    </row>
    <row r="1088" s="1" customFormat="1" spans="1:13">
      <c r="A1088" s="22"/>
      <c r="B1088" s="132" t="s">
        <v>1914</v>
      </c>
      <c r="C1088" s="19" t="s">
        <v>1915</v>
      </c>
      <c r="D1088" s="25" t="s">
        <v>1799</v>
      </c>
      <c r="E1088" s="19" t="s">
        <v>76</v>
      </c>
      <c r="F1088" s="26" t="s">
        <v>197</v>
      </c>
      <c r="G1088" s="27">
        <f>SUMIF(物料月初库存!$C$3:$C$303,$B1088,物料月初库存!$F$3:$F$303)</f>
        <v>0</v>
      </c>
      <c r="H1088" s="28">
        <f>SUMIF(半成品入库明细!$D$2:$D$650,$B1088,半成品入库明细!$G$2:$G$650)</f>
        <v>0</v>
      </c>
      <c r="I1088" s="28">
        <f ca="1">SUMIF(半成品出库明细!$D$2:$D$558,$B1088,半成品出库明细!$G$2:$G$2)</f>
        <v>0</v>
      </c>
      <c r="J1088" s="28">
        <f ca="1" t="shared" si="18"/>
        <v>0</v>
      </c>
      <c r="K1088" s="30"/>
      <c r="L1088" s="19"/>
      <c r="M1088" s="3"/>
    </row>
    <row r="1089" s="1" customFormat="1" spans="1:13">
      <c r="A1089" s="22"/>
      <c r="B1089" s="132" t="s">
        <v>1916</v>
      </c>
      <c r="C1089" s="19" t="s">
        <v>1915</v>
      </c>
      <c r="D1089" s="25" t="s">
        <v>1799</v>
      </c>
      <c r="E1089" s="19" t="s">
        <v>353</v>
      </c>
      <c r="F1089" s="26" t="s">
        <v>197</v>
      </c>
      <c r="G1089" s="27">
        <f>SUMIF(物料月初库存!$C$3:$C$303,$B1089,物料月初库存!$F$3:$F$303)</f>
        <v>0</v>
      </c>
      <c r="H1089" s="28">
        <f>SUMIF(半成品入库明细!$D$2:$D$650,$B1089,半成品入库明细!$G$2:$G$650)</f>
        <v>0</v>
      </c>
      <c r="I1089" s="28">
        <f ca="1">SUMIF(半成品出库明细!$D$2:$D$558,$B1089,半成品出库明细!$G$2:$G$2)</f>
        <v>0</v>
      </c>
      <c r="J1089" s="28">
        <f ca="1" t="shared" si="18"/>
        <v>0</v>
      </c>
      <c r="K1089" s="30" t="s">
        <v>1271</v>
      </c>
      <c r="L1089" s="19"/>
      <c r="M1089" s="3"/>
    </row>
    <row r="1090" s="1" customFormat="1" spans="1:13">
      <c r="A1090" s="22"/>
      <c r="B1090" s="132" t="s">
        <v>1917</v>
      </c>
      <c r="C1090" s="19" t="s">
        <v>1915</v>
      </c>
      <c r="D1090" s="25" t="s">
        <v>1799</v>
      </c>
      <c r="E1090" s="19" t="s">
        <v>225</v>
      </c>
      <c r="F1090" s="26" t="s">
        <v>197</v>
      </c>
      <c r="G1090" s="27">
        <f>SUMIF(物料月初库存!$C$3:$C$303,$B1090,物料月初库存!$F$3:$F$303)</f>
        <v>0</v>
      </c>
      <c r="H1090" s="28">
        <f>SUMIF(半成品入库明细!$D$2:$D$650,$B1090,半成品入库明细!$G$2:$G$650)</f>
        <v>0</v>
      </c>
      <c r="I1090" s="28">
        <f ca="1">SUMIF(半成品出库明细!$D$2:$D$558,$B1090,半成品出库明细!$G$2:$G$2)</f>
        <v>0</v>
      </c>
      <c r="J1090" s="28">
        <f ca="1" t="shared" si="18"/>
        <v>0</v>
      </c>
      <c r="K1090" s="30" t="s">
        <v>92</v>
      </c>
      <c r="L1090" s="19"/>
      <c r="M1090" s="3"/>
    </row>
    <row r="1091" s="1" customFormat="1" spans="1:13">
      <c r="A1091" s="22"/>
      <c r="B1091" s="132" t="s">
        <v>1918</v>
      </c>
      <c r="C1091" s="19" t="s">
        <v>1915</v>
      </c>
      <c r="D1091" s="25" t="s">
        <v>1799</v>
      </c>
      <c r="E1091" s="19" t="s">
        <v>256</v>
      </c>
      <c r="F1091" s="26" t="s">
        <v>197</v>
      </c>
      <c r="G1091" s="27">
        <f>SUMIF(物料月初库存!$C$3:$C$303,$B1091,物料月初库存!$F$3:$F$303)</f>
        <v>0</v>
      </c>
      <c r="H1091" s="28">
        <f>SUMIF(半成品入库明细!$D$2:$D$650,$B1091,半成品入库明细!$G$2:$G$650)</f>
        <v>0</v>
      </c>
      <c r="I1091" s="28">
        <f ca="1">SUMIF(半成品出库明细!$D$2:$D$558,$B1091,半成品出库明细!$G$2:$G$2)</f>
        <v>0</v>
      </c>
      <c r="J1091" s="28">
        <f ca="1" t="shared" si="18"/>
        <v>0</v>
      </c>
      <c r="K1091" s="30" t="s">
        <v>654</v>
      </c>
      <c r="L1091" s="19"/>
      <c r="M1091" s="3"/>
    </row>
    <row r="1092" s="1" customFormat="1" spans="1:13">
      <c r="A1092" s="22"/>
      <c r="B1092" s="132" t="s">
        <v>17</v>
      </c>
      <c r="C1092" s="19" t="s">
        <v>1919</v>
      </c>
      <c r="D1092" s="25" t="s">
        <v>1799</v>
      </c>
      <c r="E1092" s="19" t="s">
        <v>76</v>
      </c>
      <c r="F1092" s="26" t="s">
        <v>197</v>
      </c>
      <c r="G1092" s="27">
        <f>SUMIF(物料月初库存!$C$3:$C$303,$B1092,物料月初库存!$F$3:$F$303)</f>
        <v>8110</v>
      </c>
      <c r="H1092" s="28">
        <f>SUMIF(半成品入库明细!$D$2:$D$650,$B1092,半成品入库明细!$G$2:$G$650)</f>
        <v>0</v>
      </c>
      <c r="I1092" s="28">
        <f ca="1">SUMIF(半成品出库明细!$D$2:$D$558,$B1092,半成品出库明细!$G$2:$G$2)</f>
        <v>8110</v>
      </c>
      <c r="J1092" s="28">
        <f ca="1" t="shared" si="18"/>
        <v>0</v>
      </c>
      <c r="K1092" s="30"/>
      <c r="L1092" s="19"/>
      <c r="M1092" s="3"/>
    </row>
    <row r="1093" s="1" customFormat="1" spans="1:13">
      <c r="A1093" s="22"/>
      <c r="B1093" s="132" t="s">
        <v>1920</v>
      </c>
      <c r="C1093" s="19" t="s">
        <v>1919</v>
      </c>
      <c r="D1093" s="25" t="s">
        <v>1799</v>
      </c>
      <c r="E1093" s="19" t="s">
        <v>326</v>
      </c>
      <c r="F1093" s="26" t="s">
        <v>197</v>
      </c>
      <c r="G1093" s="27">
        <f>SUMIF(物料月初库存!$C$3:$C$303,$B1093,物料月初库存!$F$3:$F$303)</f>
        <v>0</v>
      </c>
      <c r="H1093" s="28">
        <f>SUMIF(半成品入库明细!$D$2:$D$650,$B1093,半成品入库明细!$G$2:$G$650)</f>
        <v>0</v>
      </c>
      <c r="I1093" s="28">
        <f ca="1">SUMIF(半成品出库明细!$D$2:$D$558,$B1093,半成品出库明细!$G$2:$G$2)</f>
        <v>0</v>
      </c>
      <c r="J1093" s="28">
        <f ca="1" t="shared" si="18"/>
        <v>0</v>
      </c>
      <c r="K1093" s="30" t="s">
        <v>146</v>
      </c>
      <c r="L1093" s="19"/>
      <c r="M1093" s="3"/>
    </row>
    <row r="1094" s="1" customFormat="1" spans="1:13">
      <c r="A1094" s="22"/>
      <c r="B1094" s="132" t="s">
        <v>1921</v>
      </c>
      <c r="C1094" s="19" t="s">
        <v>1919</v>
      </c>
      <c r="D1094" s="25" t="s">
        <v>1799</v>
      </c>
      <c r="E1094" s="19" t="s">
        <v>199</v>
      </c>
      <c r="F1094" s="26" t="s">
        <v>197</v>
      </c>
      <c r="G1094" s="27">
        <f>SUMIF(物料月初库存!$C$3:$C$303,$B1094,物料月初库存!$F$3:$F$303)</f>
        <v>0</v>
      </c>
      <c r="H1094" s="28">
        <f>SUMIF(半成品入库明细!$D$2:$D$650,$B1094,半成品入库明细!$G$2:$G$650)</f>
        <v>0</v>
      </c>
      <c r="I1094" s="28">
        <f ca="1">SUMIF(半成品出库明细!$D$2:$D$558,$B1094,半成品出库明细!$G$2:$G$2)</f>
        <v>0</v>
      </c>
      <c r="J1094" s="28">
        <f ca="1" t="shared" si="18"/>
        <v>0</v>
      </c>
      <c r="K1094" s="30" t="s">
        <v>173</v>
      </c>
      <c r="L1094" s="19"/>
      <c r="M1094" s="3"/>
    </row>
    <row r="1095" s="1" customFormat="1" spans="1:13">
      <c r="A1095" s="22"/>
      <c r="B1095" s="132" t="s">
        <v>1922</v>
      </c>
      <c r="C1095" s="19" t="s">
        <v>1923</v>
      </c>
      <c r="D1095" s="25" t="s">
        <v>1799</v>
      </c>
      <c r="E1095" s="19" t="s">
        <v>76</v>
      </c>
      <c r="F1095" s="26" t="s">
        <v>197</v>
      </c>
      <c r="G1095" s="27">
        <f>SUMIF(物料月初库存!$C$3:$C$303,$B1095,物料月初库存!$F$3:$F$303)</f>
        <v>0</v>
      </c>
      <c r="H1095" s="28">
        <f>SUMIF(半成品入库明细!$D$2:$D$650,$B1095,半成品入库明细!$G$2:$G$650)</f>
        <v>0</v>
      </c>
      <c r="I1095" s="28">
        <f ca="1">SUMIF(半成品出库明细!$D$2:$D$558,$B1095,半成品出库明细!$G$2:$G$2)</f>
        <v>0</v>
      </c>
      <c r="J1095" s="28">
        <f ca="1" t="shared" si="18"/>
        <v>0</v>
      </c>
      <c r="K1095" s="30"/>
      <c r="L1095" s="19"/>
      <c r="M1095" s="3"/>
    </row>
    <row r="1096" s="1" customFormat="1" spans="1:13">
      <c r="A1096" s="22"/>
      <c r="B1096" s="132" t="s">
        <v>1924</v>
      </c>
      <c r="C1096" s="19" t="s">
        <v>1923</v>
      </c>
      <c r="D1096" s="25" t="s">
        <v>1799</v>
      </c>
      <c r="E1096" s="19" t="s">
        <v>199</v>
      </c>
      <c r="F1096" s="26" t="s">
        <v>197</v>
      </c>
      <c r="G1096" s="27">
        <f>SUMIF(物料月初库存!$C$3:$C$303,$B1096,物料月初库存!$F$3:$F$303)</f>
        <v>0</v>
      </c>
      <c r="H1096" s="28">
        <f>SUMIF(半成品入库明细!$D$2:$D$650,$B1096,半成品入库明细!$G$2:$G$650)</f>
        <v>0</v>
      </c>
      <c r="I1096" s="28">
        <f ca="1">SUMIF(半成品出库明细!$D$2:$D$558,$B1096,半成品出库明细!$G$2:$G$2)</f>
        <v>0</v>
      </c>
      <c r="J1096" s="28">
        <f ca="1" t="shared" si="18"/>
        <v>0</v>
      </c>
      <c r="K1096" s="30" t="s">
        <v>1911</v>
      </c>
      <c r="L1096" s="19"/>
      <c r="M1096" s="3"/>
    </row>
    <row r="1097" s="1" customFormat="1" spans="1:13">
      <c r="A1097" s="22"/>
      <c r="B1097" s="132" t="s">
        <v>1925</v>
      </c>
      <c r="C1097" s="19" t="s">
        <v>1926</v>
      </c>
      <c r="D1097" s="25" t="s">
        <v>1799</v>
      </c>
      <c r="E1097" s="19" t="s">
        <v>76</v>
      </c>
      <c r="F1097" s="26" t="s">
        <v>197</v>
      </c>
      <c r="G1097" s="27">
        <f>SUMIF(物料月初库存!$C$3:$C$303,$B1097,物料月初库存!$F$3:$F$303)</f>
        <v>0</v>
      </c>
      <c r="H1097" s="28">
        <f>SUMIF(半成品入库明细!$D$2:$D$650,$B1097,半成品入库明细!$G$2:$G$650)</f>
        <v>0</v>
      </c>
      <c r="I1097" s="28">
        <f ca="1">SUMIF(半成品出库明细!$D$2:$D$558,$B1097,半成品出库明细!$G$2:$G$2)</f>
        <v>0</v>
      </c>
      <c r="J1097" s="28">
        <f ca="1" t="shared" si="18"/>
        <v>0</v>
      </c>
      <c r="K1097" s="30"/>
      <c r="L1097" s="19"/>
      <c r="M1097" s="3"/>
    </row>
    <row r="1098" s="1" customFormat="1" spans="1:13">
      <c r="A1098" s="22"/>
      <c r="B1098" s="132" t="s">
        <v>86</v>
      </c>
      <c r="C1098" s="19" t="s">
        <v>1926</v>
      </c>
      <c r="D1098" s="25" t="s">
        <v>1799</v>
      </c>
      <c r="E1098" s="19" t="s">
        <v>316</v>
      </c>
      <c r="F1098" s="26" t="s">
        <v>197</v>
      </c>
      <c r="G1098" s="27">
        <f>SUMIF(物料月初库存!$C$3:$C$303,$B1098,物料月初库存!$F$3:$F$303)</f>
        <v>0</v>
      </c>
      <c r="H1098" s="28">
        <f>SUMIF(半成品入库明细!$D$2:$D$650,$B1098,半成品入库明细!$G$2:$G$650)</f>
        <v>1064</v>
      </c>
      <c r="I1098" s="28">
        <f ca="1">SUMIF(半成品出库明细!$D$2:$D$558,$B1098,半成品出库明细!$G$2:$G$2)</f>
        <v>1064</v>
      </c>
      <c r="J1098" s="28">
        <f ca="1" t="shared" si="18"/>
        <v>0</v>
      </c>
      <c r="K1098" s="30" t="s">
        <v>1271</v>
      </c>
      <c r="L1098" s="19"/>
      <c r="M1098" s="3"/>
    </row>
    <row r="1099" s="1" customFormat="1" spans="1:13">
      <c r="A1099" s="22"/>
      <c r="B1099" s="132" t="s">
        <v>111</v>
      </c>
      <c r="C1099" s="19" t="s">
        <v>1926</v>
      </c>
      <c r="D1099" s="25" t="s">
        <v>1799</v>
      </c>
      <c r="E1099" s="19" t="s">
        <v>691</v>
      </c>
      <c r="F1099" s="26" t="s">
        <v>197</v>
      </c>
      <c r="G1099" s="27">
        <f>SUMIF(物料月初库存!$C$3:$C$303,$B1099,物料月初库存!$F$3:$F$303)</f>
        <v>0</v>
      </c>
      <c r="H1099" s="28">
        <f>SUMIF(半成品入库明细!$D$2:$D$650,$B1099,半成品入库明细!$G$2:$G$650)</f>
        <v>1064</v>
      </c>
      <c r="I1099" s="28">
        <f ca="1">SUMIF(半成品出库明细!$D$2:$D$558,$B1099,半成品出库明细!$G$2:$G$2)</f>
        <v>0</v>
      </c>
      <c r="J1099" s="28">
        <f ca="1" t="shared" si="18"/>
        <v>1064</v>
      </c>
      <c r="K1099" s="30" t="s">
        <v>92</v>
      </c>
      <c r="L1099" s="19"/>
      <c r="M1099" s="3"/>
    </row>
    <row r="1100" s="1" customFormat="1" spans="1:13">
      <c r="A1100" s="22"/>
      <c r="B1100" s="132" t="s">
        <v>1927</v>
      </c>
      <c r="C1100" s="19" t="s">
        <v>1926</v>
      </c>
      <c r="D1100" s="25" t="s">
        <v>1799</v>
      </c>
      <c r="E1100" s="19" t="s">
        <v>256</v>
      </c>
      <c r="F1100" s="26" t="s">
        <v>197</v>
      </c>
      <c r="G1100" s="27">
        <f>SUMIF(物料月初库存!$C$3:$C$303,$B1100,物料月初库存!$F$3:$F$303)</f>
        <v>0</v>
      </c>
      <c r="H1100" s="28">
        <f>SUMIF(半成品入库明细!$D$2:$D$650,$B1100,半成品入库明细!$G$2:$G$650)</f>
        <v>0</v>
      </c>
      <c r="I1100" s="28">
        <f ca="1">SUMIF(半成品出库明细!$D$2:$D$558,$B1100,半成品出库明细!$G$2:$G$2)</f>
        <v>0</v>
      </c>
      <c r="J1100" s="28">
        <f ca="1">G1100+H1100-I1100</f>
        <v>0</v>
      </c>
      <c r="K1100" s="30"/>
      <c r="L1100" s="19"/>
      <c r="M1100" s="3"/>
    </row>
    <row r="1101" s="1" customFormat="1" spans="1:13">
      <c r="A1101" s="22"/>
      <c r="B1101" s="132" t="s">
        <v>1928</v>
      </c>
      <c r="C1101" s="133" t="s">
        <v>1929</v>
      </c>
      <c r="D1101" s="25" t="s">
        <v>1799</v>
      </c>
      <c r="E1101" s="19" t="s">
        <v>76</v>
      </c>
      <c r="F1101" s="26" t="s">
        <v>197</v>
      </c>
      <c r="G1101" s="27">
        <f>SUMIF(物料月初库存!$C$3:$C$303,$B1101,物料月初库存!$F$3:$F$303)</f>
        <v>0</v>
      </c>
      <c r="H1101" s="28">
        <f>SUMIF(半成品入库明细!$D$2:$D$650,$B1101,半成品入库明细!$G$2:$G$650)</f>
        <v>0</v>
      </c>
      <c r="I1101" s="28">
        <f ca="1">SUMIF(半成品出库明细!$D$2:$D$558,$B1101,半成品出库明细!$G$2:$G$2)</f>
        <v>0</v>
      </c>
      <c r="J1101" s="28">
        <f ca="1" t="shared" ref="J1101:J1139" si="19">G1101+H1101-I1101</f>
        <v>0</v>
      </c>
      <c r="K1101" s="29"/>
      <c r="L1101" s="19"/>
      <c r="M1101" s="3"/>
    </row>
    <row r="1102" s="1" customFormat="1" spans="1:13">
      <c r="A1102" s="22"/>
      <c r="B1102" s="132" t="s">
        <v>1930</v>
      </c>
      <c r="C1102" s="133" t="s">
        <v>1929</v>
      </c>
      <c r="D1102" s="25" t="s">
        <v>1799</v>
      </c>
      <c r="E1102" s="19" t="s">
        <v>235</v>
      </c>
      <c r="F1102" s="26" t="s">
        <v>197</v>
      </c>
      <c r="G1102" s="27">
        <f>SUMIF(物料月初库存!$C$3:$C$303,$B1102,物料月初库存!$F$3:$F$303)</f>
        <v>0</v>
      </c>
      <c r="H1102" s="28">
        <f>SUMIF(半成品入库明细!$D$2:$D$650,$B1102,半成品入库明细!$G$2:$G$650)</f>
        <v>0</v>
      </c>
      <c r="I1102" s="28">
        <f ca="1">SUMIF(半成品出库明细!$D$2:$D$558,$B1102,半成品出库明细!$G$2:$G$2)</f>
        <v>0</v>
      </c>
      <c r="J1102" s="28">
        <f ca="1" t="shared" si="19"/>
        <v>0</v>
      </c>
      <c r="K1102" s="106" t="s">
        <v>107</v>
      </c>
      <c r="L1102" s="19"/>
      <c r="M1102" s="3"/>
    </row>
    <row r="1103" s="1" customFormat="1" spans="1:13">
      <c r="A1103" s="22"/>
      <c r="B1103" s="132" t="s">
        <v>1931</v>
      </c>
      <c r="C1103" s="133" t="s">
        <v>1929</v>
      </c>
      <c r="D1103" s="25" t="s">
        <v>1799</v>
      </c>
      <c r="E1103" s="19" t="s">
        <v>353</v>
      </c>
      <c r="F1103" s="26" t="s">
        <v>197</v>
      </c>
      <c r="G1103" s="27">
        <f>SUMIF(物料月初库存!$C$3:$C$303,$B1103,物料月初库存!$F$3:$F$303)</f>
        <v>0</v>
      </c>
      <c r="H1103" s="28">
        <f>SUMIF(半成品入库明细!$D$2:$D$650,$B1103,半成品入库明细!$G$2:$G$650)</f>
        <v>0</v>
      </c>
      <c r="I1103" s="28">
        <f ca="1">SUMIF(半成品出库明细!$D$2:$D$558,$B1103,半成品出库明细!$G$2:$G$2)</f>
        <v>0</v>
      </c>
      <c r="J1103" s="28">
        <f ca="1" t="shared" si="19"/>
        <v>0</v>
      </c>
      <c r="K1103" s="30" t="s">
        <v>1271</v>
      </c>
      <c r="L1103" s="19"/>
      <c r="M1103" s="3"/>
    </row>
    <row r="1104" s="1" customFormat="1" spans="1:13">
      <c r="A1104" s="22"/>
      <c r="B1104" s="132" t="s">
        <v>1932</v>
      </c>
      <c r="C1104" s="133" t="s">
        <v>1929</v>
      </c>
      <c r="D1104" s="25" t="s">
        <v>1799</v>
      </c>
      <c r="E1104" s="19" t="s">
        <v>326</v>
      </c>
      <c r="F1104" s="26" t="s">
        <v>197</v>
      </c>
      <c r="G1104" s="27">
        <f>SUMIF(物料月初库存!$C$3:$C$303,$B1104,物料月初库存!$F$3:$F$303)</f>
        <v>0</v>
      </c>
      <c r="H1104" s="28">
        <f>SUMIF(半成品入库明细!$D$2:$D$650,$B1104,半成品入库明细!$G$2:$G$650)</f>
        <v>0</v>
      </c>
      <c r="I1104" s="28">
        <f ca="1">SUMIF(半成品出库明细!$D$2:$D$558,$B1104,半成品出库明细!$G$2:$G$2)</f>
        <v>0</v>
      </c>
      <c r="J1104" s="28">
        <f ca="1" t="shared" si="19"/>
        <v>0</v>
      </c>
      <c r="K1104" s="30" t="s">
        <v>146</v>
      </c>
      <c r="L1104" s="19"/>
      <c r="M1104" s="3"/>
    </row>
    <row r="1105" s="1" customFormat="1" spans="1:13">
      <c r="A1105" s="22"/>
      <c r="B1105" s="132" t="s">
        <v>1933</v>
      </c>
      <c r="C1105" s="133" t="s">
        <v>1929</v>
      </c>
      <c r="D1105" s="25" t="s">
        <v>1799</v>
      </c>
      <c r="E1105" s="19" t="s">
        <v>733</v>
      </c>
      <c r="F1105" s="26" t="s">
        <v>197</v>
      </c>
      <c r="G1105" s="27">
        <f>SUMIF(物料月初库存!$C$3:$C$303,$B1105,物料月初库存!$F$3:$F$303)</f>
        <v>0</v>
      </c>
      <c r="H1105" s="28">
        <f>SUMIF(半成品入库明细!$D$2:$D$650,$B1105,半成品入库明细!$G$2:$G$650)</f>
        <v>0</v>
      </c>
      <c r="I1105" s="28">
        <f ca="1">SUMIF(半成品出库明细!$D$2:$D$558,$B1105,半成品出库明细!$G$2:$G$2)</f>
        <v>0</v>
      </c>
      <c r="J1105" s="28">
        <f ca="1" t="shared" si="19"/>
        <v>0</v>
      </c>
      <c r="K1105" s="106" t="s">
        <v>107</v>
      </c>
      <c r="L1105" s="19"/>
      <c r="M1105" s="3"/>
    </row>
    <row r="1106" s="1" customFormat="1" spans="1:13">
      <c r="A1106" s="22"/>
      <c r="B1106" s="132" t="s">
        <v>1934</v>
      </c>
      <c r="C1106" s="133" t="s">
        <v>1929</v>
      </c>
      <c r="D1106" s="25" t="s">
        <v>1799</v>
      </c>
      <c r="E1106" s="19" t="s">
        <v>443</v>
      </c>
      <c r="F1106" s="26" t="s">
        <v>197</v>
      </c>
      <c r="G1106" s="27">
        <f>SUMIF(物料月初库存!$C$3:$C$303,$B1106,物料月初库存!$F$3:$F$303)</f>
        <v>0</v>
      </c>
      <c r="H1106" s="28">
        <f>SUMIF(半成品入库明细!$D$2:$D$650,$B1106,半成品入库明细!$G$2:$G$650)</f>
        <v>0</v>
      </c>
      <c r="I1106" s="28">
        <f ca="1">SUMIF(半成品出库明细!$D$2:$D$558,$B1106,半成品出库明细!$G$2:$G$2)</f>
        <v>0</v>
      </c>
      <c r="J1106" s="28">
        <f ca="1" t="shared" si="19"/>
        <v>0</v>
      </c>
      <c r="K1106" s="29" t="s">
        <v>168</v>
      </c>
      <c r="L1106" s="19"/>
      <c r="M1106" s="3"/>
    </row>
    <row r="1107" s="1" customFormat="1" spans="1:13">
      <c r="A1107" s="22"/>
      <c r="B1107" s="132" t="s">
        <v>1935</v>
      </c>
      <c r="C1107" s="133" t="s">
        <v>1936</v>
      </c>
      <c r="D1107" s="25" t="s">
        <v>1799</v>
      </c>
      <c r="E1107" s="19" t="s">
        <v>76</v>
      </c>
      <c r="F1107" s="26" t="s">
        <v>197</v>
      </c>
      <c r="G1107" s="27">
        <f>SUMIF(物料月初库存!$C$3:$C$303,$B1107,物料月初库存!$F$3:$F$303)</f>
        <v>0</v>
      </c>
      <c r="H1107" s="28">
        <f>SUMIF(半成品入库明细!$D$2:$D$650,$B1107,半成品入库明细!$G$2:$G$650)</f>
        <v>0</v>
      </c>
      <c r="I1107" s="28">
        <f ca="1">SUMIF(半成品出库明细!$D$2:$D$558,$B1107,半成品出库明细!$G$2:$G$2)</f>
        <v>0</v>
      </c>
      <c r="J1107" s="28">
        <f ca="1" t="shared" si="19"/>
        <v>0</v>
      </c>
      <c r="K1107" s="29"/>
      <c r="L1107" s="19"/>
      <c r="M1107" s="3"/>
    </row>
    <row r="1108" s="1" customFormat="1" spans="1:13">
      <c r="A1108" s="22"/>
      <c r="B1108" s="132" t="s">
        <v>1937</v>
      </c>
      <c r="C1108" s="133" t="s">
        <v>1936</v>
      </c>
      <c r="D1108" s="25" t="s">
        <v>1799</v>
      </c>
      <c r="E1108" s="19" t="s">
        <v>199</v>
      </c>
      <c r="F1108" s="26" t="s">
        <v>197</v>
      </c>
      <c r="G1108" s="27">
        <f>SUMIF(物料月初库存!$C$3:$C$303,$B1108,物料月初库存!$F$3:$F$303)</f>
        <v>0</v>
      </c>
      <c r="H1108" s="28">
        <f>SUMIF(半成品入库明细!$D$2:$D$650,$B1108,半成品入库明细!$G$2:$G$650)</f>
        <v>0</v>
      </c>
      <c r="I1108" s="28">
        <f ca="1">SUMIF(半成品出库明细!$D$2:$D$558,$B1108,半成品出库明细!$G$2:$G$2)</f>
        <v>0</v>
      </c>
      <c r="J1108" s="28">
        <f ca="1" t="shared" si="19"/>
        <v>0</v>
      </c>
      <c r="K1108" s="29" t="s">
        <v>173</v>
      </c>
      <c r="L1108" s="19"/>
      <c r="M1108" s="3"/>
    </row>
    <row r="1109" s="1" customFormat="1" spans="1:13">
      <c r="A1109" s="22"/>
      <c r="B1109" s="132" t="s">
        <v>1938</v>
      </c>
      <c r="C1109" s="133" t="s">
        <v>1936</v>
      </c>
      <c r="D1109" s="25" t="s">
        <v>1799</v>
      </c>
      <c r="E1109" s="19" t="s">
        <v>839</v>
      </c>
      <c r="F1109" s="26" t="s">
        <v>197</v>
      </c>
      <c r="G1109" s="27">
        <f>SUMIF(物料月初库存!$C$3:$C$303,$B1109,物料月初库存!$F$3:$F$303)</f>
        <v>0</v>
      </c>
      <c r="H1109" s="28">
        <f>SUMIF(半成品入库明细!$D$2:$D$650,$B1109,半成品入库明细!$G$2:$G$650)</f>
        <v>0</v>
      </c>
      <c r="I1109" s="28">
        <f ca="1">SUMIF(半成品出库明细!$D$2:$D$558,$B1109,半成品出库明细!$G$2:$G$2)</f>
        <v>0</v>
      </c>
      <c r="J1109" s="28">
        <f ca="1" t="shared" si="19"/>
        <v>0</v>
      </c>
      <c r="K1109" s="29" t="s">
        <v>1939</v>
      </c>
      <c r="L1109" s="19"/>
      <c r="M1109" s="3"/>
    </row>
    <row r="1110" s="1" customFormat="1" spans="1:13">
      <c r="A1110" s="22"/>
      <c r="B1110" s="132" t="s">
        <v>1940</v>
      </c>
      <c r="C1110" s="133" t="s">
        <v>1936</v>
      </c>
      <c r="D1110" s="25" t="s">
        <v>1799</v>
      </c>
      <c r="E1110" s="19" t="s">
        <v>326</v>
      </c>
      <c r="F1110" s="26" t="s">
        <v>197</v>
      </c>
      <c r="G1110" s="27">
        <f>SUMIF(物料月初库存!$C$3:$C$303,$B1110,物料月初库存!$F$3:$F$303)</f>
        <v>0</v>
      </c>
      <c r="H1110" s="28">
        <f>SUMIF(半成品入库明细!$D$2:$D$650,$B1110,半成品入库明细!$G$2:$G$650)</f>
        <v>0</v>
      </c>
      <c r="I1110" s="28">
        <f ca="1">SUMIF(半成品出库明细!$D$2:$D$558,$B1110,半成品出库明细!$G$2:$G$2)</f>
        <v>0</v>
      </c>
      <c r="J1110" s="28">
        <f ca="1" t="shared" si="19"/>
        <v>0</v>
      </c>
      <c r="K1110" s="30" t="s">
        <v>146</v>
      </c>
      <c r="L1110" s="19"/>
      <c r="M1110" s="3"/>
    </row>
    <row r="1111" s="1" customFormat="1" spans="1:13">
      <c r="A1111" s="22"/>
      <c r="B1111" s="132" t="s">
        <v>1941</v>
      </c>
      <c r="C1111" s="133" t="s">
        <v>1936</v>
      </c>
      <c r="D1111" s="25" t="s">
        <v>1799</v>
      </c>
      <c r="E1111" s="19" t="s">
        <v>239</v>
      </c>
      <c r="F1111" s="26" t="s">
        <v>197</v>
      </c>
      <c r="G1111" s="27">
        <f>SUMIF(物料月初库存!$C$3:$C$303,$B1111,物料月初库存!$F$3:$F$303)</f>
        <v>0</v>
      </c>
      <c r="H1111" s="28">
        <f>SUMIF(半成品入库明细!$D$2:$D$650,$B1111,半成品入库明细!$G$2:$G$650)</f>
        <v>0</v>
      </c>
      <c r="I1111" s="28">
        <f ca="1">SUMIF(半成品出库明细!$D$2:$D$558,$B1111,半成品出库明细!$G$2:$G$2)</f>
        <v>0</v>
      </c>
      <c r="J1111" s="28">
        <f ca="1" t="shared" si="19"/>
        <v>0</v>
      </c>
      <c r="K1111" s="51" t="s">
        <v>1942</v>
      </c>
      <c r="L1111" s="19"/>
      <c r="M1111" s="3"/>
    </row>
    <row r="1112" s="1" customFormat="1" spans="1:13">
      <c r="A1112" s="22"/>
      <c r="B1112" s="132" t="s">
        <v>1943</v>
      </c>
      <c r="C1112" s="131" t="s">
        <v>1944</v>
      </c>
      <c r="D1112" s="25" t="s">
        <v>1799</v>
      </c>
      <c r="E1112" s="19" t="s">
        <v>76</v>
      </c>
      <c r="F1112" s="26" t="s">
        <v>197</v>
      </c>
      <c r="G1112" s="27">
        <f>SUMIF(物料月初库存!$C$3:$C$303,$B1112,物料月初库存!$F$3:$F$303)</f>
        <v>0</v>
      </c>
      <c r="H1112" s="28">
        <f>SUMIF(半成品入库明细!$D$2:$D$650,$B1112,半成品入库明细!$G$2:$G$650)</f>
        <v>0</v>
      </c>
      <c r="I1112" s="28">
        <f ca="1">SUMIF(半成品出库明细!$D$2:$D$558,$B1112,半成品出库明细!$G$2:$G$2)</f>
        <v>0</v>
      </c>
      <c r="J1112" s="28">
        <f ca="1" t="shared" si="19"/>
        <v>0</v>
      </c>
      <c r="K1112" s="29"/>
      <c r="L1112" s="19"/>
      <c r="M1112" s="3"/>
    </row>
    <row r="1113" s="1" customFormat="1" spans="1:13">
      <c r="A1113" s="22"/>
      <c r="B1113" s="132" t="s">
        <v>1945</v>
      </c>
      <c r="C1113" s="131" t="s">
        <v>1944</v>
      </c>
      <c r="D1113" s="25" t="s">
        <v>1799</v>
      </c>
      <c r="E1113" s="19" t="s">
        <v>235</v>
      </c>
      <c r="F1113" s="26" t="s">
        <v>197</v>
      </c>
      <c r="G1113" s="27">
        <f>SUMIF(物料月初库存!$C$3:$C$303,$B1113,物料月初库存!$F$3:$F$303)</f>
        <v>0</v>
      </c>
      <c r="H1113" s="28">
        <f>SUMIF(半成品入库明细!$D$2:$D$650,$B1113,半成品入库明细!$G$2:$G$650)</f>
        <v>0</v>
      </c>
      <c r="I1113" s="28">
        <f ca="1">SUMIF(半成品出库明细!$D$2:$D$558,$B1113,半成品出库明细!$G$2:$G$2)</f>
        <v>0</v>
      </c>
      <c r="J1113" s="28">
        <f ca="1" t="shared" si="19"/>
        <v>0</v>
      </c>
      <c r="K1113" s="29" t="s">
        <v>107</v>
      </c>
      <c r="L1113" s="19"/>
      <c r="M1113" s="3"/>
    </row>
    <row r="1114" s="1" customFormat="1" spans="1:13">
      <c r="A1114" s="22"/>
      <c r="B1114" s="132" t="s">
        <v>18</v>
      </c>
      <c r="C1114" s="131" t="s">
        <v>1944</v>
      </c>
      <c r="D1114" s="25" t="s">
        <v>1799</v>
      </c>
      <c r="E1114" s="19" t="s">
        <v>326</v>
      </c>
      <c r="F1114" s="26" t="s">
        <v>197</v>
      </c>
      <c r="G1114" s="27">
        <f>SUMIF(物料月初库存!$C$3:$C$303,$B1114,物料月初库存!$F$3:$F$303)</f>
        <v>189</v>
      </c>
      <c r="H1114" s="28">
        <f>SUMIF(半成品入库明细!$D$2:$D$650,$B1114,半成品入库明细!$G$2:$G$650)</f>
        <v>0</v>
      </c>
      <c r="I1114" s="28">
        <f ca="1">SUMIF(半成品出库明细!$D$2:$D$558,$B1114,半成品出库明细!$G$2:$G$2)</f>
        <v>0</v>
      </c>
      <c r="J1114" s="28">
        <f ca="1" t="shared" si="19"/>
        <v>189</v>
      </c>
      <c r="K1114" s="29" t="s">
        <v>146</v>
      </c>
      <c r="L1114" s="19"/>
      <c r="M1114" s="3"/>
    </row>
    <row r="1115" s="1" customFormat="1" spans="1:13">
      <c r="A1115" s="22"/>
      <c r="B1115" s="132" t="s">
        <v>1946</v>
      </c>
      <c r="C1115" s="131" t="s">
        <v>1944</v>
      </c>
      <c r="D1115" s="25" t="s">
        <v>1799</v>
      </c>
      <c r="E1115" s="19" t="s">
        <v>353</v>
      </c>
      <c r="F1115" s="26" t="s">
        <v>197</v>
      </c>
      <c r="G1115" s="27">
        <f>SUMIF(物料月初库存!$C$3:$C$303,$B1115,物料月初库存!$F$3:$F$303)</f>
        <v>0</v>
      </c>
      <c r="H1115" s="28">
        <f>SUMIF(半成品入库明细!$D$2:$D$650,$B1115,半成品入库明细!$G$2:$G$650)</f>
        <v>0</v>
      </c>
      <c r="I1115" s="28">
        <f ca="1">SUMIF(半成品出库明细!$D$2:$D$558,$B1115,半成品出库明细!$G$2:$G$2)</f>
        <v>0</v>
      </c>
      <c r="J1115" s="28">
        <f ca="1" t="shared" si="19"/>
        <v>0</v>
      </c>
      <c r="K1115" s="29" t="s">
        <v>1947</v>
      </c>
      <c r="L1115" s="19"/>
      <c r="M1115" s="3"/>
    </row>
    <row r="1116" s="1" customFormat="1" spans="1:13">
      <c r="A1116" s="22"/>
      <c r="B1116" s="132" t="s">
        <v>1948</v>
      </c>
      <c r="C1116" s="131" t="s">
        <v>1944</v>
      </c>
      <c r="D1116" s="25" t="s">
        <v>1799</v>
      </c>
      <c r="E1116" s="19" t="s">
        <v>839</v>
      </c>
      <c r="F1116" s="26" t="s">
        <v>197</v>
      </c>
      <c r="G1116" s="27">
        <f>SUMIF(物料月初库存!$C$3:$C$303,$B1116,物料月初库存!$F$3:$F$303)</f>
        <v>0</v>
      </c>
      <c r="H1116" s="28">
        <f>SUMIF(半成品入库明细!$D$2:$D$650,$B1116,半成品入库明细!$G$2:$G$650)</f>
        <v>0</v>
      </c>
      <c r="I1116" s="28">
        <f ca="1">SUMIF(半成品出库明细!$D$2:$D$558,$B1116,半成品出库明细!$G$2:$G$2)</f>
        <v>0</v>
      </c>
      <c r="J1116" s="28">
        <f ca="1" t="shared" si="19"/>
        <v>0</v>
      </c>
      <c r="K1116" s="30" t="s">
        <v>1949</v>
      </c>
      <c r="L1116" s="19"/>
      <c r="M1116" s="3"/>
    </row>
    <row r="1117" s="1" customFormat="1" spans="1:13">
      <c r="A1117" s="22"/>
      <c r="B1117" s="132" t="s">
        <v>1950</v>
      </c>
      <c r="C1117" s="131" t="s">
        <v>1951</v>
      </c>
      <c r="D1117" s="25" t="s">
        <v>1799</v>
      </c>
      <c r="E1117" s="19" t="s">
        <v>76</v>
      </c>
      <c r="F1117" s="26" t="s">
        <v>197</v>
      </c>
      <c r="G1117" s="27">
        <f>SUMIF(物料月初库存!$C$3:$C$303,$B1117,物料月初库存!$F$3:$F$303)</f>
        <v>0</v>
      </c>
      <c r="H1117" s="28">
        <f>SUMIF(半成品入库明细!$D$2:$D$650,$B1117,半成品入库明细!$G$2:$G$650)</f>
        <v>0</v>
      </c>
      <c r="I1117" s="28">
        <f ca="1">SUMIF(半成品出库明细!$D$2:$D$558,$B1117,半成品出库明细!$G$2:$G$2)</f>
        <v>0</v>
      </c>
      <c r="J1117" s="28">
        <f ca="1" t="shared" si="19"/>
        <v>0</v>
      </c>
      <c r="K1117" s="30"/>
      <c r="L1117" s="19"/>
      <c r="M1117" s="3"/>
    </row>
    <row r="1118" s="1" customFormat="1" spans="1:13">
      <c r="A1118" s="22"/>
      <c r="B1118" s="132" t="s">
        <v>70</v>
      </c>
      <c r="C1118" s="131" t="s">
        <v>1951</v>
      </c>
      <c r="D1118" s="25" t="s">
        <v>1799</v>
      </c>
      <c r="E1118" s="19" t="s">
        <v>199</v>
      </c>
      <c r="F1118" s="26" t="s">
        <v>197</v>
      </c>
      <c r="G1118" s="27">
        <f>SUMIF(物料月初库存!$C$3:$C$303,$B1118,物料月初库存!$F$3:$F$303)</f>
        <v>50</v>
      </c>
      <c r="H1118" s="28">
        <f>SUMIF(半成品入库明细!$D$2:$D$650,$B1118,半成品入库明细!$G$2:$G$650)</f>
        <v>0</v>
      </c>
      <c r="I1118" s="28">
        <f ca="1">SUMIF(半成品出库明细!$D$2:$D$558,$B1118,半成品出库明细!$G$2:$G$2)</f>
        <v>0</v>
      </c>
      <c r="J1118" s="28">
        <f ca="1" t="shared" si="19"/>
        <v>50</v>
      </c>
      <c r="K1118" s="30" t="s">
        <v>1911</v>
      </c>
      <c r="L1118" s="19"/>
      <c r="M1118" s="3"/>
    </row>
    <row r="1119" s="1" customFormat="1" spans="1:13">
      <c r="A1119" s="22"/>
      <c r="B1119" s="132" t="s">
        <v>1952</v>
      </c>
      <c r="C1119" s="131" t="s">
        <v>1951</v>
      </c>
      <c r="D1119" s="25" t="s">
        <v>1799</v>
      </c>
      <c r="E1119" s="19" t="s">
        <v>839</v>
      </c>
      <c r="F1119" s="26" t="s">
        <v>197</v>
      </c>
      <c r="G1119" s="27">
        <f>SUMIF(物料月初库存!$C$3:$C$303,$B1119,物料月初库存!$F$3:$F$303)</f>
        <v>0</v>
      </c>
      <c r="H1119" s="28">
        <f>SUMIF(半成品入库明细!$D$2:$D$650,$B1119,半成品入库明细!$G$2:$G$650)</f>
        <v>0</v>
      </c>
      <c r="I1119" s="28">
        <f ca="1">SUMIF(半成品出库明细!$D$2:$D$558,$B1119,半成品出库明细!$G$2:$G$2)</f>
        <v>0</v>
      </c>
      <c r="J1119" s="28">
        <f ca="1" t="shared" si="19"/>
        <v>0</v>
      </c>
      <c r="K1119" s="30" t="s">
        <v>1953</v>
      </c>
      <c r="L1119" s="19"/>
      <c r="M1119" s="3"/>
    </row>
    <row r="1120" s="1" customFormat="1" spans="1:13">
      <c r="A1120" s="22"/>
      <c r="B1120" s="132" t="s">
        <v>1954</v>
      </c>
      <c r="C1120" s="131" t="s">
        <v>1955</v>
      </c>
      <c r="D1120" s="25" t="s">
        <v>1799</v>
      </c>
      <c r="E1120" s="19" t="s">
        <v>76</v>
      </c>
      <c r="F1120" s="26" t="s">
        <v>197</v>
      </c>
      <c r="G1120" s="27">
        <f>SUMIF(物料月初库存!$C$3:$C$303,$B1120,物料月初库存!$F$3:$F$303)</f>
        <v>0</v>
      </c>
      <c r="H1120" s="28">
        <f>SUMIF(半成品入库明细!$D$2:$D$650,$B1120,半成品入库明细!$G$2:$G$650)</f>
        <v>0</v>
      </c>
      <c r="I1120" s="28">
        <f ca="1">SUMIF(半成品出库明细!$D$2:$D$558,$B1120,半成品出库明细!$G$2:$G$2)</f>
        <v>0</v>
      </c>
      <c r="J1120" s="28">
        <f ca="1" t="shared" si="19"/>
        <v>0</v>
      </c>
      <c r="K1120" s="30"/>
      <c r="L1120" s="19"/>
      <c r="M1120" s="3"/>
    </row>
    <row r="1121" s="1" customFormat="1" spans="1:13">
      <c r="A1121" s="22"/>
      <c r="B1121" s="132" t="s">
        <v>1956</v>
      </c>
      <c r="C1121" s="131" t="s">
        <v>1955</v>
      </c>
      <c r="D1121" s="25" t="s">
        <v>1799</v>
      </c>
      <c r="E1121" s="19" t="s">
        <v>326</v>
      </c>
      <c r="F1121" s="26" t="s">
        <v>197</v>
      </c>
      <c r="G1121" s="27">
        <f>SUMIF(物料月初库存!$C$3:$C$303,$B1121,物料月初库存!$F$3:$F$303)</f>
        <v>0</v>
      </c>
      <c r="H1121" s="28">
        <f>SUMIF(半成品入库明细!$D$2:$D$650,$B1121,半成品入库明细!$G$2:$G$650)</f>
        <v>0</v>
      </c>
      <c r="I1121" s="28">
        <f ca="1">SUMIF(半成品出库明细!$D$2:$D$558,$B1121,半成品出库明细!$G$2:$G$2)</f>
        <v>0</v>
      </c>
      <c r="J1121" s="28">
        <f ca="1" t="shared" si="19"/>
        <v>0</v>
      </c>
      <c r="K1121" s="29" t="s">
        <v>146</v>
      </c>
      <c r="L1121" s="19"/>
      <c r="M1121" s="3"/>
    </row>
    <row r="1122" s="1" customFormat="1" spans="1:13">
      <c r="A1122" s="22"/>
      <c r="B1122" s="132" t="s">
        <v>1957</v>
      </c>
      <c r="C1122" s="131" t="s">
        <v>1955</v>
      </c>
      <c r="D1122" s="25" t="s">
        <v>1799</v>
      </c>
      <c r="E1122" s="19" t="s">
        <v>353</v>
      </c>
      <c r="F1122" s="26" t="s">
        <v>197</v>
      </c>
      <c r="G1122" s="27">
        <f>SUMIF(物料月初库存!$C$3:$C$303,$B1122,物料月初库存!$F$3:$F$303)</f>
        <v>0</v>
      </c>
      <c r="H1122" s="28">
        <f>SUMIF(半成品入库明细!$D$2:$D$650,$B1122,半成品入库明细!$G$2:$G$650)</f>
        <v>0</v>
      </c>
      <c r="I1122" s="28">
        <f ca="1">SUMIF(半成品出库明细!$D$2:$D$558,$B1122,半成品出库明细!$G$2:$G$2)</f>
        <v>0</v>
      </c>
      <c r="J1122" s="28">
        <f ca="1" t="shared" si="19"/>
        <v>0</v>
      </c>
      <c r="K1122" s="29" t="s">
        <v>1947</v>
      </c>
      <c r="L1122" s="19"/>
      <c r="M1122" s="3"/>
    </row>
    <row r="1123" s="1" customFormat="1" spans="1:13">
      <c r="A1123" s="22"/>
      <c r="B1123" s="132" t="s">
        <v>1958</v>
      </c>
      <c r="C1123" s="131" t="s">
        <v>1955</v>
      </c>
      <c r="D1123" s="25" t="s">
        <v>1799</v>
      </c>
      <c r="E1123" s="19" t="s">
        <v>839</v>
      </c>
      <c r="F1123" s="26" t="s">
        <v>197</v>
      </c>
      <c r="G1123" s="27">
        <f>SUMIF(物料月初库存!$C$3:$C$303,$B1123,物料月初库存!$F$3:$F$303)</f>
        <v>0</v>
      </c>
      <c r="H1123" s="28">
        <f>SUMIF(半成品入库明细!$D$2:$D$650,$B1123,半成品入库明细!$G$2:$G$650)</f>
        <v>0</v>
      </c>
      <c r="I1123" s="28">
        <f ca="1">SUMIF(半成品出库明细!$D$2:$D$558,$B1123,半成品出库明细!$G$2:$G$2)</f>
        <v>0</v>
      </c>
      <c r="J1123" s="28">
        <f ca="1" t="shared" si="19"/>
        <v>0</v>
      </c>
      <c r="K1123" s="30" t="s">
        <v>1949</v>
      </c>
      <c r="L1123" s="19"/>
      <c r="M1123" s="3"/>
    </row>
    <row r="1124" s="1" customFormat="1" spans="1:13">
      <c r="A1124" s="22"/>
      <c r="B1124" s="132" t="s">
        <v>1959</v>
      </c>
      <c r="C1124" s="131" t="s">
        <v>1960</v>
      </c>
      <c r="D1124" s="25" t="s">
        <v>1799</v>
      </c>
      <c r="E1124" s="19" t="s">
        <v>76</v>
      </c>
      <c r="F1124" s="26" t="s">
        <v>197</v>
      </c>
      <c r="G1124" s="27">
        <f>SUMIF(物料月初库存!$C$3:$C$303,$B1124,物料月初库存!$F$3:$F$303)</f>
        <v>0</v>
      </c>
      <c r="H1124" s="28">
        <f>SUMIF(半成品入库明细!$D$2:$D$650,$B1124,半成品入库明细!$G$2:$G$650)</f>
        <v>0</v>
      </c>
      <c r="I1124" s="28">
        <f ca="1">SUMIF(半成品出库明细!$D$2:$D$558,$B1124,半成品出库明细!$G$2:$G$2)</f>
        <v>0</v>
      </c>
      <c r="J1124" s="28">
        <f ca="1" t="shared" si="19"/>
        <v>0</v>
      </c>
      <c r="K1124" s="30"/>
      <c r="L1124" s="19"/>
      <c r="M1124" s="3"/>
    </row>
    <row r="1125" s="1" customFormat="1" spans="1:13">
      <c r="A1125" s="22"/>
      <c r="B1125" s="132" t="s">
        <v>1961</v>
      </c>
      <c r="C1125" s="131" t="s">
        <v>1960</v>
      </c>
      <c r="D1125" s="25" t="s">
        <v>1799</v>
      </c>
      <c r="E1125" s="19" t="s">
        <v>235</v>
      </c>
      <c r="F1125" s="26" t="s">
        <v>197</v>
      </c>
      <c r="G1125" s="27">
        <f>SUMIF(物料月初库存!$C$3:$C$303,$B1125,物料月初库存!$F$3:$F$303)</f>
        <v>0</v>
      </c>
      <c r="H1125" s="28">
        <f>SUMIF(半成品入库明细!$D$2:$D$650,$B1125,半成品入库明细!$G$2:$G$650)</f>
        <v>0</v>
      </c>
      <c r="I1125" s="28">
        <f ca="1">SUMIF(半成品出库明细!$D$2:$D$558,$B1125,半成品出库明细!$G$2:$G$2)</f>
        <v>0</v>
      </c>
      <c r="J1125" s="28">
        <f ca="1" t="shared" si="19"/>
        <v>0</v>
      </c>
      <c r="K1125" s="29" t="s">
        <v>1962</v>
      </c>
      <c r="L1125" s="19"/>
      <c r="M1125" s="3"/>
    </row>
    <row r="1126" s="1" customFormat="1" spans="1:13">
      <c r="A1126" s="22"/>
      <c r="B1126" s="132" t="s">
        <v>1963</v>
      </c>
      <c r="C1126" s="131" t="s">
        <v>1960</v>
      </c>
      <c r="D1126" s="25" t="s">
        <v>1799</v>
      </c>
      <c r="E1126" s="19" t="s">
        <v>326</v>
      </c>
      <c r="F1126" s="26" t="s">
        <v>197</v>
      </c>
      <c r="G1126" s="27">
        <f>SUMIF(物料月初库存!$C$3:$C$303,$B1126,物料月初库存!$F$3:$F$303)</f>
        <v>0</v>
      </c>
      <c r="H1126" s="28">
        <f>SUMIF(半成品入库明细!$D$2:$D$650,$B1126,半成品入库明细!$G$2:$G$650)</f>
        <v>0</v>
      </c>
      <c r="I1126" s="28">
        <f ca="1">SUMIF(半成品出库明细!$D$2:$D$558,$B1126,半成品出库明细!$G$2:$G$2)</f>
        <v>0</v>
      </c>
      <c r="J1126" s="28">
        <f ca="1" t="shared" si="19"/>
        <v>0</v>
      </c>
      <c r="K1126" s="30" t="s">
        <v>146</v>
      </c>
      <c r="L1126" s="19"/>
      <c r="M1126" s="3"/>
    </row>
    <row r="1127" s="1" customFormat="1" spans="1:13">
      <c r="A1127" s="22"/>
      <c r="B1127" s="132" t="s">
        <v>1964</v>
      </c>
      <c r="C1127" s="131" t="s">
        <v>1960</v>
      </c>
      <c r="D1127" s="25" t="s">
        <v>1799</v>
      </c>
      <c r="E1127" s="19" t="s">
        <v>353</v>
      </c>
      <c r="F1127" s="26" t="s">
        <v>197</v>
      </c>
      <c r="G1127" s="27">
        <f>SUMIF(物料月初库存!$C$3:$C$303,$B1127,物料月初库存!$F$3:$F$303)</f>
        <v>0</v>
      </c>
      <c r="H1127" s="28">
        <f>SUMIF(半成品入库明细!$D$2:$D$650,$B1127,半成品入库明细!$G$2:$G$650)</f>
        <v>0</v>
      </c>
      <c r="I1127" s="28">
        <f ca="1">SUMIF(半成品出库明细!$D$2:$D$558,$B1127,半成品出库明细!$G$2:$G$2)</f>
        <v>0</v>
      </c>
      <c r="J1127" s="28">
        <f ca="1" t="shared" si="19"/>
        <v>0</v>
      </c>
      <c r="K1127" s="30" t="s">
        <v>140</v>
      </c>
      <c r="L1127" s="19"/>
      <c r="M1127" s="3"/>
    </row>
    <row r="1128" s="1" customFormat="1" spans="1:13">
      <c r="A1128" s="22"/>
      <c r="B1128" s="132" t="s">
        <v>1965</v>
      </c>
      <c r="C1128" s="131" t="s">
        <v>1960</v>
      </c>
      <c r="D1128" s="25" t="s">
        <v>1799</v>
      </c>
      <c r="E1128" s="19" t="s">
        <v>839</v>
      </c>
      <c r="F1128" s="26" t="s">
        <v>197</v>
      </c>
      <c r="G1128" s="27">
        <f>SUMIF(物料月初库存!$C$3:$C$303,$B1128,物料月初库存!$F$3:$F$303)</f>
        <v>0</v>
      </c>
      <c r="H1128" s="28">
        <f>SUMIF(半成品入库明细!$D$2:$D$650,$B1128,半成品入库明细!$G$2:$G$650)</f>
        <v>0</v>
      </c>
      <c r="I1128" s="28">
        <f ca="1">SUMIF(半成品出库明细!$D$2:$D$558,$B1128,半成品出库明细!$G$2:$G$2)</f>
        <v>0</v>
      </c>
      <c r="J1128" s="28">
        <f ca="1" t="shared" si="19"/>
        <v>0</v>
      </c>
      <c r="K1128" s="30"/>
      <c r="L1128" s="19"/>
      <c r="M1128" s="3"/>
    </row>
    <row r="1129" s="1" customFormat="1" spans="1:13">
      <c r="A1129" s="22"/>
      <c r="B1129" s="132" t="s">
        <v>1966</v>
      </c>
      <c r="C1129" s="131" t="s">
        <v>1967</v>
      </c>
      <c r="D1129" s="25" t="s">
        <v>1799</v>
      </c>
      <c r="E1129" s="19" t="s">
        <v>76</v>
      </c>
      <c r="F1129" s="26" t="s">
        <v>197</v>
      </c>
      <c r="G1129" s="27">
        <f>SUMIF(物料月初库存!$C$3:$C$303,$B1129,物料月初库存!$F$3:$F$303)</f>
        <v>0</v>
      </c>
      <c r="H1129" s="28">
        <f>SUMIF(半成品入库明细!$D$2:$D$650,$B1129,半成品入库明细!$G$2:$G$650)</f>
        <v>0</v>
      </c>
      <c r="I1129" s="28">
        <f ca="1">SUMIF(半成品出库明细!$D$2:$D$558,$B1129,半成品出库明细!$G$2:$G$2)</f>
        <v>0</v>
      </c>
      <c r="J1129" s="28">
        <f ca="1" t="shared" si="19"/>
        <v>0</v>
      </c>
      <c r="K1129" s="30"/>
      <c r="L1129" s="19"/>
      <c r="M1129" s="3"/>
    </row>
    <row r="1130" s="1" customFormat="1" spans="1:13">
      <c r="A1130" s="22"/>
      <c r="B1130" s="132" t="s">
        <v>1968</v>
      </c>
      <c r="C1130" s="131" t="s">
        <v>1967</v>
      </c>
      <c r="D1130" s="25" t="s">
        <v>1799</v>
      </c>
      <c r="E1130" s="19" t="s">
        <v>733</v>
      </c>
      <c r="F1130" s="26" t="s">
        <v>197</v>
      </c>
      <c r="G1130" s="27">
        <f>SUMIF(物料月初库存!$C$3:$C$303,$B1130,物料月初库存!$F$3:$F$303)</f>
        <v>0</v>
      </c>
      <c r="H1130" s="28">
        <f>SUMIF(半成品入库明细!$D$2:$D$650,$B1130,半成品入库明细!$G$2:$G$650)</f>
        <v>0</v>
      </c>
      <c r="I1130" s="28">
        <f ca="1">SUMIF(半成品出库明细!$D$2:$D$558,$B1130,半成品出库明细!$G$2:$G$2)</f>
        <v>0</v>
      </c>
      <c r="J1130" s="28">
        <f ca="1" t="shared" si="19"/>
        <v>0</v>
      </c>
      <c r="K1130" s="29" t="s">
        <v>1969</v>
      </c>
      <c r="L1130" s="19"/>
      <c r="M1130" s="3"/>
    </row>
    <row r="1131" s="1" customFormat="1" spans="1:13">
      <c r="A1131" s="22"/>
      <c r="B1131" s="132" t="s">
        <v>1970</v>
      </c>
      <c r="C1131" s="131" t="s">
        <v>1967</v>
      </c>
      <c r="D1131" s="25" t="s">
        <v>1799</v>
      </c>
      <c r="E1131" s="19" t="s">
        <v>239</v>
      </c>
      <c r="F1131" s="26" t="s">
        <v>197</v>
      </c>
      <c r="G1131" s="27">
        <f>SUMIF(物料月初库存!$C$3:$C$303,$B1131,物料月初库存!$F$3:$F$303)</f>
        <v>0</v>
      </c>
      <c r="H1131" s="28">
        <f>SUMIF(半成品入库明细!$D$2:$D$650,$B1131,半成品入库明细!$G$2:$G$650)</f>
        <v>0</v>
      </c>
      <c r="I1131" s="28">
        <f ca="1">SUMIF(半成品出库明细!$D$2:$D$558,$B1131,半成品出库明细!$G$2:$G$2)</f>
        <v>0</v>
      </c>
      <c r="J1131" s="28">
        <f ca="1" t="shared" si="19"/>
        <v>0</v>
      </c>
      <c r="K1131" s="106" t="s">
        <v>1971</v>
      </c>
      <c r="L1131" s="19"/>
      <c r="M1131" s="3"/>
    </row>
    <row r="1132" s="1" customFormat="1" spans="1:13">
      <c r="A1132" s="22"/>
      <c r="B1132" s="132" t="s">
        <v>1972</v>
      </c>
      <c r="C1132" s="131" t="s">
        <v>1967</v>
      </c>
      <c r="D1132" s="25" t="s">
        <v>1799</v>
      </c>
      <c r="E1132" s="19" t="s">
        <v>267</v>
      </c>
      <c r="F1132" s="26" t="s">
        <v>197</v>
      </c>
      <c r="G1132" s="27">
        <f>SUMIF(物料月初库存!$C$3:$C$303,$B1132,物料月初库存!$F$3:$F$303)</f>
        <v>0</v>
      </c>
      <c r="H1132" s="28">
        <f>SUMIF(半成品入库明细!$D$2:$D$650,$B1132,半成品入库明细!$G$2:$G$650)</f>
        <v>0</v>
      </c>
      <c r="I1132" s="28">
        <f ca="1">SUMIF(半成品出库明细!$D$2:$D$558,$B1132,半成品出库明细!$G$2:$G$2)</f>
        <v>0</v>
      </c>
      <c r="J1132" s="28">
        <f ca="1" t="shared" si="19"/>
        <v>0</v>
      </c>
      <c r="K1132" s="30" t="s">
        <v>146</v>
      </c>
      <c r="L1132" s="19"/>
      <c r="M1132" s="3"/>
    </row>
    <row r="1133" s="1" customFormat="1" spans="1:13">
      <c r="A1133" s="22"/>
      <c r="B1133" s="132" t="s">
        <v>19</v>
      </c>
      <c r="C1133" s="131" t="s">
        <v>1967</v>
      </c>
      <c r="D1133" s="25" t="s">
        <v>1799</v>
      </c>
      <c r="E1133" s="19" t="s">
        <v>316</v>
      </c>
      <c r="F1133" s="26" t="s">
        <v>197</v>
      </c>
      <c r="G1133" s="27">
        <f>SUMIF(物料月初库存!$C$3:$C$303,$B1133,物料月初库存!$F$3:$F$303)</f>
        <v>3996</v>
      </c>
      <c r="H1133" s="28">
        <f>SUMIF(半成品入库明细!$D$2:$D$650,$B1133,半成品入库明细!$G$2:$G$650)</f>
        <v>0</v>
      </c>
      <c r="I1133" s="28">
        <f ca="1">SUMIF(半成品出库明细!$D$2:$D$558,$B1133,半成品出库明细!$G$2:$G$2)</f>
        <v>0</v>
      </c>
      <c r="J1133" s="28">
        <f ca="1" t="shared" si="19"/>
        <v>3996</v>
      </c>
      <c r="K1133" s="30" t="s">
        <v>140</v>
      </c>
      <c r="L1133" s="19"/>
      <c r="M1133" s="3"/>
    </row>
    <row r="1134" s="1" customFormat="1" spans="1:13">
      <c r="A1134" s="22"/>
      <c r="B1134" s="132" t="s">
        <v>1973</v>
      </c>
      <c r="C1134" s="131" t="s">
        <v>1967</v>
      </c>
      <c r="D1134" s="25" t="s">
        <v>1799</v>
      </c>
      <c r="E1134" s="19" t="s">
        <v>443</v>
      </c>
      <c r="F1134" s="26" t="s">
        <v>197</v>
      </c>
      <c r="G1134" s="27">
        <f>SUMIF(物料月初库存!$C$3:$C$303,$B1134,物料月初库存!$F$3:$F$303)</f>
        <v>0</v>
      </c>
      <c r="H1134" s="28">
        <f>SUMIF(半成品入库明细!$D$2:$D$650,$B1134,半成品入库明细!$G$2:$G$650)</f>
        <v>0</v>
      </c>
      <c r="I1134" s="28">
        <f ca="1">SUMIF(半成品出库明细!$D$2:$D$558,$B1134,半成品出库明细!$G$2:$G$2)</f>
        <v>0</v>
      </c>
      <c r="J1134" s="28">
        <f ca="1" t="shared" si="19"/>
        <v>0</v>
      </c>
      <c r="K1134" s="30" t="s">
        <v>1907</v>
      </c>
      <c r="L1134" s="19"/>
      <c r="M1134" s="3"/>
    </row>
    <row r="1135" s="1" customFormat="1" spans="1:13">
      <c r="A1135" s="22"/>
      <c r="B1135" s="132" t="s">
        <v>1974</v>
      </c>
      <c r="C1135" s="131" t="s">
        <v>1967</v>
      </c>
      <c r="D1135" s="25" t="s">
        <v>1799</v>
      </c>
      <c r="E1135" s="19" t="s">
        <v>270</v>
      </c>
      <c r="F1135" s="26" t="s">
        <v>197</v>
      </c>
      <c r="G1135" s="27">
        <f>SUMIF(物料月初库存!$C$3:$C$303,$B1135,物料月初库存!$F$3:$F$303)</f>
        <v>0</v>
      </c>
      <c r="H1135" s="28">
        <f>SUMIF(半成品入库明细!$D$2:$D$650,$B1135,半成品入库明细!$G$2:$G$650)</f>
        <v>0</v>
      </c>
      <c r="I1135" s="28">
        <f ca="1">SUMIF(半成品出库明细!$D$2:$D$558,$B1135,半成品出库明细!$G$2:$G$2)</f>
        <v>0</v>
      </c>
      <c r="J1135" s="28">
        <f ca="1" t="shared" si="19"/>
        <v>0</v>
      </c>
      <c r="K1135" s="30" t="s">
        <v>1975</v>
      </c>
      <c r="L1135" s="19"/>
      <c r="M1135" s="3"/>
    </row>
    <row r="1136" s="1" customFormat="1" spans="1:13">
      <c r="A1136" s="22"/>
      <c r="B1136" s="132" t="s">
        <v>1976</v>
      </c>
      <c r="C1136" s="134" t="s">
        <v>1977</v>
      </c>
      <c r="D1136" s="25" t="s">
        <v>1799</v>
      </c>
      <c r="E1136" s="19" t="s">
        <v>76</v>
      </c>
      <c r="F1136" s="26" t="s">
        <v>197</v>
      </c>
      <c r="G1136" s="27">
        <f>SUMIF(物料月初库存!$C$3:$C$303,$B1136,物料月初库存!$F$3:$F$303)</f>
        <v>0</v>
      </c>
      <c r="H1136" s="28">
        <f>SUMIF(半成品入库明细!$D$2:$D$650,$B1136,半成品入库明细!$G$2:$G$650)</f>
        <v>0</v>
      </c>
      <c r="I1136" s="28">
        <f ca="1">SUMIF(半成品出库明细!$D$2:$D$558,$B1136,半成品出库明细!$G$2:$G$2)</f>
        <v>0</v>
      </c>
      <c r="J1136" s="28">
        <f ca="1" t="shared" si="19"/>
        <v>0</v>
      </c>
      <c r="K1136" s="30"/>
      <c r="L1136" s="19"/>
      <c r="M1136" s="3"/>
    </row>
    <row r="1137" s="1" customFormat="1" spans="1:13">
      <c r="A1137" s="22"/>
      <c r="B1137" s="132" t="s">
        <v>1978</v>
      </c>
      <c r="C1137" s="134" t="s">
        <v>1977</v>
      </c>
      <c r="D1137" s="25" t="s">
        <v>1799</v>
      </c>
      <c r="E1137" s="19" t="s">
        <v>356</v>
      </c>
      <c r="F1137" s="26" t="s">
        <v>197</v>
      </c>
      <c r="G1137" s="27">
        <f>SUMIF(物料月初库存!$C$3:$C$303,$B1137,物料月初库存!$F$3:$F$303)</f>
        <v>0</v>
      </c>
      <c r="H1137" s="28">
        <f>SUMIF(半成品入库明细!$D$2:$D$650,$B1137,半成品入库明细!$G$2:$G$650)</f>
        <v>0</v>
      </c>
      <c r="I1137" s="28">
        <f ca="1">SUMIF(半成品出库明细!$D$2:$D$558,$B1137,半成品出库明细!$G$2:$G$2)</f>
        <v>0</v>
      </c>
      <c r="J1137" s="28">
        <f ca="1" t="shared" ref="J1137:J1154" si="20">G1137+H1137-I1137</f>
        <v>0</v>
      </c>
      <c r="K1137" s="51" t="s">
        <v>1979</v>
      </c>
      <c r="L1137" s="19"/>
      <c r="M1137" s="3"/>
    </row>
    <row r="1138" s="1" customFormat="1" spans="1:13">
      <c r="A1138" s="22"/>
      <c r="B1138" s="132" t="s">
        <v>1980</v>
      </c>
      <c r="C1138" s="134" t="s">
        <v>1977</v>
      </c>
      <c r="D1138" s="25" t="s">
        <v>1799</v>
      </c>
      <c r="E1138" s="19" t="s">
        <v>267</v>
      </c>
      <c r="F1138" s="26" t="s">
        <v>197</v>
      </c>
      <c r="G1138" s="27">
        <f>SUMIF(物料月初库存!$C$3:$C$303,$B1138,物料月初库存!$F$3:$F$303)</f>
        <v>0</v>
      </c>
      <c r="H1138" s="28">
        <f>SUMIF(半成品入库明细!$D$2:$D$650,$B1138,半成品入库明细!$G$2:$G$650)</f>
        <v>0</v>
      </c>
      <c r="I1138" s="28">
        <f ca="1">SUMIF(半成品出库明细!$D$2:$D$558,$B1138,半成品出库明细!$G$2:$G$2)</f>
        <v>0</v>
      </c>
      <c r="J1138" s="28">
        <f ca="1" t="shared" si="20"/>
        <v>0</v>
      </c>
      <c r="K1138" s="30" t="s">
        <v>146</v>
      </c>
      <c r="L1138" s="19"/>
      <c r="M1138" s="3"/>
    </row>
    <row r="1139" s="1" customFormat="1" spans="1:13">
      <c r="A1139" s="22"/>
      <c r="B1139" s="132" t="s">
        <v>1981</v>
      </c>
      <c r="C1139" s="134" t="s">
        <v>1977</v>
      </c>
      <c r="D1139" s="25" t="s">
        <v>1799</v>
      </c>
      <c r="E1139" s="19" t="s">
        <v>199</v>
      </c>
      <c r="F1139" s="26" t="s">
        <v>197</v>
      </c>
      <c r="G1139" s="27">
        <f>SUMIF(物料月初库存!$C$3:$C$303,$B1139,物料月初库存!$F$3:$F$303)</f>
        <v>0</v>
      </c>
      <c r="H1139" s="28">
        <f>SUMIF(半成品入库明细!$D$2:$D$650,$B1139,半成品入库明细!$G$2:$G$650)</f>
        <v>0</v>
      </c>
      <c r="I1139" s="28">
        <f ca="1">SUMIF(半成品出库明细!$D$2:$D$558,$B1139,半成品出库明细!$G$2:$G$2)</f>
        <v>0</v>
      </c>
      <c r="J1139" s="28">
        <f ca="1" t="shared" si="20"/>
        <v>0</v>
      </c>
      <c r="K1139" s="30" t="s">
        <v>173</v>
      </c>
      <c r="L1139" s="19"/>
      <c r="M1139" s="3"/>
    </row>
    <row r="1140" s="1" customFormat="1" spans="1:13">
      <c r="A1140" s="22"/>
      <c r="B1140" s="132" t="s">
        <v>1982</v>
      </c>
      <c r="C1140" s="131" t="s">
        <v>1983</v>
      </c>
      <c r="D1140" s="25" t="s">
        <v>1799</v>
      </c>
      <c r="E1140" s="19" t="s">
        <v>76</v>
      </c>
      <c r="F1140" s="26" t="s">
        <v>197</v>
      </c>
      <c r="G1140" s="27">
        <f>SUMIF(物料月初库存!$C$3:$C$303,$B1140,物料月初库存!$F$3:$F$303)</f>
        <v>0</v>
      </c>
      <c r="H1140" s="28">
        <f>SUMIF(半成品入库明细!$D$2:$D$650,$B1140,半成品入库明细!$G$2:$G$650)</f>
        <v>0</v>
      </c>
      <c r="I1140" s="28">
        <f ca="1">SUMIF(半成品出库明细!$D$2:$D$558,$B1140,半成品出库明细!$G$2:$G$2)</f>
        <v>0</v>
      </c>
      <c r="J1140" s="28">
        <f ca="1" t="shared" si="20"/>
        <v>0</v>
      </c>
      <c r="K1140" s="30"/>
      <c r="L1140" s="19"/>
      <c r="M1140" s="3"/>
    </row>
    <row r="1141" s="1" customFormat="1" spans="1:13">
      <c r="A1141" s="22"/>
      <c r="B1141" s="132" t="s">
        <v>1984</v>
      </c>
      <c r="C1141" s="131" t="s">
        <v>1983</v>
      </c>
      <c r="D1141" s="25" t="s">
        <v>1799</v>
      </c>
      <c r="E1141" s="19" t="s">
        <v>356</v>
      </c>
      <c r="F1141" s="26" t="s">
        <v>197</v>
      </c>
      <c r="G1141" s="27">
        <f>SUMIF(物料月初库存!$C$3:$C$303,$B1141,物料月初库存!$F$3:$F$303)</f>
        <v>0</v>
      </c>
      <c r="H1141" s="28">
        <f>SUMIF(半成品入库明细!$D$2:$D$650,$B1141,半成品入库明细!$G$2:$G$650)</f>
        <v>0</v>
      </c>
      <c r="I1141" s="28">
        <f ca="1">SUMIF(半成品出库明细!$D$2:$D$558,$B1141,半成品出库明细!$G$2:$G$2)</f>
        <v>0</v>
      </c>
      <c r="J1141" s="28">
        <f ca="1" t="shared" si="20"/>
        <v>0</v>
      </c>
      <c r="K1141" s="51" t="s">
        <v>1979</v>
      </c>
      <c r="L1141" s="19"/>
      <c r="M1141" s="3"/>
    </row>
    <row r="1142" s="1" customFormat="1" spans="1:13">
      <c r="A1142" s="22"/>
      <c r="B1142" s="132" t="s">
        <v>1985</v>
      </c>
      <c r="C1142" s="131" t="s">
        <v>1983</v>
      </c>
      <c r="D1142" s="25" t="s">
        <v>1799</v>
      </c>
      <c r="E1142" s="19" t="s">
        <v>199</v>
      </c>
      <c r="F1142" s="26" t="s">
        <v>197</v>
      </c>
      <c r="G1142" s="27">
        <f>SUMIF(物料月初库存!$C$3:$C$303,$B1142,物料月初库存!$F$3:$F$303)</f>
        <v>0</v>
      </c>
      <c r="H1142" s="28">
        <f>SUMIF(半成品入库明细!$D$2:$D$650,$B1142,半成品入库明细!$G$2:$G$650)</f>
        <v>0</v>
      </c>
      <c r="I1142" s="28">
        <f ca="1">SUMIF(半成品出库明细!$D$2:$D$558,$B1142,半成品出库明细!$G$2:$G$2)</f>
        <v>0</v>
      </c>
      <c r="J1142" s="28">
        <f ca="1" t="shared" si="20"/>
        <v>0</v>
      </c>
      <c r="K1142" s="30" t="s">
        <v>1986</v>
      </c>
      <c r="L1142" s="19"/>
      <c r="M1142" s="3"/>
    </row>
    <row r="1143" s="1" customFormat="1" spans="1:13">
      <c r="A1143" s="22"/>
      <c r="B1143" s="132" t="s">
        <v>1987</v>
      </c>
      <c r="C1143" s="131" t="s">
        <v>1988</v>
      </c>
      <c r="D1143" s="25" t="s">
        <v>1799</v>
      </c>
      <c r="E1143" s="19" t="s">
        <v>76</v>
      </c>
      <c r="F1143" s="26" t="s">
        <v>197</v>
      </c>
      <c r="G1143" s="27">
        <f>SUMIF(物料月初库存!$C$3:$C$303,$B1143,物料月初库存!$F$3:$F$303)</f>
        <v>0</v>
      </c>
      <c r="H1143" s="28">
        <f>SUMIF(半成品入库明细!$D$2:$D$650,$B1143,半成品入库明细!$G$2:$G$650)</f>
        <v>0</v>
      </c>
      <c r="I1143" s="28">
        <f ca="1">SUMIF(半成品出库明细!$D$2:$D$558,$B1143,半成品出库明细!$G$2:$G$2)</f>
        <v>0</v>
      </c>
      <c r="J1143" s="28">
        <f ca="1" t="shared" si="20"/>
        <v>0</v>
      </c>
      <c r="K1143" s="30"/>
      <c r="L1143" s="19"/>
      <c r="M1143" s="3"/>
    </row>
    <row r="1144" s="1" customFormat="1" spans="1:13">
      <c r="A1144" s="22"/>
      <c r="B1144" s="132" t="s">
        <v>1989</v>
      </c>
      <c r="C1144" s="131" t="s">
        <v>1988</v>
      </c>
      <c r="D1144" s="25" t="s">
        <v>1799</v>
      </c>
      <c r="E1144" s="19" t="s">
        <v>356</v>
      </c>
      <c r="F1144" s="26" t="s">
        <v>197</v>
      </c>
      <c r="G1144" s="27">
        <f>SUMIF(物料月初库存!$C$3:$C$303,$B1144,物料月初库存!$F$3:$F$303)</f>
        <v>0</v>
      </c>
      <c r="H1144" s="28">
        <f>SUMIF(半成品入库明细!$D$2:$D$650,$B1144,半成品入库明细!$G$2:$G$650)</f>
        <v>0</v>
      </c>
      <c r="I1144" s="28">
        <f ca="1">SUMIF(半成品出库明细!$D$2:$D$558,$B1144,半成品出库明细!$G$2:$G$2)</f>
        <v>0</v>
      </c>
      <c r="J1144" s="28">
        <f ca="1" t="shared" si="20"/>
        <v>0</v>
      </c>
      <c r="K1144" s="51" t="s">
        <v>1990</v>
      </c>
      <c r="L1144" s="19"/>
      <c r="M1144" s="3"/>
    </row>
    <row r="1145" s="1" customFormat="1" spans="1:13">
      <c r="A1145" s="22"/>
      <c r="B1145" s="132" t="s">
        <v>1991</v>
      </c>
      <c r="C1145" s="131" t="s">
        <v>1988</v>
      </c>
      <c r="D1145" s="25" t="s">
        <v>1799</v>
      </c>
      <c r="E1145" s="19" t="s">
        <v>267</v>
      </c>
      <c r="F1145" s="26" t="s">
        <v>197</v>
      </c>
      <c r="G1145" s="27">
        <f>SUMIF(物料月初库存!$C$3:$C$303,$B1145,物料月初库存!$F$3:$F$303)</f>
        <v>0</v>
      </c>
      <c r="H1145" s="28">
        <f>SUMIF(半成品入库明细!$D$2:$D$650,$B1145,半成品入库明细!$G$2:$G$650)</f>
        <v>0</v>
      </c>
      <c r="I1145" s="28">
        <f ca="1">SUMIF(半成品出库明细!$D$2:$D$558,$B1145,半成品出库明细!$G$2:$G$2)</f>
        <v>0</v>
      </c>
      <c r="J1145" s="28">
        <f ca="1" t="shared" si="20"/>
        <v>0</v>
      </c>
      <c r="K1145" s="30" t="s">
        <v>146</v>
      </c>
      <c r="L1145" s="19"/>
      <c r="M1145" s="3"/>
    </row>
    <row r="1146" s="1" customFormat="1" spans="1:13">
      <c r="A1146" s="22"/>
      <c r="B1146" s="132" t="s">
        <v>1992</v>
      </c>
      <c r="C1146" s="131" t="s">
        <v>1988</v>
      </c>
      <c r="D1146" s="25" t="s">
        <v>1799</v>
      </c>
      <c r="E1146" s="19" t="s">
        <v>353</v>
      </c>
      <c r="F1146" s="26" t="s">
        <v>197</v>
      </c>
      <c r="G1146" s="27">
        <f>SUMIF(物料月初库存!$C$3:$C$303,$B1146,物料月初库存!$F$3:$F$303)</f>
        <v>0</v>
      </c>
      <c r="H1146" s="28">
        <f>SUMIF(半成品入库明细!$D$2:$D$650,$B1146,半成品入库明细!$G$2:$G$650)</f>
        <v>0</v>
      </c>
      <c r="I1146" s="28">
        <f ca="1">SUMIF(半成品出库明细!$D$2:$D$558,$B1146,半成品出库明细!$G$2:$G$2)</f>
        <v>0</v>
      </c>
      <c r="J1146" s="28">
        <f ca="1" t="shared" si="20"/>
        <v>0</v>
      </c>
      <c r="K1146" s="30" t="s">
        <v>140</v>
      </c>
      <c r="L1146" s="19"/>
      <c r="M1146" s="3"/>
    </row>
    <row r="1147" s="1" customFormat="1" spans="1:13">
      <c r="A1147" s="22"/>
      <c r="B1147" s="132" t="s">
        <v>1993</v>
      </c>
      <c r="C1147" s="131" t="s">
        <v>1994</v>
      </c>
      <c r="D1147" s="25" t="s">
        <v>1799</v>
      </c>
      <c r="E1147" s="19" t="s">
        <v>76</v>
      </c>
      <c r="F1147" s="26" t="s">
        <v>197</v>
      </c>
      <c r="G1147" s="27">
        <f>SUMIF(物料月初库存!$C$3:$C$303,$B1147,物料月初库存!$F$3:$F$303)</f>
        <v>0</v>
      </c>
      <c r="H1147" s="28">
        <f>SUMIF(半成品入库明细!$D$2:$D$650,$B1147,半成品入库明细!$G$2:$G$650)</f>
        <v>0</v>
      </c>
      <c r="I1147" s="28">
        <f ca="1">SUMIF(半成品出库明细!$D$2:$D$558,$B1147,半成品出库明细!$G$2:$G$2)</f>
        <v>0</v>
      </c>
      <c r="J1147" s="28">
        <f ca="1" t="shared" si="20"/>
        <v>0</v>
      </c>
      <c r="K1147" s="30"/>
      <c r="L1147" s="19"/>
      <c r="M1147" s="3"/>
    </row>
    <row r="1148" s="1" customFormat="1" spans="1:13">
      <c r="A1148" s="22"/>
      <c r="B1148" s="132" t="s">
        <v>1995</v>
      </c>
      <c r="C1148" s="131" t="s">
        <v>1994</v>
      </c>
      <c r="D1148" s="25" t="s">
        <v>1799</v>
      </c>
      <c r="E1148" s="19" t="s">
        <v>356</v>
      </c>
      <c r="F1148" s="26" t="s">
        <v>197</v>
      </c>
      <c r="G1148" s="27">
        <f>SUMIF(物料月初库存!$C$3:$C$303,$B1148,物料月初库存!$F$3:$F$303)</f>
        <v>0</v>
      </c>
      <c r="H1148" s="28">
        <f>SUMIF(半成品入库明细!$D$2:$D$650,$B1148,半成品入库明细!$G$2:$G$650)</f>
        <v>0</v>
      </c>
      <c r="I1148" s="28">
        <f ca="1">SUMIF(半成品出库明细!$D$2:$D$558,$B1148,半成品出库明细!$G$2:$G$2)</f>
        <v>0</v>
      </c>
      <c r="J1148" s="28">
        <f ca="1" t="shared" si="20"/>
        <v>0</v>
      </c>
      <c r="K1148" s="30" t="s">
        <v>107</v>
      </c>
      <c r="L1148" s="19"/>
      <c r="M1148" s="3"/>
    </row>
    <row r="1149" s="1" customFormat="1" spans="1:13">
      <c r="A1149" s="22"/>
      <c r="B1149" s="132" t="s">
        <v>1996</v>
      </c>
      <c r="C1149" s="131" t="s">
        <v>1994</v>
      </c>
      <c r="D1149" s="25" t="s">
        <v>1799</v>
      </c>
      <c r="E1149" s="19" t="s">
        <v>267</v>
      </c>
      <c r="F1149" s="26" t="s">
        <v>197</v>
      </c>
      <c r="G1149" s="27">
        <f>SUMIF(物料月初库存!$C$3:$C$303,$B1149,物料月初库存!$F$3:$F$303)</f>
        <v>0</v>
      </c>
      <c r="H1149" s="28">
        <f>SUMIF(半成品入库明细!$D$2:$D$650,$B1149,半成品入库明细!$G$2:$G$650)</f>
        <v>0</v>
      </c>
      <c r="I1149" s="28">
        <f ca="1">SUMIF(半成品出库明细!$D$2:$D$558,$B1149,半成品出库明细!$G$2:$G$2)</f>
        <v>0</v>
      </c>
      <c r="J1149" s="28">
        <f ca="1" t="shared" si="20"/>
        <v>0</v>
      </c>
      <c r="K1149" s="30" t="s">
        <v>146</v>
      </c>
      <c r="L1149" s="19"/>
      <c r="M1149" s="3"/>
    </row>
    <row r="1150" s="1" customFormat="1" spans="1:13">
      <c r="A1150" s="22"/>
      <c r="B1150" s="132" t="s">
        <v>1997</v>
      </c>
      <c r="C1150" s="131" t="s">
        <v>1994</v>
      </c>
      <c r="D1150" s="25" t="s">
        <v>1799</v>
      </c>
      <c r="E1150" s="19" t="s">
        <v>353</v>
      </c>
      <c r="F1150" s="26" t="s">
        <v>197</v>
      </c>
      <c r="G1150" s="27">
        <f>SUMIF(物料月初库存!$C$3:$C$303,$B1150,物料月初库存!$F$3:$F$303)</f>
        <v>0</v>
      </c>
      <c r="H1150" s="28">
        <f>SUMIF(半成品入库明细!$D$2:$D$650,$B1150,半成品入库明细!$G$2:$G$650)</f>
        <v>0</v>
      </c>
      <c r="I1150" s="28">
        <f ca="1">SUMIF(半成品出库明细!$D$2:$D$558,$B1150,半成品出库明细!$G$2:$G$2)</f>
        <v>0</v>
      </c>
      <c r="J1150" s="28">
        <f ca="1" t="shared" si="20"/>
        <v>0</v>
      </c>
      <c r="K1150" s="30" t="s">
        <v>140</v>
      </c>
      <c r="L1150" s="19"/>
      <c r="M1150" s="3"/>
    </row>
    <row r="1151" s="1" customFormat="1" spans="1:13">
      <c r="A1151" s="22"/>
      <c r="B1151" s="132" t="s">
        <v>1998</v>
      </c>
      <c r="C1151" s="131" t="s">
        <v>1999</v>
      </c>
      <c r="D1151" s="25" t="s">
        <v>1799</v>
      </c>
      <c r="E1151" s="19" t="s">
        <v>76</v>
      </c>
      <c r="F1151" s="26" t="s">
        <v>197</v>
      </c>
      <c r="G1151" s="27">
        <f>SUMIF(物料月初库存!$C$3:$C$303,$B1151,物料月初库存!$F$3:$F$303)</f>
        <v>0</v>
      </c>
      <c r="H1151" s="28">
        <f>SUMIF(半成品入库明细!$D$2:$D$650,$B1151,半成品入库明细!$G$2:$G$650)</f>
        <v>0</v>
      </c>
      <c r="I1151" s="28">
        <f ca="1">SUMIF(半成品出库明细!$D$2:$D$558,$B1151,半成品出库明细!$G$2:$G$2)</f>
        <v>0</v>
      </c>
      <c r="J1151" s="28">
        <f ca="1" t="shared" si="20"/>
        <v>0</v>
      </c>
      <c r="K1151" s="30"/>
      <c r="L1151" s="19"/>
      <c r="M1151" s="3"/>
    </row>
    <row r="1152" s="1" customFormat="1" spans="1:13">
      <c r="A1152" s="22"/>
      <c r="B1152" s="132" t="s">
        <v>2000</v>
      </c>
      <c r="C1152" s="131" t="s">
        <v>1999</v>
      </c>
      <c r="D1152" s="25" t="s">
        <v>1799</v>
      </c>
      <c r="E1152" s="19" t="s">
        <v>287</v>
      </c>
      <c r="F1152" s="26" t="s">
        <v>197</v>
      </c>
      <c r="G1152" s="27">
        <f>SUMIF(物料月初库存!$C$3:$C$303,$B1152,物料月初库存!$F$3:$F$303)</f>
        <v>0</v>
      </c>
      <c r="H1152" s="28">
        <f>SUMIF(半成品入库明细!$D$2:$D$650,$B1152,半成品入库明细!$G$2:$G$650)</f>
        <v>0</v>
      </c>
      <c r="I1152" s="28">
        <f ca="1">SUMIF(半成品出库明细!$D$2:$D$558,$B1152,半成品出库明细!$G$2:$G$2)</f>
        <v>0</v>
      </c>
      <c r="J1152" s="28">
        <f ca="1" t="shared" si="20"/>
        <v>0</v>
      </c>
      <c r="K1152" s="30" t="s">
        <v>113</v>
      </c>
      <c r="L1152" s="19"/>
      <c r="M1152" s="3"/>
    </row>
    <row r="1153" s="1" customFormat="1" spans="1:13">
      <c r="A1153" s="22"/>
      <c r="B1153" s="132" t="s">
        <v>2001</v>
      </c>
      <c r="C1153" s="131" t="s">
        <v>1999</v>
      </c>
      <c r="D1153" s="25" t="s">
        <v>1799</v>
      </c>
      <c r="E1153" s="19" t="s">
        <v>644</v>
      </c>
      <c r="F1153" s="26" t="s">
        <v>197</v>
      </c>
      <c r="G1153" s="27">
        <f>SUMIF(物料月初库存!$C$3:$C$303,$B1153,物料月初库存!$F$3:$F$303)</f>
        <v>0</v>
      </c>
      <c r="H1153" s="28">
        <f>SUMIF(半成品入库明细!$D$2:$D$650,$B1153,半成品入库明细!$G$2:$G$650)</f>
        <v>0</v>
      </c>
      <c r="I1153" s="28">
        <f ca="1">SUMIF(半成品出库明细!$D$2:$D$558,$B1153,半成品出库明细!$G$2:$G$2)</f>
        <v>0</v>
      </c>
      <c r="J1153" s="28">
        <f ca="1" t="shared" si="20"/>
        <v>0</v>
      </c>
      <c r="K1153" s="30" t="s">
        <v>218</v>
      </c>
      <c r="L1153" s="19"/>
      <c r="M1153" s="3"/>
    </row>
    <row r="1154" s="1" customFormat="1" ht="31.5" spans="1:13">
      <c r="A1154" s="22">
        <v>963</v>
      </c>
      <c r="B1154" s="23" t="s">
        <v>2002</v>
      </c>
      <c r="C1154" s="133" t="s">
        <v>2003</v>
      </c>
      <c r="D1154" s="25" t="s">
        <v>2004</v>
      </c>
      <c r="E1154" s="19" t="s">
        <v>76</v>
      </c>
      <c r="F1154" s="26" t="s">
        <v>197</v>
      </c>
      <c r="G1154" s="27">
        <f>SUMIF(物料月初库存!$C$3:$C$303,$B1154,物料月初库存!$F$3:$F$303)</f>
        <v>0</v>
      </c>
      <c r="H1154" s="28">
        <f>SUMIF(半成品入库明细!$D$2:$D$650,$B1154,半成品入库明细!$G$2:$G$650)</f>
        <v>0</v>
      </c>
      <c r="I1154" s="28">
        <f ca="1">SUMIF(半成品出库明细!$D$2:$D$558,$B1154,半成品出库明细!$G$2:$G$2)</f>
        <v>0</v>
      </c>
      <c r="J1154" s="28">
        <f ca="1" t="shared" si="20"/>
        <v>0</v>
      </c>
      <c r="K1154" s="29"/>
      <c r="L1154" s="19"/>
      <c r="M1154" s="3"/>
    </row>
    <row r="1155" s="1" customFormat="1" spans="1:13">
      <c r="A1155" s="22">
        <v>964</v>
      </c>
      <c r="B1155" s="23" t="s">
        <v>2005</v>
      </c>
      <c r="C1155" s="135">
        <v>166</v>
      </c>
      <c r="D1155" s="25" t="s">
        <v>2004</v>
      </c>
      <c r="E1155" s="19" t="s">
        <v>76</v>
      </c>
      <c r="F1155" s="26" t="s">
        <v>197</v>
      </c>
      <c r="G1155" s="27">
        <f>SUMIF(物料月初库存!$C$3:$C$303,$B1155,物料月初库存!$F$3:$F$303)</f>
        <v>0</v>
      </c>
      <c r="H1155" s="28">
        <f>SUMIF(半成品入库明细!$D$2:$D$650,$B1155,半成品入库明细!$G$2:$G$650)</f>
        <v>0</v>
      </c>
      <c r="I1155" s="28">
        <f ca="1">SUMIF(半成品出库明细!$D$2:$D$558,$B1155,半成品出库明细!$G$2:$G$2)</f>
        <v>0</v>
      </c>
      <c r="J1155" s="28">
        <f ca="1" t="shared" ref="J1154:J1196" si="21">G1155+H1155-I1155</f>
        <v>0</v>
      </c>
      <c r="K1155" s="29"/>
      <c r="L1155" s="19"/>
      <c r="M1155" s="3"/>
    </row>
    <row r="1156" s="1" customFormat="1" ht="27" spans="1:13">
      <c r="A1156" s="22">
        <v>965</v>
      </c>
      <c r="B1156" s="23" t="s">
        <v>2006</v>
      </c>
      <c r="C1156" s="134" t="s">
        <v>2007</v>
      </c>
      <c r="D1156" s="25" t="s">
        <v>2004</v>
      </c>
      <c r="E1156" s="19" t="s">
        <v>76</v>
      </c>
      <c r="F1156" s="26" t="s">
        <v>197</v>
      </c>
      <c r="G1156" s="27">
        <f>SUMIF(物料月初库存!$C$3:$C$303,$B1156,物料月初库存!$F$3:$F$303)</f>
        <v>0</v>
      </c>
      <c r="H1156" s="28">
        <f>SUMIF(半成品入库明细!$D$2:$D$650,$B1156,半成品入库明细!$G$2:$G$650)</f>
        <v>0</v>
      </c>
      <c r="I1156" s="28">
        <f ca="1">SUMIF(半成品出库明细!$D$2:$D$558,$B1156,半成品出库明细!$G$2:$G$2)</f>
        <v>0</v>
      </c>
      <c r="J1156" s="28">
        <f ca="1" t="shared" si="21"/>
        <v>0</v>
      </c>
      <c r="K1156" s="29"/>
      <c r="L1156" s="19"/>
      <c r="M1156" s="3"/>
    </row>
    <row r="1157" s="1" customFormat="1" ht="27" spans="1:13">
      <c r="A1157" s="22">
        <v>966</v>
      </c>
      <c r="B1157" s="23" t="s">
        <v>2008</v>
      </c>
      <c r="C1157" s="134" t="s">
        <v>2009</v>
      </c>
      <c r="D1157" s="25" t="s">
        <v>2004</v>
      </c>
      <c r="E1157" s="19" t="s">
        <v>76</v>
      </c>
      <c r="F1157" s="26" t="s">
        <v>197</v>
      </c>
      <c r="G1157" s="27">
        <f>SUMIF(物料月初库存!$C$3:$C$303,$B1157,物料月初库存!$F$3:$F$303)</f>
        <v>0</v>
      </c>
      <c r="H1157" s="28">
        <f>SUMIF(半成品入库明细!$D$2:$D$650,$B1157,半成品入库明细!$G$2:$G$650)</f>
        <v>0</v>
      </c>
      <c r="I1157" s="28">
        <f ca="1">SUMIF(半成品出库明细!$D$2:$D$558,$B1157,半成品出库明细!$G$2:$G$2)</f>
        <v>0</v>
      </c>
      <c r="J1157" s="28">
        <f ca="1" t="shared" si="21"/>
        <v>0</v>
      </c>
      <c r="K1157" s="29"/>
      <c r="L1157" s="19"/>
      <c r="M1157" s="3"/>
    </row>
    <row r="1158" s="1" customFormat="1" ht="27" spans="1:13">
      <c r="A1158" s="22">
        <v>967</v>
      </c>
      <c r="B1158" s="23" t="s">
        <v>2010</v>
      </c>
      <c r="C1158" s="134" t="s">
        <v>2011</v>
      </c>
      <c r="D1158" s="25" t="s">
        <v>2004</v>
      </c>
      <c r="E1158" s="19" t="s">
        <v>76</v>
      </c>
      <c r="F1158" s="26" t="s">
        <v>197</v>
      </c>
      <c r="G1158" s="27">
        <f>SUMIF(物料月初库存!$C$3:$C$303,$B1158,物料月初库存!$F$3:$F$303)</f>
        <v>0</v>
      </c>
      <c r="H1158" s="28">
        <f>SUMIF(半成品入库明细!$D$2:$D$650,$B1158,半成品入库明细!$G$2:$G$650)</f>
        <v>0</v>
      </c>
      <c r="I1158" s="28">
        <f ca="1">SUMIF(半成品出库明细!$D$2:$D$558,$B1158,半成品出库明细!$G$2:$G$2)</f>
        <v>0</v>
      </c>
      <c r="J1158" s="28">
        <f ca="1" t="shared" si="21"/>
        <v>0</v>
      </c>
      <c r="K1158" s="29"/>
      <c r="L1158" s="19"/>
      <c r="M1158" s="3"/>
    </row>
    <row r="1159" s="1" customFormat="1" ht="27" spans="1:13">
      <c r="A1159" s="22">
        <v>968</v>
      </c>
      <c r="B1159" s="23" t="s">
        <v>2012</v>
      </c>
      <c r="C1159" s="134" t="s">
        <v>2013</v>
      </c>
      <c r="D1159" s="25" t="s">
        <v>2004</v>
      </c>
      <c r="E1159" s="19" t="s">
        <v>76</v>
      </c>
      <c r="F1159" s="26" t="s">
        <v>197</v>
      </c>
      <c r="G1159" s="27">
        <f>SUMIF(物料月初库存!$C$3:$C$303,$B1159,物料月初库存!$F$3:$F$303)</f>
        <v>0</v>
      </c>
      <c r="H1159" s="28">
        <f>SUMIF(半成品入库明细!$D$2:$D$650,$B1159,半成品入库明细!$G$2:$G$650)</f>
        <v>0</v>
      </c>
      <c r="I1159" s="28">
        <f ca="1">SUMIF(半成品出库明细!$D$2:$D$558,$B1159,半成品出库明细!$G$2:$G$2)</f>
        <v>0</v>
      </c>
      <c r="J1159" s="28">
        <f ca="1" t="shared" si="21"/>
        <v>0</v>
      </c>
      <c r="K1159" s="29"/>
      <c r="L1159" s="19"/>
      <c r="M1159" s="3"/>
    </row>
    <row r="1160" s="1" customFormat="1" spans="1:13">
      <c r="A1160" s="22">
        <v>969</v>
      </c>
      <c r="B1160" s="23" t="s">
        <v>2014</v>
      </c>
      <c r="C1160" s="134" t="s">
        <v>2015</v>
      </c>
      <c r="D1160" s="25" t="s">
        <v>2004</v>
      </c>
      <c r="E1160" s="19" t="s">
        <v>76</v>
      </c>
      <c r="F1160" s="26" t="s">
        <v>197</v>
      </c>
      <c r="G1160" s="27">
        <f>SUMIF(物料月初库存!$C$3:$C$303,$B1160,物料月初库存!$F$3:$F$303)</f>
        <v>0</v>
      </c>
      <c r="H1160" s="28">
        <f>SUMIF(半成品入库明细!$D$2:$D$650,$B1160,半成品入库明细!$G$2:$G$650)</f>
        <v>0</v>
      </c>
      <c r="I1160" s="28">
        <f ca="1">SUMIF(半成品出库明细!$D$2:$D$558,$B1160,半成品出库明细!$G$2:$G$2)</f>
        <v>0</v>
      </c>
      <c r="J1160" s="28">
        <f ca="1" t="shared" si="21"/>
        <v>0</v>
      </c>
      <c r="K1160" s="29"/>
      <c r="L1160" s="19"/>
      <c r="M1160" s="3"/>
    </row>
    <row r="1161" s="1" customFormat="1" spans="1:13">
      <c r="A1161" s="22">
        <v>970</v>
      </c>
      <c r="B1161" s="23" t="s">
        <v>2016</v>
      </c>
      <c r="C1161" s="134" t="s">
        <v>2015</v>
      </c>
      <c r="D1161" s="25" t="s">
        <v>2004</v>
      </c>
      <c r="E1161" s="31"/>
      <c r="F1161" s="26" t="s">
        <v>197</v>
      </c>
      <c r="G1161" s="27">
        <f>SUMIF(物料月初库存!$C$3:$C$303,$B1161,物料月初库存!$F$3:$F$303)</f>
        <v>0</v>
      </c>
      <c r="H1161" s="28">
        <f>SUMIF(半成品入库明细!$D$2:$D$650,$B1161,半成品入库明细!$G$2:$G$650)</f>
        <v>0</v>
      </c>
      <c r="I1161" s="28">
        <f ca="1">SUMIF(半成品出库明细!$D$2:$D$558,$B1161,半成品出库明细!$G$2:$G$2)</f>
        <v>0</v>
      </c>
      <c r="J1161" s="28">
        <f ca="1" t="shared" si="21"/>
        <v>0</v>
      </c>
      <c r="K1161" s="29"/>
      <c r="L1161" s="19"/>
      <c r="M1161" s="3"/>
    </row>
    <row r="1162" s="1" customFormat="1" spans="1:13">
      <c r="A1162" s="22">
        <v>971</v>
      </c>
      <c r="B1162" s="23" t="s">
        <v>2017</v>
      </c>
      <c r="C1162" s="133" t="s">
        <v>2018</v>
      </c>
      <c r="D1162" s="25" t="s">
        <v>2004</v>
      </c>
      <c r="E1162" s="19" t="s">
        <v>76</v>
      </c>
      <c r="F1162" s="26" t="s">
        <v>197</v>
      </c>
      <c r="G1162" s="27">
        <f>SUMIF(物料月初库存!$C$3:$C$303,$B1162,物料月初库存!$F$3:$F$303)</f>
        <v>0</v>
      </c>
      <c r="H1162" s="28">
        <f>SUMIF(半成品入库明细!$D$2:$D$650,$B1162,半成品入库明细!$G$2:$G$650)</f>
        <v>0</v>
      </c>
      <c r="I1162" s="28">
        <f ca="1">SUMIF(半成品出库明细!$D$2:$D$558,$B1162,半成品出库明细!$G$2:$G$2)</f>
        <v>0</v>
      </c>
      <c r="J1162" s="28">
        <f ca="1" t="shared" si="21"/>
        <v>0</v>
      </c>
      <c r="K1162" s="29"/>
      <c r="L1162" s="19"/>
      <c r="M1162" s="3"/>
    </row>
    <row r="1163" s="1" customFormat="1" spans="1:13">
      <c r="A1163" s="22">
        <v>972</v>
      </c>
      <c r="B1163" s="23" t="s">
        <v>2019</v>
      </c>
      <c r="C1163" s="25" t="s">
        <v>2020</v>
      </c>
      <c r="D1163" s="25" t="s">
        <v>2021</v>
      </c>
      <c r="E1163" s="19" t="s">
        <v>76</v>
      </c>
      <c r="F1163" s="26" t="s">
        <v>197</v>
      </c>
      <c r="G1163" s="27">
        <f>SUMIF(物料月初库存!$C$3:$C$303,$B1163,物料月初库存!$F$3:$F$303)</f>
        <v>0</v>
      </c>
      <c r="H1163" s="28">
        <f>SUMIF(半成品入库明细!$D$2:$D$650,$B1163,半成品入库明细!$G$2:$G$650)</f>
        <v>0</v>
      </c>
      <c r="I1163" s="28">
        <f ca="1">SUMIF(半成品出库明细!$D$2:$D$558,$B1163,半成品出库明细!$G$2:$G$2)</f>
        <v>0</v>
      </c>
      <c r="J1163" s="28">
        <f ca="1" t="shared" si="21"/>
        <v>0</v>
      </c>
      <c r="K1163" s="29"/>
      <c r="L1163" s="19"/>
      <c r="M1163" s="3"/>
    </row>
    <row r="1164" s="1" customFormat="1" spans="1:13">
      <c r="A1164" s="22">
        <v>973</v>
      </c>
      <c r="B1164" s="23" t="s">
        <v>2022</v>
      </c>
      <c r="C1164" s="41" t="s">
        <v>2023</v>
      </c>
      <c r="D1164" s="25" t="s">
        <v>2021</v>
      </c>
      <c r="E1164" s="19" t="s">
        <v>76</v>
      </c>
      <c r="F1164" s="26" t="s">
        <v>197</v>
      </c>
      <c r="G1164" s="27">
        <f>SUMIF(物料月初库存!$C$3:$C$303,$B1164,物料月初库存!$F$3:$F$303)</f>
        <v>0</v>
      </c>
      <c r="H1164" s="28">
        <f>SUMIF(半成品入库明细!$D$2:$D$650,$B1164,半成品入库明细!$G$2:$G$650)</f>
        <v>0</v>
      </c>
      <c r="I1164" s="28">
        <f ca="1">SUMIF(半成品出库明细!$D$2:$D$558,$B1164,半成品出库明细!$G$2:$G$2)</f>
        <v>0</v>
      </c>
      <c r="J1164" s="28">
        <f ca="1" t="shared" si="21"/>
        <v>0</v>
      </c>
      <c r="K1164" s="29"/>
      <c r="L1164" s="19"/>
      <c r="M1164" s="3"/>
    </row>
    <row r="1165" s="1" customFormat="1" spans="1:13">
      <c r="A1165" s="22">
        <v>974</v>
      </c>
      <c r="B1165" s="23" t="s">
        <v>2024</v>
      </c>
      <c r="C1165" s="25" t="s">
        <v>2020</v>
      </c>
      <c r="D1165" s="25" t="s">
        <v>2021</v>
      </c>
      <c r="E1165" s="28" t="s">
        <v>287</v>
      </c>
      <c r="F1165" s="26" t="s">
        <v>197</v>
      </c>
      <c r="G1165" s="27">
        <f>SUMIF(物料月初库存!$C$3:$C$303,$B1165,物料月初库存!$F$3:$F$303)</f>
        <v>0</v>
      </c>
      <c r="H1165" s="28">
        <f>SUMIF(半成品入库明细!$D$2:$D$650,$B1165,半成品入库明细!$G$2:$G$650)</f>
        <v>0</v>
      </c>
      <c r="I1165" s="28">
        <f ca="1">SUMIF(半成品出库明细!$D$2:$D$558,$B1165,半成品出库明细!$G$2:$G$2)</f>
        <v>0</v>
      </c>
      <c r="J1165" s="28">
        <f ca="1" t="shared" si="21"/>
        <v>0</v>
      </c>
      <c r="K1165" s="29"/>
      <c r="L1165" s="19"/>
      <c r="M1165" s="3"/>
    </row>
    <row r="1166" s="1" customFormat="1" spans="1:13">
      <c r="A1166" s="22">
        <v>975</v>
      </c>
      <c r="B1166" s="23" t="s">
        <v>2025</v>
      </c>
      <c r="C1166" s="41" t="s">
        <v>2023</v>
      </c>
      <c r="D1166" s="25" t="s">
        <v>2021</v>
      </c>
      <c r="E1166" s="28" t="s">
        <v>287</v>
      </c>
      <c r="F1166" s="26" t="s">
        <v>197</v>
      </c>
      <c r="G1166" s="27">
        <f>SUMIF(物料月初库存!$C$3:$C$303,$B1166,物料月初库存!$F$3:$F$303)</f>
        <v>0</v>
      </c>
      <c r="H1166" s="28">
        <f>SUMIF(半成品入库明细!$D$2:$D$650,$B1166,半成品入库明细!$G$2:$G$650)</f>
        <v>0</v>
      </c>
      <c r="I1166" s="28">
        <f ca="1">SUMIF(半成品出库明细!$D$2:$D$558,$B1166,半成品出库明细!$G$2:$G$2)</f>
        <v>0</v>
      </c>
      <c r="J1166" s="28">
        <f ca="1" t="shared" si="21"/>
        <v>0</v>
      </c>
      <c r="K1166" s="29"/>
      <c r="L1166" s="19"/>
      <c r="M1166" s="3"/>
    </row>
    <row r="1167" s="1" customFormat="1" spans="1:13">
      <c r="A1167" s="22">
        <v>976</v>
      </c>
      <c r="B1167" s="23" t="s">
        <v>2026</v>
      </c>
      <c r="C1167" s="25" t="s">
        <v>2027</v>
      </c>
      <c r="D1167" s="25" t="s">
        <v>2021</v>
      </c>
      <c r="E1167" s="19" t="s">
        <v>76</v>
      </c>
      <c r="F1167" s="26" t="s">
        <v>197</v>
      </c>
      <c r="G1167" s="27">
        <f>SUMIF(物料月初库存!$C$3:$C$303,$B1167,物料月初库存!$F$3:$F$303)</f>
        <v>0</v>
      </c>
      <c r="H1167" s="28">
        <f>SUMIF(半成品入库明细!$D$2:$D$650,$B1167,半成品入库明细!$G$2:$G$650)</f>
        <v>0</v>
      </c>
      <c r="I1167" s="28">
        <f ca="1">SUMIF(半成品出库明细!$D$2:$D$558,$B1167,半成品出库明细!$G$2:$G$2)</f>
        <v>0</v>
      </c>
      <c r="J1167" s="28">
        <f ca="1" t="shared" si="21"/>
        <v>0</v>
      </c>
      <c r="K1167" s="29"/>
      <c r="L1167" s="19"/>
      <c r="M1167" s="3"/>
    </row>
    <row r="1168" s="1" customFormat="1" spans="1:13">
      <c r="A1168" s="22">
        <v>977</v>
      </c>
      <c r="B1168" s="23" t="s">
        <v>2028</v>
      </c>
      <c r="C1168" s="25" t="s">
        <v>2027</v>
      </c>
      <c r="D1168" s="25" t="s">
        <v>2021</v>
      </c>
      <c r="E1168" s="28" t="s">
        <v>287</v>
      </c>
      <c r="F1168" s="26" t="s">
        <v>197</v>
      </c>
      <c r="G1168" s="27">
        <f>SUMIF(物料月初库存!$C$3:$C$303,$B1168,物料月初库存!$F$3:$F$303)</f>
        <v>0</v>
      </c>
      <c r="H1168" s="28">
        <f>SUMIF(半成品入库明细!$D$2:$D$650,$B1168,半成品入库明细!$G$2:$G$650)</f>
        <v>0</v>
      </c>
      <c r="I1168" s="28">
        <f ca="1">SUMIF(半成品出库明细!$D$2:$D$558,$B1168,半成品出库明细!$G$2:$G$2)</f>
        <v>0</v>
      </c>
      <c r="J1168" s="28">
        <f ca="1" t="shared" si="21"/>
        <v>0</v>
      </c>
      <c r="K1168" s="29"/>
      <c r="L1168" s="19"/>
      <c r="M1168" s="3"/>
    </row>
    <row r="1169" s="1" customFormat="1" spans="1:13">
      <c r="A1169" s="22">
        <v>978</v>
      </c>
      <c r="B1169" s="23" t="s">
        <v>2029</v>
      </c>
      <c r="C1169" s="41" t="s">
        <v>2030</v>
      </c>
      <c r="D1169" s="25" t="s">
        <v>2031</v>
      </c>
      <c r="E1169" s="19" t="s">
        <v>76</v>
      </c>
      <c r="F1169" s="26" t="s">
        <v>197</v>
      </c>
      <c r="G1169" s="27">
        <f>SUMIF(物料月初库存!$C$3:$C$303,$B1169,物料月初库存!$F$3:$F$303)</f>
        <v>0</v>
      </c>
      <c r="H1169" s="28">
        <f>SUMIF(半成品入库明细!$D$2:$D$650,$B1169,半成品入库明细!$G$2:$G$650)</f>
        <v>0</v>
      </c>
      <c r="I1169" s="28">
        <f ca="1">SUMIF(半成品出库明细!$D$2:$D$558,$B1169,半成品出库明细!$G$2:$G$2)</f>
        <v>0</v>
      </c>
      <c r="J1169" s="28">
        <f ca="1" t="shared" si="21"/>
        <v>0</v>
      </c>
      <c r="K1169" s="29"/>
      <c r="L1169" s="19"/>
      <c r="M1169" s="3"/>
    </row>
    <row r="1170" s="1" customFormat="1" spans="1:13">
      <c r="A1170" s="22">
        <v>979</v>
      </c>
      <c r="B1170" s="23" t="s">
        <v>2032</v>
      </c>
      <c r="C1170" s="41" t="s">
        <v>2030</v>
      </c>
      <c r="D1170" s="25" t="s">
        <v>2031</v>
      </c>
      <c r="E1170" s="28" t="s">
        <v>353</v>
      </c>
      <c r="F1170" s="26" t="s">
        <v>197</v>
      </c>
      <c r="G1170" s="27">
        <f>SUMIF(物料月初库存!$C$3:$C$303,$B1170,物料月初库存!$F$3:$F$303)</f>
        <v>0</v>
      </c>
      <c r="H1170" s="28">
        <f>SUMIF(半成品入库明细!$D$2:$D$650,$B1170,半成品入库明细!$G$2:$G$650)</f>
        <v>0</v>
      </c>
      <c r="I1170" s="28">
        <f ca="1">SUMIF(半成品出库明细!$D$2:$D$558,$B1170,半成品出库明细!$G$2:$G$2)</f>
        <v>0</v>
      </c>
      <c r="J1170" s="28">
        <f ca="1" t="shared" si="21"/>
        <v>0</v>
      </c>
      <c r="K1170" s="29"/>
      <c r="L1170" s="19"/>
      <c r="M1170" s="3"/>
    </row>
    <row r="1171" s="1" customFormat="1" spans="1:13">
      <c r="A1171" s="22">
        <v>980</v>
      </c>
      <c r="B1171" s="23" t="s">
        <v>2033</v>
      </c>
      <c r="C1171" s="41" t="s">
        <v>2030</v>
      </c>
      <c r="D1171" s="25" t="s">
        <v>2031</v>
      </c>
      <c r="E1171" s="31"/>
      <c r="F1171" s="26" t="s">
        <v>197</v>
      </c>
      <c r="G1171" s="27">
        <f>SUMIF(物料月初库存!$C$3:$C$303,$B1171,物料月初库存!$F$3:$F$303)</f>
        <v>0</v>
      </c>
      <c r="H1171" s="28">
        <f>SUMIF(半成品入库明细!$D$2:$D$650,$B1171,半成品入库明细!$G$2:$G$650)</f>
        <v>0</v>
      </c>
      <c r="I1171" s="28">
        <f ca="1">SUMIF(半成品出库明细!$D$2:$D$558,$B1171,半成品出库明细!$G$2:$G$2)</f>
        <v>0</v>
      </c>
      <c r="J1171" s="28">
        <f ca="1" t="shared" si="21"/>
        <v>0</v>
      </c>
      <c r="K1171" s="29"/>
      <c r="L1171" s="19"/>
      <c r="M1171" s="3"/>
    </row>
    <row r="1172" s="1" customFormat="1" spans="1:13">
      <c r="A1172" s="22">
        <v>981</v>
      </c>
      <c r="B1172" s="23" t="s">
        <v>2034</v>
      </c>
      <c r="C1172" s="25" t="s">
        <v>2035</v>
      </c>
      <c r="D1172" s="25" t="s">
        <v>2036</v>
      </c>
      <c r="E1172" s="19" t="s">
        <v>76</v>
      </c>
      <c r="F1172" s="26" t="s">
        <v>197</v>
      </c>
      <c r="G1172" s="27">
        <f>SUMIF(物料月初库存!$C$3:$C$303,$B1172,物料月初库存!$F$3:$F$303)</f>
        <v>0</v>
      </c>
      <c r="H1172" s="28">
        <f>SUMIF(半成品入库明细!$D$2:$D$650,$B1172,半成品入库明细!$G$2:$G$650)</f>
        <v>0</v>
      </c>
      <c r="I1172" s="28">
        <f ca="1">SUMIF(半成品出库明细!$D$2:$D$558,$B1172,半成品出库明细!$G$2:$G$2)</f>
        <v>0</v>
      </c>
      <c r="J1172" s="28">
        <f ca="1" t="shared" si="21"/>
        <v>0</v>
      </c>
      <c r="K1172" s="29"/>
      <c r="L1172" s="19"/>
      <c r="M1172" s="3"/>
    </row>
    <row r="1173" s="1" customFormat="1" spans="1:13">
      <c r="A1173" s="22">
        <v>982</v>
      </c>
      <c r="B1173" s="23" t="s">
        <v>2037</v>
      </c>
      <c r="C1173" s="25" t="s">
        <v>2035</v>
      </c>
      <c r="D1173" s="25" t="s">
        <v>2036</v>
      </c>
      <c r="E1173" s="31"/>
      <c r="F1173" s="26" t="s">
        <v>197</v>
      </c>
      <c r="G1173" s="27">
        <f>SUMIF(物料月初库存!$C$3:$C$303,$B1173,物料月初库存!$F$3:$F$303)</f>
        <v>0</v>
      </c>
      <c r="H1173" s="28">
        <f>SUMIF(半成品入库明细!$D$2:$D$650,$B1173,半成品入库明细!$G$2:$G$650)</f>
        <v>0</v>
      </c>
      <c r="I1173" s="28">
        <f ca="1">SUMIF(半成品出库明细!$D$2:$D$558,$B1173,半成品出库明细!$G$2:$G$2)</f>
        <v>0</v>
      </c>
      <c r="J1173" s="28">
        <f ca="1" t="shared" si="21"/>
        <v>0</v>
      </c>
      <c r="K1173" s="29"/>
      <c r="L1173" s="19"/>
      <c r="M1173" s="3"/>
    </row>
    <row r="1174" s="1" customFormat="1" spans="1:13">
      <c r="A1174" s="22">
        <v>983</v>
      </c>
      <c r="B1174" s="23" t="s">
        <v>932</v>
      </c>
      <c r="C1174" s="95" t="s">
        <v>2038</v>
      </c>
      <c r="D1174" s="25" t="s">
        <v>2039</v>
      </c>
      <c r="E1174" s="19" t="s">
        <v>76</v>
      </c>
      <c r="F1174" s="26" t="s">
        <v>197</v>
      </c>
      <c r="G1174" s="27">
        <f>SUMIF(物料月初库存!$C$3:$C$303,$B1174,物料月初库存!$F$3:$F$303)</f>
        <v>0</v>
      </c>
      <c r="H1174" s="28">
        <f>SUMIF(半成品入库明细!$D$2:$D$650,$B1174,半成品入库明细!$G$2:$G$650)</f>
        <v>0</v>
      </c>
      <c r="I1174" s="28">
        <f ca="1">SUMIF(半成品出库明细!$D$2:$D$558,$B1174,半成品出库明细!$G$2:$G$2)</f>
        <v>0</v>
      </c>
      <c r="J1174" s="28">
        <f ca="1" t="shared" si="21"/>
        <v>0</v>
      </c>
      <c r="K1174" s="29"/>
      <c r="L1174" s="19"/>
      <c r="M1174" s="3"/>
    </row>
    <row r="1175" s="1" customFormat="1" spans="1:13">
      <c r="A1175" s="22">
        <v>984</v>
      </c>
      <c r="B1175" s="23" t="s">
        <v>2040</v>
      </c>
      <c r="C1175" s="95" t="s">
        <v>2038</v>
      </c>
      <c r="D1175" s="25" t="s">
        <v>2039</v>
      </c>
      <c r="E1175" s="19" t="s">
        <v>235</v>
      </c>
      <c r="F1175" s="26" t="s">
        <v>197</v>
      </c>
      <c r="G1175" s="27">
        <f>SUMIF(物料月初库存!$C$3:$C$303,$B1175,物料月初库存!$F$3:$F$303)</f>
        <v>0</v>
      </c>
      <c r="H1175" s="28">
        <f>SUMIF(半成品入库明细!$D$2:$D$650,$B1175,半成品入库明细!$G$2:$G$650)</f>
        <v>0</v>
      </c>
      <c r="I1175" s="28">
        <f ca="1">SUMIF(半成品出库明细!$D$2:$D$558,$B1175,半成品出库明细!$G$2:$G$2)</f>
        <v>0</v>
      </c>
      <c r="J1175" s="28">
        <f ca="1" t="shared" si="21"/>
        <v>0</v>
      </c>
      <c r="K1175" s="29"/>
      <c r="L1175" s="19"/>
      <c r="M1175" s="3"/>
    </row>
    <row r="1176" s="1" customFormat="1" spans="1:13">
      <c r="A1176" s="22">
        <v>985</v>
      </c>
      <c r="B1176" s="23" t="s">
        <v>2041</v>
      </c>
      <c r="C1176" s="95" t="s">
        <v>2038</v>
      </c>
      <c r="D1176" s="25" t="s">
        <v>2039</v>
      </c>
      <c r="E1176" s="49" t="s">
        <v>2042</v>
      </c>
      <c r="F1176" s="26" t="s">
        <v>197</v>
      </c>
      <c r="G1176" s="27">
        <f>SUMIF(物料月初库存!$C$3:$C$303,$B1176,物料月初库存!$F$3:$F$303)</f>
        <v>0</v>
      </c>
      <c r="H1176" s="28">
        <f>SUMIF(半成品入库明细!$D$2:$D$650,$B1176,半成品入库明细!$G$2:$G$650)</f>
        <v>0</v>
      </c>
      <c r="I1176" s="28">
        <f ca="1">SUMIF(半成品出库明细!$D$2:$D$558,$B1176,半成品出库明细!$G$2:$G$2)</f>
        <v>0</v>
      </c>
      <c r="J1176" s="28">
        <f ca="1" t="shared" si="21"/>
        <v>0</v>
      </c>
      <c r="K1176" s="29"/>
      <c r="L1176" s="19"/>
      <c r="M1176" s="3"/>
    </row>
    <row r="1177" s="1" customFormat="1" spans="1:13">
      <c r="A1177" s="22">
        <v>986</v>
      </c>
      <c r="B1177" s="23" t="s">
        <v>2043</v>
      </c>
      <c r="C1177" s="95" t="s">
        <v>2038</v>
      </c>
      <c r="D1177" s="25" t="s">
        <v>2039</v>
      </c>
      <c r="E1177" s="28" t="s">
        <v>733</v>
      </c>
      <c r="F1177" s="26" t="s">
        <v>197</v>
      </c>
      <c r="G1177" s="27">
        <f>SUMIF(物料月初库存!$C$3:$C$303,$B1177,物料月初库存!$F$3:$F$303)</f>
        <v>0</v>
      </c>
      <c r="H1177" s="28">
        <f>SUMIF(半成品入库明细!$D$2:$D$650,$B1177,半成品入库明细!$G$2:$G$650)</f>
        <v>0</v>
      </c>
      <c r="I1177" s="28">
        <f ca="1">SUMIF(半成品出库明细!$D$2:$D$558,$B1177,半成品出库明细!$G$2:$G$2)</f>
        <v>0</v>
      </c>
      <c r="J1177" s="28">
        <f ca="1" t="shared" si="21"/>
        <v>0</v>
      </c>
      <c r="K1177" s="29"/>
      <c r="L1177" s="19"/>
      <c r="M1177" s="3"/>
    </row>
    <row r="1178" s="1" customFormat="1" spans="1:13">
      <c r="A1178" s="22">
        <v>987</v>
      </c>
      <c r="B1178" s="23" t="s">
        <v>2044</v>
      </c>
      <c r="C1178" s="95" t="s">
        <v>2038</v>
      </c>
      <c r="D1178" s="25" t="s">
        <v>2039</v>
      </c>
      <c r="E1178" s="19" t="s">
        <v>256</v>
      </c>
      <c r="F1178" s="26" t="s">
        <v>197</v>
      </c>
      <c r="G1178" s="27">
        <f>SUMIF(物料月初库存!$C$3:$C$303,$B1178,物料月初库存!$F$3:$F$303)</f>
        <v>0</v>
      </c>
      <c r="H1178" s="28">
        <f>SUMIF(半成品入库明细!$D$2:$D$650,$B1178,半成品入库明细!$G$2:$G$650)</f>
        <v>0</v>
      </c>
      <c r="I1178" s="28">
        <f ca="1">SUMIF(半成品出库明细!$D$2:$D$558,$B1178,半成品出库明细!$G$2:$G$2)</f>
        <v>0</v>
      </c>
      <c r="J1178" s="28">
        <f ca="1" t="shared" si="21"/>
        <v>0</v>
      </c>
      <c r="K1178" s="29"/>
      <c r="L1178" s="19" t="s">
        <v>202</v>
      </c>
      <c r="M1178" s="3"/>
    </row>
    <row r="1179" s="1" customFormat="1" spans="1:13">
      <c r="A1179" s="22">
        <v>988</v>
      </c>
      <c r="B1179" s="136" t="s">
        <v>2045</v>
      </c>
      <c r="C1179" s="128" t="s">
        <v>2046</v>
      </c>
      <c r="D1179" s="128" t="s">
        <v>2047</v>
      </c>
      <c r="E1179" s="19" t="s">
        <v>76</v>
      </c>
      <c r="F1179" s="26" t="s">
        <v>197</v>
      </c>
      <c r="G1179" s="27">
        <f>SUMIF(物料月初库存!$C$3:$C$303,$B1179,物料月初库存!$F$3:$F$303)</f>
        <v>0</v>
      </c>
      <c r="H1179" s="28">
        <f>SUMIF(半成品入库明细!$D$2:$D$650,$B1179,半成品入库明细!$G$2:$G$650)</f>
        <v>0</v>
      </c>
      <c r="I1179" s="28">
        <f ca="1">SUMIF(半成品出库明细!$D$2:$D$558,$B1179,半成品出库明细!$G$2:$G$2)</f>
        <v>0</v>
      </c>
      <c r="J1179" s="28">
        <f ca="1" t="shared" si="21"/>
        <v>0</v>
      </c>
      <c r="K1179" s="29"/>
      <c r="L1179" s="19" t="s">
        <v>202</v>
      </c>
      <c r="M1179" s="3"/>
    </row>
    <row r="1180" s="1" customFormat="1" spans="1:13">
      <c r="A1180" s="22">
        <v>989</v>
      </c>
      <c r="B1180" s="136" t="s">
        <v>2048</v>
      </c>
      <c r="C1180" s="128" t="s">
        <v>2049</v>
      </c>
      <c r="D1180" s="128" t="s">
        <v>2047</v>
      </c>
      <c r="E1180" s="19" t="s">
        <v>76</v>
      </c>
      <c r="F1180" s="26" t="s">
        <v>197</v>
      </c>
      <c r="G1180" s="27">
        <f>SUMIF(物料月初库存!$C$3:$C$303,$B1180,物料月初库存!$F$3:$F$303)</f>
        <v>0</v>
      </c>
      <c r="H1180" s="28">
        <f>SUMIF(半成品入库明细!$D$2:$D$650,$B1180,半成品入库明细!$G$2:$G$650)</f>
        <v>0</v>
      </c>
      <c r="I1180" s="28">
        <f ca="1">SUMIF(半成品出库明细!$D$2:$D$558,$B1180,半成品出库明细!$G$2:$G$2)</f>
        <v>0</v>
      </c>
      <c r="J1180" s="28">
        <f ca="1" t="shared" si="21"/>
        <v>0</v>
      </c>
      <c r="K1180" s="29"/>
      <c r="L1180" s="19" t="s">
        <v>202</v>
      </c>
      <c r="M1180" s="3"/>
    </row>
    <row r="1181" s="1" customFormat="1" spans="1:13">
      <c r="A1181" s="22">
        <v>990</v>
      </c>
      <c r="B1181" s="136" t="s">
        <v>2050</v>
      </c>
      <c r="C1181" s="128" t="s">
        <v>2051</v>
      </c>
      <c r="D1181" s="128" t="s">
        <v>2047</v>
      </c>
      <c r="E1181" s="19" t="s">
        <v>76</v>
      </c>
      <c r="F1181" s="26" t="s">
        <v>197</v>
      </c>
      <c r="G1181" s="27">
        <f>SUMIF(物料月初库存!$C$3:$C$303,$B1181,物料月初库存!$F$3:$F$303)</f>
        <v>0</v>
      </c>
      <c r="H1181" s="28">
        <f>SUMIF(半成品入库明细!$D$2:$D$650,$B1181,半成品入库明细!$G$2:$G$650)</f>
        <v>0</v>
      </c>
      <c r="I1181" s="28">
        <f ca="1">SUMIF(半成品出库明细!$D$2:$D$558,$B1181,半成品出库明细!$G$2:$G$2)</f>
        <v>0</v>
      </c>
      <c r="J1181" s="28">
        <f ca="1" t="shared" si="21"/>
        <v>0</v>
      </c>
      <c r="K1181" s="29"/>
      <c r="L1181" s="19" t="s">
        <v>202</v>
      </c>
      <c r="M1181" s="3"/>
    </row>
    <row r="1182" s="1" customFormat="1" spans="1:13">
      <c r="A1182" s="22">
        <v>991</v>
      </c>
      <c r="B1182" s="136" t="s">
        <v>2052</v>
      </c>
      <c r="C1182" s="128" t="s">
        <v>2053</v>
      </c>
      <c r="D1182" s="128" t="s">
        <v>2047</v>
      </c>
      <c r="E1182" s="19" t="s">
        <v>76</v>
      </c>
      <c r="F1182" s="26" t="s">
        <v>197</v>
      </c>
      <c r="G1182" s="27">
        <f>SUMIF(物料月初库存!$C$3:$C$303,$B1182,物料月初库存!$F$3:$F$303)</f>
        <v>0</v>
      </c>
      <c r="H1182" s="28">
        <f>SUMIF(半成品入库明细!$D$2:$D$650,$B1182,半成品入库明细!$G$2:$G$650)</f>
        <v>0</v>
      </c>
      <c r="I1182" s="28">
        <f ca="1">SUMIF(半成品出库明细!$D$2:$D$558,$B1182,半成品出库明细!$G$2:$G$2)</f>
        <v>0</v>
      </c>
      <c r="J1182" s="28">
        <f ca="1" t="shared" si="21"/>
        <v>0</v>
      </c>
      <c r="K1182" s="29"/>
      <c r="L1182" s="19" t="s">
        <v>202</v>
      </c>
      <c r="M1182" s="3"/>
    </row>
    <row r="1183" s="1" customFormat="1" spans="1:13">
      <c r="A1183" s="22">
        <v>992</v>
      </c>
      <c r="B1183" s="136" t="s">
        <v>2054</v>
      </c>
      <c r="C1183" s="128" t="s">
        <v>2055</v>
      </c>
      <c r="D1183" s="25" t="s">
        <v>2047</v>
      </c>
      <c r="E1183" s="19" t="s">
        <v>76</v>
      </c>
      <c r="F1183" s="26" t="s">
        <v>197</v>
      </c>
      <c r="G1183" s="27">
        <f>SUMIF(物料月初库存!$C$3:$C$303,$B1183,物料月初库存!$F$3:$F$303)</f>
        <v>0</v>
      </c>
      <c r="H1183" s="28">
        <f>SUMIF(半成品入库明细!$D$2:$D$650,$B1183,半成品入库明细!$G$2:$G$650)</f>
        <v>0</v>
      </c>
      <c r="I1183" s="28">
        <f ca="1">SUMIF(半成品出库明细!$D$2:$D$558,$B1183,半成品出库明细!$G$2:$G$2)</f>
        <v>0</v>
      </c>
      <c r="J1183" s="28">
        <f ca="1" t="shared" si="21"/>
        <v>0</v>
      </c>
      <c r="K1183" s="29"/>
      <c r="L1183" s="19" t="s">
        <v>202</v>
      </c>
      <c r="M1183" s="3"/>
    </row>
    <row r="1184" s="1" customFormat="1" spans="1:13">
      <c r="A1184" s="22">
        <v>993</v>
      </c>
      <c r="B1184" s="136" t="s">
        <v>2056</v>
      </c>
      <c r="C1184" s="128" t="s">
        <v>2057</v>
      </c>
      <c r="D1184" s="25" t="s">
        <v>2047</v>
      </c>
      <c r="E1184" s="19" t="s">
        <v>76</v>
      </c>
      <c r="F1184" s="26" t="s">
        <v>197</v>
      </c>
      <c r="G1184" s="27">
        <f>SUMIF(物料月初库存!$C$3:$C$303,$B1184,物料月初库存!$F$3:$F$303)</f>
        <v>0</v>
      </c>
      <c r="H1184" s="28">
        <f>SUMIF(半成品入库明细!$D$2:$D$650,$B1184,半成品入库明细!$G$2:$G$650)</f>
        <v>0</v>
      </c>
      <c r="I1184" s="28">
        <f ca="1">SUMIF(半成品出库明细!$D$2:$D$558,$B1184,半成品出库明细!$G$2:$G$2)</f>
        <v>0</v>
      </c>
      <c r="J1184" s="28">
        <f ca="1" t="shared" si="21"/>
        <v>0</v>
      </c>
      <c r="K1184" s="29"/>
      <c r="L1184" s="19" t="s">
        <v>202</v>
      </c>
      <c r="M1184" s="3"/>
    </row>
    <row r="1185" s="1" customFormat="1" spans="1:13">
      <c r="A1185" s="22">
        <v>994</v>
      </c>
      <c r="B1185" s="136" t="s">
        <v>2058</v>
      </c>
      <c r="C1185" s="128" t="s">
        <v>2059</v>
      </c>
      <c r="D1185" s="25" t="s">
        <v>2047</v>
      </c>
      <c r="E1185" s="19" t="s">
        <v>76</v>
      </c>
      <c r="F1185" s="26" t="s">
        <v>197</v>
      </c>
      <c r="G1185" s="27">
        <f>SUMIF(物料月初库存!$C$3:$C$303,$B1185,物料月初库存!$F$3:$F$303)</f>
        <v>0</v>
      </c>
      <c r="H1185" s="28">
        <f>SUMIF(半成品入库明细!$D$2:$D$650,$B1185,半成品入库明细!$G$2:$G$650)</f>
        <v>0</v>
      </c>
      <c r="I1185" s="28">
        <f ca="1">SUMIF(半成品出库明细!$D$2:$D$558,$B1185,半成品出库明细!$G$2:$G$2)</f>
        <v>0</v>
      </c>
      <c r="J1185" s="28">
        <f ca="1" t="shared" si="21"/>
        <v>0</v>
      </c>
      <c r="K1185" s="29"/>
      <c r="L1185" s="19" t="s">
        <v>202</v>
      </c>
      <c r="M1185" s="3"/>
    </row>
    <row r="1186" s="1" customFormat="1" spans="1:13">
      <c r="A1186" s="22">
        <v>995</v>
      </c>
      <c r="B1186" s="136" t="s">
        <v>2060</v>
      </c>
      <c r="C1186" s="128" t="s">
        <v>2061</v>
      </c>
      <c r="D1186" s="25" t="s">
        <v>2047</v>
      </c>
      <c r="E1186" s="19" t="s">
        <v>76</v>
      </c>
      <c r="F1186" s="26" t="s">
        <v>197</v>
      </c>
      <c r="G1186" s="27">
        <f>SUMIF(物料月初库存!$C$3:$C$303,$B1186,物料月初库存!$F$3:$F$303)</f>
        <v>0</v>
      </c>
      <c r="H1186" s="28">
        <f>SUMIF(半成品入库明细!$D$2:$D$650,$B1186,半成品入库明细!$G$2:$G$650)</f>
        <v>0</v>
      </c>
      <c r="I1186" s="28">
        <f ca="1">SUMIF(半成品出库明细!$D$2:$D$558,$B1186,半成品出库明细!$G$2:$G$2)</f>
        <v>0</v>
      </c>
      <c r="J1186" s="28">
        <f ca="1" t="shared" si="21"/>
        <v>0</v>
      </c>
      <c r="K1186" s="29"/>
      <c r="L1186" s="19" t="s">
        <v>202</v>
      </c>
      <c r="M1186" s="3"/>
    </row>
    <row r="1187" s="1" customFormat="1" spans="1:13">
      <c r="A1187" s="22">
        <v>996</v>
      </c>
      <c r="B1187" s="136" t="s">
        <v>2062</v>
      </c>
      <c r="C1187" s="128" t="s">
        <v>2063</v>
      </c>
      <c r="D1187" s="25" t="s">
        <v>2047</v>
      </c>
      <c r="E1187" s="19" t="s">
        <v>76</v>
      </c>
      <c r="F1187" s="26" t="s">
        <v>197</v>
      </c>
      <c r="G1187" s="27">
        <f>SUMIF(物料月初库存!$C$3:$C$303,$B1187,物料月初库存!$F$3:$F$303)</f>
        <v>0</v>
      </c>
      <c r="H1187" s="28">
        <f>SUMIF(半成品入库明细!$D$2:$D$650,$B1187,半成品入库明细!$G$2:$G$650)</f>
        <v>0</v>
      </c>
      <c r="I1187" s="28">
        <f ca="1">SUMIF(半成品出库明细!$D$2:$D$558,$B1187,半成品出库明细!$G$2:$G$2)</f>
        <v>0</v>
      </c>
      <c r="J1187" s="28">
        <f ca="1" t="shared" si="21"/>
        <v>0</v>
      </c>
      <c r="K1187" s="29"/>
      <c r="L1187" s="19" t="s">
        <v>202</v>
      </c>
      <c r="M1187" s="3"/>
    </row>
    <row r="1188" s="1" customFormat="1" spans="1:13">
      <c r="A1188" s="22">
        <v>997</v>
      </c>
      <c r="B1188" s="136" t="s">
        <v>2064</v>
      </c>
      <c r="C1188" s="128" t="s">
        <v>2065</v>
      </c>
      <c r="D1188" s="128" t="s">
        <v>2066</v>
      </c>
      <c r="E1188" s="19" t="s">
        <v>76</v>
      </c>
      <c r="F1188" s="26" t="s">
        <v>197</v>
      </c>
      <c r="G1188" s="27">
        <f>SUMIF(物料月初库存!$C$3:$C$303,$B1188,物料月初库存!$F$3:$F$303)</f>
        <v>0</v>
      </c>
      <c r="H1188" s="28">
        <f>SUMIF(半成品入库明细!$D$2:$D$650,$B1188,半成品入库明细!$G$2:$G$650)</f>
        <v>0</v>
      </c>
      <c r="I1188" s="28">
        <f ca="1">SUMIF(半成品出库明细!$D$2:$D$558,$B1188,半成品出库明细!$G$2:$G$2)</f>
        <v>0</v>
      </c>
      <c r="J1188" s="28">
        <f ca="1" t="shared" si="21"/>
        <v>0</v>
      </c>
      <c r="K1188" s="29"/>
      <c r="L1188" s="19"/>
      <c r="M1188" s="3"/>
    </row>
    <row r="1189" s="1" customFormat="1" spans="1:13">
      <c r="A1189" s="22">
        <v>998</v>
      </c>
      <c r="B1189" s="136" t="s">
        <v>2067</v>
      </c>
      <c r="C1189" s="128" t="s">
        <v>2068</v>
      </c>
      <c r="D1189" s="128" t="s">
        <v>2066</v>
      </c>
      <c r="E1189" s="19" t="s">
        <v>76</v>
      </c>
      <c r="F1189" s="26" t="s">
        <v>197</v>
      </c>
      <c r="G1189" s="27">
        <f>SUMIF(物料月初库存!$C$3:$C$303,$B1189,物料月初库存!$F$3:$F$303)</f>
        <v>0</v>
      </c>
      <c r="H1189" s="28">
        <f>SUMIF(半成品入库明细!$D$2:$D$650,$B1189,半成品入库明细!$G$2:$G$650)</f>
        <v>0</v>
      </c>
      <c r="I1189" s="28">
        <f ca="1">SUMIF(半成品出库明细!$D$2:$D$558,$B1189,半成品出库明细!$G$2:$G$2)</f>
        <v>0</v>
      </c>
      <c r="J1189" s="28">
        <f ca="1" t="shared" si="21"/>
        <v>0</v>
      </c>
      <c r="K1189" s="29"/>
      <c r="L1189" s="19"/>
      <c r="M1189" s="3"/>
    </row>
    <row r="1190" s="1" customFormat="1" spans="1:13">
      <c r="A1190" s="22">
        <v>999</v>
      </c>
      <c r="B1190" s="136" t="s">
        <v>2069</v>
      </c>
      <c r="C1190" s="128" t="s">
        <v>2070</v>
      </c>
      <c r="D1190" s="128" t="s">
        <v>2066</v>
      </c>
      <c r="E1190" s="19" t="s">
        <v>76</v>
      </c>
      <c r="F1190" s="26" t="s">
        <v>197</v>
      </c>
      <c r="G1190" s="27">
        <f>SUMIF(物料月初库存!$C$3:$C$303,$B1190,物料月初库存!$F$3:$F$303)</f>
        <v>0</v>
      </c>
      <c r="H1190" s="28">
        <f>SUMIF(半成品入库明细!$D$2:$D$650,$B1190,半成品入库明细!$G$2:$G$650)</f>
        <v>0</v>
      </c>
      <c r="I1190" s="28">
        <f ca="1">SUMIF(半成品出库明细!$D$2:$D$558,$B1190,半成品出库明细!$G$2:$G$2)</f>
        <v>0</v>
      </c>
      <c r="J1190" s="28">
        <f ca="1" t="shared" si="21"/>
        <v>0</v>
      </c>
      <c r="K1190" s="29"/>
      <c r="L1190" s="19"/>
      <c r="M1190" s="3"/>
    </row>
    <row r="1191" s="1" customFormat="1" spans="1:13">
      <c r="A1191" s="22">
        <v>1000</v>
      </c>
      <c r="B1191" s="136" t="s">
        <v>2071</v>
      </c>
      <c r="C1191" s="128" t="s">
        <v>2065</v>
      </c>
      <c r="D1191" s="128" t="s">
        <v>2066</v>
      </c>
      <c r="E1191" s="28" t="s">
        <v>235</v>
      </c>
      <c r="F1191" s="26" t="s">
        <v>197</v>
      </c>
      <c r="G1191" s="27">
        <f>SUMIF(物料月初库存!$C$3:$C$303,$B1191,物料月初库存!$F$3:$F$303)</f>
        <v>0</v>
      </c>
      <c r="H1191" s="28">
        <f>SUMIF(半成品入库明细!$D$2:$D$650,$B1191,半成品入库明细!$G$2:$G$650)</f>
        <v>0</v>
      </c>
      <c r="I1191" s="28">
        <f ca="1">SUMIF(半成品出库明细!$D$2:$D$558,$B1191,半成品出库明细!$G$2:$G$2)</f>
        <v>0</v>
      </c>
      <c r="J1191" s="28">
        <f ca="1" t="shared" si="21"/>
        <v>0</v>
      </c>
      <c r="K1191" s="29"/>
      <c r="L1191" s="19" t="s">
        <v>202</v>
      </c>
      <c r="M1191" s="3"/>
    </row>
    <row r="1192" s="1" customFormat="1" spans="1:13">
      <c r="A1192" s="22">
        <v>1001</v>
      </c>
      <c r="B1192" s="136" t="s">
        <v>2072</v>
      </c>
      <c r="C1192" s="128" t="s">
        <v>2068</v>
      </c>
      <c r="D1192" s="128" t="s">
        <v>2066</v>
      </c>
      <c r="E1192" s="28" t="s">
        <v>235</v>
      </c>
      <c r="F1192" s="26" t="s">
        <v>197</v>
      </c>
      <c r="G1192" s="27">
        <f>SUMIF(物料月初库存!$C$3:$C$303,$B1192,物料月初库存!$F$3:$F$303)</f>
        <v>0</v>
      </c>
      <c r="H1192" s="28">
        <f>SUMIF(半成品入库明细!$D$2:$D$650,$B1192,半成品入库明细!$G$2:$G$650)</f>
        <v>0</v>
      </c>
      <c r="I1192" s="28">
        <f ca="1">SUMIF(半成品出库明细!$D$2:$D$558,$B1192,半成品出库明细!$G$2:$G$2)</f>
        <v>0</v>
      </c>
      <c r="J1192" s="28">
        <f ca="1" t="shared" si="21"/>
        <v>0</v>
      </c>
      <c r="K1192" s="29"/>
      <c r="L1192" s="19" t="s">
        <v>202</v>
      </c>
      <c r="M1192" s="3"/>
    </row>
    <row r="1193" s="1" customFormat="1" spans="1:13">
      <c r="A1193" s="22">
        <v>1002</v>
      </c>
      <c r="B1193" s="23" t="s">
        <v>2073</v>
      </c>
      <c r="C1193" s="128" t="s">
        <v>2070</v>
      </c>
      <c r="D1193" s="128" t="s">
        <v>2066</v>
      </c>
      <c r="E1193" s="28" t="s">
        <v>235</v>
      </c>
      <c r="F1193" s="26" t="s">
        <v>197</v>
      </c>
      <c r="G1193" s="27">
        <f>SUMIF(物料月初库存!$C$3:$C$303,$B1193,物料月初库存!$F$3:$F$303)</f>
        <v>0</v>
      </c>
      <c r="H1193" s="28">
        <f>SUMIF(半成品入库明细!$D$2:$D$650,$B1193,半成品入库明细!$G$2:$G$650)</f>
        <v>0</v>
      </c>
      <c r="I1193" s="28">
        <f ca="1">SUMIF(半成品出库明细!$D$2:$D$558,$B1193,半成品出库明细!$G$2:$G$2)</f>
        <v>0</v>
      </c>
      <c r="J1193" s="28">
        <f ca="1" t="shared" si="21"/>
        <v>0</v>
      </c>
      <c r="K1193" s="29"/>
      <c r="L1193" s="19" t="s">
        <v>202</v>
      </c>
      <c r="M1193" s="3"/>
    </row>
    <row r="1194" s="1" customFormat="1" ht="16" customHeight="1" spans="1:13">
      <c r="A1194" s="22">
        <v>1003</v>
      </c>
      <c r="B1194" s="23" t="s">
        <v>2074</v>
      </c>
      <c r="C1194" s="24" t="s">
        <v>2075</v>
      </c>
      <c r="D1194" s="52" t="s">
        <v>2066</v>
      </c>
      <c r="E1194" s="19" t="s">
        <v>76</v>
      </c>
      <c r="F1194" s="26" t="s">
        <v>197</v>
      </c>
      <c r="G1194" s="27">
        <f>SUMIF(物料月初库存!$C$3:$C$303,$B1194,物料月初库存!$F$3:$F$303)</f>
        <v>0</v>
      </c>
      <c r="H1194" s="28">
        <f>SUMIF(半成品入库明细!$D$2:$D$650,$B1194,半成品入库明细!$G$2:$G$650)</f>
        <v>0</v>
      </c>
      <c r="I1194" s="28">
        <f ca="1">SUMIF(半成品出库明细!$D$2:$D$558,$B1194,半成品出库明细!$G$2:$G$2)</f>
        <v>0</v>
      </c>
      <c r="J1194" s="28">
        <f ca="1" t="shared" si="21"/>
        <v>0</v>
      </c>
      <c r="K1194" s="29"/>
      <c r="L1194" s="19"/>
      <c r="M1194" s="3"/>
    </row>
    <row r="1195" s="1" customFormat="1" spans="1:13">
      <c r="A1195" s="22">
        <v>1004</v>
      </c>
      <c r="B1195" s="23" t="s">
        <v>2076</v>
      </c>
      <c r="C1195" s="24" t="s">
        <v>2075</v>
      </c>
      <c r="D1195" s="52" t="s">
        <v>2066</v>
      </c>
      <c r="E1195" s="28" t="s">
        <v>353</v>
      </c>
      <c r="F1195" s="26" t="s">
        <v>197</v>
      </c>
      <c r="G1195" s="27">
        <f>SUMIF(物料月初库存!$C$3:$C$303,$B1195,物料月初库存!$F$3:$F$303)</f>
        <v>0</v>
      </c>
      <c r="H1195" s="28">
        <f>SUMIF(半成品入库明细!$D$2:$D$650,$B1195,半成品入库明细!$G$2:$G$650)</f>
        <v>0</v>
      </c>
      <c r="I1195" s="28">
        <f ca="1">SUMIF(半成品出库明细!$D$2:$D$558,$B1195,半成品出库明细!$G$2:$G$2)</f>
        <v>0</v>
      </c>
      <c r="J1195" s="28">
        <f ca="1" t="shared" si="21"/>
        <v>0</v>
      </c>
      <c r="K1195" s="29"/>
      <c r="L1195" s="19"/>
      <c r="M1195" s="3"/>
    </row>
    <row r="1196" s="1" customFormat="1" spans="1:13">
      <c r="A1196" s="22">
        <v>1005</v>
      </c>
      <c r="B1196" s="23" t="s">
        <v>2077</v>
      </c>
      <c r="C1196" s="24" t="s">
        <v>2075</v>
      </c>
      <c r="D1196" s="52" t="s">
        <v>2066</v>
      </c>
      <c r="E1196" s="19" t="s">
        <v>256</v>
      </c>
      <c r="F1196" s="26" t="s">
        <v>197</v>
      </c>
      <c r="G1196" s="27">
        <f>SUMIF(物料月初库存!$C$3:$C$303,$B1196,物料月初库存!$F$3:$F$303)</f>
        <v>0</v>
      </c>
      <c r="H1196" s="28">
        <f>SUMIF(半成品入库明细!$D$2:$D$650,$B1196,半成品入库明细!$G$2:$G$650)</f>
        <v>0</v>
      </c>
      <c r="I1196" s="28">
        <f ca="1">SUMIF(半成品出库明细!$D$2:$D$558,$B1196,半成品出库明细!$G$2:$G$2)</f>
        <v>0</v>
      </c>
      <c r="J1196" s="28">
        <f ca="1" t="shared" si="21"/>
        <v>0</v>
      </c>
      <c r="K1196" s="29"/>
      <c r="L1196" s="19" t="s">
        <v>202</v>
      </c>
      <c r="M1196" s="3"/>
    </row>
    <row r="1197" s="1" customFormat="1" spans="1:13">
      <c r="A1197" s="22">
        <v>1006</v>
      </c>
      <c r="B1197" s="23" t="s">
        <v>2078</v>
      </c>
      <c r="C1197" s="25" t="s">
        <v>2079</v>
      </c>
      <c r="D1197" s="25" t="s">
        <v>2080</v>
      </c>
      <c r="E1197" s="19" t="s">
        <v>76</v>
      </c>
      <c r="F1197" s="26" t="s">
        <v>197</v>
      </c>
      <c r="G1197" s="27">
        <f>SUMIF(物料月初库存!$C$3:$C$303,$B1197,物料月初库存!$F$3:$F$303)</f>
        <v>0</v>
      </c>
      <c r="H1197" s="28">
        <f>SUMIF(半成品入库明细!$D$2:$D$650,$B1197,半成品入库明细!$G$2:$G$650)</f>
        <v>0</v>
      </c>
      <c r="I1197" s="28">
        <f ca="1">SUMIF(半成品出库明细!$D$2:$D$558,$B1197,半成品出库明细!$G$2:$G$2)</f>
        <v>0</v>
      </c>
      <c r="J1197" s="28">
        <f ca="1" t="shared" ref="J1197:J1260" si="22">G1197+H1197-I1197</f>
        <v>0</v>
      </c>
      <c r="K1197" s="29"/>
      <c r="L1197" s="19" t="s">
        <v>202</v>
      </c>
      <c r="M1197" s="3"/>
    </row>
    <row r="1198" s="1" customFormat="1" spans="1:13">
      <c r="A1198" s="22">
        <v>1007</v>
      </c>
      <c r="B1198" s="23" t="s">
        <v>2081</v>
      </c>
      <c r="C1198" s="41">
        <v>3178371</v>
      </c>
      <c r="D1198" s="25" t="s">
        <v>2080</v>
      </c>
      <c r="E1198" s="19" t="s">
        <v>76</v>
      </c>
      <c r="F1198" s="26" t="s">
        <v>197</v>
      </c>
      <c r="G1198" s="27">
        <f>SUMIF(物料月初库存!$C$3:$C$303,$B1198,物料月初库存!$F$3:$F$303)</f>
        <v>0</v>
      </c>
      <c r="H1198" s="28">
        <f>SUMIF(半成品入库明细!$D$2:$D$650,$B1198,半成品入库明细!$G$2:$G$650)</f>
        <v>0</v>
      </c>
      <c r="I1198" s="28">
        <f ca="1">SUMIF(半成品出库明细!$D$2:$D$558,$B1198,半成品出库明细!$G$2:$G$2)</f>
        <v>0</v>
      </c>
      <c r="J1198" s="28">
        <f ca="1" t="shared" si="22"/>
        <v>0</v>
      </c>
      <c r="K1198" s="29"/>
      <c r="L1198" s="19" t="s">
        <v>202</v>
      </c>
      <c r="M1198" s="3"/>
    </row>
    <row r="1199" s="1" customFormat="1" spans="1:13">
      <c r="A1199" s="22">
        <v>1008</v>
      </c>
      <c r="B1199" s="23" t="s">
        <v>2082</v>
      </c>
      <c r="C1199" s="24" t="s">
        <v>2083</v>
      </c>
      <c r="D1199" s="25" t="s">
        <v>2080</v>
      </c>
      <c r="E1199" s="19" t="s">
        <v>76</v>
      </c>
      <c r="F1199" s="26" t="s">
        <v>197</v>
      </c>
      <c r="G1199" s="27">
        <f>SUMIF(物料月初库存!$C$3:$C$303,$B1199,物料月初库存!$F$3:$F$303)</f>
        <v>0</v>
      </c>
      <c r="H1199" s="28">
        <f>SUMIF(半成品入库明细!$D$2:$D$650,$B1199,半成品入库明细!$G$2:$G$650)</f>
        <v>0</v>
      </c>
      <c r="I1199" s="28">
        <f ca="1">SUMIF(半成品出库明细!$D$2:$D$558,$B1199,半成品出库明细!$G$2:$G$2)</f>
        <v>0</v>
      </c>
      <c r="J1199" s="28">
        <f ca="1" t="shared" si="22"/>
        <v>0</v>
      </c>
      <c r="K1199" s="29"/>
      <c r="L1199" s="19" t="s">
        <v>202</v>
      </c>
      <c r="M1199" s="3"/>
    </row>
    <row r="1200" s="1" customFormat="1" spans="1:13">
      <c r="A1200" s="22">
        <v>1009</v>
      </c>
      <c r="B1200" s="23" t="s">
        <v>2084</v>
      </c>
      <c r="C1200" s="25" t="s">
        <v>2085</v>
      </c>
      <c r="D1200" s="25" t="s">
        <v>2080</v>
      </c>
      <c r="E1200" s="19" t="s">
        <v>76</v>
      </c>
      <c r="F1200" s="26" t="s">
        <v>197</v>
      </c>
      <c r="G1200" s="27">
        <f>SUMIF(物料月初库存!$C$3:$C$303,$B1200,物料月初库存!$F$3:$F$303)</f>
        <v>0</v>
      </c>
      <c r="H1200" s="28">
        <f>SUMIF(半成品入库明细!$D$2:$D$650,$B1200,半成品入库明细!$G$2:$G$650)</f>
        <v>0</v>
      </c>
      <c r="I1200" s="28">
        <f ca="1">SUMIF(半成品出库明细!$D$2:$D$558,$B1200,半成品出库明细!$G$2:$G$2)</f>
        <v>0</v>
      </c>
      <c r="J1200" s="28">
        <f ca="1" t="shared" si="22"/>
        <v>0</v>
      </c>
      <c r="K1200" s="29"/>
      <c r="L1200" s="19" t="s">
        <v>202</v>
      </c>
      <c r="M1200" s="3"/>
    </row>
    <row r="1201" s="1" customFormat="1" spans="1:13">
      <c r="A1201" s="22">
        <v>1010</v>
      </c>
      <c r="B1201" s="23" t="s">
        <v>2086</v>
      </c>
      <c r="C1201" s="25" t="s">
        <v>2087</v>
      </c>
      <c r="D1201" s="25" t="s">
        <v>2080</v>
      </c>
      <c r="E1201" s="19" t="s">
        <v>76</v>
      </c>
      <c r="F1201" s="26" t="s">
        <v>197</v>
      </c>
      <c r="G1201" s="27">
        <f>SUMIF(物料月初库存!$C$3:$C$303,$B1201,物料月初库存!$F$3:$F$303)</f>
        <v>0</v>
      </c>
      <c r="H1201" s="28">
        <f>SUMIF(半成品入库明细!$D$2:$D$650,$B1201,半成品入库明细!$G$2:$G$650)</f>
        <v>0</v>
      </c>
      <c r="I1201" s="28">
        <f ca="1">SUMIF(半成品出库明细!$D$2:$D$558,$B1201,半成品出库明细!$G$2:$G$2)</f>
        <v>0</v>
      </c>
      <c r="J1201" s="28">
        <f ca="1" t="shared" si="22"/>
        <v>0</v>
      </c>
      <c r="K1201" s="29"/>
      <c r="L1201" s="19" t="s">
        <v>202</v>
      </c>
      <c r="M1201" s="3"/>
    </row>
    <row r="1202" s="1" customFormat="1" spans="1:13">
      <c r="A1202" s="22">
        <v>1011</v>
      </c>
      <c r="B1202" s="23" t="s">
        <v>2088</v>
      </c>
      <c r="C1202" s="25" t="s">
        <v>2089</v>
      </c>
      <c r="D1202" s="25" t="s">
        <v>2080</v>
      </c>
      <c r="E1202" s="19" t="s">
        <v>76</v>
      </c>
      <c r="F1202" s="26" t="s">
        <v>197</v>
      </c>
      <c r="G1202" s="27">
        <f>SUMIF(物料月初库存!$C$3:$C$303,$B1202,物料月初库存!$F$3:$F$303)</f>
        <v>0</v>
      </c>
      <c r="H1202" s="28">
        <f>SUMIF(半成品入库明细!$D$2:$D$650,$B1202,半成品入库明细!$G$2:$G$650)</f>
        <v>0</v>
      </c>
      <c r="I1202" s="28">
        <f ca="1">SUMIF(半成品出库明细!$D$2:$D$558,$B1202,半成品出库明细!$G$2:$G$2)</f>
        <v>0</v>
      </c>
      <c r="J1202" s="28">
        <f ca="1" t="shared" si="22"/>
        <v>0</v>
      </c>
      <c r="K1202" s="29"/>
      <c r="L1202" s="19" t="s">
        <v>202</v>
      </c>
      <c r="M1202" s="3"/>
    </row>
    <row r="1203" s="1" customFormat="1" spans="1:13">
      <c r="A1203" s="22">
        <v>1012</v>
      </c>
      <c r="B1203" s="23" t="s">
        <v>2090</v>
      </c>
      <c r="C1203" s="25">
        <v>142980</v>
      </c>
      <c r="D1203" s="25" t="s">
        <v>2080</v>
      </c>
      <c r="E1203" s="19" t="s">
        <v>76</v>
      </c>
      <c r="F1203" s="26" t="s">
        <v>197</v>
      </c>
      <c r="G1203" s="27">
        <f>SUMIF(物料月初库存!$C$3:$C$303,$B1203,物料月初库存!$F$3:$F$303)</f>
        <v>0</v>
      </c>
      <c r="H1203" s="28">
        <f>SUMIF(半成品入库明细!$D$2:$D$650,$B1203,半成品入库明细!$G$2:$G$650)</f>
        <v>0</v>
      </c>
      <c r="I1203" s="28">
        <f ca="1">SUMIF(半成品出库明细!$D$2:$D$558,$B1203,半成品出库明细!$G$2:$G$2)</f>
        <v>0</v>
      </c>
      <c r="J1203" s="28">
        <f ca="1" t="shared" si="22"/>
        <v>0</v>
      </c>
      <c r="K1203" s="29"/>
      <c r="L1203" s="19" t="s">
        <v>202</v>
      </c>
      <c r="M1203" s="3"/>
    </row>
    <row r="1204" s="1" customFormat="1" spans="1:13">
      <c r="A1204" s="22">
        <v>1013</v>
      </c>
      <c r="B1204" s="23" t="s">
        <v>2091</v>
      </c>
      <c r="C1204" s="25" t="s">
        <v>2092</v>
      </c>
      <c r="D1204" s="25" t="s">
        <v>2080</v>
      </c>
      <c r="E1204" s="19" t="s">
        <v>76</v>
      </c>
      <c r="F1204" s="26" t="s">
        <v>197</v>
      </c>
      <c r="G1204" s="27">
        <f>SUMIF(物料月初库存!$C$3:$C$303,$B1204,物料月初库存!$F$3:$F$303)</f>
        <v>0</v>
      </c>
      <c r="H1204" s="28">
        <f>SUMIF(半成品入库明细!$D$2:$D$650,$B1204,半成品入库明细!$G$2:$G$650)</f>
        <v>0</v>
      </c>
      <c r="I1204" s="28">
        <f ca="1">SUMIF(半成品出库明细!$D$2:$D$558,$B1204,半成品出库明细!$G$2:$G$2)</f>
        <v>0</v>
      </c>
      <c r="J1204" s="28">
        <f ca="1" t="shared" si="22"/>
        <v>0</v>
      </c>
      <c r="K1204" s="29"/>
      <c r="L1204" s="19" t="s">
        <v>202</v>
      </c>
      <c r="M1204" s="3"/>
    </row>
    <row r="1205" s="1" customFormat="1" spans="1:13">
      <c r="A1205" s="22">
        <v>1014</v>
      </c>
      <c r="B1205" s="23" t="s">
        <v>2093</v>
      </c>
      <c r="C1205" s="25" t="s">
        <v>2094</v>
      </c>
      <c r="D1205" s="25" t="s">
        <v>2080</v>
      </c>
      <c r="E1205" s="19" t="s">
        <v>76</v>
      </c>
      <c r="F1205" s="26" t="s">
        <v>197</v>
      </c>
      <c r="G1205" s="27">
        <f>SUMIF(物料月初库存!$C$3:$C$303,$B1205,物料月初库存!$F$3:$F$303)</f>
        <v>0</v>
      </c>
      <c r="H1205" s="28">
        <f>SUMIF(半成品入库明细!$D$2:$D$650,$B1205,半成品入库明细!$G$2:$G$650)</f>
        <v>0</v>
      </c>
      <c r="I1205" s="28">
        <f ca="1">SUMIF(半成品出库明细!$D$2:$D$558,$B1205,半成品出库明细!$G$2:$G$2)</f>
        <v>0</v>
      </c>
      <c r="J1205" s="28">
        <f ca="1" t="shared" si="22"/>
        <v>0</v>
      </c>
      <c r="K1205" s="29"/>
      <c r="L1205" s="19" t="s">
        <v>202</v>
      </c>
      <c r="M1205" s="3"/>
    </row>
    <row r="1206" s="1" customFormat="1" spans="1:13">
      <c r="A1206" s="22">
        <v>1015</v>
      </c>
      <c r="B1206" s="23" t="s">
        <v>2095</v>
      </c>
      <c r="C1206" s="25" t="s">
        <v>2096</v>
      </c>
      <c r="D1206" s="25" t="s">
        <v>2080</v>
      </c>
      <c r="E1206" s="19" t="s">
        <v>76</v>
      </c>
      <c r="F1206" s="26" t="s">
        <v>197</v>
      </c>
      <c r="G1206" s="27">
        <f>SUMIF(物料月初库存!$C$3:$C$303,$B1206,物料月初库存!$F$3:$F$303)</f>
        <v>0</v>
      </c>
      <c r="H1206" s="28">
        <f>SUMIF(半成品入库明细!$D$2:$D$650,$B1206,半成品入库明细!$G$2:$G$650)</f>
        <v>0</v>
      </c>
      <c r="I1206" s="28">
        <f ca="1">SUMIF(半成品出库明细!$D$2:$D$558,$B1206,半成品出库明细!$G$2:$G$2)</f>
        <v>0</v>
      </c>
      <c r="J1206" s="28">
        <f ca="1" t="shared" si="22"/>
        <v>0</v>
      </c>
      <c r="K1206" s="29"/>
      <c r="L1206" s="19" t="s">
        <v>202</v>
      </c>
      <c r="M1206" s="3"/>
    </row>
    <row r="1207" s="1" customFormat="1" spans="1:13">
      <c r="A1207" s="22">
        <v>1016</v>
      </c>
      <c r="B1207" s="23" t="s">
        <v>2097</v>
      </c>
      <c r="C1207" s="25" t="s">
        <v>2098</v>
      </c>
      <c r="D1207" s="25" t="s">
        <v>2080</v>
      </c>
      <c r="E1207" s="19" t="s">
        <v>76</v>
      </c>
      <c r="F1207" s="26" t="s">
        <v>197</v>
      </c>
      <c r="G1207" s="27">
        <f>SUMIF(物料月初库存!$C$3:$C$303,$B1207,物料月初库存!$F$3:$F$303)</f>
        <v>0</v>
      </c>
      <c r="H1207" s="28">
        <f>SUMIF(半成品入库明细!$D$2:$D$650,$B1207,半成品入库明细!$G$2:$G$650)</f>
        <v>0</v>
      </c>
      <c r="I1207" s="28">
        <f ca="1">SUMIF(半成品出库明细!$D$2:$D$558,$B1207,半成品出库明细!$G$2:$G$2)</f>
        <v>0</v>
      </c>
      <c r="J1207" s="28">
        <f ca="1" t="shared" si="22"/>
        <v>0</v>
      </c>
      <c r="K1207" s="29"/>
      <c r="L1207" s="19" t="s">
        <v>202</v>
      </c>
      <c r="M1207" s="3"/>
    </row>
    <row r="1208" s="1" customFormat="1" spans="1:13">
      <c r="A1208" s="22">
        <v>1017</v>
      </c>
      <c r="B1208" s="23" t="s">
        <v>2099</v>
      </c>
      <c r="C1208" s="25" t="s">
        <v>2100</v>
      </c>
      <c r="D1208" s="25" t="s">
        <v>2080</v>
      </c>
      <c r="E1208" s="19" t="s">
        <v>76</v>
      </c>
      <c r="F1208" s="26" t="s">
        <v>197</v>
      </c>
      <c r="G1208" s="27">
        <f>SUMIF(物料月初库存!$C$3:$C$303,$B1208,物料月初库存!$F$3:$F$303)</f>
        <v>0</v>
      </c>
      <c r="H1208" s="28">
        <f>SUMIF(半成品入库明细!$D$2:$D$650,$B1208,半成品入库明细!$G$2:$G$650)</f>
        <v>0</v>
      </c>
      <c r="I1208" s="28">
        <f ca="1">SUMIF(半成品出库明细!$D$2:$D$558,$B1208,半成品出库明细!$G$2:$G$2)</f>
        <v>0</v>
      </c>
      <c r="J1208" s="28">
        <f ca="1" t="shared" si="22"/>
        <v>0</v>
      </c>
      <c r="K1208" s="29"/>
      <c r="L1208" s="19" t="s">
        <v>202</v>
      </c>
      <c r="M1208" s="3"/>
    </row>
    <row r="1209" s="1" customFormat="1" spans="1:13">
      <c r="A1209" s="22">
        <v>1018</v>
      </c>
      <c r="B1209" s="23" t="s">
        <v>2101</v>
      </c>
      <c r="C1209" s="25" t="s">
        <v>2102</v>
      </c>
      <c r="D1209" s="52" t="s">
        <v>2103</v>
      </c>
      <c r="E1209" s="19" t="s">
        <v>76</v>
      </c>
      <c r="F1209" s="26" t="s">
        <v>197</v>
      </c>
      <c r="G1209" s="27">
        <f>SUMIF(物料月初库存!$C$3:$C$303,$B1209,物料月初库存!$F$3:$F$303)</f>
        <v>0</v>
      </c>
      <c r="H1209" s="28">
        <f>SUMIF(半成品入库明细!$D$2:$D$650,$B1209,半成品入库明细!$G$2:$G$650)</f>
        <v>0</v>
      </c>
      <c r="I1209" s="28">
        <f ca="1">SUMIF(半成品出库明细!$D$2:$D$558,$B1209,半成品出库明细!$G$2:$G$2)</f>
        <v>0</v>
      </c>
      <c r="J1209" s="28">
        <f ca="1" t="shared" si="22"/>
        <v>0</v>
      </c>
      <c r="K1209" s="29"/>
      <c r="L1209" s="19" t="s">
        <v>202</v>
      </c>
      <c r="M1209" s="3"/>
    </row>
    <row r="1210" s="1" customFormat="1" spans="1:13">
      <c r="A1210" s="22">
        <v>1019</v>
      </c>
      <c r="B1210" s="23" t="s">
        <v>2104</v>
      </c>
      <c r="C1210" s="24" t="s">
        <v>2105</v>
      </c>
      <c r="D1210" s="25" t="s">
        <v>2106</v>
      </c>
      <c r="E1210" s="19" t="s">
        <v>76</v>
      </c>
      <c r="F1210" s="26" t="s">
        <v>197</v>
      </c>
      <c r="G1210" s="27">
        <f>SUMIF(物料月初库存!$C$3:$C$303,$B1210,物料月初库存!$F$3:$F$303)</f>
        <v>0</v>
      </c>
      <c r="H1210" s="28">
        <f>SUMIF(半成品入库明细!$D$2:$D$650,$B1210,半成品入库明细!$G$2:$G$650)</f>
        <v>0</v>
      </c>
      <c r="I1210" s="28">
        <f ca="1">SUMIF(半成品出库明细!$D$2:$D$558,$B1210,半成品出库明细!$G$2:$G$2)</f>
        <v>0</v>
      </c>
      <c r="J1210" s="28">
        <f ca="1" t="shared" si="22"/>
        <v>0</v>
      </c>
      <c r="K1210" s="29"/>
      <c r="L1210" s="19"/>
      <c r="M1210" s="3"/>
    </row>
    <row r="1211" s="1" customFormat="1" spans="1:13">
      <c r="A1211" s="22">
        <v>1020</v>
      </c>
      <c r="B1211" s="23" t="s">
        <v>2107</v>
      </c>
      <c r="C1211" s="24" t="s">
        <v>2105</v>
      </c>
      <c r="D1211" s="25" t="s">
        <v>2106</v>
      </c>
      <c r="E1211" s="137" t="s">
        <v>267</v>
      </c>
      <c r="F1211" s="26" t="s">
        <v>197</v>
      </c>
      <c r="G1211" s="27">
        <f>SUMIF(物料月初库存!$C$3:$C$303,$B1211,物料月初库存!$F$3:$F$303)</f>
        <v>0</v>
      </c>
      <c r="H1211" s="28">
        <f>SUMIF(半成品入库明细!$D$2:$D$650,$B1211,半成品入库明细!$G$2:$G$650)</f>
        <v>0</v>
      </c>
      <c r="I1211" s="28">
        <f ca="1">SUMIF(半成品出库明细!$D$2:$D$558,$B1211,半成品出库明细!$G$2:$G$2)</f>
        <v>0</v>
      </c>
      <c r="J1211" s="28">
        <f ca="1" t="shared" si="22"/>
        <v>0</v>
      </c>
      <c r="K1211" s="29"/>
      <c r="L1211" s="19"/>
      <c r="M1211" s="3"/>
    </row>
    <row r="1212" s="1" customFormat="1" spans="1:13">
      <c r="A1212" s="22">
        <v>1021</v>
      </c>
      <c r="B1212" s="23" t="s">
        <v>2108</v>
      </c>
      <c r="C1212" s="24" t="s">
        <v>2105</v>
      </c>
      <c r="D1212" s="25" t="s">
        <v>2106</v>
      </c>
      <c r="E1212" s="28" t="s">
        <v>199</v>
      </c>
      <c r="F1212" s="26" t="s">
        <v>197</v>
      </c>
      <c r="G1212" s="27">
        <f>SUMIF(物料月初库存!$C$3:$C$303,$B1212,物料月初库存!$F$3:$F$303)</f>
        <v>0</v>
      </c>
      <c r="H1212" s="28">
        <f>SUMIF(半成品入库明细!$D$2:$D$650,$B1212,半成品入库明细!$G$2:$G$650)</f>
        <v>0</v>
      </c>
      <c r="I1212" s="28">
        <f ca="1">SUMIF(半成品出库明细!$D$2:$D$558,$B1212,半成品出库明细!$G$2:$G$2)</f>
        <v>0</v>
      </c>
      <c r="J1212" s="28">
        <f ca="1" t="shared" si="22"/>
        <v>0</v>
      </c>
      <c r="K1212" s="29"/>
      <c r="L1212" s="19"/>
      <c r="M1212" s="3"/>
    </row>
    <row r="1213" s="1" customFormat="1" spans="1:13">
      <c r="A1213" s="22">
        <v>1022</v>
      </c>
      <c r="B1213" s="23" t="s">
        <v>2109</v>
      </c>
      <c r="C1213" s="24" t="s">
        <v>2105</v>
      </c>
      <c r="D1213" s="25" t="s">
        <v>2106</v>
      </c>
      <c r="E1213" s="28" t="s">
        <v>201</v>
      </c>
      <c r="F1213" s="26" t="s">
        <v>197</v>
      </c>
      <c r="G1213" s="27">
        <f>SUMIF(物料月初库存!$C$3:$C$303,$B1213,物料月初库存!$F$3:$F$303)</f>
        <v>0</v>
      </c>
      <c r="H1213" s="28">
        <f>SUMIF(半成品入库明细!$D$2:$D$650,$B1213,半成品入库明细!$G$2:$G$650)</f>
        <v>0</v>
      </c>
      <c r="I1213" s="28">
        <f ca="1">SUMIF(半成品出库明细!$D$2:$D$558,$B1213,半成品出库明细!$G$2:$G$2)</f>
        <v>0</v>
      </c>
      <c r="J1213" s="28">
        <f ca="1" t="shared" si="22"/>
        <v>0</v>
      </c>
      <c r="K1213" s="29"/>
      <c r="L1213" s="19"/>
      <c r="M1213" s="3"/>
    </row>
    <row r="1214" s="1" customFormat="1" spans="1:13">
      <c r="A1214" s="22">
        <v>1023</v>
      </c>
      <c r="B1214" s="23" t="s">
        <v>2110</v>
      </c>
      <c r="C1214" s="25" t="s">
        <v>2111</v>
      </c>
      <c r="D1214" s="25" t="s">
        <v>2112</v>
      </c>
      <c r="E1214" s="19" t="s">
        <v>76</v>
      </c>
      <c r="F1214" s="26" t="s">
        <v>197</v>
      </c>
      <c r="G1214" s="27">
        <f>SUMIF(物料月初库存!$C$3:$C$303,$B1214,物料月初库存!$F$3:$F$303)</f>
        <v>0</v>
      </c>
      <c r="H1214" s="28">
        <f>SUMIF(半成品入库明细!$D$2:$D$650,$B1214,半成品入库明细!$G$2:$G$650)</f>
        <v>0</v>
      </c>
      <c r="I1214" s="28">
        <f ca="1">SUMIF(半成品出库明细!$D$2:$D$558,$B1214,半成品出库明细!$G$2:$G$2)</f>
        <v>0</v>
      </c>
      <c r="J1214" s="28">
        <f ca="1" t="shared" si="22"/>
        <v>0</v>
      </c>
      <c r="K1214" s="29"/>
      <c r="L1214" s="19" t="s">
        <v>202</v>
      </c>
      <c r="M1214" s="3"/>
    </row>
    <row r="1215" s="1" customFormat="1" spans="1:13">
      <c r="A1215" s="22">
        <v>1024</v>
      </c>
      <c r="B1215" s="23" t="s">
        <v>2113</v>
      </c>
      <c r="C1215" s="138" t="s">
        <v>2114</v>
      </c>
      <c r="D1215" s="25" t="s">
        <v>2115</v>
      </c>
      <c r="E1215" s="19" t="s">
        <v>76</v>
      </c>
      <c r="F1215" s="26" t="s">
        <v>197</v>
      </c>
      <c r="G1215" s="27">
        <f>SUMIF(物料月初库存!$C$3:$C$303,$B1215,物料月初库存!$F$3:$F$303)</f>
        <v>0</v>
      </c>
      <c r="H1215" s="28">
        <f>SUMIF(半成品入库明细!$D$2:$D$650,$B1215,半成品入库明细!$G$2:$G$650)</f>
        <v>0</v>
      </c>
      <c r="I1215" s="28">
        <f ca="1">SUMIF(半成品出库明细!$D$2:$D$558,$B1215,半成品出库明细!$G$2:$G$2)</f>
        <v>0</v>
      </c>
      <c r="J1215" s="28">
        <f ca="1" t="shared" si="22"/>
        <v>0</v>
      </c>
      <c r="K1215" s="29"/>
      <c r="L1215" s="19" t="s">
        <v>202</v>
      </c>
      <c r="M1215" s="3"/>
    </row>
    <row r="1216" s="1" customFormat="1" spans="1:13">
      <c r="A1216" s="22">
        <v>1025</v>
      </c>
      <c r="B1216" s="23" t="s">
        <v>2116</v>
      </c>
      <c r="C1216" s="25" t="s">
        <v>2117</v>
      </c>
      <c r="D1216" s="25" t="s">
        <v>2118</v>
      </c>
      <c r="E1216" s="19" t="s">
        <v>76</v>
      </c>
      <c r="F1216" s="26" t="s">
        <v>197</v>
      </c>
      <c r="G1216" s="27">
        <f>SUMIF(物料月初库存!$C$3:$C$303,$B1216,物料月初库存!$F$3:$F$303)</f>
        <v>0</v>
      </c>
      <c r="H1216" s="28">
        <f>SUMIF(半成品入库明细!$D$2:$D$650,$B1216,半成品入库明细!$G$2:$G$650)</f>
        <v>0</v>
      </c>
      <c r="I1216" s="28">
        <f ca="1">SUMIF(半成品出库明细!$D$2:$D$558,$B1216,半成品出库明细!$G$2:$G$2)</f>
        <v>0</v>
      </c>
      <c r="J1216" s="28">
        <f ca="1" t="shared" si="22"/>
        <v>0</v>
      </c>
      <c r="K1216" s="29"/>
      <c r="L1216" s="19"/>
      <c r="M1216" s="3"/>
    </row>
    <row r="1217" s="1" customFormat="1" spans="1:13">
      <c r="A1217" s="22">
        <v>1026</v>
      </c>
      <c r="B1217" s="23" t="s">
        <v>2119</v>
      </c>
      <c r="C1217" s="25" t="s">
        <v>2117</v>
      </c>
      <c r="D1217" s="25" t="s">
        <v>2118</v>
      </c>
      <c r="E1217" s="19" t="s">
        <v>235</v>
      </c>
      <c r="F1217" s="26" t="s">
        <v>197</v>
      </c>
      <c r="G1217" s="27">
        <f>SUMIF(物料月初库存!$C$3:$C$303,$B1217,物料月初库存!$F$3:$F$303)</f>
        <v>0</v>
      </c>
      <c r="H1217" s="28">
        <f>SUMIF(半成品入库明细!$D$2:$D$650,$B1217,半成品入库明细!$G$2:$G$650)</f>
        <v>0</v>
      </c>
      <c r="I1217" s="28">
        <f ca="1">SUMIF(半成品出库明细!$D$2:$D$558,$B1217,半成品出库明细!$G$2:$G$2)</f>
        <v>0</v>
      </c>
      <c r="J1217" s="28">
        <f ca="1" t="shared" si="22"/>
        <v>0</v>
      </c>
      <c r="K1217" s="29" t="s">
        <v>223</v>
      </c>
      <c r="L1217" s="19" t="s">
        <v>202</v>
      </c>
      <c r="M1217" s="3"/>
    </row>
    <row r="1218" s="1" customFormat="1" spans="1:13">
      <c r="A1218" s="22">
        <v>1027</v>
      </c>
      <c r="B1218" s="23" t="s">
        <v>2120</v>
      </c>
      <c r="C1218" s="24" t="s">
        <v>2121</v>
      </c>
      <c r="D1218" s="25" t="s">
        <v>2122</v>
      </c>
      <c r="E1218" s="19" t="s">
        <v>76</v>
      </c>
      <c r="F1218" s="26" t="s">
        <v>197</v>
      </c>
      <c r="G1218" s="27">
        <f>SUMIF(物料月初库存!$C$3:$C$303,$B1218,物料月初库存!$F$3:$F$303)</f>
        <v>0</v>
      </c>
      <c r="H1218" s="28">
        <f>SUMIF(半成品入库明细!$D$2:$D$650,$B1218,半成品入库明细!$G$2:$G$650)</f>
        <v>0</v>
      </c>
      <c r="I1218" s="28">
        <f ca="1">SUMIF(半成品出库明细!$D$2:$D$558,$B1218,半成品出库明细!$G$2:$G$2)</f>
        <v>0</v>
      </c>
      <c r="J1218" s="28">
        <f ca="1" t="shared" si="22"/>
        <v>0</v>
      </c>
      <c r="K1218" s="29"/>
      <c r="L1218" s="19"/>
      <c r="M1218" s="3"/>
    </row>
    <row r="1219" s="1" customFormat="1" spans="1:13">
      <c r="A1219" s="22">
        <v>1028</v>
      </c>
      <c r="B1219" s="23" t="s">
        <v>2123</v>
      </c>
      <c r="C1219" s="24" t="s">
        <v>2124</v>
      </c>
      <c r="D1219" s="25" t="s">
        <v>2122</v>
      </c>
      <c r="E1219" s="28" t="s">
        <v>356</v>
      </c>
      <c r="F1219" s="26" t="s">
        <v>197</v>
      </c>
      <c r="G1219" s="27">
        <f>SUMIF(物料月初库存!$C$3:$C$303,$B1219,物料月初库存!$F$3:$F$303)</f>
        <v>0</v>
      </c>
      <c r="H1219" s="28">
        <f>SUMIF(半成品入库明细!$D$2:$D$650,$B1219,半成品入库明细!$G$2:$G$650)</f>
        <v>0</v>
      </c>
      <c r="I1219" s="28">
        <f ca="1">SUMIF(半成品出库明细!$D$2:$D$558,$B1219,半成品出库明细!$G$2:$G$2)</f>
        <v>0</v>
      </c>
      <c r="J1219" s="28">
        <f ca="1" t="shared" si="22"/>
        <v>0</v>
      </c>
      <c r="K1219" s="30" t="s">
        <v>113</v>
      </c>
      <c r="L1219" s="19"/>
      <c r="M1219" s="3"/>
    </row>
    <row r="1220" s="1" customFormat="1" spans="1:13">
      <c r="A1220" s="22">
        <v>1029</v>
      </c>
      <c r="B1220" s="23" t="s">
        <v>2125</v>
      </c>
      <c r="C1220" s="24" t="s">
        <v>2124</v>
      </c>
      <c r="D1220" s="25" t="s">
        <v>2122</v>
      </c>
      <c r="E1220" s="19" t="s">
        <v>201</v>
      </c>
      <c r="F1220" s="26" t="s">
        <v>197</v>
      </c>
      <c r="G1220" s="27">
        <f>SUMIF(物料月初库存!$C$3:$C$303,$B1220,物料月初库存!$F$3:$F$303)</f>
        <v>0</v>
      </c>
      <c r="H1220" s="28">
        <f>SUMIF(半成品入库明细!$D$2:$D$650,$B1220,半成品入库明细!$G$2:$G$650)</f>
        <v>0</v>
      </c>
      <c r="I1220" s="28">
        <f ca="1">SUMIF(半成品出库明细!$D$2:$D$558,$B1220,半成品出库明细!$G$2:$G$2)</f>
        <v>0</v>
      </c>
      <c r="J1220" s="28">
        <f ca="1" t="shared" si="22"/>
        <v>0</v>
      </c>
      <c r="K1220" s="30" t="s">
        <v>183</v>
      </c>
      <c r="L1220" s="19" t="s">
        <v>202</v>
      </c>
      <c r="M1220" s="3"/>
    </row>
    <row r="1221" s="1" customFormat="1" spans="1:13">
      <c r="A1221" s="22">
        <v>1030</v>
      </c>
      <c r="B1221" s="23" t="s">
        <v>2126</v>
      </c>
      <c r="C1221" s="24" t="s">
        <v>2127</v>
      </c>
      <c r="D1221" s="25" t="s">
        <v>2122</v>
      </c>
      <c r="E1221" s="19" t="s">
        <v>76</v>
      </c>
      <c r="F1221" s="26" t="s">
        <v>197</v>
      </c>
      <c r="G1221" s="27">
        <f>SUMIF(物料月初库存!$C$3:$C$303,$B1221,物料月初库存!$F$3:$F$303)</f>
        <v>0</v>
      </c>
      <c r="H1221" s="28">
        <f>SUMIF(半成品入库明细!$D$2:$D$650,$B1221,半成品入库明细!$G$2:$G$650)</f>
        <v>0</v>
      </c>
      <c r="I1221" s="28">
        <f ca="1">SUMIF(半成品出库明细!$D$2:$D$558,$B1221,半成品出库明细!$G$2:$G$2)</f>
        <v>0</v>
      </c>
      <c r="J1221" s="28">
        <f ca="1" t="shared" si="22"/>
        <v>0</v>
      </c>
      <c r="K1221" s="29"/>
      <c r="L1221" s="19"/>
      <c r="M1221" s="3"/>
    </row>
    <row r="1222" s="1" customFormat="1" spans="1:13">
      <c r="A1222" s="22">
        <v>1031</v>
      </c>
      <c r="B1222" s="23" t="s">
        <v>2128</v>
      </c>
      <c r="C1222" s="24" t="s">
        <v>2127</v>
      </c>
      <c r="D1222" s="25" t="s">
        <v>2122</v>
      </c>
      <c r="E1222" s="28" t="s">
        <v>356</v>
      </c>
      <c r="F1222" s="26" t="s">
        <v>197</v>
      </c>
      <c r="G1222" s="27">
        <f>SUMIF(物料月初库存!$C$3:$C$303,$B1222,物料月初库存!$F$3:$F$303)</f>
        <v>0</v>
      </c>
      <c r="H1222" s="28">
        <f>SUMIF(半成品入库明细!$D$2:$D$650,$B1222,半成品入库明细!$G$2:$G$650)</f>
        <v>0</v>
      </c>
      <c r="I1222" s="28">
        <f ca="1">SUMIF(半成品出库明细!$D$2:$D$558,$B1222,半成品出库明细!$G$2:$G$2)</f>
        <v>0</v>
      </c>
      <c r="J1222" s="28">
        <f ca="1" t="shared" si="22"/>
        <v>0</v>
      </c>
      <c r="K1222" s="30" t="s">
        <v>113</v>
      </c>
      <c r="L1222" s="19"/>
      <c r="M1222" s="3"/>
    </row>
    <row r="1223" s="1" customFormat="1" spans="1:13">
      <c r="A1223" s="22">
        <v>1032</v>
      </c>
      <c r="B1223" s="23" t="s">
        <v>2129</v>
      </c>
      <c r="C1223" s="24" t="s">
        <v>2127</v>
      </c>
      <c r="D1223" s="25" t="s">
        <v>2122</v>
      </c>
      <c r="E1223" s="19" t="s">
        <v>201</v>
      </c>
      <c r="F1223" s="26" t="s">
        <v>197</v>
      </c>
      <c r="G1223" s="27">
        <f>SUMIF(物料月初库存!$C$3:$C$303,$B1223,物料月初库存!$F$3:$F$303)</f>
        <v>0</v>
      </c>
      <c r="H1223" s="28">
        <f>SUMIF(半成品入库明细!$D$2:$D$650,$B1223,半成品入库明细!$G$2:$G$650)</f>
        <v>0</v>
      </c>
      <c r="I1223" s="28">
        <f ca="1">SUMIF(半成品出库明细!$D$2:$D$558,$B1223,半成品出库明细!$G$2:$G$2)</f>
        <v>0</v>
      </c>
      <c r="J1223" s="28">
        <f ca="1" t="shared" si="22"/>
        <v>0</v>
      </c>
      <c r="K1223" s="30" t="s">
        <v>183</v>
      </c>
      <c r="L1223" s="19" t="s">
        <v>202</v>
      </c>
      <c r="M1223" s="3"/>
    </row>
    <row r="1224" s="1" customFormat="1" spans="1:13">
      <c r="A1224" s="22">
        <v>1033</v>
      </c>
      <c r="B1224" s="23" t="s">
        <v>2130</v>
      </c>
      <c r="C1224" s="24" t="s">
        <v>2131</v>
      </c>
      <c r="D1224" s="25" t="s">
        <v>2122</v>
      </c>
      <c r="E1224" s="19" t="s">
        <v>76</v>
      </c>
      <c r="F1224" s="26" t="s">
        <v>197</v>
      </c>
      <c r="G1224" s="27">
        <f>SUMIF(物料月初库存!$C$3:$C$303,$B1224,物料月初库存!$F$3:$F$303)</f>
        <v>0</v>
      </c>
      <c r="H1224" s="28">
        <f>SUMIF(半成品入库明细!$D$2:$D$650,$B1224,半成品入库明细!$G$2:$G$650)</f>
        <v>0</v>
      </c>
      <c r="I1224" s="28">
        <f ca="1">SUMIF(半成品出库明细!$D$2:$D$558,$B1224,半成品出库明细!$G$2:$G$2)</f>
        <v>0</v>
      </c>
      <c r="J1224" s="28">
        <f ca="1" t="shared" si="22"/>
        <v>0</v>
      </c>
      <c r="K1224" s="29"/>
      <c r="L1224" s="19"/>
      <c r="M1224" s="3"/>
    </row>
    <row r="1225" s="1" customFormat="1" spans="1:13">
      <c r="A1225" s="22">
        <v>1034</v>
      </c>
      <c r="B1225" s="23" t="s">
        <v>2132</v>
      </c>
      <c r="C1225" s="24" t="s">
        <v>2131</v>
      </c>
      <c r="D1225" s="25" t="s">
        <v>2122</v>
      </c>
      <c r="E1225" s="28" t="s">
        <v>356</v>
      </c>
      <c r="F1225" s="26" t="s">
        <v>197</v>
      </c>
      <c r="G1225" s="27">
        <f>SUMIF(物料月初库存!$C$3:$C$303,$B1225,物料月初库存!$F$3:$F$303)</f>
        <v>0</v>
      </c>
      <c r="H1225" s="28">
        <f>SUMIF(半成品入库明细!$D$2:$D$650,$B1225,半成品入库明细!$G$2:$G$650)</f>
        <v>0</v>
      </c>
      <c r="I1225" s="28">
        <f ca="1">SUMIF(半成品出库明细!$D$2:$D$558,$B1225,半成品出库明细!$G$2:$G$2)</f>
        <v>0</v>
      </c>
      <c r="J1225" s="28">
        <f ca="1" t="shared" si="22"/>
        <v>0</v>
      </c>
      <c r="K1225" s="32" t="s">
        <v>2133</v>
      </c>
      <c r="L1225" s="19"/>
      <c r="M1225" s="3"/>
    </row>
    <row r="1226" s="1" customFormat="1" spans="1:13">
      <c r="A1226" s="22">
        <v>1035</v>
      </c>
      <c r="B1226" s="23" t="s">
        <v>2134</v>
      </c>
      <c r="C1226" s="24" t="s">
        <v>2131</v>
      </c>
      <c r="D1226" s="25" t="s">
        <v>2122</v>
      </c>
      <c r="E1226" s="19" t="s">
        <v>239</v>
      </c>
      <c r="F1226" s="26" t="s">
        <v>197</v>
      </c>
      <c r="G1226" s="27">
        <f>SUMIF(物料月初库存!$C$3:$C$303,$B1226,物料月初库存!$F$3:$F$303)</f>
        <v>0</v>
      </c>
      <c r="H1226" s="28">
        <f>SUMIF(半成品入库明细!$D$2:$D$650,$B1226,半成品入库明细!$G$2:$G$650)</f>
        <v>0</v>
      </c>
      <c r="I1226" s="28">
        <f ca="1">SUMIF(半成品出库明细!$D$2:$D$558,$B1226,半成品出库明细!$G$2:$G$2)</f>
        <v>0</v>
      </c>
      <c r="J1226" s="28">
        <f ca="1" t="shared" si="22"/>
        <v>0</v>
      </c>
      <c r="K1226" s="29" t="s">
        <v>183</v>
      </c>
      <c r="L1226" s="19" t="s">
        <v>202</v>
      </c>
      <c r="M1226" s="3"/>
    </row>
    <row r="1227" s="1" customFormat="1" spans="1:13">
      <c r="A1227" s="22">
        <v>1036</v>
      </c>
      <c r="B1227" s="128" t="s">
        <v>2135</v>
      </c>
      <c r="C1227" s="128" t="s">
        <v>2136</v>
      </c>
      <c r="D1227" s="52" t="s">
        <v>2137</v>
      </c>
      <c r="E1227" s="19" t="s">
        <v>76</v>
      </c>
      <c r="F1227" s="26" t="s">
        <v>197</v>
      </c>
      <c r="G1227" s="27">
        <f>SUMIF(物料月初库存!$C$3:$C$303,$B1227,物料月初库存!$F$3:$F$303)</f>
        <v>0</v>
      </c>
      <c r="H1227" s="28">
        <f>SUMIF(半成品入库明细!$D$2:$D$650,$B1227,半成品入库明细!$G$2:$G$650)</f>
        <v>0</v>
      </c>
      <c r="I1227" s="28">
        <f ca="1">SUMIF(半成品出库明细!$D$2:$D$558,$B1227,半成品出库明细!$G$2:$G$2)</f>
        <v>0</v>
      </c>
      <c r="J1227" s="28">
        <f ca="1" t="shared" si="22"/>
        <v>0</v>
      </c>
      <c r="K1227" s="29"/>
      <c r="L1227" s="19" t="s">
        <v>202</v>
      </c>
      <c r="M1227" s="3"/>
    </row>
    <row r="1228" s="1" customFormat="1" spans="1:13">
      <c r="A1228" s="22">
        <v>1037</v>
      </c>
      <c r="B1228" s="128" t="s">
        <v>2138</v>
      </c>
      <c r="C1228" s="52" t="s">
        <v>2139</v>
      </c>
      <c r="D1228" s="52" t="s">
        <v>2137</v>
      </c>
      <c r="E1228" s="19" t="s">
        <v>76</v>
      </c>
      <c r="F1228" s="26" t="s">
        <v>197</v>
      </c>
      <c r="G1228" s="27">
        <f>SUMIF(物料月初库存!$C$3:$C$303,$B1228,物料月初库存!$F$3:$F$303)</f>
        <v>0</v>
      </c>
      <c r="H1228" s="28">
        <f>SUMIF(半成品入库明细!$D$2:$D$650,$B1228,半成品入库明细!$G$2:$G$650)</f>
        <v>0</v>
      </c>
      <c r="I1228" s="28">
        <f ca="1">SUMIF(半成品出库明细!$D$2:$D$558,$B1228,半成品出库明细!$G$2:$G$2)</f>
        <v>0</v>
      </c>
      <c r="J1228" s="28">
        <f ca="1" t="shared" si="22"/>
        <v>0</v>
      </c>
      <c r="K1228" s="29"/>
      <c r="L1228" s="19" t="s">
        <v>202</v>
      </c>
      <c r="M1228" s="3"/>
    </row>
    <row r="1229" s="1" customFormat="1" spans="1:13">
      <c r="A1229" s="22">
        <v>1038</v>
      </c>
      <c r="B1229" s="128" t="s">
        <v>2140</v>
      </c>
      <c r="C1229" s="52" t="s">
        <v>2141</v>
      </c>
      <c r="D1229" s="52" t="s">
        <v>2137</v>
      </c>
      <c r="E1229" s="19" t="s">
        <v>76</v>
      </c>
      <c r="F1229" s="26" t="s">
        <v>197</v>
      </c>
      <c r="G1229" s="27">
        <f>SUMIF(物料月初库存!$C$3:$C$303,$B1229,物料月初库存!$F$3:$F$303)</f>
        <v>0</v>
      </c>
      <c r="H1229" s="28">
        <f>SUMIF(半成品入库明细!$D$2:$D$650,$B1229,半成品入库明细!$G$2:$G$650)</f>
        <v>0</v>
      </c>
      <c r="I1229" s="28">
        <f ca="1">SUMIF(半成品出库明细!$D$2:$D$558,$B1229,半成品出库明细!$G$2:$G$2)</f>
        <v>0</v>
      </c>
      <c r="J1229" s="28">
        <f ca="1" t="shared" si="22"/>
        <v>0</v>
      </c>
      <c r="K1229" s="29"/>
      <c r="L1229" s="19" t="s">
        <v>202</v>
      </c>
      <c r="M1229" s="3"/>
    </row>
    <row r="1230" s="1" customFormat="1" spans="1:13">
      <c r="A1230" s="22">
        <v>1039</v>
      </c>
      <c r="B1230" s="23" t="s">
        <v>2142</v>
      </c>
      <c r="C1230" s="25" t="s">
        <v>2143</v>
      </c>
      <c r="D1230" s="25" t="s">
        <v>2144</v>
      </c>
      <c r="E1230" s="19" t="s">
        <v>76</v>
      </c>
      <c r="F1230" s="26" t="s">
        <v>197</v>
      </c>
      <c r="G1230" s="27">
        <f>SUMIF(物料月初库存!$C$3:$C$303,$B1230,物料月初库存!$F$3:$F$303)</f>
        <v>0</v>
      </c>
      <c r="H1230" s="28">
        <f>SUMIF(半成品入库明细!$D$2:$D$650,$B1230,半成品入库明细!$G$2:$G$650)</f>
        <v>0</v>
      </c>
      <c r="I1230" s="28">
        <f ca="1">SUMIF(半成品出库明细!$D$2:$D$558,$B1230,半成品出库明细!$G$2:$G$2)</f>
        <v>0</v>
      </c>
      <c r="J1230" s="28">
        <f ca="1" t="shared" si="22"/>
        <v>0</v>
      </c>
      <c r="K1230" s="29"/>
      <c r="L1230" s="19"/>
      <c r="M1230" s="3"/>
    </row>
    <row r="1231" s="1" customFormat="1" spans="1:13">
      <c r="A1231" s="22">
        <v>1040</v>
      </c>
      <c r="B1231" s="23" t="s">
        <v>2145</v>
      </c>
      <c r="C1231" s="25" t="s">
        <v>2143</v>
      </c>
      <c r="D1231" s="25" t="s">
        <v>2144</v>
      </c>
      <c r="E1231" s="19" t="s">
        <v>267</v>
      </c>
      <c r="F1231" s="26" t="s">
        <v>197</v>
      </c>
      <c r="G1231" s="27">
        <f>SUMIF(物料月初库存!$C$3:$C$303,$B1231,物料月初库存!$F$3:$F$303)</f>
        <v>0</v>
      </c>
      <c r="H1231" s="28">
        <f>SUMIF(半成品入库明细!$D$2:$D$650,$B1231,半成品入库明细!$G$2:$G$650)</f>
        <v>0</v>
      </c>
      <c r="I1231" s="28">
        <f ca="1">SUMIF(半成品出库明细!$D$2:$D$558,$B1231,半成品出库明细!$G$2:$G$2)</f>
        <v>0</v>
      </c>
      <c r="J1231" s="28">
        <f ca="1" t="shared" si="22"/>
        <v>0</v>
      </c>
      <c r="K1231" s="29"/>
      <c r="L1231" s="19"/>
      <c r="M1231" s="3"/>
    </row>
    <row r="1232" s="1" customFormat="1" spans="1:13">
      <c r="A1232" s="22">
        <v>1041</v>
      </c>
      <c r="B1232" s="23" t="s">
        <v>2146</v>
      </c>
      <c r="C1232" s="25" t="s">
        <v>2143</v>
      </c>
      <c r="D1232" s="25" t="s">
        <v>2144</v>
      </c>
      <c r="E1232" s="28" t="s">
        <v>2042</v>
      </c>
      <c r="F1232" s="26" t="s">
        <v>197</v>
      </c>
      <c r="G1232" s="27">
        <f>SUMIF(物料月初库存!$C$3:$C$303,$B1232,物料月初库存!$F$3:$F$303)</f>
        <v>0</v>
      </c>
      <c r="H1232" s="28">
        <f>SUMIF(半成品入库明细!$D$2:$D$650,$B1232,半成品入库明细!$G$2:$G$650)</f>
        <v>0</v>
      </c>
      <c r="I1232" s="28">
        <f ca="1">SUMIF(半成品出库明细!$D$2:$D$558,$B1232,半成品出库明细!$G$2:$G$2)</f>
        <v>0</v>
      </c>
      <c r="J1232" s="28">
        <f ca="1" t="shared" si="22"/>
        <v>0</v>
      </c>
      <c r="K1232" s="29"/>
      <c r="L1232" s="19"/>
      <c r="M1232" s="3"/>
    </row>
    <row r="1233" s="1" customFormat="1" spans="1:13">
      <c r="A1233" s="22">
        <v>1042</v>
      </c>
      <c r="B1233" s="23" t="s">
        <v>2147</v>
      </c>
      <c r="C1233" s="25" t="s">
        <v>2143</v>
      </c>
      <c r="D1233" s="25" t="s">
        <v>2144</v>
      </c>
      <c r="E1233" s="28" t="s">
        <v>201</v>
      </c>
      <c r="F1233" s="26" t="s">
        <v>197</v>
      </c>
      <c r="G1233" s="27">
        <f>SUMIF(物料月初库存!$C$3:$C$303,$B1233,物料月初库存!$F$3:$F$303)</f>
        <v>0</v>
      </c>
      <c r="H1233" s="28">
        <f>SUMIF(半成品入库明细!$D$2:$D$650,$B1233,半成品入库明细!$G$2:$G$650)</f>
        <v>0</v>
      </c>
      <c r="I1233" s="28">
        <f ca="1">SUMIF(半成品出库明细!$D$2:$D$558,$B1233,半成品出库明细!$G$2:$G$2)</f>
        <v>0</v>
      </c>
      <c r="J1233" s="28">
        <f ca="1" t="shared" si="22"/>
        <v>0</v>
      </c>
      <c r="K1233" s="29"/>
      <c r="L1233" s="19" t="s">
        <v>202</v>
      </c>
      <c r="M1233" s="3"/>
    </row>
    <row r="1234" s="1" customFormat="1" spans="1:13">
      <c r="A1234" s="22">
        <v>1043</v>
      </c>
      <c r="B1234" s="23" t="s">
        <v>2148</v>
      </c>
      <c r="C1234" s="25" t="s">
        <v>2149</v>
      </c>
      <c r="D1234" s="25" t="s">
        <v>2144</v>
      </c>
      <c r="E1234" s="19" t="s">
        <v>76</v>
      </c>
      <c r="F1234" s="26" t="s">
        <v>197</v>
      </c>
      <c r="G1234" s="27">
        <f>SUMIF(物料月初库存!$C$3:$C$303,$B1234,物料月初库存!$F$3:$F$303)</f>
        <v>0</v>
      </c>
      <c r="H1234" s="28">
        <f>SUMIF(半成品入库明细!$D$2:$D$650,$B1234,半成品入库明细!$G$2:$G$650)</f>
        <v>0</v>
      </c>
      <c r="I1234" s="28">
        <f ca="1">SUMIF(半成品出库明细!$D$2:$D$558,$B1234,半成品出库明细!$G$2:$G$2)</f>
        <v>0</v>
      </c>
      <c r="J1234" s="28">
        <f ca="1" t="shared" si="22"/>
        <v>0</v>
      </c>
      <c r="K1234" s="29"/>
      <c r="L1234" s="19"/>
      <c r="M1234" s="3"/>
    </row>
    <row r="1235" s="1" customFormat="1" spans="1:13">
      <c r="A1235" s="22">
        <v>1044</v>
      </c>
      <c r="B1235" s="23" t="s">
        <v>2150</v>
      </c>
      <c r="C1235" s="25" t="s">
        <v>2149</v>
      </c>
      <c r="D1235" s="25" t="s">
        <v>2144</v>
      </c>
      <c r="E1235" s="28" t="s">
        <v>316</v>
      </c>
      <c r="F1235" s="26" t="s">
        <v>197</v>
      </c>
      <c r="G1235" s="27">
        <f>SUMIF(物料月初库存!$C$3:$C$303,$B1235,物料月初库存!$F$3:$F$303)</f>
        <v>0</v>
      </c>
      <c r="H1235" s="28">
        <f>SUMIF(半成品入库明细!$D$2:$D$650,$B1235,半成品入库明细!$G$2:$G$650)</f>
        <v>0</v>
      </c>
      <c r="I1235" s="28">
        <f ca="1">SUMIF(半成品出库明细!$D$2:$D$558,$B1235,半成品出库明细!$G$2:$G$2)</f>
        <v>0</v>
      </c>
      <c r="J1235" s="28">
        <f ca="1" t="shared" si="22"/>
        <v>0</v>
      </c>
      <c r="K1235" s="30" t="s">
        <v>1476</v>
      </c>
      <c r="L1235" s="19"/>
      <c r="M1235" s="3"/>
    </row>
    <row r="1236" s="1" customFormat="1" spans="1:13">
      <c r="A1236" s="22"/>
      <c r="B1236" s="23" t="s">
        <v>2151</v>
      </c>
      <c r="C1236" s="25" t="s">
        <v>2149</v>
      </c>
      <c r="D1236" s="25" t="s">
        <v>2144</v>
      </c>
      <c r="E1236" s="19" t="s">
        <v>2152</v>
      </c>
      <c r="F1236" s="26" t="s">
        <v>197</v>
      </c>
      <c r="G1236" s="27">
        <f>SUMIF(物料月初库存!$C$3:$C$303,$B1236,物料月初库存!$F$3:$F$303)</f>
        <v>0</v>
      </c>
      <c r="H1236" s="28">
        <f>SUMIF(半成品入库明细!$D$2:$D$650,$B1236,半成品入库明细!$G$2:$G$650)</f>
        <v>0</v>
      </c>
      <c r="I1236" s="28">
        <f ca="1">SUMIF(半成品出库明细!$D$2:$D$558,$B1236,半成品出库明细!$G$2:$G$2)</f>
        <v>0</v>
      </c>
      <c r="J1236" s="28">
        <f ca="1" t="shared" si="22"/>
        <v>0</v>
      </c>
      <c r="K1236" s="30" t="s">
        <v>2153</v>
      </c>
      <c r="L1236" s="19"/>
      <c r="M1236" s="3"/>
    </row>
    <row r="1237" s="1" customFormat="1" spans="1:13">
      <c r="A1237" s="22">
        <v>1045</v>
      </c>
      <c r="B1237" s="23" t="s">
        <v>2154</v>
      </c>
      <c r="C1237" s="25" t="s">
        <v>2149</v>
      </c>
      <c r="D1237" s="25" t="s">
        <v>2144</v>
      </c>
      <c r="E1237" s="19" t="s">
        <v>2155</v>
      </c>
      <c r="F1237" s="26" t="s">
        <v>197</v>
      </c>
      <c r="G1237" s="27">
        <f>SUMIF(物料月初库存!$C$3:$C$303,$B1237,物料月初库存!$F$3:$F$303)</f>
        <v>0</v>
      </c>
      <c r="H1237" s="28">
        <f>SUMIF(半成品入库明细!$D$2:$D$650,$B1237,半成品入库明细!$G$2:$G$650)</f>
        <v>0</v>
      </c>
      <c r="I1237" s="28">
        <f ca="1">SUMIF(半成品出库明细!$D$2:$D$558,$B1237,半成品出库明细!$G$2:$G$2)</f>
        <v>0</v>
      </c>
      <c r="J1237" s="28">
        <f ca="1" t="shared" si="22"/>
        <v>0</v>
      </c>
      <c r="K1237" s="30"/>
      <c r="L1237" s="19" t="s">
        <v>202</v>
      </c>
      <c r="M1237" s="3"/>
    </row>
    <row r="1238" s="1" customFormat="1" spans="1:13">
      <c r="A1238" s="22">
        <v>1046</v>
      </c>
      <c r="B1238" s="23" t="s">
        <v>2156</v>
      </c>
      <c r="C1238" s="25" t="s">
        <v>2157</v>
      </c>
      <c r="D1238" s="25" t="s">
        <v>2144</v>
      </c>
      <c r="E1238" s="19" t="s">
        <v>76</v>
      </c>
      <c r="F1238" s="26" t="s">
        <v>197</v>
      </c>
      <c r="G1238" s="27">
        <f>SUMIF(物料月初库存!$C$3:$C$303,$B1238,物料月初库存!$F$3:$F$303)</f>
        <v>0</v>
      </c>
      <c r="H1238" s="28">
        <f>SUMIF(半成品入库明细!$D$2:$D$650,$B1238,半成品入库明细!$G$2:$G$650)</f>
        <v>0</v>
      </c>
      <c r="I1238" s="28">
        <f ca="1">SUMIF(半成品出库明细!$D$2:$D$558,$B1238,半成品出库明细!$G$2:$G$2)</f>
        <v>0</v>
      </c>
      <c r="J1238" s="28">
        <f ca="1" t="shared" si="22"/>
        <v>0</v>
      </c>
      <c r="K1238" s="29"/>
      <c r="L1238" s="19"/>
      <c r="M1238" s="3"/>
    </row>
    <row r="1239" s="1" customFormat="1" spans="1:13">
      <c r="A1239" s="22"/>
      <c r="B1239" s="23" t="s">
        <v>2158</v>
      </c>
      <c r="C1239" s="25" t="s">
        <v>2157</v>
      </c>
      <c r="D1239" s="25" t="s">
        <v>2144</v>
      </c>
      <c r="E1239" s="28" t="s">
        <v>316</v>
      </c>
      <c r="F1239" s="26" t="s">
        <v>197</v>
      </c>
      <c r="G1239" s="27">
        <f>SUMIF(物料月初库存!$C$3:$C$303,$B1239,物料月初库存!$F$3:$F$303)</f>
        <v>0</v>
      </c>
      <c r="H1239" s="28">
        <f>SUMIF(半成品入库明细!$D$2:$D$650,$B1239,半成品入库明细!$G$2:$G$650)</f>
        <v>0</v>
      </c>
      <c r="I1239" s="28">
        <f ca="1">SUMIF(半成品出库明细!$D$2:$D$558,$B1239,半成品出库明细!$G$2:$G$2)</f>
        <v>0</v>
      </c>
      <c r="J1239" s="28">
        <f ca="1" t="shared" si="22"/>
        <v>0</v>
      </c>
      <c r="K1239" s="30" t="s">
        <v>1476</v>
      </c>
      <c r="L1239" s="19"/>
      <c r="M1239" s="3"/>
    </row>
    <row r="1240" s="1" customFormat="1" spans="1:13">
      <c r="A1240" s="22">
        <v>1047</v>
      </c>
      <c r="B1240" s="23" t="s">
        <v>2159</v>
      </c>
      <c r="C1240" s="25" t="s">
        <v>2157</v>
      </c>
      <c r="D1240" s="25" t="s">
        <v>2144</v>
      </c>
      <c r="E1240" s="19" t="s">
        <v>2152</v>
      </c>
      <c r="F1240" s="26" t="s">
        <v>197</v>
      </c>
      <c r="G1240" s="27">
        <f>SUMIF(物料月初库存!$C$3:$C$303,$B1240,物料月初库存!$F$3:$F$303)</f>
        <v>0</v>
      </c>
      <c r="H1240" s="28">
        <f>SUMIF(半成品入库明细!$D$2:$D$650,$B1240,半成品入库明细!$G$2:$G$650)</f>
        <v>0</v>
      </c>
      <c r="I1240" s="28">
        <f ca="1">SUMIF(半成品出库明细!$D$2:$D$558,$B1240,半成品出库明细!$G$2:$G$2)</f>
        <v>0</v>
      </c>
      <c r="J1240" s="28">
        <f ca="1" t="shared" si="22"/>
        <v>0</v>
      </c>
      <c r="K1240" s="30" t="s">
        <v>2153</v>
      </c>
      <c r="L1240" s="19"/>
      <c r="M1240" s="3"/>
    </row>
    <row r="1241" s="1" customFormat="1" spans="1:13">
      <c r="A1241" s="22">
        <v>1048</v>
      </c>
      <c r="B1241" s="23" t="s">
        <v>2160</v>
      </c>
      <c r="C1241" s="25" t="s">
        <v>2157</v>
      </c>
      <c r="D1241" s="25" t="s">
        <v>2144</v>
      </c>
      <c r="E1241" s="19" t="s">
        <v>2155</v>
      </c>
      <c r="F1241" s="26" t="s">
        <v>197</v>
      </c>
      <c r="G1241" s="27">
        <f>SUMIF(物料月初库存!$C$3:$C$303,$B1241,物料月初库存!$F$3:$F$303)</f>
        <v>0</v>
      </c>
      <c r="H1241" s="28">
        <f>SUMIF(半成品入库明细!$D$2:$D$650,$B1241,半成品入库明细!$G$2:$G$650)</f>
        <v>0</v>
      </c>
      <c r="I1241" s="28">
        <f ca="1">SUMIF(半成品出库明细!$D$2:$D$558,$B1241,半成品出库明细!$G$2:$G$2)</f>
        <v>0</v>
      </c>
      <c r="J1241" s="28">
        <f ca="1" t="shared" si="22"/>
        <v>0</v>
      </c>
      <c r="K1241" s="30"/>
      <c r="L1241" s="19" t="s">
        <v>202</v>
      </c>
      <c r="M1241" s="3"/>
    </row>
    <row r="1242" s="1" customFormat="1" spans="1:13">
      <c r="A1242" s="22">
        <v>1049</v>
      </c>
      <c r="B1242" s="23" t="s">
        <v>2161</v>
      </c>
      <c r="C1242" s="25" t="s">
        <v>2162</v>
      </c>
      <c r="D1242" s="25" t="s">
        <v>2144</v>
      </c>
      <c r="E1242" s="19" t="s">
        <v>76</v>
      </c>
      <c r="F1242" s="26" t="s">
        <v>197</v>
      </c>
      <c r="G1242" s="27">
        <f>SUMIF(物料月初库存!$C$3:$C$303,$B1242,物料月初库存!$F$3:$F$303)</f>
        <v>0</v>
      </c>
      <c r="H1242" s="28">
        <f>SUMIF(半成品入库明细!$D$2:$D$650,$B1242,半成品入库明细!$G$2:$G$650)</f>
        <v>0</v>
      </c>
      <c r="I1242" s="28">
        <f ca="1">SUMIF(半成品出库明细!$D$2:$D$558,$B1242,半成品出库明细!$G$2:$G$2)</f>
        <v>0</v>
      </c>
      <c r="J1242" s="28">
        <f ca="1" t="shared" si="22"/>
        <v>0</v>
      </c>
      <c r="K1242" s="29"/>
      <c r="L1242" s="19"/>
      <c r="M1242" s="3"/>
    </row>
    <row r="1243" s="1" customFormat="1" spans="1:13">
      <c r="A1243" s="22">
        <v>1050</v>
      </c>
      <c r="B1243" s="23" t="s">
        <v>2163</v>
      </c>
      <c r="C1243" s="25" t="s">
        <v>2162</v>
      </c>
      <c r="D1243" s="25" t="s">
        <v>2144</v>
      </c>
      <c r="E1243" s="28" t="s">
        <v>353</v>
      </c>
      <c r="F1243" s="26" t="s">
        <v>197</v>
      </c>
      <c r="G1243" s="27">
        <f>SUMIF(物料月初库存!$C$3:$C$303,$B1243,物料月初库存!$F$3:$F$303)</f>
        <v>0</v>
      </c>
      <c r="H1243" s="28">
        <f>SUMIF(半成品入库明细!$D$2:$D$650,$B1243,半成品入库明细!$G$2:$G$650)</f>
        <v>0</v>
      </c>
      <c r="I1243" s="28">
        <f ca="1">SUMIF(半成品出库明细!$D$2:$D$558,$B1243,半成品出库明细!$G$2:$G$2)</f>
        <v>0</v>
      </c>
      <c r="J1243" s="28">
        <f ca="1" t="shared" si="22"/>
        <v>0</v>
      </c>
      <c r="K1243" s="29"/>
      <c r="L1243" s="19"/>
      <c r="M1243" s="3"/>
    </row>
    <row r="1244" s="1" customFormat="1" spans="1:13">
      <c r="A1244" s="22">
        <v>1051</v>
      </c>
      <c r="B1244" s="23" t="s">
        <v>2164</v>
      </c>
      <c r="C1244" s="25" t="s">
        <v>2162</v>
      </c>
      <c r="D1244" s="25" t="s">
        <v>2144</v>
      </c>
      <c r="E1244" s="19" t="s">
        <v>256</v>
      </c>
      <c r="F1244" s="26" t="s">
        <v>197</v>
      </c>
      <c r="G1244" s="27">
        <f>SUMIF(物料月初库存!$C$3:$C$303,$B1244,物料月初库存!$F$3:$F$303)</f>
        <v>0</v>
      </c>
      <c r="H1244" s="28">
        <f>SUMIF(半成品入库明细!$D$2:$D$650,$B1244,半成品入库明细!$G$2:$G$650)</f>
        <v>0</v>
      </c>
      <c r="I1244" s="28">
        <f ca="1">SUMIF(半成品出库明细!$D$2:$D$558,$B1244,半成品出库明细!$G$2:$G$2)</f>
        <v>0</v>
      </c>
      <c r="J1244" s="28">
        <f ca="1" t="shared" si="22"/>
        <v>0</v>
      </c>
      <c r="K1244" s="29"/>
      <c r="L1244" s="19" t="s">
        <v>202</v>
      </c>
      <c r="M1244" s="3"/>
    </row>
    <row r="1245" s="1" customFormat="1" spans="1:13">
      <c r="A1245" s="22">
        <v>1052</v>
      </c>
      <c r="B1245" s="23" t="s">
        <v>2165</v>
      </c>
      <c r="C1245" s="25" t="s">
        <v>2166</v>
      </c>
      <c r="D1245" s="25" t="s">
        <v>2144</v>
      </c>
      <c r="E1245" s="19" t="s">
        <v>76</v>
      </c>
      <c r="F1245" s="26" t="s">
        <v>197</v>
      </c>
      <c r="G1245" s="27">
        <f>SUMIF(物料月初库存!$C$3:$C$303,$B1245,物料月初库存!$F$3:$F$303)</f>
        <v>0</v>
      </c>
      <c r="H1245" s="28">
        <f>SUMIF(半成品入库明细!$D$2:$D$650,$B1245,半成品入库明细!$G$2:$G$650)</f>
        <v>0</v>
      </c>
      <c r="I1245" s="28">
        <f ca="1">SUMIF(半成品出库明细!$D$2:$D$558,$B1245,半成品出库明细!$G$2:$G$2)</f>
        <v>0</v>
      </c>
      <c r="J1245" s="28">
        <f ca="1" t="shared" si="22"/>
        <v>0</v>
      </c>
      <c r="K1245" s="29"/>
      <c r="L1245" s="19"/>
      <c r="M1245" s="3"/>
    </row>
    <row r="1246" s="1" customFormat="1" spans="1:13">
      <c r="A1246" s="22">
        <v>1053</v>
      </c>
      <c r="B1246" s="23" t="s">
        <v>2167</v>
      </c>
      <c r="C1246" s="25" t="s">
        <v>2166</v>
      </c>
      <c r="D1246" s="25" t="s">
        <v>2144</v>
      </c>
      <c r="E1246" s="19" t="s">
        <v>267</v>
      </c>
      <c r="F1246" s="26" t="s">
        <v>197</v>
      </c>
      <c r="G1246" s="27">
        <f>SUMIF(物料月初库存!$C$3:$C$303,$B1246,物料月初库存!$F$3:$F$303)</f>
        <v>0</v>
      </c>
      <c r="H1246" s="28">
        <f>SUMIF(半成品入库明细!$D$2:$D$650,$B1246,半成品入库明细!$G$2:$G$650)</f>
        <v>0</v>
      </c>
      <c r="I1246" s="28">
        <f ca="1">SUMIF(半成品出库明细!$D$2:$D$558,$B1246,半成品出库明细!$G$2:$G$2)</f>
        <v>0</v>
      </c>
      <c r="J1246" s="28">
        <f ca="1" t="shared" si="22"/>
        <v>0</v>
      </c>
      <c r="K1246" s="29"/>
      <c r="L1246" s="19"/>
      <c r="M1246" s="3"/>
    </row>
    <row r="1247" s="1" customFormat="1" spans="1:13">
      <c r="A1247" s="22">
        <v>1054</v>
      </c>
      <c r="B1247" s="23" t="s">
        <v>2168</v>
      </c>
      <c r="C1247" s="25" t="s">
        <v>2166</v>
      </c>
      <c r="D1247" s="25" t="s">
        <v>2144</v>
      </c>
      <c r="E1247" s="19" t="s">
        <v>256</v>
      </c>
      <c r="F1247" s="26" t="s">
        <v>197</v>
      </c>
      <c r="G1247" s="27">
        <f>SUMIF(物料月初库存!$C$3:$C$303,$B1247,物料月初库存!$F$3:$F$303)</f>
        <v>0</v>
      </c>
      <c r="H1247" s="28">
        <f>SUMIF(半成品入库明细!$D$2:$D$650,$B1247,半成品入库明细!$G$2:$G$650)</f>
        <v>0</v>
      </c>
      <c r="I1247" s="28">
        <f ca="1">SUMIF(半成品出库明细!$D$2:$D$558,$B1247,半成品出库明细!$G$2:$G$2)</f>
        <v>0</v>
      </c>
      <c r="J1247" s="28">
        <f ca="1" t="shared" si="22"/>
        <v>0</v>
      </c>
      <c r="K1247" s="29"/>
      <c r="L1247" s="19" t="s">
        <v>202</v>
      </c>
      <c r="M1247" s="3"/>
    </row>
    <row r="1248" s="1" customFormat="1" spans="1:13">
      <c r="A1248" s="22">
        <v>1055</v>
      </c>
      <c r="B1248" s="23" t="s">
        <v>2169</v>
      </c>
      <c r="C1248" s="25" t="s">
        <v>511</v>
      </c>
      <c r="D1248" s="52" t="s">
        <v>2170</v>
      </c>
      <c r="E1248" s="28" t="s">
        <v>76</v>
      </c>
      <c r="F1248" s="26" t="s">
        <v>197</v>
      </c>
      <c r="G1248" s="27">
        <f>SUMIF(物料月初库存!$C$3:$C$303,$B1248,物料月初库存!$F$3:$F$303)</f>
        <v>0</v>
      </c>
      <c r="H1248" s="28">
        <f>SUMIF(半成品入库明细!$D$2:$D$650,$B1248,半成品入库明细!$G$2:$G$650)</f>
        <v>0</v>
      </c>
      <c r="I1248" s="28">
        <f ca="1">SUMIF(半成品出库明细!$D$2:$D$558,$B1248,半成品出库明细!$G$2:$G$2)</f>
        <v>0</v>
      </c>
      <c r="J1248" s="28">
        <f ca="1" t="shared" si="22"/>
        <v>0</v>
      </c>
      <c r="K1248" s="29"/>
      <c r="L1248" s="19" t="s">
        <v>202</v>
      </c>
      <c r="M1248" s="3"/>
    </row>
    <row r="1249" s="1" customFormat="1" spans="1:13">
      <c r="A1249" s="22">
        <v>1056</v>
      </c>
      <c r="B1249" s="23" t="s">
        <v>2171</v>
      </c>
      <c r="C1249" s="25" t="s">
        <v>2102</v>
      </c>
      <c r="D1249" s="52" t="s">
        <v>2170</v>
      </c>
      <c r="E1249" s="28" t="s">
        <v>76</v>
      </c>
      <c r="F1249" s="26" t="s">
        <v>197</v>
      </c>
      <c r="G1249" s="27">
        <f>SUMIF(物料月初库存!$C$3:$C$303,$B1249,物料月初库存!$F$3:$F$303)</f>
        <v>0</v>
      </c>
      <c r="H1249" s="28">
        <f>SUMIF(半成品入库明细!$D$2:$D$650,$B1249,半成品入库明细!$G$2:$G$650)</f>
        <v>0</v>
      </c>
      <c r="I1249" s="28">
        <f ca="1">SUMIF(半成品出库明细!$D$2:$D$558,$B1249,半成品出库明细!$G$2:$G$2)</f>
        <v>0</v>
      </c>
      <c r="J1249" s="28">
        <f ca="1" t="shared" si="22"/>
        <v>0</v>
      </c>
      <c r="K1249" s="29"/>
      <c r="L1249" s="19" t="s">
        <v>202</v>
      </c>
      <c r="M1249" s="3"/>
    </row>
    <row r="1250" s="1" customFormat="1" spans="1:13">
      <c r="A1250" s="22">
        <v>1057</v>
      </c>
      <c r="B1250" s="23" t="s">
        <v>2172</v>
      </c>
      <c r="C1250" s="25" t="s">
        <v>2173</v>
      </c>
      <c r="D1250" s="52" t="s">
        <v>2174</v>
      </c>
      <c r="E1250" s="28" t="s">
        <v>76</v>
      </c>
      <c r="F1250" s="26" t="s">
        <v>197</v>
      </c>
      <c r="G1250" s="27">
        <f>SUMIF(物料月初库存!$C$3:$C$303,$B1250,物料月初库存!$F$3:$F$303)</f>
        <v>0</v>
      </c>
      <c r="H1250" s="28">
        <f>SUMIF(半成品入库明细!$D$2:$D$650,$B1250,半成品入库明细!$G$2:$G$650)</f>
        <v>0</v>
      </c>
      <c r="I1250" s="28">
        <f ca="1">SUMIF(半成品出库明细!$D$2:$D$558,$B1250,半成品出库明细!$G$2:$G$2)</f>
        <v>0</v>
      </c>
      <c r="J1250" s="28">
        <f ca="1" t="shared" si="22"/>
        <v>0</v>
      </c>
      <c r="K1250" s="29"/>
      <c r="L1250" s="19" t="s">
        <v>2175</v>
      </c>
      <c r="M1250" s="139" t="s">
        <v>2176</v>
      </c>
    </row>
    <row r="1251" s="1" customFormat="1" spans="1:13">
      <c r="A1251" s="22">
        <v>1058</v>
      </c>
      <c r="B1251" s="23" t="s">
        <v>2177</v>
      </c>
      <c r="C1251" s="25" t="s">
        <v>2173</v>
      </c>
      <c r="D1251" s="52" t="s">
        <v>2174</v>
      </c>
      <c r="E1251" s="28" t="s">
        <v>356</v>
      </c>
      <c r="F1251" s="26" t="s">
        <v>197</v>
      </c>
      <c r="G1251" s="27">
        <f>SUMIF(物料月初库存!$C$3:$C$303,$B1251,物料月初库存!$F$3:$F$303)</f>
        <v>0</v>
      </c>
      <c r="H1251" s="28">
        <f>SUMIF(半成品入库明细!$D$2:$D$650,$B1251,半成品入库明细!$G$2:$G$650)</f>
        <v>0</v>
      </c>
      <c r="I1251" s="28">
        <f ca="1">SUMIF(半成品出库明细!$D$2:$D$558,$B1251,半成品出库明细!$G$2:$G$2)</f>
        <v>0</v>
      </c>
      <c r="J1251" s="28">
        <f ca="1" t="shared" si="22"/>
        <v>0</v>
      </c>
      <c r="K1251" s="29" t="s">
        <v>223</v>
      </c>
      <c r="L1251" s="19"/>
      <c r="M1251" s="3"/>
    </row>
    <row r="1252" s="1" customFormat="1" spans="1:13">
      <c r="A1252" s="22">
        <v>1059</v>
      </c>
      <c r="B1252" s="23" t="s">
        <v>2178</v>
      </c>
      <c r="C1252" s="25" t="s">
        <v>2173</v>
      </c>
      <c r="D1252" s="52" t="s">
        <v>2174</v>
      </c>
      <c r="E1252" s="28" t="s">
        <v>316</v>
      </c>
      <c r="F1252" s="26" t="s">
        <v>197</v>
      </c>
      <c r="G1252" s="27">
        <f>SUMIF(物料月初库存!$C$3:$C$303,$B1252,物料月初库存!$F$3:$F$303)</f>
        <v>0</v>
      </c>
      <c r="H1252" s="28">
        <f>SUMIF(半成品入库明细!$D$2:$D$650,$B1252,半成品入库明细!$G$2:$G$650)</f>
        <v>0</v>
      </c>
      <c r="I1252" s="28">
        <f ca="1">SUMIF(半成品出库明细!$D$2:$D$558,$B1252,半成品出库明细!$G$2:$G$2)</f>
        <v>0</v>
      </c>
      <c r="J1252" s="28">
        <f ca="1" t="shared" si="22"/>
        <v>0</v>
      </c>
      <c r="K1252" s="106" t="s">
        <v>2179</v>
      </c>
      <c r="L1252" s="19"/>
      <c r="M1252" s="3"/>
    </row>
    <row r="1253" s="1" customFormat="1" spans="1:13">
      <c r="A1253" s="22">
        <v>1060</v>
      </c>
      <c r="B1253" s="23" t="s">
        <v>2180</v>
      </c>
      <c r="C1253" s="25" t="s">
        <v>2173</v>
      </c>
      <c r="D1253" s="52" t="s">
        <v>2174</v>
      </c>
      <c r="E1253" s="28" t="s">
        <v>267</v>
      </c>
      <c r="F1253" s="26" t="s">
        <v>197</v>
      </c>
      <c r="G1253" s="27">
        <f>SUMIF(物料月初库存!$C$3:$C$303,$B1253,物料月初库存!$F$3:$F$303)</f>
        <v>0</v>
      </c>
      <c r="H1253" s="28">
        <f>SUMIF(半成品入库明细!$D$2:$D$650,$B1253,半成品入库明细!$G$2:$G$650)</f>
        <v>0</v>
      </c>
      <c r="I1253" s="28">
        <f ca="1">SUMIF(半成品出库明细!$D$2:$D$558,$B1253,半成品出库明细!$G$2:$G$2)</f>
        <v>0</v>
      </c>
      <c r="J1253" s="28">
        <f ca="1" t="shared" si="22"/>
        <v>0</v>
      </c>
      <c r="K1253" s="29" t="s">
        <v>327</v>
      </c>
      <c r="L1253" s="19"/>
      <c r="M1253" s="3"/>
    </row>
    <row r="1254" s="1" customFormat="1" spans="1:13">
      <c r="A1254" s="22">
        <v>1061</v>
      </c>
      <c r="B1254" s="23" t="s">
        <v>2181</v>
      </c>
      <c r="C1254" s="25" t="s">
        <v>2173</v>
      </c>
      <c r="D1254" s="52" t="s">
        <v>2174</v>
      </c>
      <c r="E1254" s="28" t="s">
        <v>256</v>
      </c>
      <c r="F1254" s="26" t="s">
        <v>197</v>
      </c>
      <c r="G1254" s="27">
        <f>SUMIF(物料月初库存!$C$3:$C$303,$B1254,物料月初库存!$F$3:$F$303)</f>
        <v>0</v>
      </c>
      <c r="H1254" s="28">
        <f>SUMIF(半成品入库明细!$D$2:$D$650,$B1254,半成品入库明细!$G$2:$G$650)</f>
        <v>0</v>
      </c>
      <c r="I1254" s="28">
        <f ca="1">SUMIF(半成品出库明细!$D$2:$D$558,$B1254,半成品出库明细!$G$2:$G$2)</f>
        <v>0</v>
      </c>
      <c r="J1254" s="28">
        <f ca="1" t="shared" si="22"/>
        <v>0</v>
      </c>
      <c r="K1254" s="29" t="s">
        <v>1706</v>
      </c>
      <c r="L1254" s="19" t="s">
        <v>202</v>
      </c>
      <c r="M1254" s="3"/>
    </row>
    <row r="1255" s="1" customFormat="1" spans="1:13">
      <c r="A1255" s="22">
        <v>1062</v>
      </c>
      <c r="B1255" s="23" t="s">
        <v>2182</v>
      </c>
      <c r="C1255" s="25" t="s">
        <v>2183</v>
      </c>
      <c r="D1255" s="52" t="s">
        <v>2174</v>
      </c>
      <c r="E1255" s="28" t="s">
        <v>76</v>
      </c>
      <c r="F1255" s="26" t="s">
        <v>197</v>
      </c>
      <c r="G1255" s="27">
        <f>SUMIF(物料月初库存!$C$3:$C$303,$B1255,物料月初库存!$F$3:$F$303)</f>
        <v>0</v>
      </c>
      <c r="H1255" s="28">
        <f>SUMIF(半成品入库明细!$D$2:$D$650,$B1255,半成品入库明细!$G$2:$G$650)</f>
        <v>0</v>
      </c>
      <c r="I1255" s="28">
        <f ca="1">SUMIF(半成品出库明细!$D$2:$D$558,$B1255,半成品出库明细!$G$2:$G$2)</f>
        <v>0</v>
      </c>
      <c r="J1255" s="28">
        <f ca="1" t="shared" si="22"/>
        <v>0</v>
      </c>
      <c r="K1255" s="29"/>
      <c r="L1255" s="19" t="s">
        <v>2184</v>
      </c>
      <c r="M1255" s="139" t="s">
        <v>2176</v>
      </c>
    </row>
    <row r="1256" s="1" customFormat="1" spans="1:13">
      <c r="A1256" s="22">
        <v>1063</v>
      </c>
      <c r="B1256" s="23" t="s">
        <v>2185</v>
      </c>
      <c r="C1256" s="25" t="s">
        <v>2183</v>
      </c>
      <c r="D1256" s="52" t="s">
        <v>2174</v>
      </c>
      <c r="E1256" s="28" t="s">
        <v>356</v>
      </c>
      <c r="F1256" s="26" t="s">
        <v>197</v>
      </c>
      <c r="G1256" s="27">
        <f>SUMIF(物料月初库存!$C$3:$C$303,$B1256,物料月初库存!$F$3:$F$303)</f>
        <v>0</v>
      </c>
      <c r="H1256" s="28">
        <f>SUMIF(半成品入库明细!$D$2:$D$650,$B1256,半成品入库明细!$G$2:$G$650)</f>
        <v>0</v>
      </c>
      <c r="I1256" s="28">
        <f ca="1">SUMIF(半成品出库明细!$D$2:$D$558,$B1256,半成品出库明细!$G$2:$G$2)</f>
        <v>0</v>
      </c>
      <c r="J1256" s="28">
        <f ca="1" t="shared" si="22"/>
        <v>0</v>
      </c>
      <c r="K1256" s="29" t="s">
        <v>223</v>
      </c>
      <c r="L1256" s="19"/>
      <c r="M1256" s="3"/>
    </row>
    <row r="1257" s="1" customFormat="1" spans="1:13">
      <c r="A1257" s="22">
        <v>1064</v>
      </c>
      <c r="B1257" s="23" t="s">
        <v>2186</v>
      </c>
      <c r="C1257" s="25" t="s">
        <v>2183</v>
      </c>
      <c r="D1257" s="52" t="s">
        <v>2174</v>
      </c>
      <c r="E1257" s="28" t="s">
        <v>267</v>
      </c>
      <c r="F1257" s="26" t="s">
        <v>197</v>
      </c>
      <c r="G1257" s="27">
        <f>SUMIF(物料月初库存!$C$3:$C$303,$B1257,物料月初库存!$F$3:$F$303)</f>
        <v>0</v>
      </c>
      <c r="H1257" s="28">
        <f>SUMIF(半成品入库明细!$D$2:$D$650,$B1257,半成品入库明细!$G$2:$G$650)</f>
        <v>0</v>
      </c>
      <c r="I1257" s="28">
        <f ca="1">SUMIF(半成品出库明细!$D$2:$D$558,$B1257,半成品出库明细!$G$2:$G$2)</f>
        <v>0</v>
      </c>
      <c r="J1257" s="28">
        <f ca="1" t="shared" si="22"/>
        <v>0</v>
      </c>
      <c r="K1257" s="29" t="s">
        <v>327</v>
      </c>
      <c r="L1257" s="19"/>
      <c r="M1257" s="3"/>
    </row>
    <row r="1258" s="1" customFormat="1" spans="1:13">
      <c r="A1258" s="22">
        <v>1065</v>
      </c>
      <c r="B1258" s="23" t="s">
        <v>2187</v>
      </c>
      <c r="C1258" s="25" t="s">
        <v>2183</v>
      </c>
      <c r="D1258" s="52" t="s">
        <v>2174</v>
      </c>
      <c r="E1258" s="28" t="s">
        <v>256</v>
      </c>
      <c r="F1258" s="26" t="s">
        <v>197</v>
      </c>
      <c r="G1258" s="27">
        <f>SUMIF(物料月初库存!$C$3:$C$303,$B1258,物料月初库存!$F$3:$F$303)</f>
        <v>0</v>
      </c>
      <c r="H1258" s="28">
        <f>SUMIF(半成品入库明细!$D$2:$D$650,$B1258,半成品入库明细!$G$2:$G$650)</f>
        <v>0</v>
      </c>
      <c r="I1258" s="28">
        <f ca="1">SUMIF(半成品出库明细!$D$2:$D$558,$B1258,半成品出库明细!$G$2:$G$2)</f>
        <v>0</v>
      </c>
      <c r="J1258" s="28">
        <f ca="1" t="shared" si="22"/>
        <v>0</v>
      </c>
      <c r="K1258" s="29" t="s">
        <v>1706</v>
      </c>
      <c r="L1258" s="19" t="s">
        <v>202</v>
      </c>
      <c r="M1258" s="3"/>
    </row>
    <row r="1259" s="1" customFormat="1" spans="1:13">
      <c r="A1259" s="22">
        <v>1066</v>
      </c>
      <c r="B1259" s="23" t="s">
        <v>2188</v>
      </c>
      <c r="C1259" s="25" t="s">
        <v>2189</v>
      </c>
      <c r="D1259" s="52" t="s">
        <v>2190</v>
      </c>
      <c r="E1259" s="28" t="s">
        <v>76</v>
      </c>
      <c r="F1259" s="26" t="s">
        <v>197</v>
      </c>
      <c r="G1259" s="27">
        <f>SUMIF(物料月初库存!$C$3:$C$303,$B1259,物料月初库存!$F$3:$F$303)</f>
        <v>0</v>
      </c>
      <c r="H1259" s="28">
        <f>SUMIF(半成品入库明细!$D$2:$D$650,$B1259,半成品入库明细!$G$2:$G$650)</f>
        <v>0</v>
      </c>
      <c r="I1259" s="28">
        <f ca="1">SUMIF(半成品出库明细!$D$2:$D$558,$B1259,半成品出库明细!$G$2:$G$2)</f>
        <v>0</v>
      </c>
      <c r="J1259" s="28">
        <f ca="1" t="shared" si="22"/>
        <v>0</v>
      </c>
      <c r="K1259" s="29"/>
      <c r="L1259" s="19"/>
      <c r="M1259" s="3"/>
    </row>
    <row r="1260" s="1" customFormat="1" spans="1:13">
      <c r="A1260" s="22">
        <v>1067</v>
      </c>
      <c r="B1260" s="23" t="s">
        <v>2191</v>
      </c>
      <c r="C1260" s="25" t="s">
        <v>2189</v>
      </c>
      <c r="D1260" s="52" t="s">
        <v>2190</v>
      </c>
      <c r="E1260" s="103" t="s">
        <v>2192</v>
      </c>
      <c r="F1260" s="26" t="s">
        <v>197</v>
      </c>
      <c r="G1260" s="27">
        <f>SUMIF(物料月初库存!$C$3:$C$303,$B1260,物料月初库存!$F$3:$F$303)</f>
        <v>0</v>
      </c>
      <c r="H1260" s="28">
        <f>SUMIF(半成品入库明细!$D$2:$D$650,$B1260,半成品入库明细!$G$2:$G$650)</f>
        <v>0</v>
      </c>
      <c r="I1260" s="28">
        <f ca="1">SUMIF(半成品出库明细!$D$2:$D$558,$B1260,半成品出库明细!$G$2:$G$2)</f>
        <v>0</v>
      </c>
      <c r="J1260" s="28">
        <f ca="1" t="shared" si="22"/>
        <v>0</v>
      </c>
      <c r="K1260" s="29" t="s">
        <v>2193</v>
      </c>
      <c r="L1260" s="19"/>
      <c r="M1260" s="3"/>
    </row>
    <row r="1261" s="1" customFormat="1" spans="1:13">
      <c r="A1261" s="22">
        <v>1068</v>
      </c>
      <c r="B1261" s="25" t="s">
        <v>2194</v>
      </c>
      <c r="C1261" s="25" t="s">
        <v>2195</v>
      </c>
      <c r="D1261" s="52" t="s">
        <v>2196</v>
      </c>
      <c r="E1261" s="103" t="s">
        <v>76</v>
      </c>
      <c r="F1261" s="26" t="s">
        <v>197</v>
      </c>
      <c r="G1261" s="27">
        <f>SUMIF(物料月初库存!$C$3:$C$303,$B1261,物料月初库存!$F$3:$F$303)</f>
        <v>0</v>
      </c>
      <c r="H1261" s="28">
        <f>SUMIF(半成品入库明细!$D$2:$D$650,$B1261,半成品入库明细!$G$2:$G$650)</f>
        <v>0</v>
      </c>
      <c r="I1261" s="28">
        <f ca="1">SUMIF(半成品出库明细!$D$2:$D$558,$B1261,半成品出库明细!$G$2:$G$2)</f>
        <v>0</v>
      </c>
      <c r="J1261" s="28">
        <f ca="1" t="shared" ref="J1261:J1324" si="23">G1261+H1261-I1261</f>
        <v>0</v>
      </c>
      <c r="K1261" s="29"/>
      <c r="L1261" s="19"/>
      <c r="M1261" s="3"/>
    </row>
    <row r="1262" s="1" customFormat="1" spans="1:13">
      <c r="A1262" s="22">
        <v>1069</v>
      </c>
      <c r="B1262" s="25" t="s">
        <v>2197</v>
      </c>
      <c r="C1262" s="25" t="s">
        <v>2195</v>
      </c>
      <c r="D1262" s="52" t="s">
        <v>2196</v>
      </c>
      <c r="E1262" s="103" t="s">
        <v>254</v>
      </c>
      <c r="F1262" s="26" t="s">
        <v>197</v>
      </c>
      <c r="G1262" s="27">
        <f>SUMIF(物料月初库存!$C$3:$C$303,$B1262,物料月初库存!$F$3:$F$303)</f>
        <v>0</v>
      </c>
      <c r="H1262" s="28">
        <f>SUMIF(半成品入库明细!$D$2:$D$650,$B1262,半成品入库明细!$G$2:$G$650)</f>
        <v>0</v>
      </c>
      <c r="I1262" s="28">
        <f ca="1">SUMIF(半成品出库明细!$D$2:$D$558,$B1262,半成品出库明细!$G$2:$G$2)</f>
        <v>0</v>
      </c>
      <c r="J1262" s="28">
        <f ca="1" t="shared" si="23"/>
        <v>0</v>
      </c>
      <c r="K1262" s="30" t="s">
        <v>2133</v>
      </c>
      <c r="L1262" s="19"/>
      <c r="M1262" s="3"/>
    </row>
    <row r="1263" s="1" customFormat="1" spans="1:13">
      <c r="A1263" s="22">
        <v>1070</v>
      </c>
      <c r="B1263" s="25" t="s">
        <v>2198</v>
      </c>
      <c r="C1263" s="25" t="s">
        <v>2195</v>
      </c>
      <c r="D1263" s="52" t="s">
        <v>2196</v>
      </c>
      <c r="E1263" s="103" t="s">
        <v>225</v>
      </c>
      <c r="F1263" s="26" t="s">
        <v>197</v>
      </c>
      <c r="G1263" s="27">
        <f>SUMIF(物料月初库存!$C$3:$C$303,$B1263,物料月初库存!$F$3:$F$303)</f>
        <v>0</v>
      </c>
      <c r="H1263" s="28">
        <f>SUMIF(半成品入库明细!$D$2:$D$650,$B1263,半成品入库明细!$G$2:$G$650)</f>
        <v>0</v>
      </c>
      <c r="I1263" s="28">
        <f ca="1">SUMIF(半成品出库明细!$D$2:$D$558,$B1263,半成品出库明细!$G$2:$G$2)</f>
        <v>0</v>
      </c>
      <c r="J1263" s="28">
        <f ca="1" t="shared" si="23"/>
        <v>0</v>
      </c>
      <c r="K1263" s="29" t="s">
        <v>92</v>
      </c>
      <c r="L1263" s="19"/>
      <c r="M1263" s="3"/>
    </row>
    <row r="1264" s="1" customFormat="1" spans="1:13">
      <c r="A1264" s="22">
        <v>1071</v>
      </c>
      <c r="B1264" s="25" t="s">
        <v>2199</v>
      </c>
      <c r="C1264" s="25" t="s">
        <v>2195</v>
      </c>
      <c r="D1264" s="52" t="s">
        <v>2196</v>
      </c>
      <c r="E1264" s="103" t="s">
        <v>326</v>
      </c>
      <c r="F1264" s="26" t="s">
        <v>197</v>
      </c>
      <c r="G1264" s="27">
        <f>SUMIF(物料月初库存!$C$3:$C$303,$B1264,物料月初库存!$F$3:$F$303)</f>
        <v>0</v>
      </c>
      <c r="H1264" s="28">
        <f>SUMIF(半成品入库明细!$D$2:$D$650,$B1264,半成品入库明细!$G$2:$G$650)</f>
        <v>0</v>
      </c>
      <c r="I1264" s="28">
        <f ca="1">SUMIF(半成品出库明细!$D$2:$D$558,$B1264,半成品出库明细!$G$2:$G$2)</f>
        <v>0</v>
      </c>
      <c r="J1264" s="28">
        <f ca="1" t="shared" si="23"/>
        <v>0</v>
      </c>
      <c r="K1264" s="29" t="s">
        <v>333</v>
      </c>
      <c r="L1264" s="19"/>
      <c r="M1264" s="3"/>
    </row>
    <row r="1265" s="1" customFormat="1" spans="1:13">
      <c r="A1265" s="22">
        <v>1072</v>
      </c>
      <c r="B1265" s="25" t="s">
        <v>2200</v>
      </c>
      <c r="C1265" s="25" t="s">
        <v>2195</v>
      </c>
      <c r="D1265" s="52" t="s">
        <v>2196</v>
      </c>
      <c r="E1265" s="103" t="s">
        <v>227</v>
      </c>
      <c r="F1265" s="26" t="s">
        <v>197</v>
      </c>
      <c r="G1265" s="27">
        <f>SUMIF(物料月初库存!$C$3:$C$303,$B1265,物料月初库存!$F$3:$F$303)</f>
        <v>0</v>
      </c>
      <c r="H1265" s="28">
        <f>SUMIF(半成品入库明细!$D$2:$D$650,$B1265,半成品入库明细!$G$2:$G$650)</f>
        <v>0</v>
      </c>
      <c r="I1265" s="28">
        <f ca="1">SUMIF(半成品出库明细!$D$2:$D$558,$B1265,半成品出库明细!$G$2:$G$2)</f>
        <v>0</v>
      </c>
      <c r="J1265" s="28">
        <f ca="1" t="shared" si="23"/>
        <v>0</v>
      </c>
      <c r="K1265" s="30" t="s">
        <v>183</v>
      </c>
      <c r="L1265" s="19" t="s">
        <v>202</v>
      </c>
      <c r="M1265" s="3"/>
    </row>
    <row r="1266" s="1" customFormat="1" spans="1:13">
      <c r="A1266" s="22">
        <v>1073</v>
      </c>
      <c r="B1266" s="25" t="s">
        <v>2201</v>
      </c>
      <c r="C1266" s="25" t="s">
        <v>2202</v>
      </c>
      <c r="D1266" s="52" t="s">
        <v>2203</v>
      </c>
      <c r="E1266" s="103" t="s">
        <v>76</v>
      </c>
      <c r="F1266" s="26" t="s">
        <v>197</v>
      </c>
      <c r="G1266" s="27">
        <f>SUMIF(物料月初库存!$C$3:$C$303,$B1266,物料月初库存!$F$3:$F$303)</f>
        <v>0</v>
      </c>
      <c r="H1266" s="28">
        <f>SUMIF(半成品入库明细!$D$2:$D$650,$B1266,半成品入库明细!$G$2:$G$650)</f>
        <v>0</v>
      </c>
      <c r="I1266" s="28">
        <f ca="1">SUMIF(半成品出库明细!$D$2:$D$558,$B1266,半成品出库明细!$G$2:$G$2)</f>
        <v>0</v>
      </c>
      <c r="J1266" s="28">
        <f ca="1" t="shared" si="23"/>
        <v>0</v>
      </c>
      <c r="K1266" s="29"/>
      <c r="L1266" s="19"/>
      <c r="M1266" s="3"/>
    </row>
    <row r="1267" s="1" customFormat="1" spans="1:13">
      <c r="A1267" s="22">
        <v>1074</v>
      </c>
      <c r="B1267" s="25" t="s">
        <v>2204</v>
      </c>
      <c r="C1267" s="25" t="s">
        <v>2202</v>
      </c>
      <c r="D1267" s="52" t="s">
        <v>2203</v>
      </c>
      <c r="E1267" s="103" t="s">
        <v>235</v>
      </c>
      <c r="F1267" s="26" t="s">
        <v>197</v>
      </c>
      <c r="G1267" s="27">
        <f>SUMIF(物料月初库存!$C$3:$C$303,$B1267,物料月初库存!$F$3:$F$303)</f>
        <v>0</v>
      </c>
      <c r="H1267" s="28">
        <f>SUMIF(半成品入库明细!$D$2:$D$650,$B1267,半成品入库明细!$G$2:$G$650)</f>
        <v>0</v>
      </c>
      <c r="I1267" s="28">
        <f ca="1">SUMIF(半成品出库明细!$D$2:$D$558,$B1267,半成品出库明细!$G$2:$G$2)</f>
        <v>0</v>
      </c>
      <c r="J1267" s="28">
        <f ca="1" t="shared" si="23"/>
        <v>0</v>
      </c>
      <c r="K1267" s="30" t="s">
        <v>244</v>
      </c>
      <c r="L1267" s="19"/>
      <c r="M1267" s="3"/>
    </row>
    <row r="1268" s="1" customFormat="1" spans="1:13">
      <c r="A1268" s="22">
        <v>1075</v>
      </c>
      <c r="B1268" s="25" t="s">
        <v>2205</v>
      </c>
      <c r="C1268" s="25" t="s">
        <v>2202</v>
      </c>
      <c r="D1268" s="52" t="s">
        <v>2203</v>
      </c>
      <c r="E1268" s="103" t="s">
        <v>316</v>
      </c>
      <c r="F1268" s="26" t="s">
        <v>197</v>
      </c>
      <c r="G1268" s="27">
        <f>SUMIF(物料月初库存!$C$3:$C$303,$B1268,物料月初库存!$F$3:$F$303)</f>
        <v>0</v>
      </c>
      <c r="H1268" s="28">
        <f>SUMIF(半成品入库明细!$D$2:$D$650,$B1268,半成品入库明细!$G$2:$G$650)</f>
        <v>0</v>
      </c>
      <c r="I1268" s="28">
        <f ca="1">SUMIF(半成品出库明细!$D$2:$D$558,$B1268,半成品出库明细!$G$2:$G$2)</f>
        <v>0</v>
      </c>
      <c r="J1268" s="28">
        <f ca="1" t="shared" si="23"/>
        <v>0</v>
      </c>
      <c r="K1268" s="30" t="s">
        <v>1439</v>
      </c>
      <c r="L1268" s="19"/>
      <c r="M1268" s="3"/>
    </row>
    <row r="1269" s="1" customFormat="1" spans="1:13">
      <c r="A1269" s="22">
        <v>1076</v>
      </c>
      <c r="B1269" s="25" t="s">
        <v>2206</v>
      </c>
      <c r="C1269" s="25" t="s">
        <v>2202</v>
      </c>
      <c r="D1269" s="52" t="s">
        <v>2203</v>
      </c>
      <c r="E1269" s="103" t="s">
        <v>199</v>
      </c>
      <c r="F1269" s="26" t="s">
        <v>197</v>
      </c>
      <c r="G1269" s="27">
        <f>SUMIF(物料月初库存!$C$3:$C$303,$B1269,物料月初库存!$F$3:$F$303)</f>
        <v>0</v>
      </c>
      <c r="H1269" s="28">
        <f>SUMIF(半成品入库明细!$D$2:$D$650,$B1269,半成品入库明细!$G$2:$G$650)</f>
        <v>0</v>
      </c>
      <c r="I1269" s="28">
        <f ca="1">SUMIF(半成品出库明细!$D$2:$D$558,$B1269,半成品出库明细!$G$2:$G$2)</f>
        <v>0</v>
      </c>
      <c r="J1269" s="28">
        <f ca="1" t="shared" si="23"/>
        <v>0</v>
      </c>
      <c r="K1269" s="30" t="s">
        <v>1612</v>
      </c>
      <c r="L1269" s="19"/>
      <c r="M1269" s="3"/>
    </row>
    <row r="1270" s="1" customFormat="1" spans="1:13">
      <c r="A1270" s="22">
        <v>1077</v>
      </c>
      <c r="B1270" s="25" t="s">
        <v>2207</v>
      </c>
      <c r="C1270" s="25" t="s">
        <v>2202</v>
      </c>
      <c r="D1270" s="52" t="s">
        <v>2203</v>
      </c>
      <c r="E1270" s="103" t="s">
        <v>227</v>
      </c>
      <c r="F1270" s="26" t="s">
        <v>197</v>
      </c>
      <c r="G1270" s="27">
        <f>SUMIF(物料月初库存!$C$3:$C$303,$B1270,物料月初库存!$F$3:$F$303)</f>
        <v>0</v>
      </c>
      <c r="H1270" s="28">
        <f>SUMIF(半成品入库明细!$D$2:$D$650,$B1270,半成品入库明细!$G$2:$G$650)</f>
        <v>0</v>
      </c>
      <c r="I1270" s="28">
        <f ca="1">SUMIF(半成品出库明细!$D$2:$D$558,$B1270,半成品出库明细!$G$2:$G$2)</f>
        <v>0</v>
      </c>
      <c r="J1270" s="28">
        <f ca="1" t="shared" si="23"/>
        <v>0</v>
      </c>
      <c r="K1270" s="30" t="s">
        <v>183</v>
      </c>
      <c r="L1270" s="19"/>
      <c r="M1270" s="3"/>
    </row>
    <row r="1271" s="1" customFormat="1" spans="1:13">
      <c r="A1271" s="22">
        <v>1078</v>
      </c>
      <c r="B1271" s="25" t="s">
        <v>2208</v>
      </c>
      <c r="C1271" s="25" t="s">
        <v>2209</v>
      </c>
      <c r="D1271" s="52" t="s">
        <v>2203</v>
      </c>
      <c r="E1271" s="103" t="s">
        <v>76</v>
      </c>
      <c r="F1271" s="26" t="s">
        <v>197</v>
      </c>
      <c r="G1271" s="27">
        <f>SUMIF(物料月初库存!$C$3:$C$303,$B1271,物料月初库存!$F$3:$F$303)</f>
        <v>0</v>
      </c>
      <c r="H1271" s="28">
        <f>SUMIF(半成品入库明细!$D$2:$D$650,$B1271,半成品入库明细!$G$2:$G$650)</f>
        <v>0</v>
      </c>
      <c r="I1271" s="28">
        <f ca="1">SUMIF(半成品出库明细!$D$2:$D$558,$B1271,半成品出库明细!$G$2:$G$2)</f>
        <v>0</v>
      </c>
      <c r="J1271" s="28">
        <f ca="1" t="shared" si="23"/>
        <v>0</v>
      </c>
      <c r="K1271" s="29"/>
      <c r="L1271" s="19"/>
      <c r="M1271" s="3"/>
    </row>
    <row r="1272" s="1" customFormat="1" spans="1:13">
      <c r="A1272" s="22">
        <v>1080</v>
      </c>
      <c r="B1272" s="25" t="s">
        <v>2210</v>
      </c>
      <c r="C1272" s="25" t="s">
        <v>2209</v>
      </c>
      <c r="D1272" s="52" t="s">
        <v>2203</v>
      </c>
      <c r="E1272" s="103" t="s">
        <v>316</v>
      </c>
      <c r="F1272" s="26" t="s">
        <v>197</v>
      </c>
      <c r="G1272" s="27">
        <f>SUMIF(物料月初库存!$C$3:$C$303,$B1272,物料月初库存!$F$3:$F$303)</f>
        <v>0</v>
      </c>
      <c r="H1272" s="28">
        <f>SUMIF(半成品入库明细!$D$2:$D$650,$B1272,半成品入库明细!$G$2:$G$650)</f>
        <v>0</v>
      </c>
      <c r="I1272" s="28">
        <f ca="1">SUMIF(半成品出库明细!$D$2:$D$558,$B1272,半成品出库明细!$G$2:$G$2)</f>
        <v>0</v>
      </c>
      <c r="J1272" s="28">
        <f ca="1" t="shared" si="23"/>
        <v>0</v>
      </c>
      <c r="K1272" s="30" t="s">
        <v>1439</v>
      </c>
      <c r="L1272" s="19"/>
      <c r="M1272" s="3"/>
    </row>
    <row r="1273" s="1" customFormat="1" spans="1:13">
      <c r="A1273" s="22">
        <v>1081</v>
      </c>
      <c r="B1273" s="25" t="s">
        <v>2211</v>
      </c>
      <c r="C1273" s="25" t="s">
        <v>2209</v>
      </c>
      <c r="D1273" s="52" t="s">
        <v>2203</v>
      </c>
      <c r="E1273" s="103" t="s">
        <v>199</v>
      </c>
      <c r="F1273" s="26" t="s">
        <v>197</v>
      </c>
      <c r="G1273" s="27">
        <f>SUMIF(物料月初库存!$C$3:$C$303,$B1273,物料月初库存!$F$3:$F$303)</f>
        <v>0</v>
      </c>
      <c r="H1273" s="28">
        <f>SUMIF(半成品入库明细!$D$2:$D$650,$B1273,半成品入库明细!$G$2:$G$650)</f>
        <v>0</v>
      </c>
      <c r="I1273" s="28">
        <f ca="1">SUMIF(半成品出库明细!$D$2:$D$558,$B1273,半成品出库明细!$G$2:$G$2)</f>
        <v>0</v>
      </c>
      <c r="J1273" s="28">
        <f ca="1" t="shared" si="23"/>
        <v>0</v>
      </c>
      <c r="K1273" s="30" t="s">
        <v>2212</v>
      </c>
      <c r="L1273" s="19"/>
      <c r="M1273" s="3"/>
    </row>
    <row r="1274" s="1" customFormat="1" spans="1:13">
      <c r="A1274" s="22">
        <v>1082</v>
      </c>
      <c r="B1274" s="25" t="s">
        <v>2213</v>
      </c>
      <c r="C1274" s="25" t="s">
        <v>2209</v>
      </c>
      <c r="D1274" s="52" t="s">
        <v>2203</v>
      </c>
      <c r="E1274" s="103" t="s">
        <v>227</v>
      </c>
      <c r="F1274" s="26" t="s">
        <v>197</v>
      </c>
      <c r="G1274" s="27">
        <f>SUMIF(物料月初库存!$C$3:$C$303,$B1274,物料月初库存!$F$3:$F$303)</f>
        <v>0</v>
      </c>
      <c r="H1274" s="28">
        <f>SUMIF(半成品入库明细!$D$2:$D$650,$B1274,半成品入库明细!$G$2:$G$650)</f>
        <v>0</v>
      </c>
      <c r="I1274" s="28">
        <f ca="1">SUMIF(半成品出库明细!$D$2:$D$558,$B1274,半成品出库明细!$G$2:$G$2)</f>
        <v>0</v>
      </c>
      <c r="J1274" s="28">
        <f ca="1" t="shared" si="23"/>
        <v>0</v>
      </c>
      <c r="K1274" s="30" t="s">
        <v>183</v>
      </c>
      <c r="L1274" s="19"/>
      <c r="M1274" s="3"/>
    </row>
    <row r="1275" s="1" customFormat="1" spans="1:13">
      <c r="A1275" s="22">
        <v>1083</v>
      </c>
      <c r="B1275" s="25" t="s">
        <v>2214</v>
      </c>
      <c r="C1275" s="94" t="s">
        <v>2215</v>
      </c>
      <c r="D1275" s="52" t="s">
        <v>2203</v>
      </c>
      <c r="E1275" s="103" t="s">
        <v>76</v>
      </c>
      <c r="F1275" s="26" t="s">
        <v>197</v>
      </c>
      <c r="G1275" s="27">
        <f>SUMIF(物料月初库存!$C$3:$C$303,$B1275,物料月初库存!$F$3:$F$303)</f>
        <v>0</v>
      </c>
      <c r="H1275" s="28">
        <f>SUMIF(半成品入库明细!$D$2:$D$650,$B1275,半成品入库明细!$G$2:$G$650)</f>
        <v>0</v>
      </c>
      <c r="I1275" s="28">
        <f ca="1">SUMIF(半成品出库明细!$D$2:$D$558,$B1275,半成品出库明细!$G$2:$G$2)</f>
        <v>0</v>
      </c>
      <c r="J1275" s="28">
        <f ca="1" t="shared" si="23"/>
        <v>0</v>
      </c>
      <c r="K1275" s="29"/>
      <c r="L1275" s="19"/>
      <c r="M1275" s="3"/>
    </row>
    <row r="1276" s="1" customFormat="1" spans="1:13">
      <c r="A1276" s="22">
        <v>1085</v>
      </c>
      <c r="B1276" s="25" t="s">
        <v>2216</v>
      </c>
      <c r="C1276" s="94" t="s">
        <v>2215</v>
      </c>
      <c r="D1276" s="52" t="s">
        <v>2203</v>
      </c>
      <c r="E1276" s="103" t="s">
        <v>199</v>
      </c>
      <c r="F1276" s="26" t="s">
        <v>197</v>
      </c>
      <c r="G1276" s="27">
        <f>SUMIF(物料月初库存!$C$3:$C$303,$B1276,物料月初库存!$F$3:$F$303)</f>
        <v>0</v>
      </c>
      <c r="H1276" s="28">
        <f>SUMIF(半成品入库明细!$D$2:$D$650,$B1276,半成品入库明细!$G$2:$G$650)</f>
        <v>0</v>
      </c>
      <c r="I1276" s="28">
        <f ca="1">SUMIF(半成品出库明细!$D$2:$D$558,$B1276,半成品出库明细!$G$2:$G$2)</f>
        <v>0</v>
      </c>
      <c r="J1276" s="28">
        <f ca="1" t="shared" si="23"/>
        <v>0</v>
      </c>
      <c r="K1276" s="29" t="s">
        <v>2217</v>
      </c>
      <c r="L1276" s="19"/>
      <c r="M1276" s="3"/>
    </row>
    <row r="1277" s="1" customFormat="1" spans="1:13">
      <c r="A1277" s="22">
        <v>1086</v>
      </c>
      <c r="B1277" s="25" t="s">
        <v>2218</v>
      </c>
      <c r="C1277" s="94" t="s">
        <v>2215</v>
      </c>
      <c r="D1277" s="52" t="s">
        <v>2203</v>
      </c>
      <c r="E1277" s="103" t="s">
        <v>227</v>
      </c>
      <c r="F1277" s="26" t="s">
        <v>197</v>
      </c>
      <c r="G1277" s="27">
        <f>SUMIF(物料月初库存!$C$3:$C$303,$B1277,物料月初库存!$F$3:$F$303)</f>
        <v>0</v>
      </c>
      <c r="H1277" s="28">
        <f>SUMIF(半成品入库明细!$D$2:$D$650,$B1277,半成品入库明细!$G$2:$G$650)</f>
        <v>0</v>
      </c>
      <c r="I1277" s="28">
        <f ca="1">SUMIF(半成品出库明细!$D$2:$D$558,$B1277,半成品出库明细!$G$2:$G$2)</f>
        <v>0</v>
      </c>
      <c r="J1277" s="28">
        <f ca="1" t="shared" si="23"/>
        <v>0</v>
      </c>
      <c r="K1277" s="30" t="s">
        <v>183</v>
      </c>
      <c r="L1277" s="19"/>
      <c r="M1277" s="3"/>
    </row>
    <row r="1278" s="1" customFormat="1" spans="1:13">
      <c r="A1278" s="22">
        <v>1087</v>
      </c>
      <c r="B1278" s="25" t="s">
        <v>2219</v>
      </c>
      <c r="C1278" s="94" t="s">
        <v>2220</v>
      </c>
      <c r="D1278" s="52" t="s">
        <v>2203</v>
      </c>
      <c r="E1278" s="103" t="s">
        <v>76</v>
      </c>
      <c r="F1278" s="26" t="s">
        <v>197</v>
      </c>
      <c r="G1278" s="27">
        <f>SUMIF(物料月初库存!$C$3:$C$303,$B1278,物料月初库存!$F$3:$F$303)</f>
        <v>0</v>
      </c>
      <c r="H1278" s="28">
        <f>SUMIF(半成品入库明细!$D$2:$D$650,$B1278,半成品入库明细!$G$2:$G$650)</f>
        <v>0</v>
      </c>
      <c r="I1278" s="28">
        <f ca="1">SUMIF(半成品出库明细!$D$2:$D$558,$B1278,半成品出库明细!$G$2:$G$2)</f>
        <v>0</v>
      </c>
      <c r="J1278" s="28">
        <f ca="1" t="shared" si="23"/>
        <v>0</v>
      </c>
      <c r="K1278" s="29"/>
      <c r="L1278" s="19"/>
      <c r="M1278" s="3"/>
    </row>
    <row r="1279" s="1" customFormat="1" spans="1:13">
      <c r="A1279" s="22">
        <v>1088</v>
      </c>
      <c r="B1279" s="25" t="s">
        <v>20</v>
      </c>
      <c r="C1279" s="94" t="s">
        <v>2220</v>
      </c>
      <c r="D1279" s="52" t="s">
        <v>2203</v>
      </c>
      <c r="E1279" s="103" t="s">
        <v>199</v>
      </c>
      <c r="F1279" s="26" t="s">
        <v>197</v>
      </c>
      <c r="G1279" s="27">
        <f>SUMIF(物料月初库存!$C$3:$C$303,$B1279,物料月初库存!$F$3:$F$303)</f>
        <v>3580</v>
      </c>
      <c r="H1279" s="28">
        <f>SUMIF(半成品入库明细!$D$2:$D$650,$B1279,半成品入库明细!$G$2:$G$650)</f>
        <v>0</v>
      </c>
      <c r="I1279" s="28">
        <f ca="1">SUMIF(半成品出库明细!$D$2:$D$558,$B1279,半成品出库明细!$G$2:$G$2)</f>
        <v>0</v>
      </c>
      <c r="J1279" s="28">
        <f ca="1" t="shared" si="23"/>
        <v>3580</v>
      </c>
      <c r="K1279" s="30" t="s">
        <v>173</v>
      </c>
      <c r="L1279" s="19"/>
      <c r="M1279" s="3"/>
    </row>
    <row r="1280" s="1" customFormat="1" spans="1:13">
      <c r="A1280" s="22">
        <v>1090</v>
      </c>
      <c r="B1280" s="25" t="s">
        <v>2221</v>
      </c>
      <c r="C1280" s="94" t="s">
        <v>2220</v>
      </c>
      <c r="D1280" s="52" t="s">
        <v>2203</v>
      </c>
      <c r="E1280" s="103" t="s">
        <v>227</v>
      </c>
      <c r="F1280" s="26" t="s">
        <v>197</v>
      </c>
      <c r="G1280" s="27">
        <f>SUMIF(物料月初库存!$C$3:$C$303,$B1280,物料月初库存!$F$3:$F$303)</f>
        <v>0</v>
      </c>
      <c r="H1280" s="28">
        <f>SUMIF(半成品入库明细!$D$2:$D$650,$B1280,半成品入库明细!$G$2:$G$650)</f>
        <v>0</v>
      </c>
      <c r="I1280" s="28">
        <f ca="1">SUMIF(半成品出库明细!$D$2:$D$558,$B1280,半成品出库明细!$G$2:$G$2)</f>
        <v>0</v>
      </c>
      <c r="J1280" s="28">
        <f ca="1" t="shared" si="23"/>
        <v>0</v>
      </c>
      <c r="K1280" s="30" t="s">
        <v>183</v>
      </c>
      <c r="L1280" s="19"/>
      <c r="M1280" s="3"/>
    </row>
    <row r="1281" s="1" customFormat="1" spans="1:13">
      <c r="A1281" s="22"/>
      <c r="B1281" s="25" t="s">
        <v>2222</v>
      </c>
      <c r="C1281" s="94" t="s">
        <v>2223</v>
      </c>
      <c r="D1281" s="52" t="s">
        <v>2203</v>
      </c>
      <c r="E1281" s="103" t="s">
        <v>76</v>
      </c>
      <c r="F1281" s="26" t="s">
        <v>197</v>
      </c>
      <c r="G1281" s="27">
        <f>SUMIF(物料月初库存!$C$3:$C$303,$B1281,物料月初库存!$F$3:$F$303)</f>
        <v>0</v>
      </c>
      <c r="H1281" s="28">
        <f>SUMIF(半成品入库明细!$D$2:$D$650,$B1281,半成品入库明细!$G$2:$G$650)</f>
        <v>0</v>
      </c>
      <c r="I1281" s="28">
        <f ca="1">SUMIF(半成品出库明细!$D$2:$D$558,$B1281,半成品出库明细!$G$2:$G$2)</f>
        <v>0</v>
      </c>
      <c r="J1281" s="28">
        <f ca="1" t="shared" si="23"/>
        <v>0</v>
      </c>
      <c r="K1281" s="29"/>
      <c r="L1281" s="19"/>
      <c r="M1281" s="3"/>
    </row>
    <row r="1282" s="1" customFormat="1" spans="1:13">
      <c r="A1282" s="22">
        <v>1092</v>
      </c>
      <c r="B1282" s="25" t="s">
        <v>2224</v>
      </c>
      <c r="C1282" s="94" t="s">
        <v>2223</v>
      </c>
      <c r="D1282" s="52" t="s">
        <v>2203</v>
      </c>
      <c r="E1282" s="103" t="s">
        <v>316</v>
      </c>
      <c r="F1282" s="26" t="s">
        <v>197</v>
      </c>
      <c r="G1282" s="27">
        <f>SUMIF(物料月初库存!$C$3:$C$303,$B1282,物料月初库存!$F$3:$F$303)</f>
        <v>0</v>
      </c>
      <c r="H1282" s="28">
        <f>SUMIF(半成品入库明细!$D$2:$D$650,$B1282,半成品入库明细!$G$2:$G$650)</f>
        <v>0</v>
      </c>
      <c r="I1282" s="28">
        <f ca="1">SUMIF(半成品出库明细!$D$2:$D$558,$B1282,半成品出库明细!$G$2:$G$2)</f>
        <v>0</v>
      </c>
      <c r="J1282" s="28">
        <f ca="1" t="shared" si="23"/>
        <v>0</v>
      </c>
      <c r="K1282" s="29" t="s">
        <v>2225</v>
      </c>
      <c r="L1282" s="19"/>
      <c r="M1282" s="3"/>
    </row>
    <row r="1283" s="1" customFormat="1" spans="1:13">
      <c r="A1283" s="22">
        <v>1093</v>
      </c>
      <c r="B1283" s="25" t="s">
        <v>2226</v>
      </c>
      <c r="C1283" s="94" t="s">
        <v>2223</v>
      </c>
      <c r="D1283" s="52" t="s">
        <v>2203</v>
      </c>
      <c r="E1283" s="103" t="s">
        <v>199</v>
      </c>
      <c r="F1283" s="26" t="s">
        <v>197</v>
      </c>
      <c r="G1283" s="27">
        <f>SUMIF(物料月初库存!$C$3:$C$303,$B1283,物料月初库存!$F$3:$F$303)</f>
        <v>0</v>
      </c>
      <c r="H1283" s="28">
        <f>SUMIF(半成品入库明细!$D$2:$D$650,$B1283,半成品入库明细!$G$2:$G$650)</f>
        <v>0</v>
      </c>
      <c r="I1283" s="28">
        <f ca="1">SUMIF(半成品出库明细!$D$2:$D$558,$B1283,半成品出库明细!$G$2:$G$2)</f>
        <v>0</v>
      </c>
      <c r="J1283" s="28">
        <f ca="1" t="shared" si="23"/>
        <v>0</v>
      </c>
      <c r="K1283" s="30" t="s">
        <v>173</v>
      </c>
      <c r="L1283" s="19"/>
      <c r="M1283" s="3"/>
    </row>
    <row r="1284" s="1" customFormat="1" spans="1:13">
      <c r="A1284" s="22">
        <v>1094</v>
      </c>
      <c r="B1284" s="25" t="s">
        <v>2227</v>
      </c>
      <c r="C1284" s="94" t="s">
        <v>2223</v>
      </c>
      <c r="D1284" s="52" t="s">
        <v>2203</v>
      </c>
      <c r="E1284" s="103" t="s">
        <v>201</v>
      </c>
      <c r="F1284" s="26" t="s">
        <v>197</v>
      </c>
      <c r="G1284" s="27">
        <f>SUMIF(物料月初库存!$C$3:$C$303,$B1284,物料月初库存!$F$3:$F$303)</f>
        <v>0</v>
      </c>
      <c r="H1284" s="28">
        <f>SUMIF(半成品入库明细!$D$2:$D$650,$B1284,半成品入库明细!$G$2:$G$650)</f>
        <v>0</v>
      </c>
      <c r="I1284" s="28">
        <f ca="1">SUMIF(半成品出库明细!$D$2:$D$558,$B1284,半成品出库明细!$G$2:$G$2)</f>
        <v>0</v>
      </c>
      <c r="J1284" s="28">
        <f ca="1" t="shared" si="23"/>
        <v>0</v>
      </c>
      <c r="K1284" s="30" t="s">
        <v>183</v>
      </c>
      <c r="L1284" s="19"/>
      <c r="M1284" s="3"/>
    </row>
    <row r="1285" s="1" customFormat="1" spans="1:13">
      <c r="A1285" s="22">
        <v>1095</v>
      </c>
      <c r="B1285" s="25" t="s">
        <v>2228</v>
      </c>
      <c r="C1285" s="94" t="s">
        <v>2229</v>
      </c>
      <c r="D1285" s="52" t="s">
        <v>2203</v>
      </c>
      <c r="E1285" s="103" t="s">
        <v>76</v>
      </c>
      <c r="F1285" s="26" t="s">
        <v>197</v>
      </c>
      <c r="G1285" s="27">
        <f>SUMIF(物料月初库存!$C$3:$C$303,$B1285,物料月初库存!$F$3:$F$303)</f>
        <v>0</v>
      </c>
      <c r="H1285" s="28">
        <f>SUMIF(半成品入库明细!$D$2:$D$650,$B1285,半成品入库明细!$G$2:$G$650)</f>
        <v>0</v>
      </c>
      <c r="I1285" s="28">
        <f ca="1">SUMIF(半成品出库明细!$D$2:$D$558,$B1285,半成品出库明细!$G$2:$G$2)</f>
        <v>0</v>
      </c>
      <c r="J1285" s="28">
        <f ca="1" t="shared" si="23"/>
        <v>0</v>
      </c>
      <c r="K1285" s="140"/>
      <c r="L1285" s="19"/>
      <c r="M1285" s="3"/>
    </row>
    <row r="1286" s="1" customFormat="1" spans="1:13">
      <c r="A1286" s="22">
        <v>1096</v>
      </c>
      <c r="B1286" s="25" t="s">
        <v>148</v>
      </c>
      <c r="C1286" s="94" t="s">
        <v>2229</v>
      </c>
      <c r="D1286" s="52" t="s">
        <v>2203</v>
      </c>
      <c r="E1286" s="103" t="s">
        <v>267</v>
      </c>
      <c r="F1286" s="26" t="s">
        <v>197</v>
      </c>
      <c r="G1286" s="27">
        <f>SUMIF(物料月初库存!$C$3:$C$303,$B1286,物料月初库存!$F$3:$F$303)</f>
        <v>0</v>
      </c>
      <c r="H1286" s="28">
        <f>SUMIF(半成品入库明细!$D$2:$D$650,$B1286,半成品入库明细!$G$2:$G$650)</f>
        <v>13460</v>
      </c>
      <c r="I1286" s="28">
        <f ca="1">SUMIF(半成品出库明细!$D$2:$D$558,$B1286,半成品出库明细!$G$2:$G$2)</f>
        <v>13460</v>
      </c>
      <c r="J1286" s="28">
        <f ca="1" t="shared" si="23"/>
        <v>0</v>
      </c>
      <c r="K1286" s="29" t="s">
        <v>333</v>
      </c>
      <c r="L1286" s="19"/>
      <c r="M1286" s="3"/>
    </row>
    <row r="1287" s="1" customFormat="1" spans="1:13">
      <c r="A1287" s="22">
        <v>1097</v>
      </c>
      <c r="B1287" s="25" t="s">
        <v>2230</v>
      </c>
      <c r="C1287" s="94" t="s">
        <v>2229</v>
      </c>
      <c r="D1287" s="52" t="s">
        <v>2203</v>
      </c>
      <c r="E1287" s="103" t="s">
        <v>199</v>
      </c>
      <c r="F1287" s="26" t="s">
        <v>197</v>
      </c>
      <c r="G1287" s="27">
        <f>SUMIF(物料月初库存!$C$3:$C$303,$B1287,物料月初库存!$F$3:$F$303)</f>
        <v>0</v>
      </c>
      <c r="H1287" s="28">
        <f>SUMIF(半成品入库明细!$D$2:$D$650,$B1287,半成品入库明细!$G$2:$G$650)</f>
        <v>0</v>
      </c>
      <c r="I1287" s="28">
        <f ca="1">SUMIF(半成品出库明细!$D$2:$D$558,$B1287,半成品出库明细!$G$2:$G$2)</f>
        <v>0</v>
      </c>
      <c r="J1287" s="28">
        <f ca="1" t="shared" si="23"/>
        <v>0</v>
      </c>
      <c r="K1287" s="29" t="s">
        <v>2231</v>
      </c>
      <c r="L1287" s="19"/>
      <c r="M1287" s="3"/>
    </row>
    <row r="1288" s="1" customFormat="1" spans="1:13">
      <c r="A1288" s="22">
        <v>1098</v>
      </c>
      <c r="B1288" s="25" t="s">
        <v>2232</v>
      </c>
      <c r="C1288" s="94" t="s">
        <v>2229</v>
      </c>
      <c r="D1288" s="52" t="s">
        <v>2203</v>
      </c>
      <c r="E1288" s="103" t="s">
        <v>201</v>
      </c>
      <c r="F1288" s="26" t="s">
        <v>197</v>
      </c>
      <c r="G1288" s="27">
        <f>SUMIF(物料月初库存!$C$3:$C$303,$B1288,物料月初库存!$F$3:$F$303)</f>
        <v>0</v>
      </c>
      <c r="H1288" s="28">
        <f>SUMIF(半成品入库明细!$D$2:$D$650,$B1288,半成品入库明细!$G$2:$G$650)</f>
        <v>0</v>
      </c>
      <c r="I1288" s="28">
        <f ca="1">SUMIF(半成品出库明细!$D$2:$D$558,$B1288,半成品出库明细!$G$2:$G$2)</f>
        <v>0</v>
      </c>
      <c r="J1288" s="28">
        <f ca="1" t="shared" si="23"/>
        <v>0</v>
      </c>
      <c r="K1288" s="29" t="s">
        <v>1441</v>
      </c>
      <c r="L1288" s="19"/>
      <c r="M1288" s="3"/>
    </row>
    <row r="1289" s="1" customFormat="1" spans="1:13">
      <c r="A1289" s="22">
        <v>1099</v>
      </c>
      <c r="B1289" s="25" t="s">
        <v>2233</v>
      </c>
      <c r="C1289" s="141" t="s">
        <v>2234</v>
      </c>
      <c r="D1289" s="52" t="s">
        <v>2203</v>
      </c>
      <c r="E1289" s="103" t="s">
        <v>76</v>
      </c>
      <c r="F1289" s="26" t="s">
        <v>197</v>
      </c>
      <c r="G1289" s="27">
        <f>SUMIF(物料月初库存!$C$3:$C$303,$B1289,物料月初库存!$F$3:$F$303)</f>
        <v>0</v>
      </c>
      <c r="H1289" s="28">
        <f>SUMIF(半成品入库明细!$D$2:$D$650,$B1289,半成品入库明细!$G$2:$G$650)</f>
        <v>0</v>
      </c>
      <c r="I1289" s="28">
        <f ca="1">SUMIF(半成品出库明细!$D$2:$D$558,$B1289,半成品出库明细!$G$2:$G$2)</f>
        <v>0</v>
      </c>
      <c r="J1289" s="28">
        <f ca="1" t="shared" si="23"/>
        <v>0</v>
      </c>
      <c r="K1289" s="29"/>
      <c r="L1289" s="19"/>
      <c r="M1289" s="3"/>
    </row>
    <row r="1290" s="1" customFormat="1" spans="1:13">
      <c r="A1290" s="22">
        <v>1100</v>
      </c>
      <c r="B1290" s="25" t="s">
        <v>21</v>
      </c>
      <c r="C1290" s="141" t="s">
        <v>2234</v>
      </c>
      <c r="D1290" s="52" t="s">
        <v>2203</v>
      </c>
      <c r="E1290" s="103" t="s">
        <v>199</v>
      </c>
      <c r="F1290" s="26" t="s">
        <v>197</v>
      </c>
      <c r="G1290" s="27">
        <f>SUMIF(物料月初库存!$C$3:$C$303,$B1290,物料月初库存!$F$3:$F$303)</f>
        <v>18195</v>
      </c>
      <c r="H1290" s="28">
        <f>SUMIF(半成品入库明细!$D$2:$D$650,$B1290,半成品入库明细!$G$2:$G$650)</f>
        <v>0</v>
      </c>
      <c r="I1290" s="28">
        <f ca="1">SUMIF(半成品出库明细!$D$2:$D$558,$B1290,半成品出库明细!$G$2:$G$2)</f>
        <v>0</v>
      </c>
      <c r="J1290" s="28">
        <f ca="1" t="shared" si="23"/>
        <v>18195</v>
      </c>
      <c r="K1290" s="29" t="s">
        <v>214</v>
      </c>
      <c r="L1290" s="19"/>
      <c r="M1290" s="3"/>
    </row>
    <row r="1291" s="1" customFormat="1" spans="1:13">
      <c r="A1291" s="22">
        <v>1101</v>
      </c>
      <c r="B1291" s="25" t="s">
        <v>2235</v>
      </c>
      <c r="C1291" s="141" t="s">
        <v>2234</v>
      </c>
      <c r="D1291" s="52" t="s">
        <v>2203</v>
      </c>
      <c r="E1291" s="103" t="s">
        <v>201</v>
      </c>
      <c r="F1291" s="26" t="s">
        <v>197</v>
      </c>
      <c r="G1291" s="27">
        <f>SUMIF(物料月初库存!$C$3:$C$303,$B1291,物料月初库存!$F$3:$F$303)</f>
        <v>0</v>
      </c>
      <c r="H1291" s="28">
        <f>SUMIF(半成品入库明细!$D$2:$D$650,$B1291,半成品入库明细!$G$2:$G$650)</f>
        <v>0</v>
      </c>
      <c r="I1291" s="28">
        <f ca="1">SUMIF(半成品出库明细!$D$2:$D$558,$B1291,半成品出库明细!$G$2:$G$2)</f>
        <v>0</v>
      </c>
      <c r="J1291" s="28">
        <f ca="1" t="shared" si="23"/>
        <v>0</v>
      </c>
      <c r="K1291" s="29" t="s">
        <v>1441</v>
      </c>
      <c r="L1291" s="19"/>
      <c r="M1291" s="3"/>
    </row>
    <row r="1292" s="1" customFormat="1" spans="1:13">
      <c r="A1292" s="22">
        <v>1102</v>
      </c>
      <c r="B1292" s="25" t="s">
        <v>2236</v>
      </c>
      <c r="C1292" s="141" t="s">
        <v>2237</v>
      </c>
      <c r="D1292" s="52" t="s">
        <v>2203</v>
      </c>
      <c r="E1292" s="103" t="s">
        <v>76</v>
      </c>
      <c r="F1292" s="26" t="s">
        <v>197</v>
      </c>
      <c r="G1292" s="27">
        <f>SUMIF(物料月初库存!$C$3:$C$303,$B1292,物料月初库存!$F$3:$F$303)</f>
        <v>0</v>
      </c>
      <c r="H1292" s="28">
        <f>SUMIF(半成品入库明细!$D$2:$D$650,$B1292,半成品入库明细!$G$2:$G$650)</f>
        <v>0</v>
      </c>
      <c r="I1292" s="28">
        <f ca="1">SUMIF(半成品出库明细!$D$2:$D$558,$B1292,半成品出库明细!$G$2:$G$2)</f>
        <v>0</v>
      </c>
      <c r="J1292" s="28">
        <f ca="1" t="shared" si="23"/>
        <v>0</v>
      </c>
      <c r="K1292" s="29"/>
      <c r="L1292" s="19"/>
      <c r="M1292" s="3"/>
    </row>
    <row r="1293" s="1" customFormat="1" spans="1:13">
      <c r="A1293" s="22">
        <v>1103</v>
      </c>
      <c r="B1293" s="25" t="s">
        <v>2238</v>
      </c>
      <c r="C1293" s="141" t="s">
        <v>2237</v>
      </c>
      <c r="D1293" s="52" t="s">
        <v>2203</v>
      </c>
      <c r="E1293" s="103" t="s">
        <v>670</v>
      </c>
      <c r="F1293" s="26" t="s">
        <v>197</v>
      </c>
      <c r="G1293" s="27">
        <f>SUMIF(物料月初库存!$C$3:$C$303,$B1293,物料月初库存!$F$3:$F$303)</f>
        <v>0</v>
      </c>
      <c r="H1293" s="28">
        <f>SUMIF(半成品入库明细!$D$2:$D$650,$B1293,半成品入库明细!$G$2:$G$650)</f>
        <v>0</v>
      </c>
      <c r="I1293" s="28">
        <f ca="1">SUMIF(半成品出库明细!$D$2:$D$558,$B1293,半成品出库明细!$G$2:$G$2)</f>
        <v>0</v>
      </c>
      <c r="J1293" s="28">
        <f ca="1" t="shared" si="23"/>
        <v>0</v>
      </c>
      <c r="K1293" s="30" t="s">
        <v>146</v>
      </c>
      <c r="L1293" s="19"/>
      <c r="M1293" s="3"/>
    </row>
    <row r="1294" s="1" customFormat="1" spans="1:13">
      <c r="A1294" s="22">
        <v>1104</v>
      </c>
      <c r="B1294" s="25" t="s">
        <v>2239</v>
      </c>
      <c r="C1294" s="141" t="s">
        <v>2237</v>
      </c>
      <c r="D1294" s="52" t="s">
        <v>2203</v>
      </c>
      <c r="E1294" s="103" t="s">
        <v>2240</v>
      </c>
      <c r="F1294" s="26" t="s">
        <v>197</v>
      </c>
      <c r="G1294" s="27">
        <f>SUMIF(物料月初库存!$C$3:$C$303,$B1294,物料月初库存!$F$3:$F$303)</f>
        <v>0</v>
      </c>
      <c r="H1294" s="28">
        <f>SUMIF(半成品入库明细!$D$2:$D$650,$B1294,半成品入库明细!$G$2:$G$650)</f>
        <v>0</v>
      </c>
      <c r="I1294" s="28">
        <f ca="1">SUMIF(半成品出库明细!$D$2:$D$558,$B1294,半成品出库明细!$G$2:$G$2)</f>
        <v>0</v>
      </c>
      <c r="J1294" s="28">
        <f ca="1" t="shared" si="23"/>
        <v>0</v>
      </c>
      <c r="K1294" s="30" t="s">
        <v>173</v>
      </c>
      <c r="L1294" s="19"/>
      <c r="M1294" s="3"/>
    </row>
    <row r="1295" s="1" customFormat="1" spans="1:13">
      <c r="A1295" s="22">
        <v>1105</v>
      </c>
      <c r="B1295" s="25" t="s">
        <v>2241</v>
      </c>
      <c r="C1295" s="141" t="s">
        <v>2237</v>
      </c>
      <c r="D1295" s="52" t="s">
        <v>2203</v>
      </c>
      <c r="E1295" s="103" t="s">
        <v>201</v>
      </c>
      <c r="F1295" s="26" t="s">
        <v>197</v>
      </c>
      <c r="G1295" s="27">
        <f>SUMIF(物料月初库存!$C$3:$C$303,$B1295,物料月初库存!$F$3:$F$303)</f>
        <v>0</v>
      </c>
      <c r="H1295" s="28">
        <f>SUMIF(半成品入库明细!$D$2:$D$650,$B1295,半成品入库明细!$G$2:$G$650)</f>
        <v>0</v>
      </c>
      <c r="I1295" s="28">
        <f ca="1">SUMIF(半成品出库明细!$D$2:$D$558,$B1295,半成品出库明细!$G$2:$G$2)</f>
        <v>0</v>
      </c>
      <c r="J1295" s="28">
        <f ca="1" t="shared" si="23"/>
        <v>0</v>
      </c>
      <c r="K1295" s="30" t="s">
        <v>183</v>
      </c>
      <c r="L1295" s="19"/>
      <c r="M1295" s="3"/>
    </row>
    <row r="1296" s="1" customFormat="1" spans="1:13">
      <c r="A1296" s="22">
        <v>1106</v>
      </c>
      <c r="B1296" s="25" t="s">
        <v>2242</v>
      </c>
      <c r="C1296" s="141" t="s">
        <v>2243</v>
      </c>
      <c r="D1296" s="52" t="s">
        <v>2203</v>
      </c>
      <c r="E1296" s="103" t="s">
        <v>76</v>
      </c>
      <c r="F1296" s="26" t="s">
        <v>197</v>
      </c>
      <c r="G1296" s="27">
        <f>SUMIF(物料月初库存!$C$3:$C$303,$B1296,物料月初库存!$F$3:$F$303)</f>
        <v>0</v>
      </c>
      <c r="H1296" s="28">
        <f>SUMIF(半成品入库明细!$D$2:$D$650,$B1296,半成品入库明细!$G$2:$G$650)</f>
        <v>0</v>
      </c>
      <c r="I1296" s="28">
        <f ca="1">SUMIF(半成品出库明细!$D$2:$D$558,$B1296,半成品出库明细!$G$2:$G$2)</f>
        <v>0</v>
      </c>
      <c r="J1296" s="28">
        <f ca="1" t="shared" si="23"/>
        <v>0</v>
      </c>
      <c r="K1296" s="29"/>
      <c r="L1296" s="19"/>
      <c r="M1296" s="3"/>
    </row>
    <row r="1297" s="1" customFormat="1" spans="1:13">
      <c r="A1297" s="22">
        <v>1107</v>
      </c>
      <c r="B1297" s="25" t="s">
        <v>2244</v>
      </c>
      <c r="C1297" s="141" t="s">
        <v>2243</v>
      </c>
      <c r="D1297" s="52" t="s">
        <v>2203</v>
      </c>
      <c r="E1297" s="103" t="s">
        <v>670</v>
      </c>
      <c r="F1297" s="26" t="s">
        <v>197</v>
      </c>
      <c r="G1297" s="27">
        <f>SUMIF(物料月初库存!$C$3:$C$303,$B1297,物料月初库存!$F$3:$F$303)</f>
        <v>0</v>
      </c>
      <c r="H1297" s="28">
        <f>SUMIF(半成品入库明细!$D$2:$D$650,$B1297,半成品入库明细!$G$2:$G$650)</f>
        <v>0</v>
      </c>
      <c r="I1297" s="28">
        <f ca="1">SUMIF(半成品出库明细!$D$2:$D$558,$B1297,半成品出库明细!$G$2:$G$2)</f>
        <v>0</v>
      </c>
      <c r="J1297" s="28">
        <f ca="1" t="shared" si="23"/>
        <v>0</v>
      </c>
      <c r="K1297" s="30" t="s">
        <v>146</v>
      </c>
      <c r="L1297" s="19"/>
      <c r="M1297" s="3"/>
    </row>
    <row r="1298" s="1" customFormat="1" spans="1:13">
      <c r="A1298" s="22">
        <v>1108</v>
      </c>
      <c r="B1298" s="25" t="s">
        <v>2245</v>
      </c>
      <c r="C1298" s="141" t="s">
        <v>2243</v>
      </c>
      <c r="D1298" s="52" t="s">
        <v>2203</v>
      </c>
      <c r="E1298" s="103" t="s">
        <v>316</v>
      </c>
      <c r="F1298" s="26" t="s">
        <v>197</v>
      </c>
      <c r="G1298" s="27">
        <f>SUMIF(物料月初库存!$C$3:$C$303,$B1298,物料月初库存!$F$3:$F$303)</f>
        <v>0</v>
      </c>
      <c r="H1298" s="28">
        <f>SUMIF(半成品入库明细!$D$2:$D$650,$B1298,半成品入库明细!$G$2:$G$650)</f>
        <v>0</v>
      </c>
      <c r="I1298" s="28">
        <f ca="1">SUMIF(半成品出库明细!$D$2:$D$558,$B1298,半成品出库明细!$G$2:$G$2)</f>
        <v>0</v>
      </c>
      <c r="J1298" s="28">
        <f ca="1" t="shared" si="23"/>
        <v>0</v>
      </c>
      <c r="K1298" s="30" t="s">
        <v>2246</v>
      </c>
      <c r="L1298" s="19"/>
      <c r="M1298" s="3"/>
    </row>
    <row r="1299" s="1" customFormat="1" spans="1:13">
      <c r="A1299" s="22"/>
      <c r="B1299" s="25" t="s">
        <v>2247</v>
      </c>
      <c r="C1299" s="141" t="s">
        <v>2243</v>
      </c>
      <c r="D1299" s="52" t="s">
        <v>2203</v>
      </c>
      <c r="E1299" s="103" t="s">
        <v>199</v>
      </c>
      <c r="F1299" s="26" t="s">
        <v>197</v>
      </c>
      <c r="G1299" s="27">
        <f>SUMIF(物料月初库存!$C$3:$C$303,$B1299,物料月初库存!$F$3:$F$303)</f>
        <v>0</v>
      </c>
      <c r="H1299" s="28">
        <f>SUMIF(半成品入库明细!$D$2:$D$650,$B1299,半成品入库明细!$G$2:$G$650)</f>
        <v>0</v>
      </c>
      <c r="I1299" s="28">
        <f ca="1">SUMIF(半成品出库明细!$D$2:$D$558,$B1299,半成品出库明细!$G$2:$G$2)</f>
        <v>0</v>
      </c>
      <c r="J1299" s="28">
        <f ca="1" t="shared" si="23"/>
        <v>0</v>
      </c>
      <c r="K1299" s="30" t="s">
        <v>173</v>
      </c>
      <c r="L1299" s="19"/>
      <c r="M1299" s="3"/>
    </row>
    <row r="1300" s="1" customFormat="1" spans="1:13">
      <c r="A1300" s="22">
        <v>1110</v>
      </c>
      <c r="B1300" s="25" t="s">
        <v>2248</v>
      </c>
      <c r="C1300" s="141" t="s">
        <v>2243</v>
      </c>
      <c r="D1300" s="52" t="s">
        <v>2203</v>
      </c>
      <c r="E1300" s="103" t="s">
        <v>201</v>
      </c>
      <c r="F1300" s="26" t="s">
        <v>197</v>
      </c>
      <c r="G1300" s="27">
        <f>SUMIF(物料月初库存!$C$3:$C$303,$B1300,物料月初库存!$F$3:$F$303)</f>
        <v>0</v>
      </c>
      <c r="H1300" s="28">
        <f>SUMIF(半成品入库明细!$D$2:$D$650,$B1300,半成品入库明细!$G$2:$G$650)</f>
        <v>0</v>
      </c>
      <c r="I1300" s="28">
        <f ca="1">SUMIF(半成品出库明细!$D$2:$D$558,$B1300,半成品出库明细!$G$2:$G$2)</f>
        <v>0</v>
      </c>
      <c r="J1300" s="28">
        <f ca="1" t="shared" si="23"/>
        <v>0</v>
      </c>
      <c r="K1300" s="30" t="s">
        <v>183</v>
      </c>
      <c r="L1300" s="19"/>
      <c r="M1300" s="3"/>
    </row>
    <row r="1301" s="1" customFormat="1" spans="1:13">
      <c r="A1301" s="22"/>
      <c r="B1301" s="25" t="s">
        <v>2249</v>
      </c>
      <c r="C1301" s="141" t="s">
        <v>2250</v>
      </c>
      <c r="D1301" s="52" t="s">
        <v>2203</v>
      </c>
      <c r="E1301" s="103" t="s">
        <v>76</v>
      </c>
      <c r="F1301" s="26" t="s">
        <v>197</v>
      </c>
      <c r="G1301" s="27">
        <f>SUMIF(物料月初库存!$C$3:$C$303,$B1301,物料月初库存!$F$3:$F$303)</f>
        <v>0</v>
      </c>
      <c r="H1301" s="28">
        <f>SUMIF(半成品入库明细!$D$2:$D$650,$B1301,半成品入库明细!$G$2:$G$650)</f>
        <v>0</v>
      </c>
      <c r="I1301" s="28">
        <f ca="1">SUMIF(半成品出库明细!$D$2:$D$558,$B1301,半成品出库明细!$G$2:$G$2)</f>
        <v>0</v>
      </c>
      <c r="J1301" s="28">
        <f ca="1" t="shared" si="23"/>
        <v>0</v>
      </c>
      <c r="K1301" s="29"/>
      <c r="L1301" s="19"/>
      <c r="M1301" s="3"/>
    </row>
    <row r="1302" s="1" customFormat="1" spans="1:13">
      <c r="A1302" s="22"/>
      <c r="B1302" s="25" t="s">
        <v>2251</v>
      </c>
      <c r="C1302" s="141" t="s">
        <v>2250</v>
      </c>
      <c r="D1302" s="52" t="s">
        <v>2203</v>
      </c>
      <c r="E1302" s="103" t="s">
        <v>316</v>
      </c>
      <c r="F1302" s="26" t="s">
        <v>197</v>
      </c>
      <c r="G1302" s="27">
        <f>SUMIF(物料月初库存!$C$3:$C$303,$B1302,物料月初库存!$F$3:$F$303)</f>
        <v>0</v>
      </c>
      <c r="H1302" s="28">
        <f>SUMIF(半成品入库明细!$D$2:$D$650,$B1302,半成品入库明细!$G$2:$G$650)</f>
        <v>0</v>
      </c>
      <c r="I1302" s="28">
        <f ca="1">SUMIF(半成品出库明细!$D$2:$D$558,$B1302,半成品出库明细!$G$2:$G$2)</f>
        <v>0</v>
      </c>
      <c r="J1302" s="28">
        <f ca="1" t="shared" si="23"/>
        <v>0</v>
      </c>
      <c r="K1302" s="30" t="s">
        <v>1439</v>
      </c>
      <c r="L1302" s="19"/>
      <c r="M1302" s="3"/>
    </row>
    <row r="1303" s="1" customFormat="1" spans="1:13">
      <c r="A1303" s="22"/>
      <c r="B1303" s="25" t="s">
        <v>2252</v>
      </c>
      <c r="C1303" s="141" t="s">
        <v>2250</v>
      </c>
      <c r="D1303" s="52" t="s">
        <v>2203</v>
      </c>
      <c r="E1303" s="103" t="s">
        <v>199</v>
      </c>
      <c r="F1303" s="26" t="s">
        <v>197</v>
      </c>
      <c r="G1303" s="27">
        <f>SUMIF(物料月初库存!$C$3:$C$303,$B1303,物料月初库存!$F$3:$F$303)</f>
        <v>0</v>
      </c>
      <c r="H1303" s="28">
        <f>SUMIF(半成品入库明细!$D$2:$D$650,$B1303,半成品入库明细!$G$2:$G$650)</f>
        <v>0</v>
      </c>
      <c r="I1303" s="28">
        <f ca="1">SUMIF(半成品出库明细!$D$2:$D$558,$B1303,半成品出库明细!$G$2:$G$2)</f>
        <v>0</v>
      </c>
      <c r="J1303" s="28">
        <f ca="1" t="shared" si="23"/>
        <v>0</v>
      </c>
      <c r="K1303" s="29" t="s">
        <v>2253</v>
      </c>
      <c r="L1303" s="19"/>
      <c r="M1303" s="3"/>
    </row>
    <row r="1304" s="1" customFormat="1" spans="1:13">
      <c r="A1304" s="22"/>
      <c r="B1304" s="25" t="s">
        <v>2254</v>
      </c>
      <c r="C1304" s="141" t="s">
        <v>2250</v>
      </c>
      <c r="D1304" s="52" t="s">
        <v>2203</v>
      </c>
      <c r="E1304" s="103" t="s">
        <v>201</v>
      </c>
      <c r="F1304" s="26" t="s">
        <v>197</v>
      </c>
      <c r="G1304" s="27">
        <f>SUMIF(物料月初库存!$C$3:$C$303,$B1304,物料月初库存!$F$3:$F$303)</f>
        <v>0</v>
      </c>
      <c r="H1304" s="28">
        <f>SUMIF(半成品入库明细!$D$2:$D$650,$B1304,半成品入库明细!$G$2:$G$650)</f>
        <v>0</v>
      </c>
      <c r="I1304" s="28">
        <f ca="1">SUMIF(半成品出库明细!$D$2:$D$558,$B1304,半成品出库明细!$G$2:$G$2)</f>
        <v>0</v>
      </c>
      <c r="J1304" s="28">
        <f ca="1" t="shared" si="23"/>
        <v>0</v>
      </c>
      <c r="K1304" s="30" t="s">
        <v>183</v>
      </c>
      <c r="L1304" s="19"/>
      <c r="M1304" s="3"/>
    </row>
    <row r="1305" s="1" customFormat="1" spans="1:13">
      <c r="A1305" s="22"/>
      <c r="B1305" s="25" t="s">
        <v>2255</v>
      </c>
      <c r="C1305" s="141" t="s">
        <v>2256</v>
      </c>
      <c r="D1305" s="52" t="s">
        <v>2203</v>
      </c>
      <c r="E1305" s="103" t="s">
        <v>76</v>
      </c>
      <c r="F1305" s="26" t="s">
        <v>197</v>
      </c>
      <c r="G1305" s="27">
        <f>SUMIF(物料月初库存!$C$3:$C$303,$B1305,物料月初库存!$F$3:$F$303)</f>
        <v>0</v>
      </c>
      <c r="H1305" s="28">
        <f>SUMIF(半成品入库明细!$D$2:$D$650,$B1305,半成品入库明细!$G$2:$G$650)</f>
        <v>0</v>
      </c>
      <c r="I1305" s="28">
        <f ca="1">SUMIF(半成品出库明细!$D$2:$D$558,$B1305,半成品出库明细!$G$2:$G$2)</f>
        <v>0</v>
      </c>
      <c r="J1305" s="28">
        <f ca="1" t="shared" si="23"/>
        <v>0</v>
      </c>
      <c r="K1305" s="30"/>
      <c r="L1305" s="19"/>
      <c r="M1305" s="3"/>
    </row>
    <row r="1306" s="1" customFormat="1" spans="1:13">
      <c r="A1306" s="22"/>
      <c r="B1306" s="25" t="s">
        <v>2257</v>
      </c>
      <c r="C1306" s="141" t="s">
        <v>2256</v>
      </c>
      <c r="D1306" s="52" t="s">
        <v>2203</v>
      </c>
      <c r="E1306" s="103" t="s">
        <v>199</v>
      </c>
      <c r="F1306" s="26" t="s">
        <v>197</v>
      </c>
      <c r="G1306" s="27">
        <f>SUMIF(物料月初库存!$C$3:$C$303,$B1306,物料月初库存!$F$3:$F$303)</f>
        <v>0</v>
      </c>
      <c r="H1306" s="28">
        <f>SUMIF(半成品入库明细!$D$2:$D$650,$B1306,半成品入库明细!$G$2:$G$650)</f>
        <v>0</v>
      </c>
      <c r="I1306" s="28">
        <f ca="1">SUMIF(半成品出库明细!$D$2:$D$558,$B1306,半成品出库明细!$G$2:$G$2)</f>
        <v>0</v>
      </c>
      <c r="J1306" s="28">
        <f ca="1" t="shared" si="23"/>
        <v>0</v>
      </c>
      <c r="K1306" s="29" t="s">
        <v>2253</v>
      </c>
      <c r="L1306" s="19"/>
      <c r="M1306" s="3"/>
    </row>
    <row r="1307" s="1" customFormat="1" spans="1:13">
      <c r="A1307" s="22"/>
      <c r="B1307" s="25" t="s">
        <v>2258</v>
      </c>
      <c r="C1307" s="141" t="s">
        <v>2256</v>
      </c>
      <c r="D1307" s="52" t="s">
        <v>2203</v>
      </c>
      <c r="E1307" s="103" t="s">
        <v>201</v>
      </c>
      <c r="F1307" s="26" t="s">
        <v>197</v>
      </c>
      <c r="G1307" s="27">
        <f>SUMIF(物料月初库存!$C$3:$C$303,$B1307,物料月初库存!$F$3:$F$303)</f>
        <v>0</v>
      </c>
      <c r="H1307" s="28">
        <f>SUMIF(半成品入库明细!$D$2:$D$650,$B1307,半成品入库明细!$G$2:$G$650)</f>
        <v>0</v>
      </c>
      <c r="I1307" s="28">
        <f ca="1">SUMIF(半成品出库明细!$D$2:$D$558,$B1307,半成品出库明细!$G$2:$G$2)</f>
        <v>0</v>
      </c>
      <c r="J1307" s="28">
        <f ca="1" t="shared" si="23"/>
        <v>0</v>
      </c>
      <c r="K1307" s="30" t="s">
        <v>183</v>
      </c>
      <c r="L1307" s="19"/>
      <c r="M1307" s="3"/>
    </row>
    <row r="1308" s="1" customFormat="1" spans="1:13">
      <c r="A1308" s="22"/>
      <c r="B1308" s="25" t="s">
        <v>2259</v>
      </c>
      <c r="C1308" s="141" t="s">
        <v>2260</v>
      </c>
      <c r="D1308" s="52" t="s">
        <v>2203</v>
      </c>
      <c r="E1308" s="103" t="s">
        <v>76</v>
      </c>
      <c r="F1308" s="26" t="s">
        <v>197</v>
      </c>
      <c r="G1308" s="27">
        <f>SUMIF(物料月初库存!$C$3:$C$303,$B1308,物料月初库存!$F$3:$F$303)</f>
        <v>0</v>
      </c>
      <c r="H1308" s="28">
        <f>SUMIF(半成品入库明细!$D$2:$D$650,$B1308,半成品入库明细!$G$2:$G$650)</f>
        <v>0</v>
      </c>
      <c r="I1308" s="28">
        <f ca="1">SUMIF(半成品出库明细!$D$2:$D$558,$B1308,半成品出库明细!$G$2:$G$2)</f>
        <v>0</v>
      </c>
      <c r="J1308" s="28">
        <f ca="1" t="shared" si="23"/>
        <v>0</v>
      </c>
      <c r="K1308" s="30"/>
      <c r="L1308" s="19"/>
      <c r="M1308" s="3"/>
    </row>
    <row r="1309" s="1" customFormat="1" spans="1:13">
      <c r="A1309" s="22"/>
      <c r="B1309" s="25" t="s">
        <v>2261</v>
      </c>
      <c r="C1309" s="141" t="s">
        <v>2260</v>
      </c>
      <c r="D1309" s="52" t="s">
        <v>2203</v>
      </c>
      <c r="E1309" s="103" t="s">
        <v>316</v>
      </c>
      <c r="F1309" s="26" t="s">
        <v>197</v>
      </c>
      <c r="G1309" s="27">
        <f>SUMIF(物料月初库存!$C$3:$C$303,$B1309,物料月初库存!$F$3:$F$303)</f>
        <v>0</v>
      </c>
      <c r="H1309" s="28">
        <f>SUMIF(半成品入库明细!$D$2:$D$650,$B1309,半成品入库明细!$G$2:$G$650)</f>
        <v>0</v>
      </c>
      <c r="I1309" s="28">
        <f ca="1">SUMIF(半成品出库明细!$D$2:$D$558,$B1309,半成品出库明细!$G$2:$G$2)</f>
        <v>0</v>
      </c>
      <c r="J1309" s="28">
        <f ca="1" t="shared" si="23"/>
        <v>0</v>
      </c>
      <c r="K1309" s="30" t="s">
        <v>140</v>
      </c>
      <c r="L1309" s="19"/>
      <c r="M1309" s="3"/>
    </row>
    <row r="1310" s="1" customFormat="1" spans="1:13">
      <c r="A1310" s="22"/>
      <c r="B1310" s="25" t="s">
        <v>2262</v>
      </c>
      <c r="C1310" s="141" t="s">
        <v>2260</v>
      </c>
      <c r="D1310" s="52" t="s">
        <v>2203</v>
      </c>
      <c r="E1310" s="103" t="s">
        <v>199</v>
      </c>
      <c r="F1310" s="26" t="s">
        <v>197</v>
      </c>
      <c r="G1310" s="27">
        <f>SUMIF(物料月初库存!$C$3:$C$303,$B1310,物料月初库存!$F$3:$F$303)</f>
        <v>0</v>
      </c>
      <c r="H1310" s="28">
        <f>SUMIF(半成品入库明细!$D$2:$D$650,$B1310,半成品入库明细!$G$2:$G$650)</f>
        <v>0</v>
      </c>
      <c r="I1310" s="28">
        <f ca="1">SUMIF(半成品出库明细!$D$2:$D$558,$B1310,半成品出库明细!$G$2:$G$2)</f>
        <v>0</v>
      </c>
      <c r="J1310" s="28">
        <f ca="1" t="shared" si="23"/>
        <v>0</v>
      </c>
      <c r="K1310" s="30" t="s">
        <v>173</v>
      </c>
      <c r="L1310" s="19"/>
      <c r="M1310" s="3"/>
    </row>
    <row r="1311" s="1" customFormat="1" spans="1:13">
      <c r="A1311" s="22"/>
      <c r="B1311" s="25" t="s">
        <v>2263</v>
      </c>
      <c r="C1311" s="141" t="s">
        <v>2260</v>
      </c>
      <c r="D1311" s="52" t="s">
        <v>2203</v>
      </c>
      <c r="E1311" s="103" t="s">
        <v>201</v>
      </c>
      <c r="F1311" s="26" t="s">
        <v>197</v>
      </c>
      <c r="G1311" s="27">
        <f>SUMIF(物料月初库存!$C$3:$C$303,$B1311,物料月初库存!$F$3:$F$303)</f>
        <v>0</v>
      </c>
      <c r="H1311" s="28">
        <f>SUMIF(半成品入库明细!$D$2:$D$650,$B1311,半成品入库明细!$G$2:$G$650)</f>
        <v>0</v>
      </c>
      <c r="I1311" s="28">
        <f ca="1">SUMIF(半成品出库明细!$D$2:$D$558,$B1311,半成品出库明细!$G$2:$G$2)</f>
        <v>0</v>
      </c>
      <c r="J1311" s="28">
        <f ca="1" t="shared" si="23"/>
        <v>0</v>
      </c>
      <c r="K1311" s="30" t="s">
        <v>183</v>
      </c>
      <c r="L1311" s="19"/>
      <c r="M1311" s="3"/>
    </row>
    <row r="1312" s="1" customFormat="1" spans="1:13">
      <c r="A1312" s="22"/>
      <c r="B1312" s="25" t="s">
        <v>2264</v>
      </c>
      <c r="C1312" s="141" t="s">
        <v>2265</v>
      </c>
      <c r="D1312" s="52" t="s">
        <v>2203</v>
      </c>
      <c r="E1312" s="103" t="s">
        <v>76</v>
      </c>
      <c r="F1312" s="26" t="s">
        <v>197</v>
      </c>
      <c r="G1312" s="27">
        <f>SUMIF(物料月初库存!$C$3:$C$303,$B1312,物料月初库存!$F$3:$F$303)</f>
        <v>0</v>
      </c>
      <c r="H1312" s="28">
        <f>SUMIF(半成品入库明细!$D$2:$D$650,$B1312,半成品入库明细!$G$2:$G$650)</f>
        <v>0</v>
      </c>
      <c r="I1312" s="28">
        <f ca="1">SUMIF(半成品出库明细!$D$2:$D$558,$B1312,半成品出库明细!$G$2:$G$2)</f>
        <v>0</v>
      </c>
      <c r="J1312" s="28">
        <f ca="1" t="shared" si="23"/>
        <v>0</v>
      </c>
      <c r="K1312" s="30"/>
      <c r="L1312" s="19"/>
      <c r="M1312" s="3"/>
    </row>
    <row r="1313" s="1" customFormat="1" spans="1:13">
      <c r="A1313" s="22"/>
      <c r="B1313" s="25" t="s">
        <v>2266</v>
      </c>
      <c r="C1313" s="141" t="s">
        <v>2265</v>
      </c>
      <c r="D1313" s="52" t="s">
        <v>2203</v>
      </c>
      <c r="E1313" s="103" t="s">
        <v>199</v>
      </c>
      <c r="F1313" s="26" t="s">
        <v>197</v>
      </c>
      <c r="G1313" s="27">
        <f>SUMIF(物料月初库存!$C$3:$C$303,$B1313,物料月初库存!$F$3:$F$303)</f>
        <v>0</v>
      </c>
      <c r="H1313" s="28">
        <f>SUMIF(半成品入库明细!$D$2:$D$650,$B1313,半成品入库明细!$G$2:$G$650)</f>
        <v>0</v>
      </c>
      <c r="I1313" s="28">
        <f ca="1">SUMIF(半成品出库明细!$D$2:$D$558,$B1313,半成品出库明细!$G$2:$G$2)</f>
        <v>0</v>
      </c>
      <c r="J1313" s="28">
        <f ca="1" t="shared" si="23"/>
        <v>0</v>
      </c>
      <c r="K1313" s="30" t="s">
        <v>173</v>
      </c>
      <c r="L1313" s="19"/>
      <c r="M1313" s="3"/>
    </row>
    <row r="1314" s="1" customFormat="1" spans="1:13">
      <c r="A1314" s="22"/>
      <c r="B1314" s="25" t="s">
        <v>2267</v>
      </c>
      <c r="C1314" s="141" t="s">
        <v>2265</v>
      </c>
      <c r="D1314" s="52" t="s">
        <v>2203</v>
      </c>
      <c r="E1314" s="103" t="s">
        <v>839</v>
      </c>
      <c r="F1314" s="26" t="s">
        <v>197</v>
      </c>
      <c r="G1314" s="27">
        <f>SUMIF(物料月初库存!$C$3:$C$303,$B1314,物料月初库存!$F$3:$F$303)</f>
        <v>0</v>
      </c>
      <c r="H1314" s="28">
        <f>SUMIF(半成品入库明细!$D$2:$D$650,$B1314,半成品入库明细!$G$2:$G$650)</f>
        <v>0</v>
      </c>
      <c r="I1314" s="28">
        <f ca="1">SUMIF(半成品出库明细!$D$2:$D$558,$B1314,半成品出库明细!$G$2:$G$2)</f>
        <v>0</v>
      </c>
      <c r="J1314" s="28">
        <f ca="1" t="shared" si="23"/>
        <v>0</v>
      </c>
      <c r="K1314" s="30" t="s">
        <v>2268</v>
      </c>
      <c r="L1314" s="19"/>
      <c r="M1314" s="3"/>
    </row>
    <row r="1315" s="1" customFormat="1" spans="1:13">
      <c r="A1315" s="22"/>
      <c r="B1315" s="25" t="s">
        <v>2269</v>
      </c>
      <c r="C1315" s="141" t="s">
        <v>2265</v>
      </c>
      <c r="D1315" s="52" t="s">
        <v>2203</v>
      </c>
      <c r="E1315" s="103" t="s">
        <v>2270</v>
      </c>
      <c r="F1315" s="26" t="s">
        <v>197</v>
      </c>
      <c r="G1315" s="27">
        <f>SUMIF(物料月初库存!$C$3:$C$303,$B1315,物料月初库存!$F$3:$F$303)</f>
        <v>0</v>
      </c>
      <c r="H1315" s="28">
        <f>SUMIF(半成品入库明细!$D$2:$D$650,$B1315,半成品入库明细!$G$2:$G$650)</f>
        <v>0</v>
      </c>
      <c r="I1315" s="28">
        <f ca="1">SUMIF(半成品出库明细!$D$2:$D$558,$B1315,半成品出库明细!$G$2:$G$2)</f>
        <v>0</v>
      </c>
      <c r="J1315" s="28">
        <f ca="1" t="shared" si="23"/>
        <v>0</v>
      </c>
      <c r="K1315" s="30" t="s">
        <v>146</v>
      </c>
      <c r="L1315" s="19"/>
      <c r="M1315" s="3"/>
    </row>
    <row r="1316" s="1" customFormat="1" spans="1:13">
      <c r="A1316" s="22"/>
      <c r="B1316" s="25" t="s">
        <v>2271</v>
      </c>
      <c r="C1316" s="141" t="s">
        <v>2272</v>
      </c>
      <c r="D1316" s="52" t="s">
        <v>2203</v>
      </c>
      <c r="E1316" s="103" t="s">
        <v>76</v>
      </c>
      <c r="F1316" s="26" t="s">
        <v>197</v>
      </c>
      <c r="G1316" s="27">
        <f>SUMIF(物料月初库存!$C$3:$C$303,$B1316,物料月初库存!$F$3:$F$303)</f>
        <v>0</v>
      </c>
      <c r="H1316" s="28">
        <f>SUMIF(半成品入库明细!$D$2:$D$650,$B1316,半成品入库明细!$G$2:$G$650)</f>
        <v>0</v>
      </c>
      <c r="I1316" s="28">
        <f ca="1">SUMIF(半成品出库明细!$D$2:$D$558,$B1316,半成品出库明细!$G$2:$G$2)</f>
        <v>0</v>
      </c>
      <c r="J1316" s="28">
        <f ca="1" t="shared" si="23"/>
        <v>0</v>
      </c>
      <c r="K1316" s="30"/>
      <c r="L1316" s="19"/>
      <c r="M1316" s="3"/>
    </row>
    <row r="1317" s="1" customFormat="1" spans="1:13">
      <c r="A1317" s="22"/>
      <c r="B1317" s="25" t="s">
        <v>2273</v>
      </c>
      <c r="C1317" s="141" t="s">
        <v>2272</v>
      </c>
      <c r="D1317" s="52" t="s">
        <v>2203</v>
      </c>
      <c r="E1317" s="103" t="s">
        <v>199</v>
      </c>
      <c r="F1317" s="26" t="s">
        <v>197</v>
      </c>
      <c r="G1317" s="27">
        <f>SUMIF(物料月初库存!$C$3:$C$303,$B1317,物料月初库存!$F$3:$F$303)</f>
        <v>0</v>
      </c>
      <c r="H1317" s="28">
        <f>SUMIF(半成品入库明细!$D$2:$D$650,$B1317,半成品入库明细!$G$2:$G$650)</f>
        <v>0</v>
      </c>
      <c r="I1317" s="28">
        <f ca="1">SUMIF(半成品出库明细!$D$2:$D$558,$B1317,半成品出库明细!$G$2:$G$2)</f>
        <v>0</v>
      </c>
      <c r="J1317" s="28">
        <f ca="1" t="shared" si="23"/>
        <v>0</v>
      </c>
      <c r="K1317" s="30" t="s">
        <v>173</v>
      </c>
      <c r="L1317" s="19"/>
      <c r="M1317" s="3"/>
    </row>
    <row r="1318" s="1" customFormat="1" spans="1:13">
      <c r="A1318" s="22"/>
      <c r="B1318" s="25" t="s">
        <v>22</v>
      </c>
      <c r="C1318" s="141" t="s">
        <v>2272</v>
      </c>
      <c r="D1318" s="52" t="s">
        <v>2203</v>
      </c>
      <c r="E1318" s="103" t="s">
        <v>839</v>
      </c>
      <c r="F1318" s="26" t="s">
        <v>197</v>
      </c>
      <c r="G1318" s="27">
        <f>SUMIF(物料月初库存!$C$3:$C$303,$B1318,物料月初库存!$F$3:$F$303)</f>
        <v>469</v>
      </c>
      <c r="H1318" s="28">
        <f>SUMIF(半成品入库明细!$D$2:$D$650,$B1318,半成品入库明细!$G$2:$G$650)</f>
        <v>0</v>
      </c>
      <c r="I1318" s="28">
        <f ca="1">SUMIF(半成品出库明细!$D$2:$D$558,$B1318,半成品出库明细!$G$2:$G$2)</f>
        <v>0</v>
      </c>
      <c r="J1318" s="28">
        <f ca="1" t="shared" si="23"/>
        <v>469</v>
      </c>
      <c r="K1318" s="30" t="s">
        <v>2274</v>
      </c>
      <c r="L1318" s="19"/>
      <c r="M1318" s="3"/>
    </row>
    <row r="1319" s="1" customFormat="1" spans="1:13">
      <c r="A1319" s="22"/>
      <c r="B1319" s="25" t="s">
        <v>2275</v>
      </c>
      <c r="C1319" s="141" t="s">
        <v>2272</v>
      </c>
      <c r="D1319" s="52" t="s">
        <v>2203</v>
      </c>
      <c r="E1319" s="137" t="s">
        <v>270</v>
      </c>
      <c r="F1319" s="26" t="s">
        <v>197</v>
      </c>
      <c r="G1319" s="27">
        <f>SUMIF(物料月初库存!$C$3:$C$303,$B1319,物料月初库存!$F$3:$F$303)</f>
        <v>0</v>
      </c>
      <c r="H1319" s="28">
        <f>SUMIF(半成品入库明细!$D$2:$D$650,$B1319,半成品入库明细!$G$2:$G$650)</f>
        <v>0</v>
      </c>
      <c r="I1319" s="28">
        <f ca="1">SUMIF(半成品出库明细!$D$2:$D$558,$B1319,半成品出库明细!$G$2:$G$2)</f>
        <v>0</v>
      </c>
      <c r="J1319" s="28">
        <f ca="1" t="shared" si="23"/>
        <v>0</v>
      </c>
      <c r="K1319" s="30"/>
      <c r="L1319" s="19"/>
      <c r="M1319" s="3"/>
    </row>
    <row r="1320" s="1" customFormat="1" spans="1:13">
      <c r="A1320" s="22"/>
      <c r="B1320" s="25" t="s">
        <v>2276</v>
      </c>
      <c r="C1320" s="141" t="s">
        <v>2277</v>
      </c>
      <c r="D1320" s="52" t="s">
        <v>2203</v>
      </c>
      <c r="E1320" s="103" t="s">
        <v>76</v>
      </c>
      <c r="F1320" s="26" t="s">
        <v>197</v>
      </c>
      <c r="G1320" s="27">
        <f>SUMIF(物料月初库存!$C$3:$C$303,$B1320,物料月初库存!$F$3:$F$303)</f>
        <v>0</v>
      </c>
      <c r="H1320" s="28">
        <f>SUMIF(半成品入库明细!$D$2:$D$650,$B1320,半成品入库明细!$G$2:$G$650)</f>
        <v>0</v>
      </c>
      <c r="I1320" s="28">
        <f ca="1">SUMIF(半成品出库明细!$D$2:$D$558,$B1320,半成品出库明细!$G$2:$G$2)</f>
        <v>0</v>
      </c>
      <c r="J1320" s="28">
        <f ca="1" t="shared" si="23"/>
        <v>0</v>
      </c>
      <c r="K1320" s="30"/>
      <c r="L1320" s="19"/>
      <c r="M1320" s="3"/>
    </row>
    <row r="1321" s="1" customFormat="1" spans="1:13">
      <c r="A1321" s="22"/>
      <c r="B1321" s="25" t="s">
        <v>23</v>
      </c>
      <c r="C1321" s="141" t="s">
        <v>2277</v>
      </c>
      <c r="D1321" s="52" t="s">
        <v>2203</v>
      </c>
      <c r="E1321" s="103" t="s">
        <v>225</v>
      </c>
      <c r="F1321" s="26" t="s">
        <v>197</v>
      </c>
      <c r="G1321" s="27">
        <f>SUMIF(物料月初库存!$C$3:$C$303,$B1321,物料月初库存!$F$3:$F$303)</f>
        <v>557</v>
      </c>
      <c r="H1321" s="28">
        <f>SUMIF(半成品入库明细!$D$2:$D$650,$B1321,半成品入库明细!$G$2:$G$650)</f>
        <v>0</v>
      </c>
      <c r="I1321" s="28">
        <f ca="1">SUMIF(半成品出库明细!$D$2:$D$558,$B1321,半成品出库明细!$G$2:$G$2)</f>
        <v>0</v>
      </c>
      <c r="J1321" s="28">
        <f ca="1" t="shared" si="23"/>
        <v>557</v>
      </c>
      <c r="K1321" s="30" t="s">
        <v>92</v>
      </c>
      <c r="L1321" s="19"/>
      <c r="M1321" s="3"/>
    </row>
    <row r="1322" s="1" customFormat="1" spans="1:13">
      <c r="A1322" s="22"/>
      <c r="B1322" s="25" t="s">
        <v>2278</v>
      </c>
      <c r="C1322" s="141" t="s">
        <v>2277</v>
      </c>
      <c r="D1322" s="52" t="s">
        <v>2203</v>
      </c>
      <c r="E1322" s="103" t="s">
        <v>201</v>
      </c>
      <c r="F1322" s="26" t="s">
        <v>197</v>
      </c>
      <c r="G1322" s="27">
        <f>SUMIF(物料月初库存!$C$3:$C$303,$B1322,物料月初库存!$F$3:$F$303)</f>
        <v>0</v>
      </c>
      <c r="H1322" s="28">
        <f>SUMIF(半成品入库明细!$D$2:$D$650,$B1322,半成品入库明细!$G$2:$G$650)</f>
        <v>0</v>
      </c>
      <c r="I1322" s="28">
        <f ca="1">SUMIF(半成品出库明细!$D$2:$D$558,$B1322,半成品出库明细!$G$2:$G$2)</f>
        <v>0</v>
      </c>
      <c r="J1322" s="28">
        <f ca="1" t="shared" si="23"/>
        <v>0</v>
      </c>
      <c r="K1322" s="30" t="s">
        <v>2279</v>
      </c>
      <c r="L1322" s="19"/>
      <c r="M1322" s="3"/>
    </row>
    <row r="1323" s="1" customFormat="1" spans="1:13">
      <c r="A1323" s="22"/>
      <c r="B1323" s="25" t="s">
        <v>2280</v>
      </c>
      <c r="C1323" s="141" t="s">
        <v>2281</v>
      </c>
      <c r="D1323" s="52" t="s">
        <v>2203</v>
      </c>
      <c r="E1323" s="103" t="s">
        <v>76</v>
      </c>
      <c r="F1323" s="26" t="s">
        <v>197</v>
      </c>
      <c r="G1323" s="27">
        <f>SUMIF(物料月初库存!$C$3:$C$303,$B1323,物料月初库存!$F$3:$F$303)</f>
        <v>0</v>
      </c>
      <c r="H1323" s="28">
        <f>SUMIF(半成品入库明细!$D$2:$D$650,$B1323,半成品入库明细!$G$2:$G$650)</f>
        <v>0</v>
      </c>
      <c r="I1323" s="28">
        <f ca="1">SUMIF(半成品出库明细!$D$2:$D$558,$B1323,半成品出库明细!$G$2:$G$2)</f>
        <v>0</v>
      </c>
      <c r="J1323" s="28">
        <f ca="1" t="shared" si="23"/>
        <v>0</v>
      </c>
      <c r="K1323" s="30" t="s">
        <v>2282</v>
      </c>
      <c r="L1323" s="19"/>
      <c r="M1323" s="3"/>
    </row>
    <row r="1324" s="1" customFormat="1" spans="1:13">
      <c r="A1324" s="22"/>
      <c r="B1324" s="25" t="s">
        <v>2283</v>
      </c>
      <c r="C1324" s="141" t="s">
        <v>2281</v>
      </c>
      <c r="D1324" s="52" t="s">
        <v>2203</v>
      </c>
      <c r="E1324" s="103" t="s">
        <v>316</v>
      </c>
      <c r="F1324" s="26" t="s">
        <v>197</v>
      </c>
      <c r="G1324" s="27">
        <f>SUMIF(物料月初库存!$C$3:$C$303,$B1324,物料月初库存!$F$3:$F$303)</f>
        <v>0</v>
      </c>
      <c r="H1324" s="28">
        <f>SUMIF(半成品入库明细!$D$2:$D$650,$B1324,半成品入库明细!$G$2:$G$650)</f>
        <v>0</v>
      </c>
      <c r="I1324" s="28">
        <f ca="1">SUMIF(半成品出库明细!$D$2:$D$558,$B1324,半成品出库明细!$G$2:$G$2)</f>
        <v>0</v>
      </c>
      <c r="J1324" s="28">
        <f ca="1" t="shared" si="23"/>
        <v>0</v>
      </c>
      <c r="K1324" s="30" t="s">
        <v>1476</v>
      </c>
      <c r="L1324" s="19"/>
      <c r="M1324" s="3"/>
    </row>
    <row r="1325" s="1" customFormat="1" spans="1:13">
      <c r="A1325" s="22"/>
      <c r="B1325" s="25" t="s">
        <v>2284</v>
      </c>
      <c r="C1325" s="141" t="s">
        <v>2281</v>
      </c>
      <c r="D1325" s="52" t="s">
        <v>2203</v>
      </c>
      <c r="E1325" s="103" t="s">
        <v>2155</v>
      </c>
      <c r="F1325" s="26" t="s">
        <v>197</v>
      </c>
      <c r="G1325" s="27">
        <f>SUMIF(物料月初库存!$C$3:$C$303,$B1325,物料月初库存!$F$3:$F$303)</f>
        <v>0</v>
      </c>
      <c r="H1325" s="28">
        <f>SUMIF(半成品入库明细!$D$2:$D$650,$B1325,半成品入库明细!$G$2:$G$650)</f>
        <v>0</v>
      </c>
      <c r="I1325" s="28">
        <f ca="1">SUMIF(半成品出库明细!$D$2:$D$558,$B1325,半成品出库明细!$G$2:$G$2)</f>
        <v>0</v>
      </c>
      <c r="J1325" s="28">
        <f ca="1" t="shared" ref="J1325:J1345" si="24">G1325+H1325-I1325</f>
        <v>0</v>
      </c>
      <c r="K1325" s="32" t="s">
        <v>2285</v>
      </c>
      <c r="L1325" s="19"/>
      <c r="M1325" s="3"/>
    </row>
    <row r="1326" s="1" customFormat="1" spans="1:13">
      <c r="A1326" s="22"/>
      <c r="B1326" s="25" t="s">
        <v>2286</v>
      </c>
      <c r="C1326" s="141" t="s">
        <v>2281</v>
      </c>
      <c r="D1326" s="52" t="s">
        <v>2203</v>
      </c>
      <c r="E1326" s="103" t="s">
        <v>270</v>
      </c>
      <c r="F1326" s="26" t="s">
        <v>197</v>
      </c>
      <c r="G1326" s="27">
        <f>SUMIF(物料月初库存!$C$3:$C$303,$B1326,物料月初库存!$F$3:$F$303)</f>
        <v>0</v>
      </c>
      <c r="H1326" s="28">
        <f>SUMIF(半成品入库明细!$D$2:$D$650,$B1326,半成品入库明细!$G$2:$G$650)</f>
        <v>0</v>
      </c>
      <c r="I1326" s="28">
        <f ca="1">SUMIF(半成品出库明细!$D$2:$D$558,$B1326,半成品出库明细!$G$2:$G$2)</f>
        <v>0</v>
      </c>
      <c r="J1326" s="28">
        <f ca="1" t="shared" si="24"/>
        <v>0</v>
      </c>
      <c r="K1326" s="30" t="s">
        <v>180</v>
      </c>
      <c r="L1326" s="19"/>
      <c r="M1326" s="3"/>
    </row>
    <row r="1327" s="1" customFormat="1" spans="1:13">
      <c r="A1327" s="22"/>
      <c r="B1327" s="25" t="s">
        <v>2287</v>
      </c>
      <c r="C1327" s="141" t="s">
        <v>2281</v>
      </c>
      <c r="D1327" s="52" t="s">
        <v>2203</v>
      </c>
      <c r="E1327" s="103" t="s">
        <v>670</v>
      </c>
      <c r="F1327" s="26" t="s">
        <v>197</v>
      </c>
      <c r="G1327" s="27">
        <f>SUMIF(物料月初库存!$C$3:$C$303,$B1327,物料月初库存!$F$3:$F$303)</f>
        <v>0</v>
      </c>
      <c r="H1327" s="28">
        <f>SUMIF(半成品入库明细!$D$2:$D$650,$B1327,半成品入库明细!$G$2:$G$650)</f>
        <v>0</v>
      </c>
      <c r="I1327" s="28">
        <f ca="1">SUMIF(半成品出库明细!$D$2:$D$558,$B1327,半成品出库明细!$G$2:$G$2)</f>
        <v>0</v>
      </c>
      <c r="J1327" s="28">
        <f ca="1" t="shared" si="24"/>
        <v>0</v>
      </c>
      <c r="K1327" s="30" t="s">
        <v>146</v>
      </c>
      <c r="L1327" s="19"/>
      <c r="M1327" s="3"/>
    </row>
    <row r="1328" s="1" customFormat="1" spans="1:13">
      <c r="A1328" s="22"/>
      <c r="B1328" s="25" t="s">
        <v>2288</v>
      </c>
      <c r="C1328" s="141" t="s">
        <v>2289</v>
      </c>
      <c r="D1328" s="52" t="s">
        <v>2203</v>
      </c>
      <c r="E1328" s="103" t="s">
        <v>76</v>
      </c>
      <c r="F1328" s="26" t="s">
        <v>197</v>
      </c>
      <c r="G1328" s="27">
        <f>SUMIF(物料月初库存!$C$3:$C$303,$B1328,物料月初库存!$F$3:$F$303)</f>
        <v>0</v>
      </c>
      <c r="H1328" s="28">
        <f>SUMIF(半成品入库明细!$D$2:$D$650,$B1328,半成品入库明细!$G$2:$G$650)</f>
        <v>0</v>
      </c>
      <c r="I1328" s="28">
        <f ca="1">SUMIF(半成品出库明细!$D$2:$D$558,$B1328,半成品出库明细!$G$2:$G$2)</f>
        <v>0</v>
      </c>
      <c r="J1328" s="28">
        <f ca="1" t="shared" si="24"/>
        <v>0</v>
      </c>
      <c r="K1328" s="124" t="s">
        <v>2290</v>
      </c>
      <c r="L1328" s="19"/>
      <c r="M1328" s="3"/>
    </row>
    <row r="1329" s="1" customFormat="1" spans="1:13">
      <c r="A1329" s="22"/>
      <c r="B1329" s="25" t="s">
        <v>2291</v>
      </c>
      <c r="C1329" s="141" t="s">
        <v>2289</v>
      </c>
      <c r="D1329" s="52" t="s">
        <v>2203</v>
      </c>
      <c r="E1329" s="103" t="s">
        <v>316</v>
      </c>
      <c r="F1329" s="26" t="s">
        <v>197</v>
      </c>
      <c r="G1329" s="27">
        <f>SUMIF(物料月初库存!$C$3:$C$303,$B1329,物料月初库存!$F$3:$F$303)</f>
        <v>0</v>
      </c>
      <c r="H1329" s="28">
        <f>SUMIF(半成品入库明细!$D$2:$D$650,$B1329,半成品入库明细!$G$2:$G$650)</f>
        <v>0</v>
      </c>
      <c r="I1329" s="28">
        <f ca="1">SUMIF(半成品出库明细!$D$2:$D$558,$B1329,半成品出库明细!$G$2:$G$2)</f>
        <v>0</v>
      </c>
      <c r="J1329" s="28">
        <f ca="1" t="shared" si="24"/>
        <v>0</v>
      </c>
      <c r="K1329" s="30" t="s">
        <v>1439</v>
      </c>
      <c r="L1329" s="19"/>
      <c r="M1329" s="3"/>
    </row>
    <row r="1330" s="1" customFormat="1" spans="1:13">
      <c r="A1330" s="22"/>
      <c r="B1330" s="25" t="s">
        <v>2292</v>
      </c>
      <c r="C1330" s="141" t="s">
        <v>2289</v>
      </c>
      <c r="D1330" s="52" t="s">
        <v>2203</v>
      </c>
      <c r="E1330" s="103" t="s">
        <v>2155</v>
      </c>
      <c r="F1330" s="26" t="s">
        <v>197</v>
      </c>
      <c r="G1330" s="27">
        <f>SUMIF(物料月初库存!$C$3:$C$303,$B1330,物料月初库存!$F$3:$F$303)</f>
        <v>0</v>
      </c>
      <c r="H1330" s="28">
        <f>SUMIF(半成品入库明细!$D$2:$D$650,$B1330,半成品入库明细!$G$2:$G$650)</f>
        <v>0</v>
      </c>
      <c r="I1330" s="28">
        <f ca="1">SUMIF(半成品出库明细!$D$2:$D$558,$B1330,半成品出库明细!$G$2:$G$2)</f>
        <v>0</v>
      </c>
      <c r="J1330" s="28">
        <f ca="1" t="shared" si="24"/>
        <v>0</v>
      </c>
      <c r="K1330" s="30" t="s">
        <v>2293</v>
      </c>
      <c r="L1330" s="19"/>
      <c r="M1330" s="3"/>
    </row>
    <row r="1331" s="1" customFormat="1" spans="1:13">
      <c r="A1331" s="22"/>
      <c r="B1331" s="25" t="s">
        <v>2294</v>
      </c>
      <c r="C1331" s="141" t="s">
        <v>2289</v>
      </c>
      <c r="D1331" s="52" t="s">
        <v>2203</v>
      </c>
      <c r="E1331" s="103" t="s">
        <v>270</v>
      </c>
      <c r="F1331" s="26" t="s">
        <v>197</v>
      </c>
      <c r="G1331" s="27">
        <f>SUMIF(物料月初库存!$C$3:$C$303,$B1331,物料月初库存!$F$3:$F$303)</f>
        <v>0</v>
      </c>
      <c r="H1331" s="28">
        <f>SUMIF(半成品入库明细!$D$2:$D$650,$B1331,半成品入库明细!$G$2:$G$650)</f>
        <v>0</v>
      </c>
      <c r="I1331" s="28">
        <f ca="1">SUMIF(半成品出库明细!$D$2:$D$558,$B1331,半成品出库明细!$G$2:$G$2)</f>
        <v>0</v>
      </c>
      <c r="J1331" s="28">
        <f ca="1" t="shared" si="24"/>
        <v>0</v>
      </c>
      <c r="K1331" s="30" t="s">
        <v>180</v>
      </c>
      <c r="L1331" s="19"/>
      <c r="M1331" s="3"/>
    </row>
    <row r="1332" s="1" customFormat="1" spans="1:13">
      <c r="A1332" s="22"/>
      <c r="B1332" s="25" t="s">
        <v>2295</v>
      </c>
      <c r="C1332" s="141" t="s">
        <v>2289</v>
      </c>
      <c r="D1332" s="52" t="s">
        <v>2203</v>
      </c>
      <c r="E1332" s="103" t="s">
        <v>267</v>
      </c>
      <c r="F1332" s="26" t="s">
        <v>197</v>
      </c>
      <c r="G1332" s="27">
        <f>SUMIF(物料月初库存!$C$3:$C$303,$B1332,物料月初库存!$F$3:$F$303)</f>
        <v>0</v>
      </c>
      <c r="H1332" s="28">
        <f>SUMIF(半成品入库明细!$D$2:$D$650,$B1332,半成品入库明细!$G$2:$G$650)</f>
        <v>0</v>
      </c>
      <c r="I1332" s="28">
        <f ca="1">SUMIF(半成品出库明细!$D$2:$D$558,$B1332,半成品出库明细!$G$2:$G$2)</f>
        <v>0</v>
      </c>
      <c r="J1332" s="28">
        <f ca="1" t="shared" si="24"/>
        <v>0</v>
      </c>
      <c r="K1332" s="30" t="s">
        <v>146</v>
      </c>
      <c r="L1332" s="19"/>
      <c r="M1332" s="3"/>
    </row>
    <row r="1333" s="1" customFormat="1" spans="1:13">
      <c r="A1333" s="22"/>
      <c r="B1333" s="25" t="s">
        <v>2296</v>
      </c>
      <c r="C1333" s="141" t="s">
        <v>2297</v>
      </c>
      <c r="D1333" s="52" t="s">
        <v>2203</v>
      </c>
      <c r="E1333" s="103" t="s">
        <v>76</v>
      </c>
      <c r="F1333" s="26" t="s">
        <v>197</v>
      </c>
      <c r="G1333" s="27">
        <f>SUMIF(物料月初库存!$C$3:$C$303,$B1333,物料月初库存!$F$3:$F$303)</f>
        <v>0</v>
      </c>
      <c r="H1333" s="28">
        <f>SUMIF(半成品入库明细!$D$2:$D$650,$B1333,半成品入库明细!$G$2:$G$650)</f>
        <v>0</v>
      </c>
      <c r="I1333" s="28">
        <f ca="1">SUMIF(半成品出库明细!$D$2:$D$558,$B1333,半成品出库明细!$G$2:$G$2)</f>
        <v>0</v>
      </c>
      <c r="J1333" s="28">
        <f ca="1" t="shared" si="24"/>
        <v>0</v>
      </c>
      <c r="K1333" s="30"/>
      <c r="L1333" s="19"/>
      <c r="M1333" s="3"/>
    </row>
    <row r="1334" s="1" customFormat="1" spans="1:13">
      <c r="A1334" s="22"/>
      <c r="B1334" s="25" t="s">
        <v>2298</v>
      </c>
      <c r="C1334" s="141" t="s">
        <v>2297</v>
      </c>
      <c r="D1334" s="52" t="s">
        <v>2203</v>
      </c>
      <c r="E1334" s="103" t="s">
        <v>353</v>
      </c>
      <c r="F1334" s="26" t="s">
        <v>197</v>
      </c>
      <c r="G1334" s="27">
        <f>SUMIF(物料月初库存!$C$3:$C$303,$B1334,物料月初库存!$F$3:$F$303)</f>
        <v>0</v>
      </c>
      <c r="H1334" s="28">
        <f>SUMIF(半成品入库明细!$D$2:$D$650,$B1334,半成品入库明细!$G$2:$G$650)</f>
        <v>0</v>
      </c>
      <c r="I1334" s="28">
        <f ca="1">SUMIF(半成品出库明细!$D$2:$D$558,$B1334,半成品出库明细!$G$2:$G$2)</f>
        <v>0</v>
      </c>
      <c r="J1334" s="28">
        <f ca="1" t="shared" si="24"/>
        <v>0</v>
      </c>
      <c r="K1334" s="30" t="s">
        <v>1271</v>
      </c>
      <c r="L1334" s="19"/>
      <c r="M1334" s="3"/>
    </row>
    <row r="1335" s="1" customFormat="1" spans="1:13">
      <c r="A1335" s="22"/>
      <c r="B1335" s="25" t="s">
        <v>24</v>
      </c>
      <c r="C1335" s="141" t="s">
        <v>2297</v>
      </c>
      <c r="D1335" s="52" t="s">
        <v>2203</v>
      </c>
      <c r="E1335" s="103" t="s">
        <v>225</v>
      </c>
      <c r="F1335" s="26" t="s">
        <v>197</v>
      </c>
      <c r="G1335" s="27">
        <f>SUMIF(物料月初库存!$C$3:$C$303,$B1335,物料月初库存!$F$3:$F$303)</f>
        <v>870</v>
      </c>
      <c r="H1335" s="28">
        <f>SUMIF(半成品入库明细!$D$2:$D$650,$B1335,半成品入库明细!$G$2:$G$650)</f>
        <v>0</v>
      </c>
      <c r="I1335" s="28">
        <f ca="1">SUMIF(半成品出库明细!$D$2:$D$558,$B1335,半成品出库明细!$G$2:$G$2)</f>
        <v>0</v>
      </c>
      <c r="J1335" s="28">
        <f ca="1" t="shared" si="24"/>
        <v>870</v>
      </c>
      <c r="K1335" s="30" t="s">
        <v>92</v>
      </c>
      <c r="L1335" s="19"/>
      <c r="M1335" s="3"/>
    </row>
    <row r="1336" s="1" customFormat="1" spans="1:13">
      <c r="A1336" s="22"/>
      <c r="B1336" s="25" t="s">
        <v>2299</v>
      </c>
      <c r="C1336" s="141" t="s">
        <v>2297</v>
      </c>
      <c r="D1336" s="52" t="s">
        <v>2203</v>
      </c>
      <c r="E1336" s="103" t="s">
        <v>839</v>
      </c>
      <c r="F1336" s="26" t="s">
        <v>197</v>
      </c>
      <c r="G1336" s="27">
        <f>SUMIF(物料月初库存!$C$3:$C$303,$B1336,物料月初库存!$F$3:$F$303)</f>
        <v>0</v>
      </c>
      <c r="H1336" s="28">
        <f>SUMIF(半成品入库明细!$D$2:$D$650,$B1336,半成品入库明细!$G$2:$G$650)</f>
        <v>0</v>
      </c>
      <c r="I1336" s="28">
        <f ca="1">SUMIF(半成品出库明细!$D$2:$D$558,$B1336,半成品出库明细!$G$2:$G$2)</f>
        <v>0</v>
      </c>
      <c r="J1336" s="28">
        <f ca="1" t="shared" si="24"/>
        <v>0</v>
      </c>
      <c r="K1336" s="124" t="s">
        <v>120</v>
      </c>
      <c r="L1336" s="19"/>
      <c r="M1336" s="3"/>
    </row>
    <row r="1337" s="1" customFormat="1" spans="1:13">
      <c r="A1337" s="22"/>
      <c r="B1337" s="25" t="s">
        <v>2300</v>
      </c>
      <c r="C1337" s="141" t="s">
        <v>2297</v>
      </c>
      <c r="D1337" s="52" t="s">
        <v>2203</v>
      </c>
      <c r="E1337" s="103" t="s">
        <v>270</v>
      </c>
      <c r="F1337" s="26" t="s">
        <v>197</v>
      </c>
      <c r="G1337" s="27">
        <f>SUMIF(物料月初库存!$C$3:$C$303,$B1337,物料月初库存!$F$3:$F$303)</f>
        <v>0</v>
      </c>
      <c r="H1337" s="28">
        <f>SUMIF(半成品入库明细!$D$2:$D$650,$B1337,半成品入库明细!$G$2:$G$650)</f>
        <v>0</v>
      </c>
      <c r="I1337" s="28">
        <f ca="1">SUMIF(半成品出库明细!$D$2:$D$558,$B1337,半成品出库明细!$G$2:$G$2)</f>
        <v>0</v>
      </c>
      <c r="J1337" s="28">
        <f ca="1" t="shared" si="24"/>
        <v>0</v>
      </c>
      <c r="K1337" s="30" t="s">
        <v>180</v>
      </c>
      <c r="L1337" s="19"/>
      <c r="M1337" s="3"/>
    </row>
    <row r="1338" s="1" customFormat="1" spans="1:13">
      <c r="A1338" s="22"/>
      <c r="B1338" s="25" t="s">
        <v>2301</v>
      </c>
      <c r="C1338" s="141" t="s">
        <v>2302</v>
      </c>
      <c r="D1338" s="52" t="s">
        <v>2203</v>
      </c>
      <c r="E1338" s="103" t="s">
        <v>76</v>
      </c>
      <c r="F1338" s="26" t="s">
        <v>197</v>
      </c>
      <c r="G1338" s="27">
        <f>SUMIF(物料月初库存!$C$3:$C$303,$B1338,物料月初库存!$F$3:$F$303)</f>
        <v>0</v>
      </c>
      <c r="H1338" s="28">
        <f>SUMIF(半成品入库明细!$D$2:$D$650,$B1338,半成品入库明细!$G$2:$G$650)</f>
        <v>0</v>
      </c>
      <c r="I1338" s="28">
        <f ca="1">SUMIF(半成品出库明细!$D$2:$D$558,$B1338,半成品出库明细!$G$2:$G$2)</f>
        <v>0</v>
      </c>
      <c r="J1338" s="28">
        <f ca="1" t="shared" si="24"/>
        <v>0</v>
      </c>
      <c r="K1338" s="30"/>
      <c r="L1338" s="19"/>
      <c r="M1338" s="3"/>
    </row>
    <row r="1339" s="1" customFormat="1" spans="1:13">
      <c r="A1339" s="22"/>
      <c r="B1339" s="25" t="s">
        <v>2303</v>
      </c>
      <c r="C1339" s="141" t="s">
        <v>2302</v>
      </c>
      <c r="D1339" s="52" t="s">
        <v>2203</v>
      </c>
      <c r="E1339" s="103" t="s">
        <v>353</v>
      </c>
      <c r="F1339" s="26" t="s">
        <v>197</v>
      </c>
      <c r="G1339" s="27">
        <f>SUMIF(物料月初库存!$C$3:$C$303,$B1339,物料月初库存!$F$3:$F$303)</f>
        <v>0</v>
      </c>
      <c r="H1339" s="28">
        <f>SUMIF(半成品入库明细!$D$2:$D$650,$B1339,半成品入库明细!$G$2:$G$650)</f>
        <v>0</v>
      </c>
      <c r="I1339" s="28">
        <f ca="1">SUMIF(半成品出库明细!$D$2:$D$558,$B1339,半成品出库明细!$G$2:$G$2)</f>
        <v>0</v>
      </c>
      <c r="J1339" s="28">
        <f ca="1" t="shared" si="24"/>
        <v>0</v>
      </c>
      <c r="K1339" s="30" t="s">
        <v>140</v>
      </c>
      <c r="L1339" s="19"/>
      <c r="M1339" s="3"/>
    </row>
    <row r="1340" s="1" customFormat="1" spans="1:13">
      <c r="A1340" s="22"/>
      <c r="B1340" s="25" t="s">
        <v>2304</v>
      </c>
      <c r="C1340" s="141" t="s">
        <v>2302</v>
      </c>
      <c r="D1340" s="52" t="s">
        <v>2203</v>
      </c>
      <c r="E1340" s="103" t="s">
        <v>356</v>
      </c>
      <c r="F1340" s="26" t="s">
        <v>197</v>
      </c>
      <c r="G1340" s="27">
        <f>SUMIF(物料月初库存!$C$3:$C$303,$B1340,物料月初库存!$F$3:$F$303)</f>
        <v>0</v>
      </c>
      <c r="H1340" s="28">
        <f>SUMIF(半成品入库明细!$D$2:$D$650,$B1340,半成品入库明细!$G$2:$G$650)</f>
        <v>0</v>
      </c>
      <c r="I1340" s="28">
        <f ca="1">SUMIF(半成品出库明细!$D$2:$D$558,$B1340,半成品出库明细!$G$2:$G$2)</f>
        <v>0</v>
      </c>
      <c r="J1340" s="28">
        <f ca="1" t="shared" si="24"/>
        <v>0</v>
      </c>
      <c r="K1340" s="30" t="s">
        <v>113</v>
      </c>
      <c r="L1340" s="19"/>
      <c r="M1340" s="3"/>
    </row>
    <row r="1341" s="1" customFormat="1" spans="1:13">
      <c r="A1341" s="22"/>
      <c r="B1341" s="25" t="s">
        <v>2305</v>
      </c>
      <c r="C1341" s="141" t="s">
        <v>2302</v>
      </c>
      <c r="D1341" s="52" t="s">
        <v>2203</v>
      </c>
      <c r="E1341" s="103" t="s">
        <v>839</v>
      </c>
      <c r="F1341" s="26" t="s">
        <v>197</v>
      </c>
      <c r="G1341" s="27">
        <f>SUMIF(物料月初库存!$C$3:$C$303,$B1341,物料月初库存!$F$3:$F$303)</f>
        <v>0</v>
      </c>
      <c r="H1341" s="28">
        <f>SUMIF(半成品入库明细!$D$2:$D$650,$B1341,半成品入库明细!$G$2:$G$650)</f>
        <v>0</v>
      </c>
      <c r="I1341" s="28">
        <f ca="1">SUMIF(半成品出库明细!$D$2:$D$558,$B1341,半成品出库明细!$G$2:$G$2)</f>
        <v>0</v>
      </c>
      <c r="J1341" s="28">
        <f ca="1" t="shared" si="24"/>
        <v>0</v>
      </c>
      <c r="K1341" s="30" t="s">
        <v>120</v>
      </c>
      <c r="L1341" s="19"/>
      <c r="M1341" s="3"/>
    </row>
    <row r="1342" s="1" customFormat="1" spans="1:13">
      <c r="A1342" s="22"/>
      <c r="B1342" s="25" t="s">
        <v>2306</v>
      </c>
      <c r="C1342" s="141" t="s">
        <v>2302</v>
      </c>
      <c r="D1342" s="52" t="s">
        <v>2203</v>
      </c>
      <c r="E1342" s="103" t="s">
        <v>256</v>
      </c>
      <c r="F1342" s="26" t="s">
        <v>197</v>
      </c>
      <c r="G1342" s="27">
        <f>SUMIF(物料月初库存!$C$3:$C$303,$B1342,物料月初库存!$F$3:$F$303)</f>
        <v>0</v>
      </c>
      <c r="H1342" s="28">
        <f>SUMIF(半成品入库明细!$D$2:$D$650,$B1342,半成品入库明细!$G$2:$G$650)</f>
        <v>0</v>
      </c>
      <c r="I1342" s="28">
        <f ca="1">SUMIF(半成品出库明细!$D$2:$D$558,$B1342,半成品出库明细!$G$2:$G$2)</f>
        <v>0</v>
      </c>
      <c r="J1342" s="28">
        <f ca="1" t="shared" si="24"/>
        <v>0</v>
      </c>
      <c r="K1342" s="124" t="s">
        <v>2307</v>
      </c>
      <c r="L1342" s="19"/>
      <c r="M1342" s="3"/>
    </row>
    <row r="1343" s="1" customFormat="1" spans="1:13">
      <c r="A1343" s="22">
        <v>1111</v>
      </c>
      <c r="B1343" s="25" t="s">
        <v>2308</v>
      </c>
      <c r="C1343" s="94" t="s">
        <v>2309</v>
      </c>
      <c r="D1343" s="52" t="s">
        <v>2310</v>
      </c>
      <c r="E1343" s="103" t="s">
        <v>76</v>
      </c>
      <c r="F1343" s="26" t="s">
        <v>197</v>
      </c>
      <c r="G1343" s="27">
        <f>SUMIF(物料月初库存!$C$3:$C$303,$B1343,物料月初库存!$F$3:$F$303)</f>
        <v>0</v>
      </c>
      <c r="H1343" s="28">
        <f>SUMIF(半成品入库明细!$D$2:$D$650,$B1343,半成品入库明细!$G$2:$G$650)</f>
        <v>0</v>
      </c>
      <c r="I1343" s="28">
        <f ca="1">SUMIF(半成品出库明细!$D$2:$D$558,$B1343,半成品出库明细!$G$2:$G$2)</f>
        <v>0</v>
      </c>
      <c r="J1343" s="28">
        <f ca="1" t="shared" ref="J1343:J1388" si="25">G1343+H1343-I1343</f>
        <v>0</v>
      </c>
      <c r="K1343" s="29"/>
      <c r="L1343" s="19"/>
      <c r="M1343" s="3"/>
    </row>
    <row r="1344" s="1" customFormat="1" spans="1:13">
      <c r="A1344" s="22">
        <v>1112</v>
      </c>
      <c r="B1344" s="25" t="s">
        <v>2311</v>
      </c>
      <c r="C1344" s="94" t="s">
        <v>2309</v>
      </c>
      <c r="D1344" s="52" t="s">
        <v>2310</v>
      </c>
      <c r="E1344" s="103" t="s">
        <v>316</v>
      </c>
      <c r="F1344" s="26" t="s">
        <v>197</v>
      </c>
      <c r="G1344" s="27">
        <f>SUMIF(物料月初库存!$C$3:$C$303,$B1344,物料月初库存!$F$3:$F$303)</f>
        <v>0</v>
      </c>
      <c r="H1344" s="28">
        <f>SUMIF(半成品入库明细!$D$2:$D$650,$B1344,半成品入库明细!$G$2:$G$650)</f>
        <v>0</v>
      </c>
      <c r="I1344" s="28">
        <f ca="1">SUMIF(半成品出库明细!$D$2:$D$558,$B1344,半成品出库明细!$G$2:$G$2)</f>
        <v>0</v>
      </c>
      <c r="J1344" s="28">
        <f ca="1" t="shared" si="25"/>
        <v>0</v>
      </c>
      <c r="K1344" s="29" t="s">
        <v>1636</v>
      </c>
      <c r="L1344" s="19"/>
      <c r="M1344" s="3"/>
    </row>
    <row r="1345" s="1" customFormat="1" spans="1:13">
      <c r="A1345" s="22">
        <v>1113</v>
      </c>
      <c r="B1345" s="25" t="s">
        <v>2312</v>
      </c>
      <c r="C1345" s="94" t="s">
        <v>2309</v>
      </c>
      <c r="D1345" s="52" t="s">
        <v>2310</v>
      </c>
      <c r="E1345" s="103" t="s">
        <v>356</v>
      </c>
      <c r="F1345" s="26" t="s">
        <v>197</v>
      </c>
      <c r="G1345" s="27">
        <f>SUMIF(物料月初库存!$C$3:$C$303,$B1345,物料月初库存!$F$3:$F$303)</f>
        <v>0</v>
      </c>
      <c r="H1345" s="28">
        <f>SUMIF(半成品入库明细!$D$2:$D$650,$B1345,半成品入库明细!$G$2:$G$650)</f>
        <v>0</v>
      </c>
      <c r="I1345" s="28">
        <f ca="1">SUMIF(半成品出库明细!$D$2:$D$558,$B1345,半成品出库明细!$G$2:$G$2)</f>
        <v>0</v>
      </c>
      <c r="J1345" s="28">
        <f ca="1" t="shared" si="25"/>
        <v>0</v>
      </c>
      <c r="K1345" s="30" t="s">
        <v>113</v>
      </c>
      <c r="L1345" s="19"/>
      <c r="M1345" s="3"/>
    </row>
    <row r="1346" s="1" customFormat="1" spans="1:13">
      <c r="A1346" s="22">
        <v>1114</v>
      </c>
      <c r="B1346" s="25" t="s">
        <v>2313</v>
      </c>
      <c r="C1346" s="94" t="s">
        <v>2309</v>
      </c>
      <c r="D1346" s="52" t="s">
        <v>2310</v>
      </c>
      <c r="E1346" s="103" t="s">
        <v>256</v>
      </c>
      <c r="F1346" s="26" t="s">
        <v>197</v>
      </c>
      <c r="G1346" s="27">
        <f>SUMIF(物料月初库存!$C$3:$C$303,$B1346,物料月初库存!$F$3:$F$303)</f>
        <v>0</v>
      </c>
      <c r="H1346" s="28">
        <f>SUMIF(半成品入库明细!$D$2:$D$650,$B1346,半成品入库明细!$G$2:$G$650)</f>
        <v>0</v>
      </c>
      <c r="I1346" s="28">
        <f ca="1">SUMIF(半成品出库明细!$D$2:$D$558,$B1346,半成品出库明细!$G$2:$G$2)</f>
        <v>0</v>
      </c>
      <c r="J1346" s="28">
        <f ca="1" t="shared" si="25"/>
        <v>0</v>
      </c>
      <c r="K1346" s="29" t="s">
        <v>455</v>
      </c>
      <c r="L1346" s="19"/>
      <c r="M1346" s="3"/>
    </row>
    <row r="1347" s="1" customFormat="1" spans="1:13">
      <c r="A1347" s="22">
        <v>1115</v>
      </c>
      <c r="B1347" s="25" t="s">
        <v>2314</v>
      </c>
      <c r="C1347" s="94" t="s">
        <v>2309</v>
      </c>
      <c r="D1347" s="52" t="s">
        <v>2310</v>
      </c>
      <c r="E1347" s="103" t="s">
        <v>270</v>
      </c>
      <c r="F1347" s="26" t="s">
        <v>197</v>
      </c>
      <c r="G1347" s="27">
        <f>SUMIF(物料月初库存!$C$3:$C$303,$B1347,物料月初库存!$F$3:$F$303)</f>
        <v>0</v>
      </c>
      <c r="H1347" s="28">
        <f>SUMIF(半成品入库明细!$D$2:$D$650,$B1347,半成品入库明细!$G$2:$G$650)</f>
        <v>0</v>
      </c>
      <c r="I1347" s="28">
        <f ca="1">SUMIF(半成品出库明细!$D$2:$D$558,$B1347,半成品出库明细!$G$2:$G$2)</f>
        <v>0</v>
      </c>
      <c r="J1347" s="28">
        <f ca="1" t="shared" si="25"/>
        <v>0</v>
      </c>
      <c r="K1347" s="29"/>
      <c r="L1347" s="19" t="s">
        <v>202</v>
      </c>
      <c r="M1347" s="3"/>
    </row>
    <row r="1348" s="1" customFormat="1" spans="1:13">
      <c r="A1348" s="22">
        <v>1116</v>
      </c>
      <c r="B1348" s="25" t="s">
        <v>2315</v>
      </c>
      <c r="C1348" s="94" t="s">
        <v>2316</v>
      </c>
      <c r="D1348" s="52" t="s">
        <v>2310</v>
      </c>
      <c r="E1348" s="103" t="s">
        <v>76</v>
      </c>
      <c r="F1348" s="26" t="s">
        <v>197</v>
      </c>
      <c r="G1348" s="27">
        <f>SUMIF(物料月初库存!$C$3:$C$303,$B1348,物料月初库存!$F$3:$F$303)</f>
        <v>0</v>
      </c>
      <c r="H1348" s="28">
        <f>SUMIF(半成品入库明细!$D$2:$D$650,$B1348,半成品入库明细!$G$2:$G$650)</f>
        <v>0</v>
      </c>
      <c r="I1348" s="28">
        <f ca="1">SUMIF(半成品出库明细!$D$2:$D$558,$B1348,半成品出库明细!$G$2:$G$2)</f>
        <v>0</v>
      </c>
      <c r="J1348" s="28">
        <f ca="1" t="shared" si="25"/>
        <v>0</v>
      </c>
      <c r="K1348" s="29"/>
      <c r="L1348" s="19"/>
      <c r="M1348" s="3"/>
    </row>
    <row r="1349" s="1" customFormat="1" ht="15" customHeight="1" spans="1:13">
      <c r="A1349" s="22">
        <v>1117</v>
      </c>
      <c r="B1349" s="25" t="s">
        <v>2317</v>
      </c>
      <c r="C1349" s="94" t="s">
        <v>2316</v>
      </c>
      <c r="D1349" s="52" t="s">
        <v>2310</v>
      </c>
      <c r="E1349" s="103" t="s">
        <v>316</v>
      </c>
      <c r="F1349" s="26" t="s">
        <v>197</v>
      </c>
      <c r="G1349" s="27">
        <f>SUMIF(物料月初库存!$C$3:$C$303,$B1349,物料月初库存!$F$3:$F$303)</f>
        <v>0</v>
      </c>
      <c r="H1349" s="28">
        <f>SUMIF(半成品入库明细!$D$2:$D$650,$B1349,半成品入库明细!$G$2:$G$650)</f>
        <v>0</v>
      </c>
      <c r="I1349" s="28">
        <f ca="1">SUMIF(半成品出库明细!$D$2:$D$558,$B1349,半成品出库明细!$G$2:$G$2)</f>
        <v>0</v>
      </c>
      <c r="J1349" s="28">
        <f ca="1" t="shared" si="25"/>
        <v>0</v>
      </c>
      <c r="K1349" s="29" t="s">
        <v>2318</v>
      </c>
      <c r="L1349" s="19"/>
      <c r="M1349" s="3"/>
    </row>
    <row r="1350" s="1" customFormat="1" spans="1:13">
      <c r="A1350" s="22">
        <v>1118</v>
      </c>
      <c r="B1350" s="25" t="s">
        <v>2319</v>
      </c>
      <c r="C1350" s="94" t="s">
        <v>2316</v>
      </c>
      <c r="D1350" s="52" t="s">
        <v>2310</v>
      </c>
      <c r="E1350" s="103" t="s">
        <v>356</v>
      </c>
      <c r="F1350" s="26" t="s">
        <v>197</v>
      </c>
      <c r="G1350" s="27">
        <f>SUMIF(物料月初库存!$C$3:$C$303,$B1350,物料月初库存!$F$3:$F$303)</f>
        <v>0</v>
      </c>
      <c r="H1350" s="28">
        <f>SUMIF(半成品入库明细!$D$2:$D$650,$B1350,半成品入库明细!$G$2:$G$650)</f>
        <v>0</v>
      </c>
      <c r="I1350" s="28">
        <f ca="1">SUMIF(半成品出库明细!$D$2:$D$558,$B1350,半成品出库明细!$G$2:$G$2)</f>
        <v>0</v>
      </c>
      <c r="J1350" s="28">
        <f ca="1" t="shared" si="25"/>
        <v>0</v>
      </c>
      <c r="K1350" s="30" t="s">
        <v>113</v>
      </c>
      <c r="L1350" s="19"/>
      <c r="M1350" s="3"/>
    </row>
    <row r="1351" s="1" customFormat="1" spans="1:13">
      <c r="A1351" s="22">
        <v>1119</v>
      </c>
      <c r="B1351" s="25" t="s">
        <v>2320</v>
      </c>
      <c r="C1351" s="94" t="s">
        <v>2316</v>
      </c>
      <c r="D1351" s="52" t="s">
        <v>2310</v>
      </c>
      <c r="E1351" s="103" t="s">
        <v>326</v>
      </c>
      <c r="F1351" s="26" t="s">
        <v>197</v>
      </c>
      <c r="G1351" s="27">
        <f>SUMIF(物料月初库存!$C$3:$C$303,$B1351,物料月初库存!$F$3:$F$303)</f>
        <v>0</v>
      </c>
      <c r="H1351" s="28">
        <f>SUMIF(半成品入库明细!$D$2:$D$650,$B1351,半成品入库明细!$G$2:$G$650)</f>
        <v>0</v>
      </c>
      <c r="I1351" s="28">
        <f ca="1">SUMIF(半成品出库明细!$D$2:$D$558,$B1351,半成品出库明细!$G$2:$G$2)</f>
        <v>0</v>
      </c>
      <c r="J1351" s="28">
        <f ca="1" t="shared" si="25"/>
        <v>0</v>
      </c>
      <c r="K1351" s="29" t="s">
        <v>2321</v>
      </c>
      <c r="L1351" s="19"/>
      <c r="M1351" s="3"/>
    </row>
    <row r="1352" s="1" customFormat="1" spans="1:13">
      <c r="A1352" s="22">
        <v>1120</v>
      </c>
      <c r="B1352" s="25" t="s">
        <v>2322</v>
      </c>
      <c r="C1352" s="94" t="s">
        <v>2316</v>
      </c>
      <c r="D1352" s="52" t="s">
        <v>2310</v>
      </c>
      <c r="E1352" s="103" t="s">
        <v>256</v>
      </c>
      <c r="F1352" s="26" t="s">
        <v>197</v>
      </c>
      <c r="G1352" s="27">
        <f>SUMIF(物料月初库存!$C$3:$C$303,$B1352,物料月初库存!$F$3:$F$303)</f>
        <v>0</v>
      </c>
      <c r="H1352" s="28">
        <f>SUMIF(半成品入库明细!$D$2:$D$650,$B1352,半成品入库明细!$G$2:$G$650)</f>
        <v>0</v>
      </c>
      <c r="I1352" s="28">
        <f ca="1">SUMIF(半成品出库明细!$D$2:$D$558,$B1352,半成品出库明细!$G$2:$G$2)</f>
        <v>0</v>
      </c>
      <c r="J1352" s="28">
        <f ca="1" t="shared" si="25"/>
        <v>0</v>
      </c>
      <c r="K1352" s="29" t="s">
        <v>455</v>
      </c>
      <c r="L1352" s="19"/>
      <c r="M1352" s="3"/>
    </row>
    <row r="1353" s="1" customFormat="1" spans="1:13">
      <c r="A1353" s="22">
        <v>1121</v>
      </c>
      <c r="B1353" s="25" t="s">
        <v>2323</v>
      </c>
      <c r="C1353" s="94" t="s">
        <v>2316</v>
      </c>
      <c r="D1353" s="52" t="s">
        <v>2310</v>
      </c>
      <c r="E1353" s="103" t="s">
        <v>270</v>
      </c>
      <c r="F1353" s="26" t="s">
        <v>197</v>
      </c>
      <c r="G1353" s="27">
        <f>SUMIF(物料月初库存!$C$3:$C$303,$B1353,物料月初库存!$F$3:$F$303)</f>
        <v>0</v>
      </c>
      <c r="H1353" s="28">
        <f>SUMIF(半成品入库明细!$D$2:$D$650,$B1353,半成品入库明细!$G$2:$G$650)</f>
        <v>0</v>
      </c>
      <c r="I1353" s="28">
        <f ca="1">SUMIF(半成品出库明细!$D$2:$D$558,$B1353,半成品出库明细!$G$2:$G$2)</f>
        <v>0</v>
      </c>
      <c r="J1353" s="28">
        <f ca="1" t="shared" si="25"/>
        <v>0</v>
      </c>
      <c r="K1353" s="29"/>
      <c r="L1353" s="19" t="s">
        <v>202</v>
      </c>
      <c r="M1353" s="3"/>
    </row>
    <row r="1354" s="1" customFormat="1" spans="1:13">
      <c r="A1354" s="22">
        <v>1122</v>
      </c>
      <c r="B1354" s="25" t="s">
        <v>2324</v>
      </c>
      <c r="C1354" s="94" t="s">
        <v>2325</v>
      </c>
      <c r="D1354" s="52" t="s">
        <v>2310</v>
      </c>
      <c r="E1354" s="103" t="s">
        <v>76</v>
      </c>
      <c r="F1354" s="26" t="s">
        <v>197</v>
      </c>
      <c r="G1354" s="27">
        <f>SUMIF(物料月初库存!$C$3:$C$303,$B1354,物料月初库存!$F$3:$F$303)</f>
        <v>0</v>
      </c>
      <c r="H1354" s="28">
        <f>SUMIF(半成品入库明细!$D$2:$D$650,$B1354,半成品入库明细!$G$2:$G$650)</f>
        <v>0</v>
      </c>
      <c r="I1354" s="28">
        <f ca="1">SUMIF(半成品出库明细!$D$2:$D$558,$B1354,半成品出库明细!$G$2:$G$2)</f>
        <v>0</v>
      </c>
      <c r="J1354" s="28">
        <f ca="1" t="shared" si="25"/>
        <v>0</v>
      </c>
      <c r="K1354" s="29"/>
      <c r="L1354" s="19"/>
      <c r="M1354" s="3"/>
    </row>
    <row r="1355" s="1" customFormat="1" spans="1:13">
      <c r="A1355" s="22">
        <v>1123</v>
      </c>
      <c r="B1355" s="25" t="s">
        <v>2326</v>
      </c>
      <c r="C1355" s="94" t="s">
        <v>2325</v>
      </c>
      <c r="D1355" s="52" t="s">
        <v>2310</v>
      </c>
      <c r="E1355" s="103" t="s">
        <v>316</v>
      </c>
      <c r="F1355" s="26" t="s">
        <v>197</v>
      </c>
      <c r="G1355" s="27">
        <f>SUMIF(物料月初库存!$C$3:$C$303,$B1355,物料月初库存!$F$3:$F$303)</f>
        <v>0</v>
      </c>
      <c r="H1355" s="28">
        <f>SUMIF(半成品入库明细!$D$2:$D$650,$B1355,半成品入库明细!$G$2:$G$650)</f>
        <v>0</v>
      </c>
      <c r="I1355" s="28">
        <f ca="1">SUMIF(半成品出库明细!$D$2:$D$558,$B1355,半成品出库明细!$G$2:$G$2)</f>
        <v>0</v>
      </c>
      <c r="J1355" s="28">
        <f ca="1" t="shared" si="25"/>
        <v>0</v>
      </c>
      <c r="K1355" s="29" t="s">
        <v>2318</v>
      </c>
      <c r="L1355" s="19"/>
      <c r="M1355" s="3"/>
    </row>
    <row r="1356" s="1" customFormat="1" spans="1:13">
      <c r="A1356" s="22">
        <v>1124</v>
      </c>
      <c r="B1356" s="25" t="s">
        <v>2327</v>
      </c>
      <c r="C1356" s="94" t="s">
        <v>2325</v>
      </c>
      <c r="D1356" s="52" t="s">
        <v>2310</v>
      </c>
      <c r="E1356" s="103" t="s">
        <v>356</v>
      </c>
      <c r="F1356" s="26" t="s">
        <v>197</v>
      </c>
      <c r="G1356" s="27">
        <f>SUMIF(物料月初库存!$C$3:$C$303,$B1356,物料月初库存!$F$3:$F$303)</f>
        <v>0</v>
      </c>
      <c r="H1356" s="28">
        <f>SUMIF(半成品入库明细!$D$2:$D$650,$B1356,半成品入库明细!$G$2:$G$650)</f>
        <v>0</v>
      </c>
      <c r="I1356" s="28">
        <f ca="1">SUMIF(半成品出库明细!$D$2:$D$558,$B1356,半成品出库明细!$G$2:$G$2)</f>
        <v>0</v>
      </c>
      <c r="J1356" s="28">
        <f ca="1" t="shared" si="25"/>
        <v>0</v>
      </c>
      <c r="K1356" s="30" t="s">
        <v>113</v>
      </c>
      <c r="L1356" s="19"/>
      <c r="M1356" s="3"/>
    </row>
    <row r="1357" s="1" customFormat="1" spans="1:13">
      <c r="A1357" s="22">
        <v>1125</v>
      </c>
      <c r="B1357" s="25" t="s">
        <v>2328</v>
      </c>
      <c r="C1357" s="94" t="s">
        <v>2325</v>
      </c>
      <c r="D1357" s="52" t="s">
        <v>2310</v>
      </c>
      <c r="E1357" s="103" t="s">
        <v>326</v>
      </c>
      <c r="F1357" s="26" t="s">
        <v>197</v>
      </c>
      <c r="G1357" s="27">
        <f>SUMIF(物料月初库存!$C$3:$C$303,$B1357,物料月初库存!$F$3:$F$303)</f>
        <v>0</v>
      </c>
      <c r="H1357" s="28">
        <f>SUMIF(半成品入库明细!$D$2:$D$650,$B1357,半成品入库明细!$G$2:$G$650)</f>
        <v>0</v>
      </c>
      <c r="I1357" s="28">
        <f ca="1">SUMIF(半成品出库明细!$D$2:$D$558,$B1357,半成品出库明细!$G$2:$G$2)</f>
        <v>0</v>
      </c>
      <c r="J1357" s="28">
        <f ca="1" t="shared" si="25"/>
        <v>0</v>
      </c>
      <c r="K1357" s="29" t="s">
        <v>2321</v>
      </c>
      <c r="L1357" s="19"/>
      <c r="M1357" s="3"/>
    </row>
    <row r="1358" s="1" customFormat="1" spans="1:13">
      <c r="A1358" s="22">
        <v>1126</v>
      </c>
      <c r="B1358" s="25" t="s">
        <v>2329</v>
      </c>
      <c r="C1358" s="94" t="s">
        <v>2325</v>
      </c>
      <c r="D1358" s="52" t="s">
        <v>2310</v>
      </c>
      <c r="E1358" s="103" t="s">
        <v>256</v>
      </c>
      <c r="F1358" s="26" t="s">
        <v>197</v>
      </c>
      <c r="G1358" s="27">
        <f>SUMIF(物料月初库存!$C$3:$C$303,$B1358,物料月初库存!$F$3:$F$303)</f>
        <v>0</v>
      </c>
      <c r="H1358" s="28">
        <f>SUMIF(半成品入库明细!$D$2:$D$650,$B1358,半成品入库明细!$G$2:$G$650)</f>
        <v>0</v>
      </c>
      <c r="I1358" s="28">
        <f ca="1">SUMIF(半成品出库明细!$D$2:$D$558,$B1358,半成品出库明细!$G$2:$G$2)</f>
        <v>0</v>
      </c>
      <c r="J1358" s="28">
        <f ca="1" t="shared" si="25"/>
        <v>0</v>
      </c>
      <c r="K1358" s="29" t="s">
        <v>455</v>
      </c>
      <c r="L1358" s="19"/>
      <c r="M1358" s="3"/>
    </row>
    <row r="1359" s="1" customFormat="1" spans="1:13">
      <c r="A1359" s="22">
        <v>1127</v>
      </c>
      <c r="B1359" s="25" t="s">
        <v>2330</v>
      </c>
      <c r="C1359" s="94" t="s">
        <v>2325</v>
      </c>
      <c r="D1359" s="52" t="s">
        <v>2310</v>
      </c>
      <c r="E1359" s="103" t="s">
        <v>270</v>
      </c>
      <c r="F1359" s="26" t="s">
        <v>197</v>
      </c>
      <c r="G1359" s="27">
        <f>SUMIF(物料月初库存!$C$3:$C$303,$B1359,物料月初库存!$F$3:$F$303)</f>
        <v>0</v>
      </c>
      <c r="H1359" s="28">
        <f>SUMIF(半成品入库明细!$D$2:$D$650,$B1359,半成品入库明细!$G$2:$G$650)</f>
        <v>0</v>
      </c>
      <c r="I1359" s="28">
        <f ca="1">SUMIF(半成品出库明细!$D$2:$D$558,$B1359,半成品出库明细!$G$2:$G$2)</f>
        <v>0</v>
      </c>
      <c r="J1359" s="28">
        <f ca="1" t="shared" si="25"/>
        <v>0</v>
      </c>
      <c r="K1359" s="29"/>
      <c r="L1359" s="19" t="s">
        <v>202</v>
      </c>
      <c r="M1359" s="3"/>
    </row>
    <row r="1360" s="1" customFormat="1" spans="1:13">
      <c r="A1360" s="22">
        <v>1128</v>
      </c>
      <c r="B1360" s="25" t="s">
        <v>25</v>
      </c>
      <c r="C1360" s="94" t="s">
        <v>2331</v>
      </c>
      <c r="D1360" s="52" t="s">
        <v>2332</v>
      </c>
      <c r="E1360" s="103" t="s">
        <v>2333</v>
      </c>
      <c r="F1360" s="26" t="s">
        <v>197</v>
      </c>
      <c r="G1360" s="27">
        <f>SUMIF(物料月初库存!$C$3:$C$303,$B1360,物料月初库存!$F$3:$F$303)</f>
        <v>5000</v>
      </c>
      <c r="H1360" s="28">
        <f>SUMIF(半成品入库明细!$D$2:$D$650,$B1360,半成品入库明细!$G$2:$G$650)</f>
        <v>0</v>
      </c>
      <c r="I1360" s="28">
        <f ca="1">SUMIF(半成品出库明细!$D$2:$D$558,$B1360,半成品出库明细!$G$2:$G$2)</f>
        <v>0</v>
      </c>
      <c r="J1360" s="28">
        <f ca="1" t="shared" si="25"/>
        <v>5000</v>
      </c>
      <c r="K1360" s="142" t="s">
        <v>2334</v>
      </c>
      <c r="L1360" s="19"/>
      <c r="M1360" s="3"/>
    </row>
    <row r="1361" s="1" customFormat="1" spans="1:13">
      <c r="A1361" s="22">
        <v>1129</v>
      </c>
      <c r="B1361" s="25" t="s">
        <v>2335</v>
      </c>
      <c r="C1361" s="94" t="s">
        <v>2336</v>
      </c>
      <c r="D1361" s="52" t="s">
        <v>2332</v>
      </c>
      <c r="E1361" s="103" t="s">
        <v>76</v>
      </c>
      <c r="F1361" s="26" t="s">
        <v>197</v>
      </c>
      <c r="G1361" s="27">
        <f>SUMIF(物料月初库存!$C$3:$C$303,$B1361,物料月初库存!$F$3:$F$303)</f>
        <v>0</v>
      </c>
      <c r="H1361" s="28">
        <f>SUMIF(半成品入库明细!$D$2:$D$650,$B1361,半成品入库明细!$G$2:$G$650)</f>
        <v>0</v>
      </c>
      <c r="I1361" s="28">
        <f ca="1">SUMIF(半成品出库明细!$D$2:$D$558,$B1361,半成品出库明细!$G$2:$G$2)</f>
        <v>0</v>
      </c>
      <c r="J1361" s="28">
        <f ca="1" t="shared" si="25"/>
        <v>0</v>
      </c>
      <c r="K1361" s="29"/>
      <c r="L1361" s="19"/>
      <c r="M1361" s="3"/>
    </row>
    <row r="1362" s="1" customFormat="1" spans="1:13">
      <c r="A1362" s="22"/>
      <c r="B1362" s="25" t="s">
        <v>2337</v>
      </c>
      <c r="C1362" s="94" t="s">
        <v>2336</v>
      </c>
      <c r="D1362" s="52" t="s">
        <v>2332</v>
      </c>
      <c r="E1362" s="103" t="s">
        <v>691</v>
      </c>
      <c r="F1362" s="26" t="s">
        <v>197</v>
      </c>
      <c r="G1362" s="27">
        <f>SUMIF(物料月初库存!$C$3:$C$303,$B1362,物料月初库存!$F$3:$F$303)</f>
        <v>0</v>
      </c>
      <c r="H1362" s="28">
        <f>SUMIF(半成品入库明细!$D$2:$D$650,$B1362,半成品入库明细!$G$2:$G$650)</f>
        <v>0</v>
      </c>
      <c r="I1362" s="28">
        <f ca="1">SUMIF(半成品出库明细!$D$2:$D$558,$B1362,半成品出库明细!$G$2:$G$2)</f>
        <v>0</v>
      </c>
      <c r="J1362" s="28">
        <f ca="1" t="shared" si="25"/>
        <v>0</v>
      </c>
      <c r="K1362" s="106" t="s">
        <v>2338</v>
      </c>
      <c r="L1362" s="19"/>
      <c r="M1362" s="3"/>
    </row>
    <row r="1363" s="1" customFormat="1" spans="1:13">
      <c r="A1363" s="22">
        <v>1131</v>
      </c>
      <c r="B1363" s="25" t="s">
        <v>2339</v>
      </c>
      <c r="C1363" s="94" t="s">
        <v>2336</v>
      </c>
      <c r="D1363" s="52" t="s">
        <v>2332</v>
      </c>
      <c r="E1363" s="103" t="s">
        <v>256</v>
      </c>
      <c r="F1363" s="26" t="s">
        <v>197</v>
      </c>
      <c r="G1363" s="27">
        <f>SUMIF(物料月初库存!$C$3:$C$303,$B1363,物料月初库存!$F$3:$F$303)</f>
        <v>0</v>
      </c>
      <c r="H1363" s="28">
        <f>SUMIF(半成品入库明细!$D$2:$D$650,$B1363,半成品入库明细!$G$2:$G$650)</f>
        <v>0</v>
      </c>
      <c r="I1363" s="28">
        <f ca="1">SUMIF(半成品出库明细!$D$2:$D$558,$B1363,半成品出库明细!$G$2:$G$2)</f>
        <v>0</v>
      </c>
      <c r="J1363" s="28">
        <f ca="1" t="shared" si="25"/>
        <v>0</v>
      </c>
      <c r="K1363" s="29" t="s">
        <v>532</v>
      </c>
      <c r="L1363" s="19"/>
      <c r="M1363" s="3"/>
    </row>
    <row r="1364" s="1" customFormat="1" spans="1:13">
      <c r="A1364" s="22">
        <v>1132</v>
      </c>
      <c r="B1364" s="25" t="s">
        <v>2340</v>
      </c>
      <c r="C1364" s="94" t="s">
        <v>2336</v>
      </c>
      <c r="D1364" s="52" t="s">
        <v>2332</v>
      </c>
      <c r="E1364" s="103" t="s">
        <v>353</v>
      </c>
      <c r="F1364" s="26" t="s">
        <v>197</v>
      </c>
      <c r="G1364" s="27">
        <f>SUMIF(物料月初库存!$C$3:$C$303,$B1364,物料月初库存!$F$3:$F$303)</f>
        <v>0</v>
      </c>
      <c r="H1364" s="28">
        <f>SUMIF(半成品入库明细!$D$2:$D$650,$B1364,半成品入库明细!$G$2:$G$650)</f>
        <v>0</v>
      </c>
      <c r="I1364" s="28">
        <f ca="1">SUMIF(半成品出库明细!$D$2:$D$558,$B1364,半成品出库明细!$G$2:$G$2)</f>
        <v>0</v>
      </c>
      <c r="J1364" s="28">
        <f ca="1" t="shared" si="25"/>
        <v>0</v>
      </c>
      <c r="K1364" s="29" t="s">
        <v>1271</v>
      </c>
      <c r="L1364" s="19"/>
      <c r="M1364" s="3"/>
    </row>
    <row r="1365" s="1" customFormat="1" spans="1:13">
      <c r="A1365" s="22"/>
      <c r="B1365" s="25" t="s">
        <v>26</v>
      </c>
      <c r="C1365" s="94" t="s">
        <v>2341</v>
      </c>
      <c r="D1365" s="52" t="s">
        <v>2332</v>
      </c>
      <c r="E1365" s="103" t="s">
        <v>2333</v>
      </c>
      <c r="F1365" s="26" t="s">
        <v>197</v>
      </c>
      <c r="G1365" s="27">
        <f>SUMIF(物料月初库存!$C$3:$C$303,$B1365,物料月初库存!$F$3:$F$303)</f>
        <v>5250</v>
      </c>
      <c r="H1365" s="28">
        <f>SUMIF(半成品入库明细!$D$2:$D$650,$B1365,半成品入库明细!$G$2:$G$650)</f>
        <v>0</v>
      </c>
      <c r="I1365" s="28">
        <f ca="1">SUMIF(半成品出库明细!$D$2:$D$558,$B1365,半成品出库明细!$G$2:$G$2)</f>
        <v>5250</v>
      </c>
      <c r="J1365" s="28">
        <f ca="1" t="shared" si="25"/>
        <v>0</v>
      </c>
      <c r="K1365" s="142" t="s">
        <v>2334</v>
      </c>
      <c r="L1365" s="19"/>
      <c r="M1365" s="3"/>
    </row>
    <row r="1366" s="1" customFormat="1" spans="1:13">
      <c r="A1366" s="22">
        <v>1133</v>
      </c>
      <c r="B1366" s="25" t="s">
        <v>2342</v>
      </c>
      <c r="C1366" s="94" t="s">
        <v>2343</v>
      </c>
      <c r="D1366" s="52" t="s">
        <v>2332</v>
      </c>
      <c r="E1366" s="103" t="s">
        <v>76</v>
      </c>
      <c r="F1366" s="26" t="s">
        <v>197</v>
      </c>
      <c r="G1366" s="27">
        <f>SUMIF(物料月初库存!$C$3:$C$303,$B1366,物料月初库存!$F$3:$F$303)</f>
        <v>0</v>
      </c>
      <c r="H1366" s="28">
        <f>SUMIF(半成品入库明细!$D$2:$D$650,$B1366,半成品入库明细!$G$2:$G$650)</f>
        <v>0</v>
      </c>
      <c r="I1366" s="28">
        <f ca="1">SUMIF(半成品出库明细!$D$2:$D$558,$B1366,半成品出库明细!$G$2:$G$2)</f>
        <v>0</v>
      </c>
      <c r="J1366" s="28">
        <f ca="1" t="shared" si="25"/>
        <v>0</v>
      </c>
      <c r="K1366" s="29"/>
      <c r="L1366" s="19"/>
      <c r="M1366" s="3"/>
    </row>
    <row r="1367" s="1" customFormat="1" spans="1:13">
      <c r="A1367" s="22">
        <v>1134</v>
      </c>
      <c r="B1367" s="25" t="s">
        <v>2344</v>
      </c>
      <c r="C1367" s="94" t="s">
        <v>2343</v>
      </c>
      <c r="D1367" s="52" t="s">
        <v>2332</v>
      </c>
      <c r="E1367" s="103" t="s">
        <v>1674</v>
      </c>
      <c r="F1367" s="26" t="s">
        <v>197</v>
      </c>
      <c r="G1367" s="27">
        <f>SUMIF(物料月初库存!$C$3:$C$303,$B1367,物料月初库存!$F$3:$F$303)</f>
        <v>0</v>
      </c>
      <c r="H1367" s="28">
        <f>SUMIF(半成品入库明细!$D$2:$D$650,$B1367,半成品入库明细!$G$2:$G$650)</f>
        <v>0</v>
      </c>
      <c r="I1367" s="28">
        <f ca="1">SUMIF(半成品出库明细!$D$2:$D$558,$B1367,半成品出库明细!$G$2:$G$2)</f>
        <v>0</v>
      </c>
      <c r="J1367" s="28">
        <f ca="1" t="shared" si="25"/>
        <v>0</v>
      </c>
      <c r="K1367" s="124" t="s">
        <v>2345</v>
      </c>
      <c r="L1367" s="19"/>
      <c r="M1367" s="3"/>
    </row>
    <row r="1368" s="1" customFormat="1" spans="1:13">
      <c r="A1368" s="22">
        <v>1135</v>
      </c>
      <c r="B1368" s="25" t="s">
        <v>105</v>
      </c>
      <c r="C1368" s="94" t="s">
        <v>2343</v>
      </c>
      <c r="D1368" s="52" t="s">
        <v>2332</v>
      </c>
      <c r="E1368" s="103" t="s">
        <v>256</v>
      </c>
      <c r="F1368" s="26" t="s">
        <v>197</v>
      </c>
      <c r="G1368" s="27">
        <f>SUMIF(物料月初库存!$C$3:$C$303,$B1368,物料月初库存!$F$3:$F$303)</f>
        <v>0</v>
      </c>
      <c r="H1368" s="28">
        <f>SUMIF(半成品入库明细!$D$2:$D$650,$B1368,半成品入库明细!$G$2:$G$650)</f>
        <v>21</v>
      </c>
      <c r="I1368" s="28">
        <f ca="1">SUMIF(半成品出库明细!$D$2:$D$558,$B1368,半成品出库明细!$G$2:$G$2)</f>
        <v>0</v>
      </c>
      <c r="J1368" s="28">
        <f ca="1" t="shared" si="25"/>
        <v>21</v>
      </c>
      <c r="K1368" s="30" t="s">
        <v>532</v>
      </c>
      <c r="L1368" s="19"/>
      <c r="M1368" s="3"/>
    </row>
    <row r="1369" s="1" customFormat="1" spans="1:13">
      <c r="A1369" s="22">
        <v>1136</v>
      </c>
      <c r="B1369" s="25" t="s">
        <v>2346</v>
      </c>
      <c r="C1369" s="94" t="s">
        <v>2343</v>
      </c>
      <c r="D1369" s="52" t="s">
        <v>2332</v>
      </c>
      <c r="E1369" s="103" t="s">
        <v>353</v>
      </c>
      <c r="F1369" s="26" t="s">
        <v>197</v>
      </c>
      <c r="G1369" s="27">
        <f>SUMIF(物料月初库存!$C$3:$C$303,$B1369,物料月初库存!$F$3:$F$303)</f>
        <v>0</v>
      </c>
      <c r="H1369" s="28">
        <f>SUMIF(半成品入库明细!$D$2:$D$650,$B1369,半成品入库明细!$G$2:$G$650)</f>
        <v>0</v>
      </c>
      <c r="I1369" s="28">
        <f ca="1">SUMIF(半成品出库明细!$D$2:$D$558,$B1369,半成品出库明细!$G$2:$G$2)</f>
        <v>0</v>
      </c>
      <c r="J1369" s="28">
        <f ca="1" t="shared" si="25"/>
        <v>0</v>
      </c>
      <c r="K1369" s="30" t="s">
        <v>1271</v>
      </c>
      <c r="L1369" s="19"/>
      <c r="M1369" s="3"/>
    </row>
    <row r="1370" s="1" customFormat="1" spans="1:13">
      <c r="A1370" s="22"/>
      <c r="B1370" s="33" t="s">
        <v>2347</v>
      </c>
      <c r="C1370" s="37" t="s">
        <v>2348</v>
      </c>
      <c r="D1370" s="52" t="s">
        <v>2332</v>
      </c>
      <c r="E1370" s="103" t="s">
        <v>256</v>
      </c>
      <c r="F1370" s="26" t="s">
        <v>197</v>
      </c>
      <c r="G1370" s="27">
        <f>SUMIF(物料月初库存!$C$3:$C$303,$B1370,物料月初库存!$F$3:$F$303)</f>
        <v>0</v>
      </c>
      <c r="H1370" s="28">
        <f>SUMIF(半成品入库明细!$D$2:$D$650,$B1370,半成品入库明细!$G$2:$G$650)</f>
        <v>0</v>
      </c>
      <c r="I1370" s="28">
        <f ca="1">SUMIF(半成品出库明细!$D$2:$D$558,$B1370,半成品出库明细!$G$2:$G$2)</f>
        <v>0</v>
      </c>
      <c r="J1370" s="28">
        <f ca="1" t="shared" si="25"/>
        <v>0</v>
      </c>
      <c r="K1370" s="30" t="s">
        <v>532</v>
      </c>
      <c r="L1370" s="19"/>
      <c r="M1370" s="3"/>
    </row>
    <row r="1371" s="1" customFormat="1" spans="1:13">
      <c r="A1371" s="22"/>
      <c r="B1371" s="33" t="s">
        <v>2349</v>
      </c>
      <c r="C1371" s="37" t="s">
        <v>2348</v>
      </c>
      <c r="D1371" s="52" t="s">
        <v>2332</v>
      </c>
      <c r="E1371" s="103" t="s">
        <v>353</v>
      </c>
      <c r="F1371" s="26" t="s">
        <v>197</v>
      </c>
      <c r="G1371" s="27">
        <f>SUMIF(物料月初库存!$C$3:$C$303,$B1371,物料月初库存!$F$3:$F$303)</f>
        <v>0</v>
      </c>
      <c r="H1371" s="28">
        <f>SUMIF(半成品入库明细!$D$2:$D$650,$B1371,半成品入库明细!$G$2:$G$650)</f>
        <v>0</v>
      </c>
      <c r="I1371" s="28">
        <f ca="1">SUMIF(半成品出库明细!$D$2:$D$558,$B1371,半成品出库明细!$G$2:$G$2)</f>
        <v>0</v>
      </c>
      <c r="J1371" s="28">
        <f ca="1" t="shared" si="25"/>
        <v>0</v>
      </c>
      <c r="K1371" s="30" t="s">
        <v>1271</v>
      </c>
      <c r="L1371" s="19"/>
      <c r="M1371" s="3"/>
    </row>
    <row r="1372" s="1" customFormat="1" spans="1:13">
      <c r="A1372" s="22"/>
      <c r="B1372" s="143" t="s">
        <v>2350</v>
      </c>
      <c r="C1372" s="143" t="s">
        <v>2351</v>
      </c>
      <c r="D1372" s="52" t="s">
        <v>2332</v>
      </c>
      <c r="E1372" s="103" t="s">
        <v>76</v>
      </c>
      <c r="F1372" s="26" t="s">
        <v>197</v>
      </c>
      <c r="G1372" s="27">
        <f>SUMIF(物料月初库存!$C$3:$C$303,$B1372,物料月初库存!$F$3:$F$303)</f>
        <v>0</v>
      </c>
      <c r="H1372" s="28">
        <f>SUMIF(半成品入库明细!$D$2:$D$650,$B1372,半成品入库明细!$G$2:$G$650)</f>
        <v>0</v>
      </c>
      <c r="I1372" s="28">
        <f ca="1">SUMIF(半成品出库明细!$D$2:$D$558,$B1372,半成品出库明细!$G$2:$G$2)</f>
        <v>0</v>
      </c>
      <c r="J1372" s="28">
        <f ca="1" t="shared" si="25"/>
        <v>0</v>
      </c>
      <c r="K1372" s="29"/>
      <c r="L1372" s="19"/>
      <c r="M1372" s="3"/>
    </row>
    <row r="1373" s="1" customFormat="1" spans="1:13">
      <c r="A1373" s="22"/>
      <c r="B1373" s="143" t="s">
        <v>27</v>
      </c>
      <c r="C1373" s="143" t="s">
        <v>2351</v>
      </c>
      <c r="D1373" s="52" t="s">
        <v>2332</v>
      </c>
      <c r="E1373" s="103" t="s">
        <v>225</v>
      </c>
      <c r="F1373" s="26" t="s">
        <v>197</v>
      </c>
      <c r="G1373" s="27">
        <f>SUMIF(物料月初库存!$C$3:$C$303,$B1373,物料月初库存!$F$3:$F$303)</f>
        <v>10350</v>
      </c>
      <c r="H1373" s="28">
        <f>SUMIF(半成品入库明细!$D$2:$D$650,$B1373,半成品入库明细!$G$2:$G$650)</f>
        <v>0</v>
      </c>
      <c r="I1373" s="28">
        <f ca="1">SUMIF(半成品出库明细!$D$2:$D$558,$B1373,半成品出库明细!$G$2:$G$2)</f>
        <v>10350</v>
      </c>
      <c r="J1373" s="28">
        <f ca="1" t="shared" si="25"/>
        <v>0</v>
      </c>
      <c r="K1373" s="30" t="s">
        <v>92</v>
      </c>
      <c r="L1373" s="19"/>
      <c r="M1373" s="3"/>
    </row>
    <row r="1374" s="1" customFormat="1" spans="1:13">
      <c r="A1374" s="22"/>
      <c r="B1374" s="143" t="s">
        <v>2352</v>
      </c>
      <c r="C1374" s="143" t="s">
        <v>2351</v>
      </c>
      <c r="D1374" s="52" t="s">
        <v>2332</v>
      </c>
      <c r="E1374" s="103" t="s">
        <v>353</v>
      </c>
      <c r="F1374" s="26" t="s">
        <v>197</v>
      </c>
      <c r="G1374" s="27">
        <f>SUMIF(物料月初库存!$C$3:$C$303,$B1374,物料月初库存!$F$3:$F$303)</f>
        <v>0</v>
      </c>
      <c r="H1374" s="28">
        <f>SUMIF(半成品入库明细!$D$2:$D$650,$B1374,半成品入库明细!$G$2:$G$650)</f>
        <v>0</v>
      </c>
      <c r="I1374" s="28">
        <f ca="1">SUMIF(半成品出库明细!$D$2:$D$558,$B1374,半成品出库明细!$G$2:$G$2)</f>
        <v>0</v>
      </c>
      <c r="J1374" s="28">
        <f ca="1" t="shared" si="25"/>
        <v>0</v>
      </c>
      <c r="K1374" s="29" t="s">
        <v>2353</v>
      </c>
      <c r="L1374" s="19"/>
      <c r="M1374" s="3"/>
    </row>
    <row r="1375" s="1" customFormat="1" spans="1:13">
      <c r="A1375" s="22"/>
      <c r="B1375" s="143" t="s">
        <v>82</v>
      </c>
      <c r="C1375" s="143" t="s">
        <v>2354</v>
      </c>
      <c r="D1375" s="52" t="s">
        <v>2332</v>
      </c>
      <c r="E1375" s="103" t="s">
        <v>76</v>
      </c>
      <c r="F1375" s="26" t="s">
        <v>197</v>
      </c>
      <c r="G1375" s="27">
        <f>SUMIF(物料月初库存!$C$3:$C$303,$B1375,物料月初库存!$F$3:$F$303)</f>
        <v>0</v>
      </c>
      <c r="H1375" s="28">
        <f>SUMIF(半成品入库明细!$D$2:$D$650,$B1375,半成品入库明细!$G$2:$G$650)</f>
        <v>5595</v>
      </c>
      <c r="I1375" s="28">
        <f ca="1">SUMIF(半成品出库明细!$D$2:$D$558,$B1375,半成品出库明细!$G$2:$G$2)</f>
        <v>5595</v>
      </c>
      <c r="J1375" s="28">
        <f ca="1" t="shared" si="25"/>
        <v>0</v>
      </c>
      <c r="K1375" s="30"/>
      <c r="L1375" s="19"/>
      <c r="M1375" s="3"/>
    </row>
    <row r="1376" s="1" customFormat="1" spans="1:13">
      <c r="A1376" s="22"/>
      <c r="B1376" s="143" t="s">
        <v>2355</v>
      </c>
      <c r="C1376" s="143" t="s">
        <v>2354</v>
      </c>
      <c r="D1376" s="52" t="s">
        <v>2332</v>
      </c>
      <c r="E1376" s="103" t="s">
        <v>1674</v>
      </c>
      <c r="F1376" s="26" t="s">
        <v>197</v>
      </c>
      <c r="G1376" s="27">
        <f>SUMIF(物料月初库存!$C$3:$C$303,$B1376,物料月初库存!$F$3:$F$303)</f>
        <v>0</v>
      </c>
      <c r="H1376" s="28">
        <f>SUMIF(半成品入库明细!$D$2:$D$650,$B1376,半成品入库明细!$G$2:$G$650)</f>
        <v>0</v>
      </c>
      <c r="I1376" s="28">
        <f ca="1">SUMIF(半成品出库明细!$D$2:$D$558,$B1376,半成品出库明细!$G$2:$G$2)</f>
        <v>0</v>
      </c>
      <c r="J1376" s="28">
        <f ca="1" t="shared" si="25"/>
        <v>0</v>
      </c>
      <c r="K1376" s="30" t="s">
        <v>113</v>
      </c>
      <c r="L1376" s="19"/>
      <c r="M1376" s="3"/>
    </row>
    <row r="1377" s="1" customFormat="1" spans="1:13">
      <c r="A1377" s="22"/>
      <c r="B1377" s="143" t="s">
        <v>2356</v>
      </c>
      <c r="C1377" s="143" t="s">
        <v>2354</v>
      </c>
      <c r="D1377" s="52" t="s">
        <v>2332</v>
      </c>
      <c r="E1377" s="103" t="s">
        <v>256</v>
      </c>
      <c r="F1377" s="26" t="s">
        <v>197</v>
      </c>
      <c r="G1377" s="27">
        <f>SUMIF(物料月初库存!$C$3:$C$303,$B1377,物料月初库存!$F$3:$F$303)</f>
        <v>0</v>
      </c>
      <c r="H1377" s="28">
        <f>SUMIF(半成品入库明细!$D$2:$D$650,$B1377,半成品入库明细!$G$2:$G$650)</f>
        <v>0</v>
      </c>
      <c r="I1377" s="28">
        <f ca="1">SUMIF(半成品出库明细!$D$2:$D$558,$B1377,半成品出库明细!$G$2:$G$2)</f>
        <v>0</v>
      </c>
      <c r="J1377" s="28">
        <f ca="1" t="shared" si="25"/>
        <v>0</v>
      </c>
      <c r="K1377" s="29" t="s">
        <v>2357</v>
      </c>
      <c r="L1377" s="19"/>
      <c r="M1377" s="3"/>
    </row>
    <row r="1378" s="1" customFormat="1" spans="1:13">
      <c r="A1378" s="22"/>
      <c r="B1378" s="143" t="s">
        <v>2358</v>
      </c>
      <c r="C1378" s="143" t="s">
        <v>2354</v>
      </c>
      <c r="D1378" s="52" t="s">
        <v>2332</v>
      </c>
      <c r="E1378" s="103" t="s">
        <v>353</v>
      </c>
      <c r="F1378" s="26" t="s">
        <v>197</v>
      </c>
      <c r="G1378" s="27">
        <f>SUMIF(物料月初库存!$C$3:$C$303,$B1378,物料月初库存!$F$3:$F$303)</f>
        <v>0</v>
      </c>
      <c r="H1378" s="28">
        <f>SUMIF(半成品入库明细!$D$2:$D$650,$B1378,半成品入库明细!$G$2:$G$650)</f>
        <v>0</v>
      </c>
      <c r="I1378" s="28">
        <f ca="1">SUMIF(半成品出库明细!$D$2:$D$558,$B1378,半成品出库明细!$G$2:$G$2)</f>
        <v>0</v>
      </c>
      <c r="J1378" s="28">
        <f ca="1" t="shared" si="25"/>
        <v>0</v>
      </c>
      <c r="K1378" s="30" t="s">
        <v>1271</v>
      </c>
      <c r="L1378" s="19"/>
      <c r="M1378" s="3"/>
    </row>
    <row r="1379" s="1" customFormat="1" spans="1:13">
      <c r="A1379" s="22"/>
      <c r="B1379" s="143" t="s">
        <v>2359</v>
      </c>
      <c r="C1379" s="143" t="s">
        <v>2360</v>
      </c>
      <c r="D1379" s="52" t="s">
        <v>2332</v>
      </c>
      <c r="E1379" s="103" t="s">
        <v>76</v>
      </c>
      <c r="F1379" s="26" t="s">
        <v>197</v>
      </c>
      <c r="G1379" s="27">
        <f>SUMIF(物料月初库存!$C$3:$C$303,$B1379,物料月初库存!$F$3:$F$303)</f>
        <v>0</v>
      </c>
      <c r="H1379" s="28">
        <f>SUMIF(半成品入库明细!$D$2:$D$650,$B1379,半成品入库明细!$G$2:$G$650)</f>
        <v>0</v>
      </c>
      <c r="I1379" s="28">
        <f ca="1">SUMIF(半成品出库明细!$D$2:$D$558,$B1379,半成品出库明细!$G$2:$G$2)</f>
        <v>0</v>
      </c>
      <c r="J1379" s="28">
        <f ca="1" t="shared" si="25"/>
        <v>0</v>
      </c>
      <c r="K1379" s="30"/>
      <c r="L1379" s="19"/>
      <c r="M1379" s="3"/>
    </row>
    <row r="1380" s="1" customFormat="1" spans="1:13">
      <c r="A1380" s="22"/>
      <c r="B1380" s="143" t="s">
        <v>2361</v>
      </c>
      <c r="C1380" s="143" t="s">
        <v>2360</v>
      </c>
      <c r="D1380" s="52" t="s">
        <v>2332</v>
      </c>
      <c r="E1380" s="103" t="s">
        <v>1674</v>
      </c>
      <c r="F1380" s="26" t="s">
        <v>197</v>
      </c>
      <c r="G1380" s="27">
        <f>SUMIF(物料月初库存!$C$3:$C$303,$B1380,物料月初库存!$F$3:$F$303)</f>
        <v>0</v>
      </c>
      <c r="H1380" s="28">
        <f>SUMIF(半成品入库明细!$D$2:$D$650,$B1380,半成品入库明细!$G$2:$G$650)</f>
        <v>0</v>
      </c>
      <c r="I1380" s="28">
        <f ca="1">SUMIF(半成品出库明细!$D$2:$D$558,$B1380,半成品出库明细!$G$2:$G$2)</f>
        <v>0</v>
      </c>
      <c r="J1380" s="28">
        <f ca="1" t="shared" si="25"/>
        <v>0</v>
      </c>
      <c r="K1380" s="30" t="s">
        <v>113</v>
      </c>
      <c r="L1380" s="19"/>
      <c r="M1380" s="3"/>
    </row>
    <row r="1381" s="1" customFormat="1" spans="1:13">
      <c r="A1381" s="22"/>
      <c r="B1381" s="143" t="s">
        <v>2362</v>
      </c>
      <c r="C1381" s="143" t="s">
        <v>2360</v>
      </c>
      <c r="D1381" s="52" t="s">
        <v>2332</v>
      </c>
      <c r="E1381" s="103" t="s">
        <v>256</v>
      </c>
      <c r="F1381" s="26" t="s">
        <v>197</v>
      </c>
      <c r="G1381" s="27">
        <f>SUMIF(物料月初库存!$C$3:$C$303,$B1381,物料月初库存!$F$3:$F$303)</f>
        <v>0</v>
      </c>
      <c r="H1381" s="28">
        <f>SUMIF(半成品入库明细!$D$2:$D$650,$B1381,半成品入库明细!$G$2:$G$650)</f>
        <v>0</v>
      </c>
      <c r="I1381" s="28">
        <f ca="1">SUMIF(半成品出库明细!$D$2:$D$558,$B1381,半成品出库明细!$G$2:$G$2)</f>
        <v>0</v>
      </c>
      <c r="J1381" s="28">
        <f ca="1" t="shared" si="25"/>
        <v>0</v>
      </c>
      <c r="K1381" s="29" t="s">
        <v>2363</v>
      </c>
      <c r="L1381" s="19"/>
      <c r="M1381" s="3"/>
    </row>
    <row r="1382" s="1" customFormat="1" spans="1:13">
      <c r="A1382" s="22"/>
      <c r="B1382" s="143" t="s">
        <v>2364</v>
      </c>
      <c r="C1382" s="143" t="s">
        <v>2360</v>
      </c>
      <c r="D1382" s="52" t="s">
        <v>2332</v>
      </c>
      <c r="E1382" s="103" t="s">
        <v>353</v>
      </c>
      <c r="F1382" s="26" t="s">
        <v>197</v>
      </c>
      <c r="G1382" s="27">
        <f>SUMIF(物料月初库存!$C$3:$C$303,$B1382,物料月初库存!$F$3:$F$303)</f>
        <v>0</v>
      </c>
      <c r="H1382" s="28">
        <f>SUMIF(半成品入库明细!$D$2:$D$650,$B1382,半成品入库明细!$G$2:$G$650)</f>
        <v>0</v>
      </c>
      <c r="I1382" s="28">
        <f ca="1">SUMIF(半成品出库明细!$D$2:$D$558,$B1382,半成品出库明细!$G$2:$G$2)</f>
        <v>0</v>
      </c>
      <c r="J1382" s="28">
        <f ca="1" t="shared" si="25"/>
        <v>0</v>
      </c>
      <c r="K1382" s="30" t="s">
        <v>1271</v>
      </c>
      <c r="L1382" s="19"/>
      <c r="M1382" s="3"/>
    </row>
    <row r="1383" s="1" customFormat="1" spans="1:13">
      <c r="A1383" s="22"/>
      <c r="B1383" s="143" t="s">
        <v>2365</v>
      </c>
      <c r="C1383" s="144" t="s">
        <v>2366</v>
      </c>
      <c r="D1383" s="52" t="s">
        <v>2332</v>
      </c>
      <c r="E1383" s="103" t="s">
        <v>256</v>
      </c>
      <c r="F1383" s="26" t="s">
        <v>197</v>
      </c>
      <c r="G1383" s="27">
        <f>SUMIF(物料月初库存!$C$3:$C$303,$B1383,物料月初库存!$F$3:$F$303)</f>
        <v>0</v>
      </c>
      <c r="H1383" s="28">
        <f>SUMIF(半成品入库明细!$D$2:$D$650,$B1383,半成品入库明细!$G$2:$G$650)</f>
        <v>0</v>
      </c>
      <c r="I1383" s="28">
        <f ca="1">SUMIF(半成品出库明细!$D$2:$D$558,$B1383,半成品出库明细!$G$2:$G$2)</f>
        <v>0</v>
      </c>
      <c r="J1383" s="28">
        <f ca="1" t="shared" si="25"/>
        <v>0</v>
      </c>
      <c r="K1383" s="30" t="s">
        <v>2367</v>
      </c>
      <c r="L1383" s="19"/>
      <c r="M1383" s="3"/>
    </row>
    <row r="1384" s="1" customFormat="1" spans="1:13">
      <c r="A1384" s="22"/>
      <c r="B1384" s="143" t="s">
        <v>2368</v>
      </c>
      <c r="C1384" s="144" t="s">
        <v>2366</v>
      </c>
      <c r="D1384" s="52" t="s">
        <v>2332</v>
      </c>
      <c r="E1384" s="103" t="s">
        <v>353</v>
      </c>
      <c r="F1384" s="26" t="s">
        <v>197</v>
      </c>
      <c r="G1384" s="27">
        <f>SUMIF(物料月初库存!$C$3:$C$303,$B1384,物料月初库存!$F$3:$F$303)</f>
        <v>0</v>
      </c>
      <c r="H1384" s="28">
        <f>SUMIF(半成品入库明细!$D$2:$D$650,$B1384,半成品入库明细!$G$2:$G$650)</f>
        <v>0</v>
      </c>
      <c r="I1384" s="28">
        <f ca="1">SUMIF(半成品出库明细!$D$2:$D$558,$B1384,半成品出库明细!$G$2:$G$2)</f>
        <v>0</v>
      </c>
      <c r="J1384" s="28">
        <f ca="1" t="shared" si="25"/>
        <v>0</v>
      </c>
      <c r="K1384" s="30" t="s">
        <v>1271</v>
      </c>
      <c r="L1384" s="19"/>
      <c r="M1384" s="3"/>
    </row>
    <row r="1385" s="1" customFormat="1" spans="1:13">
      <c r="A1385" s="22"/>
      <c r="B1385" s="143" t="s">
        <v>97</v>
      </c>
      <c r="C1385" s="143" t="s">
        <v>2369</v>
      </c>
      <c r="D1385" s="52" t="s">
        <v>2332</v>
      </c>
      <c r="E1385" s="103" t="s">
        <v>2333</v>
      </c>
      <c r="F1385" s="26" t="s">
        <v>197</v>
      </c>
      <c r="G1385" s="27">
        <f>SUMIF(物料月初库存!$C$3:$C$303,$B1385,物料月初库存!$F$3:$F$303)</f>
        <v>0</v>
      </c>
      <c r="H1385" s="28">
        <f>SUMIF(半成品入库明细!$D$2:$D$650,$B1385,半成品入库明细!$G$2:$G$650)</f>
        <v>5000</v>
      </c>
      <c r="I1385" s="28">
        <f ca="1">SUMIF(半成品出库明细!$D$2:$D$558,$B1385,半成品出库明细!$G$2:$G$2)</f>
        <v>0</v>
      </c>
      <c r="J1385" s="28">
        <f ca="1" t="shared" si="25"/>
        <v>5000</v>
      </c>
      <c r="K1385" s="30" t="s">
        <v>2334</v>
      </c>
      <c r="L1385" s="19"/>
      <c r="M1385" s="3"/>
    </row>
    <row r="1386" s="1" customFormat="1" spans="1:13">
      <c r="A1386" s="22"/>
      <c r="B1386" s="143" t="s">
        <v>2370</v>
      </c>
      <c r="C1386" s="145" t="s">
        <v>2371</v>
      </c>
      <c r="D1386" s="52" t="s">
        <v>2332</v>
      </c>
      <c r="E1386" s="103" t="s">
        <v>76</v>
      </c>
      <c r="F1386" s="26" t="s">
        <v>197</v>
      </c>
      <c r="G1386" s="27">
        <f>SUMIF(物料月初库存!$C$3:$C$303,$B1386,物料月初库存!$F$3:$F$303)</f>
        <v>0</v>
      </c>
      <c r="H1386" s="28">
        <f>SUMIF(半成品入库明细!$D$2:$D$650,$B1386,半成品入库明细!$G$2:$G$650)</f>
        <v>0</v>
      </c>
      <c r="I1386" s="28">
        <f ca="1">SUMIF(半成品出库明细!$D$2:$D$558,$B1386,半成品出库明细!$G$2:$G$2)</f>
        <v>0</v>
      </c>
      <c r="J1386" s="28">
        <f ca="1" t="shared" si="25"/>
        <v>0</v>
      </c>
      <c r="K1386" s="29"/>
      <c r="L1386" s="19"/>
      <c r="M1386" s="3"/>
    </row>
    <row r="1387" s="1" customFormat="1" spans="1:13">
      <c r="A1387" s="22"/>
      <c r="B1387" s="143" t="s">
        <v>2372</v>
      </c>
      <c r="C1387" s="145" t="s">
        <v>2371</v>
      </c>
      <c r="D1387" s="52" t="s">
        <v>2332</v>
      </c>
      <c r="E1387" s="103" t="s">
        <v>691</v>
      </c>
      <c r="F1387" s="26" t="s">
        <v>197</v>
      </c>
      <c r="G1387" s="27">
        <f>SUMIF(物料月初库存!$C$3:$C$303,$B1387,物料月初库存!$F$3:$F$303)</f>
        <v>0</v>
      </c>
      <c r="H1387" s="28">
        <f>SUMIF(半成品入库明细!$D$2:$D$650,$B1387,半成品入库明细!$G$2:$G$650)</f>
        <v>0</v>
      </c>
      <c r="I1387" s="28">
        <f ca="1">SUMIF(半成品出库明细!$D$2:$D$558,$B1387,半成品出库明细!$G$2:$G$2)</f>
        <v>0</v>
      </c>
      <c r="J1387" s="28">
        <f ca="1" t="shared" si="25"/>
        <v>0</v>
      </c>
      <c r="K1387" s="106" t="s">
        <v>2373</v>
      </c>
      <c r="L1387" s="19"/>
      <c r="M1387" s="3"/>
    </row>
    <row r="1388" s="1" customFormat="1" spans="1:13">
      <c r="A1388" s="22"/>
      <c r="B1388" s="143" t="s">
        <v>2374</v>
      </c>
      <c r="C1388" s="145" t="s">
        <v>2371</v>
      </c>
      <c r="D1388" s="52" t="s">
        <v>2332</v>
      </c>
      <c r="E1388" s="103" t="s">
        <v>1674</v>
      </c>
      <c r="F1388" s="26" t="s">
        <v>197</v>
      </c>
      <c r="G1388" s="27">
        <f>SUMIF(物料月初库存!$C$3:$C$303,$B1388,物料月初库存!$F$3:$F$303)</f>
        <v>0</v>
      </c>
      <c r="H1388" s="28">
        <f>SUMIF(半成品入库明细!$D$2:$D$650,$B1388,半成品入库明细!$G$2:$G$650)</f>
        <v>0</v>
      </c>
      <c r="I1388" s="28">
        <f ca="1">SUMIF(半成品出库明细!$D$2:$D$558,$B1388,半成品出库明细!$G$2:$G$2)</f>
        <v>0</v>
      </c>
      <c r="J1388" s="28">
        <f ca="1" t="shared" si="25"/>
        <v>0</v>
      </c>
      <c r="K1388" s="51" t="s">
        <v>2375</v>
      </c>
      <c r="L1388" s="19"/>
      <c r="M1388" s="3"/>
    </row>
    <row r="1389" s="1" customFormat="1" spans="1:13">
      <c r="A1389" s="22"/>
      <c r="B1389" s="143" t="s">
        <v>2376</v>
      </c>
      <c r="C1389" s="145" t="s">
        <v>2371</v>
      </c>
      <c r="D1389" s="52" t="s">
        <v>2332</v>
      </c>
      <c r="E1389" s="103" t="s">
        <v>256</v>
      </c>
      <c r="F1389" s="26" t="s">
        <v>197</v>
      </c>
      <c r="G1389" s="27">
        <f>SUMIF(物料月初库存!$C$3:$C$303,$B1389,物料月初库存!$F$3:$F$303)</f>
        <v>0</v>
      </c>
      <c r="H1389" s="28">
        <f>SUMIF(半成品入库明细!$D$2:$D$650,$B1389,半成品入库明细!$G$2:$G$650)</f>
        <v>0</v>
      </c>
      <c r="I1389" s="28">
        <f ca="1">SUMIF(半成品出库明细!$D$2:$D$558,$B1389,半成品出库明细!$G$2:$G$2)</f>
        <v>0</v>
      </c>
      <c r="J1389" s="28">
        <f ca="1" t="shared" ref="J1389:J1420" si="26">G1389+H1389-I1389</f>
        <v>0</v>
      </c>
      <c r="K1389" s="30" t="s">
        <v>532</v>
      </c>
      <c r="L1389" s="19"/>
      <c r="M1389" s="3"/>
    </row>
    <row r="1390" s="1" customFormat="1" spans="1:13">
      <c r="A1390" s="22"/>
      <c r="B1390" s="143" t="s">
        <v>2377</v>
      </c>
      <c r="C1390" s="145" t="s">
        <v>2371</v>
      </c>
      <c r="D1390" s="52" t="s">
        <v>2332</v>
      </c>
      <c r="E1390" s="103" t="s">
        <v>353</v>
      </c>
      <c r="F1390" s="26" t="s">
        <v>197</v>
      </c>
      <c r="G1390" s="27">
        <f>SUMIF(物料月初库存!$C$3:$C$303,$B1390,物料月初库存!$F$3:$F$303)</f>
        <v>0</v>
      </c>
      <c r="H1390" s="28">
        <f>SUMIF(半成品入库明细!$D$2:$D$650,$B1390,半成品入库明细!$G$2:$G$650)</f>
        <v>0</v>
      </c>
      <c r="I1390" s="28">
        <f ca="1">SUMIF(半成品出库明细!$D$2:$D$558,$B1390,半成品出库明细!$G$2:$G$2)</f>
        <v>0</v>
      </c>
      <c r="J1390" s="28">
        <f ca="1" t="shared" si="26"/>
        <v>0</v>
      </c>
      <c r="K1390" s="30" t="s">
        <v>1271</v>
      </c>
      <c r="L1390" s="19"/>
      <c r="M1390" s="3"/>
    </row>
    <row r="1391" s="1" customFormat="1" spans="1:13">
      <c r="A1391" s="22"/>
      <c r="B1391" s="143" t="s">
        <v>2378</v>
      </c>
      <c r="C1391" s="145" t="s">
        <v>2379</v>
      </c>
      <c r="D1391" s="52" t="s">
        <v>2332</v>
      </c>
      <c r="E1391" s="103" t="s">
        <v>76</v>
      </c>
      <c r="F1391" s="26" t="s">
        <v>197</v>
      </c>
      <c r="G1391" s="27">
        <f>SUMIF(物料月初库存!$C$3:$C$303,$B1391,物料月初库存!$F$3:$F$303)</f>
        <v>0</v>
      </c>
      <c r="H1391" s="28">
        <f>SUMIF(半成品入库明细!$D$2:$D$650,$B1391,半成品入库明细!$G$2:$G$650)</f>
        <v>0</v>
      </c>
      <c r="I1391" s="28">
        <f ca="1">SUMIF(半成品出库明细!$D$2:$D$558,$B1391,半成品出库明细!$G$2:$G$2)</f>
        <v>0</v>
      </c>
      <c r="J1391" s="28">
        <f ca="1" t="shared" si="26"/>
        <v>0</v>
      </c>
      <c r="K1391" s="30"/>
      <c r="L1391" s="19"/>
      <c r="M1391" s="3"/>
    </row>
    <row r="1392" s="1" customFormat="1" spans="1:13">
      <c r="A1392" s="22"/>
      <c r="B1392" s="143" t="s">
        <v>2380</v>
      </c>
      <c r="C1392" s="145" t="s">
        <v>2379</v>
      </c>
      <c r="D1392" s="52" t="s">
        <v>2332</v>
      </c>
      <c r="E1392" s="103" t="s">
        <v>691</v>
      </c>
      <c r="F1392" s="26" t="s">
        <v>197</v>
      </c>
      <c r="G1392" s="27">
        <f>SUMIF(物料月初库存!$C$3:$C$303,$B1392,物料月初库存!$F$3:$F$303)</f>
        <v>0</v>
      </c>
      <c r="H1392" s="28">
        <f>SUMIF(半成品入库明细!$D$2:$D$650,$B1392,半成品入库明细!$G$2:$G$650)</f>
        <v>0</v>
      </c>
      <c r="I1392" s="28">
        <f ca="1">SUMIF(半成品出库明细!$D$2:$D$558,$B1392,半成品出库明细!$G$2:$G$2)</f>
        <v>0</v>
      </c>
      <c r="J1392" s="28">
        <f ca="1" t="shared" si="26"/>
        <v>0</v>
      </c>
      <c r="K1392" s="30" t="s">
        <v>92</v>
      </c>
      <c r="L1392" s="19"/>
      <c r="M1392" s="3"/>
    </row>
    <row r="1393" s="1" customFormat="1" spans="1:13">
      <c r="A1393" s="22"/>
      <c r="B1393" s="143" t="s">
        <v>2381</v>
      </c>
      <c r="C1393" s="145" t="s">
        <v>2379</v>
      </c>
      <c r="D1393" s="52" t="s">
        <v>2332</v>
      </c>
      <c r="E1393" s="103" t="s">
        <v>256</v>
      </c>
      <c r="F1393" s="26" t="s">
        <v>197</v>
      </c>
      <c r="G1393" s="27">
        <f>SUMIF(物料月初库存!$C$3:$C$303,$B1393,物料月初库存!$F$3:$F$303)</f>
        <v>0</v>
      </c>
      <c r="H1393" s="28">
        <f>SUMIF(半成品入库明细!$D$2:$D$650,$B1393,半成品入库明细!$G$2:$G$650)</f>
        <v>0</v>
      </c>
      <c r="I1393" s="28">
        <f ca="1">SUMIF(半成品出库明细!$D$2:$D$558,$B1393,半成品出库明细!$G$2:$G$2)</f>
        <v>0</v>
      </c>
      <c r="J1393" s="28">
        <f ca="1" t="shared" si="26"/>
        <v>0</v>
      </c>
      <c r="K1393" s="30" t="s">
        <v>2382</v>
      </c>
      <c r="L1393" s="19"/>
      <c r="M1393" s="3"/>
    </row>
    <row r="1394" s="1" customFormat="1" spans="1:13">
      <c r="A1394" s="22"/>
      <c r="B1394" s="143" t="s">
        <v>2383</v>
      </c>
      <c r="C1394" s="145" t="s">
        <v>2379</v>
      </c>
      <c r="D1394" s="52" t="s">
        <v>2332</v>
      </c>
      <c r="E1394" s="103" t="s">
        <v>353</v>
      </c>
      <c r="F1394" s="26" t="s">
        <v>197</v>
      </c>
      <c r="G1394" s="27">
        <f>SUMIF(物料月初库存!$C$3:$C$303,$B1394,物料月初库存!$F$3:$F$303)</f>
        <v>0</v>
      </c>
      <c r="H1394" s="28">
        <f>SUMIF(半成品入库明细!$D$2:$D$650,$B1394,半成品入库明细!$G$2:$G$650)</f>
        <v>0</v>
      </c>
      <c r="I1394" s="28">
        <f ca="1">SUMIF(半成品出库明细!$D$2:$D$558,$B1394,半成品出库明细!$G$2:$G$2)</f>
        <v>0</v>
      </c>
      <c r="J1394" s="28">
        <f ca="1" t="shared" si="26"/>
        <v>0</v>
      </c>
      <c r="K1394" s="30" t="s">
        <v>1271</v>
      </c>
      <c r="L1394" s="19"/>
      <c r="M1394" s="3"/>
    </row>
    <row r="1395" s="1" customFormat="1" spans="1:13">
      <c r="A1395" s="22"/>
      <c r="B1395" s="143" t="s">
        <v>2384</v>
      </c>
      <c r="C1395" s="145" t="s">
        <v>2385</v>
      </c>
      <c r="D1395" s="52" t="s">
        <v>2332</v>
      </c>
      <c r="E1395" s="103" t="s">
        <v>76</v>
      </c>
      <c r="F1395" s="26" t="s">
        <v>197</v>
      </c>
      <c r="G1395" s="27">
        <f>SUMIF(物料月初库存!$C$3:$C$303,$B1395,物料月初库存!$F$3:$F$303)</f>
        <v>0</v>
      </c>
      <c r="H1395" s="28">
        <f>SUMIF(半成品入库明细!$D$2:$D$650,$B1395,半成品入库明细!$G$2:$G$650)</f>
        <v>0</v>
      </c>
      <c r="I1395" s="28">
        <f ca="1">SUMIF(半成品出库明细!$D$2:$D$558,$B1395,半成品出库明细!$G$2:$G$2)</f>
        <v>0</v>
      </c>
      <c r="J1395" s="28">
        <f ca="1" t="shared" si="26"/>
        <v>0</v>
      </c>
      <c r="K1395" s="30"/>
      <c r="L1395" s="19"/>
      <c r="M1395" s="3"/>
    </row>
    <row r="1396" s="1" customFormat="1" spans="1:13">
      <c r="A1396" s="22"/>
      <c r="B1396" s="143" t="s">
        <v>2386</v>
      </c>
      <c r="C1396" s="145" t="s">
        <v>2385</v>
      </c>
      <c r="D1396" s="52" t="s">
        <v>2332</v>
      </c>
      <c r="E1396" s="103" t="s">
        <v>356</v>
      </c>
      <c r="F1396" s="26" t="s">
        <v>197</v>
      </c>
      <c r="G1396" s="27">
        <f>SUMIF(物料月初库存!$C$3:$C$303,$B1396,物料月初库存!$F$3:$F$303)</f>
        <v>0</v>
      </c>
      <c r="H1396" s="28">
        <f>SUMIF(半成品入库明细!$D$2:$D$650,$B1396,半成品入库明细!$G$2:$G$650)</f>
        <v>0</v>
      </c>
      <c r="I1396" s="28">
        <f ca="1">SUMIF(半成品出库明细!$D$2:$D$558,$B1396,半成品出库明细!$G$2:$G$2)</f>
        <v>0</v>
      </c>
      <c r="J1396" s="28">
        <f ca="1" t="shared" si="26"/>
        <v>0</v>
      </c>
      <c r="K1396" s="30" t="s">
        <v>113</v>
      </c>
      <c r="L1396" s="19"/>
      <c r="M1396" s="3"/>
    </row>
    <row r="1397" s="1" customFormat="1" spans="1:13">
      <c r="A1397" s="22"/>
      <c r="B1397" s="143" t="s">
        <v>2387</v>
      </c>
      <c r="C1397" s="145" t="s">
        <v>2385</v>
      </c>
      <c r="D1397" s="52" t="s">
        <v>2332</v>
      </c>
      <c r="E1397" s="103" t="s">
        <v>691</v>
      </c>
      <c r="F1397" s="26" t="s">
        <v>197</v>
      </c>
      <c r="G1397" s="27">
        <f>SUMIF(物料月初库存!$C$3:$C$303,$B1397,物料月初库存!$F$3:$F$303)</f>
        <v>0</v>
      </c>
      <c r="H1397" s="28">
        <f>SUMIF(半成品入库明细!$D$2:$D$650,$B1397,半成品入库明细!$G$2:$G$650)</f>
        <v>0</v>
      </c>
      <c r="I1397" s="28">
        <f ca="1">SUMIF(半成品出库明细!$D$2:$D$558,$B1397,半成品出库明细!$G$2:$G$2)</f>
        <v>0</v>
      </c>
      <c r="J1397" s="28">
        <f ca="1" t="shared" si="26"/>
        <v>0</v>
      </c>
      <c r="K1397" s="51" t="s">
        <v>2388</v>
      </c>
      <c r="L1397" s="19"/>
      <c r="M1397" s="3"/>
    </row>
    <row r="1398" s="1" customFormat="1" spans="1:13">
      <c r="A1398" s="22"/>
      <c r="B1398" s="143" t="s">
        <v>2389</v>
      </c>
      <c r="C1398" s="145" t="s">
        <v>2385</v>
      </c>
      <c r="D1398" s="52" t="s">
        <v>2332</v>
      </c>
      <c r="E1398" s="103" t="s">
        <v>2390</v>
      </c>
      <c r="F1398" s="26" t="s">
        <v>197</v>
      </c>
      <c r="G1398" s="27">
        <f>SUMIF(物料月初库存!$C$3:$C$303,$B1398,物料月初库存!$F$3:$F$303)</f>
        <v>0</v>
      </c>
      <c r="H1398" s="28">
        <f>SUMIF(半成品入库明细!$D$2:$D$650,$B1398,半成品入库明细!$G$2:$G$650)</f>
        <v>0</v>
      </c>
      <c r="I1398" s="28">
        <f ca="1">SUMIF(半成品出库明细!$D$2:$D$558,$B1398,半成品出库明细!$G$2:$G$2)</f>
        <v>0</v>
      </c>
      <c r="J1398" s="28">
        <f ca="1" t="shared" si="26"/>
        <v>0</v>
      </c>
      <c r="K1398" s="30" t="s">
        <v>2391</v>
      </c>
      <c r="L1398" s="19"/>
      <c r="M1398" s="3"/>
    </row>
    <row r="1399" s="1" customFormat="1" spans="1:13">
      <c r="A1399" s="22"/>
      <c r="B1399" s="143" t="s">
        <v>2392</v>
      </c>
      <c r="C1399" s="145" t="s">
        <v>2385</v>
      </c>
      <c r="D1399" s="52" t="s">
        <v>2332</v>
      </c>
      <c r="E1399" s="103" t="s">
        <v>256</v>
      </c>
      <c r="F1399" s="26" t="s">
        <v>197</v>
      </c>
      <c r="G1399" s="27">
        <f>SUMIF(物料月初库存!$C$3:$C$303,$B1399,物料月初库存!$F$3:$F$303)</f>
        <v>0</v>
      </c>
      <c r="H1399" s="28">
        <f>SUMIF(半成品入库明细!$D$2:$D$650,$B1399,半成品入库明细!$G$2:$G$650)</f>
        <v>0</v>
      </c>
      <c r="I1399" s="28">
        <f ca="1">SUMIF(半成品出库明细!$D$2:$D$558,$B1399,半成品出库明细!$G$2:$G$2)</f>
        <v>0</v>
      </c>
      <c r="J1399" s="28">
        <f ca="1" t="shared" si="26"/>
        <v>0</v>
      </c>
      <c r="K1399" s="30" t="s">
        <v>532</v>
      </c>
      <c r="L1399" s="19"/>
      <c r="M1399" s="3"/>
    </row>
    <row r="1400" s="1" customFormat="1" spans="1:13">
      <c r="A1400" s="22"/>
      <c r="B1400" s="143" t="s">
        <v>2393</v>
      </c>
      <c r="C1400" s="145" t="s">
        <v>2385</v>
      </c>
      <c r="D1400" s="52" t="s">
        <v>2332</v>
      </c>
      <c r="E1400" s="103" t="s">
        <v>353</v>
      </c>
      <c r="F1400" s="26" t="s">
        <v>197</v>
      </c>
      <c r="G1400" s="27">
        <f>SUMIF(物料月初库存!$C$3:$C$303,$B1400,物料月初库存!$F$3:$F$303)</f>
        <v>0</v>
      </c>
      <c r="H1400" s="28">
        <f>SUMIF(半成品入库明细!$D$2:$D$650,$B1400,半成品入库明细!$G$2:$G$650)</f>
        <v>0</v>
      </c>
      <c r="I1400" s="28">
        <f ca="1">SUMIF(半成品出库明细!$D$2:$D$558,$B1400,半成品出库明细!$G$2:$G$2)</f>
        <v>0</v>
      </c>
      <c r="J1400" s="28">
        <f ca="1" t="shared" si="26"/>
        <v>0</v>
      </c>
      <c r="K1400" s="30" t="s">
        <v>1271</v>
      </c>
      <c r="L1400" s="19"/>
      <c r="M1400" s="3"/>
    </row>
    <row r="1401" s="1" customFormat="1" spans="1:13">
      <c r="A1401" s="22"/>
      <c r="B1401" s="143" t="s">
        <v>28</v>
      </c>
      <c r="C1401" s="145" t="s">
        <v>2394</v>
      </c>
      <c r="D1401" s="52" t="s">
        <v>2332</v>
      </c>
      <c r="E1401" s="103" t="s">
        <v>2333</v>
      </c>
      <c r="F1401" s="26" t="s">
        <v>197</v>
      </c>
      <c r="G1401" s="27">
        <f>SUMIF(物料月初库存!$C$3:$C$303,$B1401,物料月初库存!$F$3:$F$303)</f>
        <v>4500</v>
      </c>
      <c r="H1401" s="28">
        <f>SUMIF(半成品入库明细!$D$2:$D$650,$B1401,半成品入库明细!$G$2:$G$650)</f>
        <v>0</v>
      </c>
      <c r="I1401" s="28">
        <f ca="1">SUMIF(半成品出库明细!$D$2:$D$558,$B1401,半成品出库明细!$G$2:$G$2)</f>
        <v>0</v>
      </c>
      <c r="J1401" s="28">
        <f ca="1" t="shared" si="26"/>
        <v>4500</v>
      </c>
      <c r="K1401" s="30" t="s">
        <v>2334</v>
      </c>
      <c r="L1401" s="19"/>
      <c r="M1401" s="3"/>
    </row>
    <row r="1402" s="1" customFormat="1" spans="1:13">
      <c r="A1402" s="22"/>
      <c r="B1402" s="143" t="s">
        <v>2395</v>
      </c>
      <c r="C1402" s="145" t="s">
        <v>2396</v>
      </c>
      <c r="D1402" s="52" t="s">
        <v>2332</v>
      </c>
      <c r="E1402" s="103" t="s">
        <v>76</v>
      </c>
      <c r="F1402" s="26" t="s">
        <v>197</v>
      </c>
      <c r="G1402" s="27">
        <f>SUMIF(物料月初库存!$C$3:$C$303,$B1402,物料月初库存!$F$3:$F$303)</f>
        <v>0</v>
      </c>
      <c r="H1402" s="28">
        <f>SUMIF(半成品入库明细!$D$2:$D$650,$B1402,半成品入库明细!$G$2:$G$650)</f>
        <v>0</v>
      </c>
      <c r="I1402" s="28">
        <f ca="1">SUMIF(半成品出库明细!$D$2:$D$558,$B1402,半成品出库明细!$G$2:$G$2)</f>
        <v>0</v>
      </c>
      <c r="J1402" s="28">
        <f ca="1" t="shared" si="26"/>
        <v>0</v>
      </c>
      <c r="K1402" s="30"/>
      <c r="L1402" s="19"/>
      <c r="M1402" s="3"/>
    </row>
    <row r="1403" s="1" customFormat="1" spans="1:13">
      <c r="A1403" s="22"/>
      <c r="B1403" s="143" t="s">
        <v>2397</v>
      </c>
      <c r="C1403" s="145" t="s">
        <v>2396</v>
      </c>
      <c r="D1403" s="52" t="s">
        <v>2332</v>
      </c>
      <c r="E1403" s="103" t="s">
        <v>356</v>
      </c>
      <c r="F1403" s="26" t="s">
        <v>197</v>
      </c>
      <c r="G1403" s="27">
        <f>SUMIF(物料月初库存!$C$3:$C$303,$B1403,物料月初库存!$F$3:$F$303)</f>
        <v>0</v>
      </c>
      <c r="H1403" s="28">
        <f>SUMIF(半成品入库明细!$D$2:$D$650,$B1403,半成品入库明细!$G$2:$G$650)</f>
        <v>0</v>
      </c>
      <c r="I1403" s="28">
        <f ca="1">SUMIF(半成品出库明细!$D$2:$D$558,$B1403,半成品出库明细!$G$2:$G$2)</f>
        <v>0</v>
      </c>
      <c r="J1403" s="28">
        <f ca="1" t="shared" si="26"/>
        <v>0</v>
      </c>
      <c r="K1403" s="30" t="s">
        <v>2398</v>
      </c>
      <c r="L1403" s="19"/>
      <c r="M1403" s="3"/>
    </row>
    <row r="1404" s="1" customFormat="1" spans="1:13">
      <c r="A1404" s="22"/>
      <c r="B1404" s="143" t="s">
        <v>2399</v>
      </c>
      <c r="C1404" s="145" t="s">
        <v>2396</v>
      </c>
      <c r="D1404" s="52" t="s">
        <v>2332</v>
      </c>
      <c r="E1404" s="103" t="s">
        <v>691</v>
      </c>
      <c r="F1404" s="26" t="s">
        <v>197</v>
      </c>
      <c r="G1404" s="27">
        <f>SUMIF(物料月初库存!$C$3:$C$303,$B1404,物料月初库存!$F$3:$F$303)</f>
        <v>0</v>
      </c>
      <c r="H1404" s="28">
        <f>SUMIF(半成品入库明细!$D$2:$D$650,$B1404,半成品入库明细!$G$2:$G$650)</f>
        <v>0</v>
      </c>
      <c r="I1404" s="28">
        <f ca="1">SUMIF(半成品出库明细!$D$2:$D$558,$B1404,半成品出库明细!$G$2:$G$2)</f>
        <v>0</v>
      </c>
      <c r="J1404" s="28">
        <f ca="1" t="shared" si="26"/>
        <v>0</v>
      </c>
      <c r="K1404" s="51" t="s">
        <v>2400</v>
      </c>
      <c r="L1404" s="19"/>
      <c r="M1404" s="3"/>
    </row>
    <row r="1405" s="1" customFormat="1" spans="1:13">
      <c r="A1405" s="22"/>
      <c r="B1405" s="143" t="s">
        <v>2401</v>
      </c>
      <c r="C1405" s="145" t="s">
        <v>2396</v>
      </c>
      <c r="D1405" s="52" t="s">
        <v>2332</v>
      </c>
      <c r="E1405" s="103" t="s">
        <v>2390</v>
      </c>
      <c r="F1405" s="26" t="s">
        <v>197</v>
      </c>
      <c r="G1405" s="27">
        <f>SUMIF(物料月初库存!$C$3:$C$303,$B1405,物料月初库存!$F$3:$F$303)</f>
        <v>0</v>
      </c>
      <c r="H1405" s="28">
        <f>SUMIF(半成品入库明细!$D$2:$D$650,$B1405,半成品入库明细!$G$2:$G$650)</f>
        <v>0</v>
      </c>
      <c r="I1405" s="28">
        <f ca="1">SUMIF(半成品出库明细!$D$2:$D$558,$B1405,半成品出库明细!$G$2:$G$2)</f>
        <v>0</v>
      </c>
      <c r="J1405" s="28">
        <f ca="1" t="shared" si="26"/>
        <v>0</v>
      </c>
      <c r="K1405" s="30" t="s">
        <v>146</v>
      </c>
      <c r="L1405" s="19"/>
      <c r="M1405" s="3"/>
    </row>
    <row r="1406" s="1" customFormat="1" spans="1:13">
      <c r="A1406" s="22"/>
      <c r="B1406" s="143" t="s">
        <v>68</v>
      </c>
      <c r="C1406" s="145" t="s">
        <v>2396</v>
      </c>
      <c r="D1406" s="52" t="s">
        <v>2332</v>
      </c>
      <c r="E1406" s="103" t="s">
        <v>256</v>
      </c>
      <c r="F1406" s="26" t="s">
        <v>197</v>
      </c>
      <c r="G1406" s="27">
        <f>SUMIF(物料月初库存!$C$3:$C$303,$B1406,物料月初库存!$F$3:$F$303)</f>
        <v>68</v>
      </c>
      <c r="H1406" s="28">
        <f>SUMIF(半成品入库明细!$D$2:$D$650,$B1406,半成品入库明细!$G$2:$G$650)</f>
        <v>0</v>
      </c>
      <c r="I1406" s="28">
        <f ca="1">SUMIF(半成品出库明细!$D$2:$D$558,$B1406,半成品出库明细!$G$2:$G$2)</f>
        <v>0</v>
      </c>
      <c r="J1406" s="28">
        <f ca="1" t="shared" si="26"/>
        <v>68</v>
      </c>
      <c r="K1406" s="30" t="s">
        <v>2402</v>
      </c>
      <c r="L1406" s="19"/>
      <c r="M1406" s="3"/>
    </row>
    <row r="1407" s="1" customFormat="1" spans="1:13">
      <c r="A1407" s="22"/>
      <c r="B1407" s="143" t="s">
        <v>2403</v>
      </c>
      <c r="C1407" s="145" t="s">
        <v>2396</v>
      </c>
      <c r="D1407" s="52" t="s">
        <v>2332</v>
      </c>
      <c r="E1407" s="103" t="s">
        <v>353</v>
      </c>
      <c r="F1407" s="26" t="s">
        <v>197</v>
      </c>
      <c r="G1407" s="27">
        <f>SUMIF(物料月初库存!$C$3:$C$303,$B1407,物料月初库存!$F$3:$F$303)</f>
        <v>0</v>
      </c>
      <c r="H1407" s="28">
        <f>SUMIF(半成品入库明细!$D$2:$D$650,$B1407,半成品入库明细!$G$2:$G$650)</f>
        <v>0</v>
      </c>
      <c r="I1407" s="28">
        <f ca="1">SUMIF(半成品出库明细!$D$2:$D$558,$B1407,半成品出库明细!$G$2:$G$2)</f>
        <v>0</v>
      </c>
      <c r="J1407" s="28">
        <f ca="1" t="shared" si="26"/>
        <v>0</v>
      </c>
      <c r="K1407" s="30" t="s">
        <v>1271</v>
      </c>
      <c r="L1407" s="19"/>
      <c r="M1407" s="3"/>
    </row>
    <row r="1408" s="1" customFormat="1" spans="1:13">
      <c r="A1408" s="22"/>
      <c r="B1408" s="143" t="s">
        <v>2404</v>
      </c>
      <c r="C1408" s="145" t="s">
        <v>2405</v>
      </c>
      <c r="D1408" s="52" t="s">
        <v>2332</v>
      </c>
      <c r="E1408" s="103" t="s">
        <v>353</v>
      </c>
      <c r="F1408" s="26" t="s">
        <v>197</v>
      </c>
      <c r="G1408" s="27">
        <f>SUMIF(物料月初库存!$C$3:$C$303,$B1408,物料月初库存!$F$3:$F$303)</f>
        <v>0</v>
      </c>
      <c r="H1408" s="28">
        <f>SUMIF(半成品入库明细!$D$2:$D$650,$B1408,半成品入库明细!$G$2:$G$650)</f>
        <v>0</v>
      </c>
      <c r="I1408" s="28">
        <f ca="1">SUMIF(半成品出库明细!$D$2:$D$558,$B1408,半成品出库明细!$G$2:$G$2)</f>
        <v>0</v>
      </c>
      <c r="J1408" s="28">
        <f ca="1" t="shared" si="26"/>
        <v>0</v>
      </c>
      <c r="K1408" s="30"/>
      <c r="L1408" s="19"/>
      <c r="M1408" s="3"/>
    </row>
    <row r="1409" s="1" customFormat="1" spans="1:13">
      <c r="A1409" s="22"/>
      <c r="B1409" s="143" t="s">
        <v>2406</v>
      </c>
      <c r="C1409" s="145" t="s">
        <v>2407</v>
      </c>
      <c r="D1409" s="52" t="s">
        <v>2332</v>
      </c>
      <c r="E1409" s="103" t="s">
        <v>76</v>
      </c>
      <c r="F1409" s="26" t="s">
        <v>197</v>
      </c>
      <c r="G1409" s="27">
        <f>SUMIF(物料月初库存!$C$3:$C$303,$B1409,物料月初库存!$F$3:$F$303)</f>
        <v>0</v>
      </c>
      <c r="H1409" s="28">
        <f>SUMIF(半成品入库明细!$D$2:$D$650,$B1409,半成品入库明细!$G$2:$G$650)</f>
        <v>0</v>
      </c>
      <c r="I1409" s="28">
        <f ca="1">SUMIF(半成品出库明细!$D$2:$D$558,$B1409,半成品出库明细!$G$2:$G$2)</f>
        <v>0</v>
      </c>
      <c r="J1409" s="28">
        <f ca="1" t="shared" si="26"/>
        <v>0</v>
      </c>
      <c r="K1409" s="30"/>
      <c r="L1409" s="19"/>
      <c r="M1409" s="3"/>
    </row>
    <row r="1410" s="1" customFormat="1" spans="1:13">
      <c r="A1410" s="22"/>
      <c r="B1410" s="143" t="s">
        <v>2408</v>
      </c>
      <c r="C1410" s="145" t="s">
        <v>2407</v>
      </c>
      <c r="D1410" s="52" t="s">
        <v>2332</v>
      </c>
      <c r="E1410" s="103" t="s">
        <v>616</v>
      </c>
      <c r="F1410" s="26" t="s">
        <v>197</v>
      </c>
      <c r="G1410" s="27">
        <f>SUMIF(物料月初库存!$C$3:$C$303,$B1410,物料月初库存!$F$3:$F$303)</f>
        <v>0</v>
      </c>
      <c r="H1410" s="28">
        <f>SUMIF(半成品入库明细!$D$2:$D$650,$B1410,半成品入库明细!$G$2:$G$650)</f>
        <v>0</v>
      </c>
      <c r="I1410" s="28">
        <f ca="1">SUMIF(半成品出库明细!$D$2:$D$558,$B1410,半成品出库明细!$G$2:$G$2)</f>
        <v>0</v>
      </c>
      <c r="J1410" s="28">
        <f ca="1" t="shared" si="26"/>
        <v>0</v>
      </c>
      <c r="K1410" s="30" t="s">
        <v>113</v>
      </c>
      <c r="L1410" s="19"/>
      <c r="M1410" s="3"/>
    </row>
    <row r="1411" s="1" customFormat="1" spans="1:13">
      <c r="A1411" s="22"/>
      <c r="B1411" s="143" t="s">
        <v>2409</v>
      </c>
      <c r="C1411" s="145" t="s">
        <v>2407</v>
      </c>
      <c r="D1411" s="52" t="s">
        <v>2332</v>
      </c>
      <c r="E1411" s="103" t="s">
        <v>267</v>
      </c>
      <c r="F1411" s="26" t="s">
        <v>197</v>
      </c>
      <c r="G1411" s="27">
        <f>SUMIF(物料月初库存!$C$3:$C$303,$B1411,物料月初库存!$F$3:$F$303)</f>
        <v>0</v>
      </c>
      <c r="H1411" s="28">
        <f>SUMIF(半成品入库明细!$D$2:$D$650,$B1411,半成品入库明细!$G$2:$G$650)</f>
        <v>0</v>
      </c>
      <c r="I1411" s="28">
        <f ca="1">SUMIF(半成品出库明细!$D$2:$D$558,$B1411,半成品出库明细!$G$2:$G$2)</f>
        <v>0</v>
      </c>
      <c r="J1411" s="28">
        <f ca="1" t="shared" si="26"/>
        <v>0</v>
      </c>
      <c r="K1411" s="30" t="s">
        <v>146</v>
      </c>
      <c r="L1411" s="19"/>
      <c r="M1411" s="3"/>
    </row>
    <row r="1412" s="1" customFormat="1" spans="1:13">
      <c r="A1412" s="22"/>
      <c r="B1412" s="143" t="s">
        <v>2410</v>
      </c>
      <c r="C1412" s="145" t="s">
        <v>2407</v>
      </c>
      <c r="D1412" s="52" t="s">
        <v>2332</v>
      </c>
      <c r="E1412" s="103" t="s">
        <v>316</v>
      </c>
      <c r="F1412" s="26" t="s">
        <v>197</v>
      </c>
      <c r="G1412" s="27">
        <f>SUMIF(物料月初库存!$C$3:$C$303,$B1412,物料月初库存!$F$3:$F$303)</f>
        <v>0</v>
      </c>
      <c r="H1412" s="28">
        <f>SUMIF(半成品入库明细!$D$2:$D$650,$B1412,半成品入库明细!$G$2:$G$650)</f>
        <v>0</v>
      </c>
      <c r="I1412" s="28">
        <f ca="1">SUMIF(半成品出库明细!$D$2:$D$558,$B1412,半成品出库明细!$G$2:$G$2)</f>
        <v>0</v>
      </c>
      <c r="J1412" s="28">
        <f ca="1" t="shared" si="26"/>
        <v>0</v>
      </c>
      <c r="K1412" s="146" t="s">
        <v>2411</v>
      </c>
      <c r="L1412" s="19"/>
      <c r="M1412" s="3"/>
    </row>
    <row r="1413" s="1" customFormat="1" spans="1:13">
      <c r="A1413" s="22"/>
      <c r="B1413" s="143" t="s">
        <v>2412</v>
      </c>
      <c r="C1413" s="145" t="s">
        <v>2407</v>
      </c>
      <c r="D1413" s="52" t="s">
        <v>2332</v>
      </c>
      <c r="E1413" s="103" t="s">
        <v>256</v>
      </c>
      <c r="F1413" s="26" t="s">
        <v>197</v>
      </c>
      <c r="G1413" s="27">
        <f>SUMIF(物料月初库存!$C$3:$C$303,$B1413,物料月初库存!$F$3:$F$303)</f>
        <v>0</v>
      </c>
      <c r="H1413" s="28">
        <f>SUMIF(半成品入库明细!$D$2:$D$650,$B1413,半成品入库明细!$G$2:$G$650)</f>
        <v>0</v>
      </c>
      <c r="I1413" s="28">
        <f ca="1">SUMIF(半成品出库明细!$D$2:$D$558,$B1413,半成品出库明细!$G$2:$G$2)</f>
        <v>0</v>
      </c>
      <c r="J1413" s="28">
        <f ca="1" t="shared" si="26"/>
        <v>0</v>
      </c>
      <c r="K1413" s="30" t="s">
        <v>532</v>
      </c>
      <c r="L1413" s="19"/>
      <c r="M1413" s="3"/>
    </row>
    <row r="1414" s="1" customFormat="1" spans="1:13">
      <c r="A1414" s="22"/>
      <c r="B1414" s="143" t="s">
        <v>2413</v>
      </c>
      <c r="C1414" s="145" t="s">
        <v>2414</v>
      </c>
      <c r="D1414" s="52" t="s">
        <v>2332</v>
      </c>
      <c r="E1414" s="103" t="s">
        <v>76</v>
      </c>
      <c r="F1414" s="26" t="s">
        <v>197</v>
      </c>
      <c r="G1414" s="27">
        <f>SUMIF(物料月初库存!$C$3:$C$303,$B1414,物料月初库存!$F$3:$F$303)</f>
        <v>0</v>
      </c>
      <c r="H1414" s="28">
        <f>SUMIF(半成品入库明细!$D$2:$D$650,$B1414,半成品入库明细!$G$2:$G$650)</f>
        <v>0</v>
      </c>
      <c r="I1414" s="28">
        <f ca="1">SUMIF(半成品出库明细!$D$2:$D$558,$B1414,半成品出库明细!$G$2:$G$2)</f>
        <v>0</v>
      </c>
      <c r="J1414" s="28">
        <f ca="1" t="shared" si="26"/>
        <v>0</v>
      </c>
      <c r="K1414" s="30"/>
      <c r="L1414" s="19"/>
      <c r="M1414" s="3"/>
    </row>
    <row r="1415" s="1" customFormat="1" spans="1:13">
      <c r="A1415" s="22"/>
      <c r="B1415" s="143" t="s">
        <v>2415</v>
      </c>
      <c r="C1415" s="145" t="s">
        <v>2414</v>
      </c>
      <c r="D1415" s="52" t="s">
        <v>2332</v>
      </c>
      <c r="E1415" s="103" t="s">
        <v>616</v>
      </c>
      <c r="F1415" s="26" t="s">
        <v>197</v>
      </c>
      <c r="G1415" s="27">
        <f>SUMIF(物料月初库存!$C$3:$C$303,$B1415,物料月初库存!$F$3:$F$303)</f>
        <v>0</v>
      </c>
      <c r="H1415" s="28">
        <f>SUMIF(半成品入库明细!$D$2:$D$650,$B1415,半成品入库明细!$G$2:$G$650)</f>
        <v>0</v>
      </c>
      <c r="I1415" s="28">
        <f ca="1">SUMIF(半成品出库明细!$D$2:$D$558,$B1415,半成品出库明细!$G$2:$G$2)</f>
        <v>0</v>
      </c>
      <c r="J1415" s="28">
        <f ca="1" t="shared" si="26"/>
        <v>0</v>
      </c>
      <c r="K1415" s="30" t="s">
        <v>113</v>
      </c>
      <c r="L1415" s="19"/>
      <c r="M1415" s="3"/>
    </row>
    <row r="1416" s="1" customFormat="1" spans="1:13">
      <c r="A1416" s="22"/>
      <c r="B1416" s="143" t="s">
        <v>2416</v>
      </c>
      <c r="C1416" s="145" t="s">
        <v>2414</v>
      </c>
      <c r="D1416" s="52" t="s">
        <v>2332</v>
      </c>
      <c r="E1416" s="103" t="s">
        <v>316</v>
      </c>
      <c r="F1416" s="26" t="s">
        <v>197</v>
      </c>
      <c r="G1416" s="27">
        <f>SUMIF(物料月初库存!$C$3:$C$303,$B1416,物料月初库存!$F$3:$F$303)</f>
        <v>0</v>
      </c>
      <c r="H1416" s="28">
        <f>SUMIF(半成品入库明细!$D$2:$D$650,$B1416,半成品入库明细!$G$2:$G$650)</f>
        <v>0</v>
      </c>
      <c r="I1416" s="28">
        <f ca="1">SUMIF(半成品出库明细!$D$2:$D$558,$B1416,半成品出库明细!$G$2:$G$2)</f>
        <v>0</v>
      </c>
      <c r="J1416" s="28">
        <f ca="1" t="shared" si="26"/>
        <v>0</v>
      </c>
      <c r="L1416" s="19"/>
      <c r="M1416" s="3"/>
    </row>
    <row r="1417" s="1" customFormat="1" spans="1:13">
      <c r="A1417" s="22"/>
      <c r="B1417" s="143" t="s">
        <v>2417</v>
      </c>
      <c r="C1417" s="145" t="s">
        <v>2414</v>
      </c>
      <c r="D1417" s="52" t="s">
        <v>2332</v>
      </c>
      <c r="E1417" s="103" t="s">
        <v>256</v>
      </c>
      <c r="F1417" s="26" t="s">
        <v>197</v>
      </c>
      <c r="G1417" s="27">
        <f>SUMIF(物料月初库存!$C$3:$C$303,$B1417,物料月初库存!$F$3:$F$303)</f>
        <v>0</v>
      </c>
      <c r="H1417" s="28">
        <f>SUMIF(半成品入库明细!$D$2:$D$650,$B1417,半成品入库明细!$G$2:$G$650)</f>
        <v>0</v>
      </c>
      <c r="I1417" s="28">
        <f ca="1">SUMIF(半成品出库明细!$D$2:$D$558,$B1417,半成品出库明细!$G$2:$G$2)</f>
        <v>0</v>
      </c>
      <c r="J1417" s="28">
        <f ca="1" t="shared" si="26"/>
        <v>0</v>
      </c>
      <c r="K1417" s="30" t="s">
        <v>2367</v>
      </c>
      <c r="L1417" s="19"/>
      <c r="M1417" s="3"/>
    </row>
    <row r="1418" s="1" customFormat="1" spans="1:13">
      <c r="A1418" s="22"/>
      <c r="B1418" s="143" t="s">
        <v>2418</v>
      </c>
      <c r="C1418" s="145" t="s">
        <v>2419</v>
      </c>
      <c r="D1418" s="52" t="s">
        <v>2332</v>
      </c>
      <c r="E1418" s="103" t="s">
        <v>76</v>
      </c>
      <c r="F1418" s="26" t="s">
        <v>197</v>
      </c>
      <c r="G1418" s="27">
        <f>SUMIF(物料月初库存!$C$3:$C$303,$B1418,物料月初库存!$F$3:$F$303)</f>
        <v>0</v>
      </c>
      <c r="H1418" s="28">
        <f>SUMIF(半成品入库明细!$D$2:$D$650,$B1418,半成品入库明细!$G$2:$G$650)</f>
        <v>0</v>
      </c>
      <c r="I1418" s="28">
        <f ca="1">SUMIF(半成品出库明细!$D$2:$D$558,$B1418,半成品出库明细!$G$2:$G$2)</f>
        <v>0</v>
      </c>
      <c r="J1418" s="28">
        <f ca="1" t="shared" si="26"/>
        <v>0</v>
      </c>
      <c r="K1418" s="30"/>
      <c r="L1418" s="19"/>
      <c r="M1418" s="3"/>
    </row>
    <row r="1419" s="1" customFormat="1" spans="1:13">
      <c r="A1419" s="22"/>
      <c r="B1419" s="143" t="s">
        <v>2420</v>
      </c>
      <c r="C1419" s="145" t="s">
        <v>2419</v>
      </c>
      <c r="D1419" s="52" t="s">
        <v>2332</v>
      </c>
      <c r="E1419" s="103" t="s">
        <v>616</v>
      </c>
      <c r="F1419" s="26" t="s">
        <v>197</v>
      </c>
      <c r="G1419" s="27">
        <f>SUMIF(物料月初库存!$C$3:$C$303,$B1419,物料月初库存!$F$3:$F$303)</f>
        <v>0</v>
      </c>
      <c r="H1419" s="28">
        <f>SUMIF(半成品入库明细!$D$2:$D$650,$B1419,半成品入库明细!$G$2:$G$650)</f>
        <v>0</v>
      </c>
      <c r="I1419" s="28">
        <f ca="1">SUMIF(半成品出库明细!$D$2:$D$558,$B1419,半成品出库明细!$G$2:$G$2)</f>
        <v>0</v>
      </c>
      <c r="J1419" s="28">
        <f ca="1" t="shared" si="26"/>
        <v>0</v>
      </c>
      <c r="K1419" s="30" t="s">
        <v>113</v>
      </c>
      <c r="L1419" s="19"/>
      <c r="M1419" s="3"/>
    </row>
    <row r="1420" s="1" customFormat="1" spans="1:13">
      <c r="A1420" s="22"/>
      <c r="B1420" s="143" t="s">
        <v>2421</v>
      </c>
      <c r="C1420" s="145" t="s">
        <v>2419</v>
      </c>
      <c r="D1420" s="52" t="s">
        <v>2332</v>
      </c>
      <c r="E1420" s="103" t="s">
        <v>267</v>
      </c>
      <c r="F1420" s="26" t="s">
        <v>197</v>
      </c>
      <c r="G1420" s="27">
        <f>SUMIF(物料月初库存!$C$3:$C$303,$B1420,物料月初库存!$F$3:$F$303)</f>
        <v>0</v>
      </c>
      <c r="H1420" s="28">
        <f>SUMIF(半成品入库明细!$D$2:$D$650,$B1420,半成品入库明细!$G$2:$G$650)</f>
        <v>0</v>
      </c>
      <c r="I1420" s="28">
        <f ca="1">SUMIF(半成品出库明细!$D$2:$D$558,$B1420,半成品出库明细!$G$2:$G$2)</f>
        <v>0</v>
      </c>
      <c r="J1420" s="28">
        <f ca="1" t="shared" si="26"/>
        <v>0</v>
      </c>
      <c r="K1420" s="30" t="s">
        <v>146</v>
      </c>
      <c r="L1420" s="19"/>
      <c r="M1420" s="3"/>
    </row>
    <row r="1421" s="1" customFormat="1" spans="1:13">
      <c r="A1421" s="22"/>
      <c r="B1421" s="143" t="s">
        <v>2422</v>
      </c>
      <c r="C1421" s="145" t="s">
        <v>2419</v>
      </c>
      <c r="D1421" s="52" t="s">
        <v>2332</v>
      </c>
      <c r="E1421" s="103" t="s">
        <v>316</v>
      </c>
      <c r="F1421" s="26" t="s">
        <v>197</v>
      </c>
      <c r="G1421" s="27">
        <f>SUMIF(物料月初库存!$C$3:$C$303,$B1421,物料月初库存!$F$3:$F$303)</f>
        <v>0</v>
      </c>
      <c r="H1421" s="28">
        <f>SUMIF(半成品入库明细!$D$2:$D$650,$B1421,半成品入库明细!$G$2:$G$650)</f>
        <v>0</v>
      </c>
      <c r="I1421" s="28">
        <f ca="1">SUMIF(半成品出库明细!$D$2:$D$558,$B1421,半成品出库明细!$G$2:$G$2)</f>
        <v>0</v>
      </c>
      <c r="J1421" s="28">
        <f ca="1" t="shared" ref="J1421:J1457" si="27">G1421+H1421-I1421</f>
        <v>0</v>
      </c>
      <c r="K1421" s="146" t="s">
        <v>2411</v>
      </c>
      <c r="L1421" s="19"/>
      <c r="M1421" s="3"/>
    </row>
    <row r="1422" s="1" customFormat="1" spans="1:13">
      <c r="A1422" s="22"/>
      <c r="B1422" s="143" t="s">
        <v>2423</v>
      </c>
      <c r="C1422" s="145" t="s">
        <v>2419</v>
      </c>
      <c r="D1422" s="52" t="s">
        <v>2332</v>
      </c>
      <c r="E1422" s="103" t="s">
        <v>256</v>
      </c>
      <c r="F1422" s="26" t="s">
        <v>197</v>
      </c>
      <c r="G1422" s="27">
        <f>SUMIF(物料月初库存!$C$3:$C$303,$B1422,物料月初库存!$F$3:$F$303)</f>
        <v>0</v>
      </c>
      <c r="H1422" s="28">
        <f>SUMIF(半成品入库明细!$D$2:$D$650,$B1422,半成品入库明细!$G$2:$G$650)</f>
        <v>0</v>
      </c>
      <c r="I1422" s="28">
        <f ca="1">SUMIF(半成品出库明细!$D$2:$D$558,$B1422,半成品出库明细!$G$2:$G$2)</f>
        <v>0</v>
      </c>
      <c r="J1422" s="28">
        <f ca="1" t="shared" si="27"/>
        <v>0</v>
      </c>
      <c r="K1422" s="30" t="s">
        <v>532</v>
      </c>
      <c r="L1422" s="19"/>
      <c r="M1422" s="3"/>
    </row>
    <row r="1423" s="1" customFormat="1" spans="1:13">
      <c r="A1423" s="22"/>
      <c r="B1423" s="143" t="s">
        <v>2424</v>
      </c>
      <c r="C1423" s="145" t="s">
        <v>2425</v>
      </c>
      <c r="D1423" s="52" t="s">
        <v>2332</v>
      </c>
      <c r="E1423" s="103" t="s">
        <v>76</v>
      </c>
      <c r="F1423" s="26" t="s">
        <v>197</v>
      </c>
      <c r="G1423" s="27">
        <f>SUMIF(物料月初库存!$C$3:$C$303,$B1423,物料月初库存!$F$3:$F$303)</f>
        <v>0</v>
      </c>
      <c r="H1423" s="28">
        <f>SUMIF(半成品入库明细!$D$2:$D$650,$B1423,半成品入库明细!$G$2:$G$650)</f>
        <v>0</v>
      </c>
      <c r="I1423" s="28">
        <f ca="1">SUMIF(半成品出库明细!$D$2:$D$558,$B1423,半成品出库明细!$G$2:$G$2)</f>
        <v>0</v>
      </c>
      <c r="J1423" s="28">
        <f ca="1" t="shared" si="27"/>
        <v>0</v>
      </c>
      <c r="K1423" s="30"/>
      <c r="L1423" s="19"/>
      <c r="M1423" s="3"/>
    </row>
    <row r="1424" s="1" customFormat="1" spans="1:13">
      <c r="A1424" s="22"/>
      <c r="B1424" s="143" t="s">
        <v>2426</v>
      </c>
      <c r="C1424" s="145" t="s">
        <v>2425</v>
      </c>
      <c r="D1424" s="52" t="s">
        <v>2332</v>
      </c>
      <c r="E1424" s="103" t="s">
        <v>616</v>
      </c>
      <c r="F1424" s="26" t="s">
        <v>197</v>
      </c>
      <c r="G1424" s="27">
        <f>SUMIF(物料月初库存!$C$3:$C$303,$B1424,物料月初库存!$F$3:$F$303)</f>
        <v>0</v>
      </c>
      <c r="H1424" s="28">
        <f>SUMIF(半成品入库明细!$D$2:$D$650,$B1424,半成品入库明细!$G$2:$G$650)</f>
        <v>0</v>
      </c>
      <c r="I1424" s="28">
        <f ca="1">SUMIF(半成品出库明细!$D$2:$D$558,$B1424,半成品出库明细!$G$2:$G$2)</f>
        <v>0</v>
      </c>
      <c r="J1424" s="28">
        <f ca="1" t="shared" si="27"/>
        <v>0</v>
      </c>
      <c r="K1424" s="30"/>
      <c r="L1424" s="19"/>
      <c r="M1424" s="3"/>
    </row>
    <row r="1425" s="1" customFormat="1" spans="1:13">
      <c r="A1425" s="22"/>
      <c r="B1425" s="143" t="s">
        <v>2427</v>
      </c>
      <c r="C1425" s="145" t="s">
        <v>2425</v>
      </c>
      <c r="D1425" s="52" t="s">
        <v>2332</v>
      </c>
      <c r="E1425" s="103" t="s">
        <v>316</v>
      </c>
      <c r="F1425" s="26" t="s">
        <v>197</v>
      </c>
      <c r="G1425" s="27">
        <f>SUMIF(物料月初库存!$C$3:$C$303,$B1425,物料月初库存!$F$3:$F$303)</f>
        <v>0</v>
      </c>
      <c r="H1425" s="28">
        <f>SUMIF(半成品入库明细!$D$2:$D$650,$B1425,半成品入库明细!$G$2:$G$650)</f>
        <v>0</v>
      </c>
      <c r="I1425" s="28">
        <f ca="1">SUMIF(半成品出库明细!$D$2:$D$558,$B1425,半成品出库明细!$G$2:$G$2)</f>
        <v>0</v>
      </c>
      <c r="J1425" s="28">
        <f ca="1" t="shared" si="27"/>
        <v>0</v>
      </c>
      <c r="K1425" s="30"/>
      <c r="L1425" s="19"/>
      <c r="M1425" s="3"/>
    </row>
    <row r="1426" s="1" customFormat="1" spans="1:13">
      <c r="A1426" s="22"/>
      <c r="B1426" s="143" t="s">
        <v>2428</v>
      </c>
      <c r="C1426" s="145" t="s">
        <v>2425</v>
      </c>
      <c r="D1426" s="52" t="s">
        <v>2332</v>
      </c>
      <c r="E1426" s="103" t="s">
        <v>256</v>
      </c>
      <c r="F1426" s="26" t="s">
        <v>197</v>
      </c>
      <c r="G1426" s="27">
        <f>SUMIF(物料月初库存!$C$3:$C$303,$B1426,物料月初库存!$F$3:$F$303)</f>
        <v>0</v>
      </c>
      <c r="H1426" s="28">
        <f>SUMIF(半成品入库明细!$D$2:$D$650,$B1426,半成品入库明细!$G$2:$G$650)</f>
        <v>0</v>
      </c>
      <c r="I1426" s="28">
        <f ca="1">SUMIF(半成品出库明细!$D$2:$D$558,$B1426,半成品出库明细!$G$2:$G$2)</f>
        <v>0</v>
      </c>
      <c r="J1426" s="28">
        <f ca="1" t="shared" si="27"/>
        <v>0</v>
      </c>
      <c r="K1426" s="30" t="s">
        <v>2367</v>
      </c>
      <c r="L1426" s="19"/>
      <c r="M1426" s="3"/>
    </row>
    <row r="1427" s="1" customFormat="1" spans="1:13">
      <c r="A1427" s="22"/>
      <c r="B1427" s="143" t="s">
        <v>2429</v>
      </c>
      <c r="C1427" s="145" t="s">
        <v>2430</v>
      </c>
      <c r="D1427" s="52" t="s">
        <v>2332</v>
      </c>
      <c r="E1427" s="103" t="s">
        <v>76</v>
      </c>
      <c r="F1427" s="26" t="s">
        <v>197</v>
      </c>
      <c r="G1427" s="27">
        <f>SUMIF(物料月初库存!$C$3:$C$303,$B1427,物料月初库存!$F$3:$F$303)</f>
        <v>0</v>
      </c>
      <c r="H1427" s="28">
        <f>SUMIF(半成品入库明细!$D$2:$D$650,$B1427,半成品入库明细!$G$2:$G$650)</f>
        <v>0</v>
      </c>
      <c r="I1427" s="28">
        <f ca="1">SUMIF(半成品出库明细!$D$2:$D$558,$B1427,半成品出库明细!$G$2:$G$2)</f>
        <v>0</v>
      </c>
      <c r="J1427" s="28">
        <f ca="1" t="shared" si="27"/>
        <v>0</v>
      </c>
      <c r="K1427" s="30"/>
      <c r="L1427" s="19"/>
      <c r="M1427" s="3"/>
    </row>
    <row r="1428" s="1" customFormat="1" spans="1:13">
      <c r="A1428" s="22"/>
      <c r="B1428" s="143" t="s">
        <v>2431</v>
      </c>
      <c r="C1428" s="145" t="s">
        <v>2430</v>
      </c>
      <c r="D1428" s="52" t="s">
        <v>2332</v>
      </c>
      <c r="E1428" s="123" t="s">
        <v>691</v>
      </c>
      <c r="F1428" s="38" t="s">
        <v>197</v>
      </c>
      <c r="G1428" s="39">
        <f>SUMIF(物料月初库存!$C$3:$C$303,$B1428,物料月初库存!$F$3:$F$303)</f>
        <v>0</v>
      </c>
      <c r="H1428" s="40">
        <f>SUMIF(半成品入库明细!$D$2:$D$650,$B1428,半成品入库明细!$G$2:$G$650)</f>
        <v>0</v>
      </c>
      <c r="I1428" s="40">
        <f ca="1">SUMIF(半成品出库明细!$D$2:$D$558,$B1428,半成品出库明细!$G$2:$G$2)</f>
        <v>0</v>
      </c>
      <c r="J1428" s="40">
        <f ca="1" t="shared" si="27"/>
        <v>0</v>
      </c>
      <c r="K1428" s="88" t="s">
        <v>2432</v>
      </c>
      <c r="L1428" s="37"/>
      <c r="M1428" s="3"/>
    </row>
    <row r="1429" s="1" customFormat="1" spans="1:13">
      <c r="A1429" s="22" t="s">
        <v>2433</v>
      </c>
      <c r="B1429" s="143" t="s">
        <v>2434</v>
      </c>
      <c r="C1429" s="145" t="s">
        <v>2430</v>
      </c>
      <c r="D1429" s="52" t="s">
        <v>2332</v>
      </c>
      <c r="E1429" s="123" t="s">
        <v>356</v>
      </c>
      <c r="F1429" s="38" t="s">
        <v>197</v>
      </c>
      <c r="G1429" s="39">
        <f>SUMIF(物料月初库存!$C$3:$C$303,$B1429,物料月初库存!$F$3:$F$303)</f>
        <v>0</v>
      </c>
      <c r="H1429" s="40">
        <f>SUMIF(半成品入库明细!$D$2:$D$650,$B1429,半成品入库明细!$G$2:$G$650)</f>
        <v>0</v>
      </c>
      <c r="I1429" s="40">
        <f ca="1">SUMIF(半成品出库明细!$D$2:$D$558,$B1429,半成品出库明细!$G$2:$G$2)</f>
        <v>0</v>
      </c>
      <c r="J1429" s="40">
        <f ca="1" t="shared" si="27"/>
        <v>0</v>
      </c>
      <c r="K1429" s="147" t="s">
        <v>2435</v>
      </c>
      <c r="L1429" s="37"/>
      <c r="M1429" s="3"/>
    </row>
    <row r="1430" s="1" customFormat="1" spans="1:13">
      <c r="A1430" s="22"/>
      <c r="B1430" s="143" t="s">
        <v>2436</v>
      </c>
      <c r="C1430" s="145" t="s">
        <v>2430</v>
      </c>
      <c r="D1430" s="52" t="s">
        <v>2332</v>
      </c>
      <c r="E1430" s="103" t="s">
        <v>670</v>
      </c>
      <c r="F1430" s="26" t="s">
        <v>197</v>
      </c>
      <c r="G1430" s="27">
        <f>SUMIF(物料月初库存!$C$3:$C$303,$B1430,物料月初库存!$F$3:$F$303)</f>
        <v>0</v>
      </c>
      <c r="H1430" s="28">
        <f>SUMIF(半成品入库明细!$D$2:$D$650,$B1430,半成品入库明细!$G$2:$G$650)</f>
        <v>0</v>
      </c>
      <c r="I1430" s="28">
        <f ca="1">SUMIF(半成品出库明细!$D$2:$D$558,$B1430,半成品出库明细!$G$2:$G$2)</f>
        <v>0</v>
      </c>
      <c r="J1430" s="28">
        <f ca="1" t="shared" si="27"/>
        <v>0</v>
      </c>
      <c r="K1430" s="30" t="s">
        <v>146</v>
      </c>
      <c r="L1430" s="19"/>
      <c r="M1430" s="3"/>
    </row>
    <row r="1431" s="1" customFormat="1" spans="1:13">
      <c r="A1431" s="22"/>
      <c r="B1431" s="143" t="s">
        <v>29</v>
      </c>
      <c r="C1431" s="145" t="s">
        <v>2430</v>
      </c>
      <c r="D1431" s="52" t="s">
        <v>2332</v>
      </c>
      <c r="E1431" s="103" t="s">
        <v>256</v>
      </c>
      <c r="F1431" s="26" t="s">
        <v>197</v>
      </c>
      <c r="G1431" s="27">
        <f>SUMIF(物料月初库存!$C$3:$C$303,$B1431,物料月初库存!$F$3:$F$303)</f>
        <v>4232</v>
      </c>
      <c r="H1431" s="28">
        <f>SUMIF(半成品入库明细!$D$2:$D$650,$B1431,半成品入库明细!$G$2:$G$650)</f>
        <v>0</v>
      </c>
      <c r="I1431" s="28">
        <f ca="1">SUMIF(半成品出库明细!$D$2:$D$558,$B1431,半成品出库明细!$G$2:$G$2)</f>
        <v>2100</v>
      </c>
      <c r="J1431" s="28">
        <f ca="1" t="shared" si="27"/>
        <v>2132</v>
      </c>
      <c r="K1431" s="30" t="s">
        <v>2437</v>
      </c>
      <c r="L1431" s="19"/>
      <c r="M1431" s="3"/>
    </row>
    <row r="1432" s="1" customFormat="1" spans="1:13">
      <c r="A1432" s="22"/>
      <c r="B1432" s="143" t="s">
        <v>2438</v>
      </c>
      <c r="C1432" s="145" t="s">
        <v>2430</v>
      </c>
      <c r="D1432" s="52" t="s">
        <v>2332</v>
      </c>
      <c r="E1432" s="103" t="s">
        <v>353</v>
      </c>
      <c r="F1432" s="26" t="s">
        <v>197</v>
      </c>
      <c r="G1432" s="27">
        <f>SUMIF(物料月初库存!$C$3:$C$303,$B1432,物料月初库存!$F$3:$F$303)</f>
        <v>0</v>
      </c>
      <c r="H1432" s="28">
        <f>SUMIF(半成品入库明细!$D$2:$D$650,$B1432,半成品入库明细!$G$2:$G$650)</f>
        <v>0</v>
      </c>
      <c r="I1432" s="28">
        <f ca="1">SUMIF(半成品出库明细!$D$2:$D$558,$B1432,半成品出库明细!$G$2:$G$2)</f>
        <v>0</v>
      </c>
      <c r="J1432" s="28">
        <f ca="1" t="shared" si="27"/>
        <v>0</v>
      </c>
      <c r="K1432" s="30" t="s">
        <v>1271</v>
      </c>
      <c r="L1432" s="19"/>
      <c r="M1432" s="3"/>
    </row>
    <row r="1433" s="1" customFormat="1" spans="1:13">
      <c r="A1433" s="22"/>
      <c r="B1433" s="143" t="s">
        <v>2439</v>
      </c>
      <c r="C1433" s="145" t="s">
        <v>2440</v>
      </c>
      <c r="D1433" s="52" t="s">
        <v>2332</v>
      </c>
      <c r="E1433" s="103" t="s">
        <v>76</v>
      </c>
      <c r="F1433" s="26" t="s">
        <v>197</v>
      </c>
      <c r="G1433" s="27">
        <f>SUMIF(物料月初库存!$C$3:$C$303,$B1433,物料月初库存!$F$3:$F$303)</f>
        <v>0</v>
      </c>
      <c r="H1433" s="28">
        <f>SUMIF(半成品入库明细!$D$2:$D$650,$B1433,半成品入库明细!$G$2:$G$650)</f>
        <v>0</v>
      </c>
      <c r="I1433" s="28">
        <f ca="1">SUMIF(半成品出库明细!$D$2:$D$558,$B1433,半成品出库明细!$G$2:$G$2)</f>
        <v>0</v>
      </c>
      <c r="J1433" s="28">
        <f ca="1" t="shared" si="27"/>
        <v>0</v>
      </c>
      <c r="K1433" s="30"/>
      <c r="L1433" s="19"/>
      <c r="M1433" s="3"/>
    </row>
    <row r="1434" s="1" customFormat="1" spans="1:13">
      <c r="A1434" s="22"/>
      <c r="B1434" s="143" t="s">
        <v>2441</v>
      </c>
      <c r="C1434" s="145" t="s">
        <v>2440</v>
      </c>
      <c r="D1434" s="52" t="s">
        <v>2332</v>
      </c>
      <c r="E1434" s="103" t="s">
        <v>691</v>
      </c>
      <c r="F1434" s="26" t="s">
        <v>197</v>
      </c>
      <c r="G1434" s="27">
        <f>SUMIF(物料月初库存!$C$3:$C$303,$B1434,物料月初库存!$F$3:$F$303)</f>
        <v>0</v>
      </c>
      <c r="H1434" s="28">
        <f>SUMIF(半成品入库明细!$D$2:$D$650,$B1434,半成品入库明细!$G$2:$G$650)</f>
        <v>0</v>
      </c>
      <c r="I1434" s="28">
        <f ca="1">SUMIF(半成品出库明细!$D$2:$D$558,$B1434,半成品出库明细!$G$2:$G$2)</f>
        <v>0</v>
      </c>
      <c r="J1434" s="28">
        <f ca="1" t="shared" si="27"/>
        <v>0</v>
      </c>
      <c r="K1434" s="30" t="s">
        <v>92</v>
      </c>
      <c r="L1434" s="19"/>
      <c r="M1434" s="3"/>
    </row>
    <row r="1435" s="1" customFormat="1" spans="1:13">
      <c r="A1435" s="22"/>
      <c r="B1435" s="143" t="s">
        <v>30</v>
      </c>
      <c r="C1435" s="145" t="s">
        <v>2440</v>
      </c>
      <c r="D1435" s="52" t="s">
        <v>2332</v>
      </c>
      <c r="E1435" s="103" t="s">
        <v>256</v>
      </c>
      <c r="F1435" s="26" t="s">
        <v>197</v>
      </c>
      <c r="G1435" s="27">
        <f>SUMIF(物料月初库存!$C$3:$C$303,$B1435,物料月初库存!$F$3:$F$303)</f>
        <v>3600</v>
      </c>
      <c r="H1435" s="28">
        <f>SUMIF(半成品入库明细!$D$2:$D$650,$B1435,半成品入库明细!$G$2:$G$650)</f>
        <v>2988</v>
      </c>
      <c r="I1435" s="28">
        <f ca="1">SUMIF(半成品出库明细!$D$2:$D$558,$B1435,半成品出库明细!$G$2:$G$2)</f>
        <v>2988</v>
      </c>
      <c r="J1435" s="28">
        <f ca="1" t="shared" si="27"/>
        <v>3600</v>
      </c>
      <c r="K1435" s="124" t="s">
        <v>2437</v>
      </c>
      <c r="L1435" s="19"/>
      <c r="M1435" s="3"/>
    </row>
    <row r="1436" s="1" customFormat="1" spans="1:13">
      <c r="A1436" s="22"/>
      <c r="B1436" s="143" t="s">
        <v>2442</v>
      </c>
      <c r="C1436" s="145" t="s">
        <v>2440</v>
      </c>
      <c r="D1436" s="52" t="s">
        <v>2332</v>
      </c>
      <c r="E1436" s="103" t="s">
        <v>353</v>
      </c>
      <c r="F1436" s="26" t="s">
        <v>197</v>
      </c>
      <c r="G1436" s="27">
        <f>SUMIF(物料月初库存!$C$3:$C$303,$B1436,物料月初库存!$F$3:$F$303)</f>
        <v>0</v>
      </c>
      <c r="H1436" s="28">
        <f>SUMIF(半成品入库明细!$D$2:$D$650,$B1436,半成品入库明细!$G$2:$G$650)</f>
        <v>0</v>
      </c>
      <c r="I1436" s="28">
        <f ca="1">SUMIF(半成品出库明细!$D$2:$D$558,$B1436,半成品出库明细!$G$2:$G$2)</f>
        <v>0</v>
      </c>
      <c r="J1436" s="28">
        <f ca="1" t="shared" si="27"/>
        <v>0</v>
      </c>
      <c r="K1436" s="30" t="s">
        <v>1271</v>
      </c>
      <c r="L1436" s="19"/>
      <c r="M1436" s="3"/>
    </row>
    <row r="1437" s="1" customFormat="1" spans="1:13">
      <c r="A1437" s="22"/>
      <c r="B1437" s="143" t="s">
        <v>2443</v>
      </c>
      <c r="C1437" s="145" t="s">
        <v>2444</v>
      </c>
      <c r="D1437" s="52" t="s">
        <v>2332</v>
      </c>
      <c r="E1437" s="103" t="s">
        <v>76</v>
      </c>
      <c r="F1437" s="26" t="s">
        <v>197</v>
      </c>
      <c r="G1437" s="27">
        <f>SUMIF(物料月初库存!$C$3:$C$303,$B1437,物料月初库存!$F$3:$F$303)</f>
        <v>0</v>
      </c>
      <c r="H1437" s="28">
        <f>SUMIF(半成品入库明细!$D$2:$D$650,$B1437,半成品入库明细!$G$2:$G$650)</f>
        <v>0</v>
      </c>
      <c r="I1437" s="28">
        <f ca="1">SUMIF(半成品出库明细!$D$2:$D$558,$B1437,半成品出库明细!$G$2:$G$2)</f>
        <v>0</v>
      </c>
      <c r="J1437" s="28">
        <f ca="1" t="shared" si="27"/>
        <v>0</v>
      </c>
      <c r="K1437" s="30"/>
      <c r="L1437" s="19"/>
      <c r="M1437" s="3"/>
    </row>
    <row r="1438" s="1" customFormat="1" spans="1:13">
      <c r="A1438" s="22"/>
      <c r="B1438" s="143" t="s">
        <v>2445</v>
      </c>
      <c r="C1438" s="145" t="s">
        <v>2444</v>
      </c>
      <c r="D1438" s="52" t="s">
        <v>2332</v>
      </c>
      <c r="E1438" s="103" t="s">
        <v>691</v>
      </c>
      <c r="F1438" s="26" t="s">
        <v>197</v>
      </c>
      <c r="G1438" s="27">
        <f>SUMIF(物料月初库存!$C$3:$C$303,$B1438,物料月初库存!$F$3:$F$303)</f>
        <v>0</v>
      </c>
      <c r="H1438" s="28">
        <f>SUMIF(半成品入库明细!$D$2:$D$650,$B1438,半成品入库明细!$G$2:$G$650)</f>
        <v>0</v>
      </c>
      <c r="I1438" s="28">
        <f ca="1">SUMIF(半成品出库明细!$D$2:$D$558,$B1438,半成品出库明细!$G$2:$G$2)</f>
        <v>0</v>
      </c>
      <c r="J1438" s="28">
        <f ca="1" t="shared" si="27"/>
        <v>0</v>
      </c>
      <c r="K1438" s="30"/>
      <c r="L1438" s="19"/>
      <c r="M1438" s="3"/>
    </row>
    <row r="1439" s="1" customFormat="1" spans="1:13">
      <c r="A1439" s="22"/>
      <c r="B1439" s="143" t="s">
        <v>2446</v>
      </c>
      <c r="C1439" s="145" t="s">
        <v>2444</v>
      </c>
      <c r="D1439" s="52" t="s">
        <v>2332</v>
      </c>
      <c r="E1439" s="103" t="s">
        <v>256</v>
      </c>
      <c r="F1439" s="26" t="s">
        <v>197</v>
      </c>
      <c r="G1439" s="27">
        <f>SUMIF(物料月初库存!$C$3:$C$303,$B1439,物料月初库存!$F$3:$F$303)</f>
        <v>0</v>
      </c>
      <c r="H1439" s="28">
        <f>SUMIF(半成品入库明细!$D$2:$D$650,$B1439,半成品入库明细!$G$2:$G$650)</f>
        <v>0</v>
      </c>
      <c r="I1439" s="28">
        <f ca="1">SUMIF(半成品出库明细!$D$2:$D$558,$B1439,半成品出库明细!$G$2:$G$2)</f>
        <v>0</v>
      </c>
      <c r="J1439" s="28">
        <f ca="1" t="shared" si="27"/>
        <v>0</v>
      </c>
      <c r="K1439" s="30" t="s">
        <v>2367</v>
      </c>
      <c r="L1439" s="19"/>
      <c r="M1439" s="3"/>
    </row>
    <row r="1440" s="1" customFormat="1" spans="1:13">
      <c r="A1440" s="22"/>
      <c r="B1440" s="143" t="s">
        <v>2447</v>
      </c>
      <c r="C1440" s="145" t="s">
        <v>2444</v>
      </c>
      <c r="D1440" s="52" t="s">
        <v>2332</v>
      </c>
      <c r="E1440" s="103" t="s">
        <v>353</v>
      </c>
      <c r="F1440" s="26" t="s">
        <v>197</v>
      </c>
      <c r="G1440" s="27">
        <f>SUMIF(物料月初库存!$C$3:$C$303,$B1440,物料月初库存!$F$3:$F$303)</f>
        <v>0</v>
      </c>
      <c r="H1440" s="28">
        <f>SUMIF(半成品入库明细!$D$2:$D$650,$B1440,半成品入库明细!$G$2:$G$650)</f>
        <v>0</v>
      </c>
      <c r="I1440" s="28">
        <f ca="1">SUMIF(半成品出库明细!$D$2:$D$558,$B1440,半成品出库明细!$G$2:$G$2)</f>
        <v>0</v>
      </c>
      <c r="J1440" s="28">
        <f ca="1" t="shared" si="27"/>
        <v>0</v>
      </c>
      <c r="K1440" s="30" t="s">
        <v>1271</v>
      </c>
      <c r="L1440" s="19"/>
      <c r="M1440" s="3"/>
    </row>
    <row r="1441" s="1" customFormat="1" spans="1:13">
      <c r="A1441" s="22"/>
      <c r="B1441" s="143" t="s">
        <v>2448</v>
      </c>
      <c r="C1441" s="145" t="s">
        <v>2449</v>
      </c>
      <c r="D1441" s="52" t="s">
        <v>2332</v>
      </c>
      <c r="E1441" s="103" t="s">
        <v>76</v>
      </c>
      <c r="F1441" s="26" t="s">
        <v>197</v>
      </c>
      <c r="G1441" s="27">
        <f>SUMIF(物料月初库存!$C$3:$C$303,$B1441,物料月初库存!$F$3:$F$303)</f>
        <v>0</v>
      </c>
      <c r="H1441" s="28">
        <f>SUMIF(半成品入库明细!$D$2:$D$650,$B1441,半成品入库明细!$G$2:$G$650)</f>
        <v>0</v>
      </c>
      <c r="I1441" s="28">
        <f ca="1">SUMIF(半成品出库明细!$D$2:$D$558,$B1441,半成品出库明细!$G$2:$G$2)</f>
        <v>0</v>
      </c>
      <c r="J1441" s="28">
        <f ca="1" t="shared" si="27"/>
        <v>0</v>
      </c>
      <c r="K1441" s="30"/>
      <c r="L1441" s="19"/>
      <c r="M1441" s="3"/>
    </row>
    <row r="1442" s="1" customFormat="1" spans="1:13">
      <c r="A1442" s="22"/>
      <c r="B1442" s="143" t="s">
        <v>2450</v>
      </c>
      <c r="C1442" s="145" t="s">
        <v>2449</v>
      </c>
      <c r="D1442" s="52" t="s">
        <v>2332</v>
      </c>
      <c r="E1442" s="103" t="s">
        <v>225</v>
      </c>
      <c r="F1442" s="26" t="s">
        <v>197</v>
      </c>
      <c r="G1442" s="27">
        <f>SUMIF(物料月初库存!$C$3:$C$303,$B1442,物料月初库存!$F$3:$F$303)</f>
        <v>0</v>
      </c>
      <c r="H1442" s="28">
        <f>SUMIF(半成品入库明细!$D$2:$D$650,$B1442,半成品入库明细!$G$2:$G$650)</f>
        <v>0</v>
      </c>
      <c r="I1442" s="28">
        <f ca="1">SUMIF(半成品出库明细!$D$2:$D$558,$B1442,半成品出库明细!$G$2:$G$2)</f>
        <v>0</v>
      </c>
      <c r="J1442" s="28">
        <f ca="1" t="shared" si="27"/>
        <v>0</v>
      </c>
      <c r="K1442" s="30" t="s">
        <v>92</v>
      </c>
      <c r="L1442" s="19"/>
      <c r="M1442" s="3"/>
    </row>
    <row r="1443" s="1" customFormat="1" spans="1:13">
      <c r="A1443" s="22"/>
      <c r="B1443" s="143" t="s">
        <v>2451</v>
      </c>
      <c r="C1443" s="145" t="s">
        <v>2449</v>
      </c>
      <c r="D1443" s="52" t="s">
        <v>2332</v>
      </c>
      <c r="E1443" s="103" t="s">
        <v>316</v>
      </c>
      <c r="F1443" s="26" t="s">
        <v>197</v>
      </c>
      <c r="G1443" s="27">
        <f>SUMIF(物料月初库存!$C$3:$C$303,$B1443,物料月初库存!$F$3:$F$303)</f>
        <v>0</v>
      </c>
      <c r="H1443" s="28">
        <f>SUMIF(半成品入库明细!$D$2:$D$650,$B1443,半成品入库明细!$G$2:$G$650)</f>
        <v>0</v>
      </c>
      <c r="I1443" s="28">
        <f ca="1">SUMIF(半成品出库明细!$D$2:$D$558,$B1443,半成品出库明细!$G$2:$G$2)</f>
        <v>0</v>
      </c>
      <c r="J1443" s="28">
        <f ca="1" t="shared" si="27"/>
        <v>0</v>
      </c>
      <c r="K1443" s="30" t="s">
        <v>2452</v>
      </c>
      <c r="L1443" s="19"/>
      <c r="M1443" s="3"/>
    </row>
    <row r="1444" s="1" customFormat="1" spans="1:13">
      <c r="A1444" s="22"/>
      <c r="B1444" s="143" t="s">
        <v>2453</v>
      </c>
      <c r="C1444" s="145" t="s">
        <v>2454</v>
      </c>
      <c r="D1444" s="52" t="s">
        <v>2332</v>
      </c>
      <c r="E1444" s="103" t="s">
        <v>76</v>
      </c>
      <c r="F1444" s="26" t="s">
        <v>197</v>
      </c>
      <c r="G1444" s="27">
        <f>SUMIF(物料月初库存!$C$3:$C$303,$B1444,物料月初库存!$F$3:$F$303)</f>
        <v>0</v>
      </c>
      <c r="H1444" s="28">
        <f>SUMIF(半成品入库明细!$D$2:$D$650,$B1444,半成品入库明细!$G$2:$G$650)</f>
        <v>0</v>
      </c>
      <c r="I1444" s="28">
        <f ca="1">SUMIF(半成品出库明细!$D$2:$D$558,$B1444,半成品出库明细!$G$2:$G$2)</f>
        <v>0</v>
      </c>
      <c r="J1444" s="28">
        <f ca="1" t="shared" si="27"/>
        <v>0</v>
      </c>
      <c r="K1444" s="30"/>
      <c r="L1444" s="19"/>
      <c r="M1444" s="3"/>
    </row>
    <row r="1445" s="1" customFormat="1" spans="1:13">
      <c r="A1445" s="22"/>
      <c r="B1445" s="143" t="s">
        <v>31</v>
      </c>
      <c r="C1445" s="145" t="s">
        <v>2454</v>
      </c>
      <c r="D1445" s="52" t="s">
        <v>2332</v>
      </c>
      <c r="E1445" s="103" t="s">
        <v>691</v>
      </c>
      <c r="F1445" s="26" t="s">
        <v>197</v>
      </c>
      <c r="G1445" s="27">
        <f>SUMIF(物料月初库存!$C$3:$C$303,$B1445,物料月初库存!$F$3:$F$303)</f>
        <v>8109</v>
      </c>
      <c r="H1445" s="28">
        <f>SUMIF(半成品入库明细!$D$2:$D$650,$B1445,半成品入库明细!$G$2:$G$650)</f>
        <v>0</v>
      </c>
      <c r="I1445" s="28">
        <f ca="1">SUMIF(半成品出库明细!$D$2:$D$558,$B1445,半成品出库明细!$G$2:$G$2)</f>
        <v>0</v>
      </c>
      <c r="J1445" s="28">
        <f ca="1" t="shared" si="27"/>
        <v>8109</v>
      </c>
      <c r="K1445" s="30" t="s">
        <v>92</v>
      </c>
      <c r="L1445" s="19"/>
      <c r="M1445" s="3"/>
    </row>
    <row r="1446" s="1" customFormat="1" spans="1:13">
      <c r="A1446" s="22"/>
      <c r="B1446" s="143" t="s">
        <v>2455</v>
      </c>
      <c r="C1446" s="145" t="s">
        <v>2454</v>
      </c>
      <c r="D1446" s="52" t="s">
        <v>2332</v>
      </c>
      <c r="E1446" s="103" t="s">
        <v>256</v>
      </c>
      <c r="F1446" s="26" t="s">
        <v>197</v>
      </c>
      <c r="G1446" s="27">
        <f>SUMIF(物料月初库存!$C$3:$C$303,$B1446,物料月初库存!$F$3:$F$303)</f>
        <v>0</v>
      </c>
      <c r="H1446" s="28">
        <f>SUMIF(半成品入库明细!$D$2:$D$650,$B1446,半成品入库明细!$G$2:$G$650)</f>
        <v>0</v>
      </c>
      <c r="I1446" s="28">
        <f ca="1">SUMIF(半成品出库明细!$D$2:$D$558,$B1446,半成品出库明细!$G$2:$G$2)</f>
        <v>0</v>
      </c>
      <c r="J1446" s="28">
        <f ca="1" t="shared" si="27"/>
        <v>0</v>
      </c>
      <c r="K1446" s="30" t="s">
        <v>2456</v>
      </c>
      <c r="L1446" s="19"/>
      <c r="M1446" s="3"/>
    </row>
    <row r="1447" s="1" customFormat="1" spans="1:13">
      <c r="A1447" s="22"/>
      <c r="B1447" s="143" t="s">
        <v>2451</v>
      </c>
      <c r="C1447" s="145" t="s">
        <v>2454</v>
      </c>
      <c r="D1447" s="52" t="s">
        <v>2332</v>
      </c>
      <c r="E1447" s="103" t="s">
        <v>353</v>
      </c>
      <c r="F1447" s="26" t="s">
        <v>197</v>
      </c>
      <c r="G1447" s="27">
        <f>SUMIF(物料月初库存!$C$3:$C$303,$B1447,物料月初库存!$F$3:$F$303)</f>
        <v>0</v>
      </c>
      <c r="H1447" s="28">
        <f>SUMIF(半成品入库明细!$D$2:$D$650,$B1447,半成品入库明细!$G$2:$G$650)</f>
        <v>0</v>
      </c>
      <c r="I1447" s="28">
        <f ca="1">SUMIF(半成品出库明细!$D$2:$D$558,$B1447,半成品出库明细!$G$2:$G$2)</f>
        <v>0</v>
      </c>
      <c r="J1447" s="28">
        <f ca="1" t="shared" si="27"/>
        <v>0</v>
      </c>
      <c r="K1447" s="30" t="s">
        <v>1271</v>
      </c>
      <c r="L1447" s="19"/>
      <c r="M1447" s="3"/>
    </row>
    <row r="1448" s="1" customFormat="1" spans="1:13">
      <c r="A1448" s="22"/>
      <c r="B1448" s="143" t="s">
        <v>32</v>
      </c>
      <c r="C1448" s="145" t="s">
        <v>2457</v>
      </c>
      <c r="D1448" s="52" t="s">
        <v>2332</v>
      </c>
      <c r="E1448" s="103" t="s">
        <v>2333</v>
      </c>
      <c r="F1448" s="26" t="s">
        <v>197</v>
      </c>
      <c r="G1448" s="27">
        <f>SUMIF(物料月初库存!$C$3:$C$303,$B1448,物料月初库存!$F$3:$F$303)</f>
        <v>3780</v>
      </c>
      <c r="H1448" s="28">
        <f>SUMIF(半成品入库明细!$D$2:$D$650,$B1448,半成品入库明细!$G$2:$G$650)</f>
        <v>0</v>
      </c>
      <c r="I1448" s="28">
        <f ca="1">SUMIF(半成品出库明细!$D$2:$D$558,$B1448,半成品出库明细!$G$2:$G$2)</f>
        <v>3780</v>
      </c>
      <c r="J1448" s="28">
        <f ca="1" t="shared" si="27"/>
        <v>0</v>
      </c>
      <c r="K1448" s="30" t="s">
        <v>2458</v>
      </c>
      <c r="L1448" s="19"/>
      <c r="M1448" s="3"/>
    </row>
    <row r="1449" s="1" customFormat="1" spans="1:13">
      <c r="A1449" s="22"/>
      <c r="B1449" s="143" t="s">
        <v>69</v>
      </c>
      <c r="C1449" s="145" t="s">
        <v>2459</v>
      </c>
      <c r="D1449" s="52" t="s">
        <v>2332</v>
      </c>
      <c r="E1449" s="103" t="s">
        <v>76</v>
      </c>
      <c r="F1449" s="26" t="s">
        <v>197</v>
      </c>
      <c r="G1449" s="27">
        <f>SUMIF(物料月初库存!$C$3:$C$303,$B1449,物料月初库存!$F$3:$F$303)</f>
        <v>1962</v>
      </c>
      <c r="H1449" s="28">
        <f>SUMIF(半成品入库明细!$D$2:$D$650,$B1449,半成品入库明细!$G$2:$G$650)</f>
        <v>0</v>
      </c>
      <c r="I1449" s="28">
        <f ca="1">SUMIF(半成品出库明细!$D$2:$D$558,$B1449,半成品出库明细!$G$2:$G$2)</f>
        <v>0</v>
      </c>
      <c r="J1449" s="28">
        <f ca="1" t="shared" si="27"/>
        <v>1962</v>
      </c>
      <c r="K1449" s="30" t="s">
        <v>704</v>
      </c>
      <c r="L1449" s="19"/>
      <c r="M1449" s="3"/>
    </row>
    <row r="1450" s="1" customFormat="1" spans="1:13">
      <c r="A1450" s="22"/>
      <c r="B1450" s="143" t="s">
        <v>115</v>
      </c>
      <c r="C1450" s="145" t="s">
        <v>2459</v>
      </c>
      <c r="D1450" s="52" t="s">
        <v>2332</v>
      </c>
      <c r="E1450" s="103" t="s">
        <v>1674</v>
      </c>
      <c r="F1450" s="26" t="s">
        <v>197</v>
      </c>
      <c r="G1450" s="27">
        <f>SUMIF(物料月初库存!$C$3:$C$303,$B1450,物料月初库存!$F$3:$F$303)</f>
        <v>0</v>
      </c>
      <c r="H1450" s="28">
        <f>SUMIF(半成品入库明细!$D$2:$D$650,$B1450,半成品入库明细!$G$2:$G$650)</f>
        <v>1960</v>
      </c>
      <c r="I1450" s="28">
        <f ca="1">SUMIF(半成品出库明细!$D$2:$D$558,$B1450,半成品出库明细!$G$2:$G$2)</f>
        <v>0</v>
      </c>
      <c r="J1450" s="28">
        <f ca="1" t="shared" si="27"/>
        <v>1960</v>
      </c>
      <c r="K1450" s="30" t="s">
        <v>113</v>
      </c>
      <c r="L1450" s="19"/>
      <c r="M1450" s="3"/>
    </row>
    <row r="1451" s="1" customFormat="1" spans="1:13">
      <c r="A1451" s="22"/>
      <c r="B1451" s="143" t="s">
        <v>2460</v>
      </c>
      <c r="C1451" s="145" t="s">
        <v>2459</v>
      </c>
      <c r="D1451" s="52" t="s">
        <v>2332</v>
      </c>
      <c r="E1451" s="103" t="s">
        <v>267</v>
      </c>
      <c r="F1451" s="26" t="s">
        <v>197</v>
      </c>
      <c r="G1451" s="27">
        <f>SUMIF(物料月初库存!$C$3:$C$303,$B1451,物料月初库存!$F$3:$F$303)</f>
        <v>0</v>
      </c>
      <c r="H1451" s="28">
        <f>SUMIF(半成品入库明细!$D$2:$D$650,$B1451,半成品入库明细!$G$2:$G$650)</f>
        <v>0</v>
      </c>
      <c r="I1451" s="28">
        <f ca="1">SUMIF(半成品出库明细!$D$2:$D$558,$B1451,半成品出库明细!$G$2:$G$2)</f>
        <v>0</v>
      </c>
      <c r="J1451" s="28">
        <f ca="1" t="shared" si="27"/>
        <v>0</v>
      </c>
      <c r="K1451" s="30" t="s">
        <v>146</v>
      </c>
      <c r="L1451" s="19"/>
      <c r="M1451" s="3"/>
    </row>
    <row r="1452" s="1" customFormat="1" spans="1:13">
      <c r="A1452" s="22"/>
      <c r="B1452" s="143" t="s">
        <v>33</v>
      </c>
      <c r="C1452" s="145" t="s">
        <v>2459</v>
      </c>
      <c r="D1452" s="52" t="s">
        <v>2332</v>
      </c>
      <c r="E1452" s="103" t="s">
        <v>256</v>
      </c>
      <c r="F1452" s="26" t="s">
        <v>197</v>
      </c>
      <c r="G1452" s="27">
        <f>SUMIF(物料月初库存!$C$3:$C$303,$B1452,物料月初库存!$F$3:$F$303)</f>
        <v>2877</v>
      </c>
      <c r="H1452" s="28">
        <f>SUMIF(半成品入库明细!$D$2:$D$650,$B1452,半成品入库明细!$G$2:$G$650)</f>
        <v>0</v>
      </c>
      <c r="I1452" s="28">
        <f ca="1">SUMIF(半成品出库明细!$D$2:$D$558,$B1452,半成品出库明细!$G$2:$G$2)</f>
        <v>0</v>
      </c>
      <c r="J1452" s="28">
        <f ca="1" t="shared" si="27"/>
        <v>2877</v>
      </c>
      <c r="K1452" s="30" t="s">
        <v>2456</v>
      </c>
      <c r="L1452" s="19"/>
      <c r="M1452" s="3"/>
    </row>
    <row r="1453" s="1" customFormat="1" spans="1:13">
      <c r="A1453" s="22"/>
      <c r="B1453" s="143" t="s">
        <v>2461</v>
      </c>
      <c r="C1453" s="145" t="s">
        <v>2459</v>
      </c>
      <c r="D1453" s="52" t="s">
        <v>2332</v>
      </c>
      <c r="E1453" s="103" t="s">
        <v>353</v>
      </c>
      <c r="F1453" s="26" t="s">
        <v>197</v>
      </c>
      <c r="G1453" s="27">
        <f>SUMIF(物料月初库存!$C$3:$C$303,$B1453,物料月初库存!$F$3:$F$303)</f>
        <v>0</v>
      </c>
      <c r="H1453" s="28">
        <f>SUMIF(半成品入库明细!$D$2:$D$650,$B1453,半成品入库明细!$G$2:$G$650)</f>
        <v>0</v>
      </c>
      <c r="I1453" s="28">
        <f ca="1">SUMIF(半成品出库明细!$D$2:$D$558,$B1453,半成品出库明细!$G$2:$G$2)</f>
        <v>0</v>
      </c>
      <c r="J1453" s="28">
        <f ca="1" t="shared" si="27"/>
        <v>0</v>
      </c>
      <c r="K1453" s="30" t="s">
        <v>1271</v>
      </c>
      <c r="L1453" s="19"/>
      <c r="M1453" s="3"/>
    </row>
    <row r="1454" s="1" customFormat="1" spans="1:13">
      <c r="A1454" s="22"/>
      <c r="B1454" s="143" t="s">
        <v>2462</v>
      </c>
      <c r="C1454" s="145" t="s">
        <v>2463</v>
      </c>
      <c r="D1454" s="52" t="s">
        <v>2332</v>
      </c>
      <c r="E1454" s="103" t="s">
        <v>256</v>
      </c>
      <c r="F1454" s="26" t="s">
        <v>197</v>
      </c>
      <c r="G1454" s="27">
        <f>SUMIF(物料月初库存!$C$3:$C$303,$B1454,物料月初库存!$F$3:$F$303)</f>
        <v>0</v>
      </c>
      <c r="H1454" s="28">
        <f>SUMIF(半成品入库明细!$D$2:$D$650,$B1454,半成品入库明细!$G$2:$G$650)</f>
        <v>0</v>
      </c>
      <c r="I1454" s="28">
        <f ca="1">SUMIF(半成品出库明细!$D$2:$D$558,$B1454,半成品出库明细!$G$2:$G$2)</f>
        <v>0</v>
      </c>
      <c r="J1454" s="28">
        <f ca="1" t="shared" si="27"/>
        <v>0</v>
      </c>
      <c r="K1454" s="30" t="s">
        <v>2367</v>
      </c>
      <c r="L1454" s="19"/>
      <c r="M1454" s="3"/>
    </row>
    <row r="1455" s="1" customFormat="1" spans="1:13">
      <c r="A1455" s="22"/>
      <c r="B1455" s="143" t="s">
        <v>2464</v>
      </c>
      <c r="C1455" s="145" t="s">
        <v>2463</v>
      </c>
      <c r="D1455" s="52" t="s">
        <v>2332</v>
      </c>
      <c r="E1455" s="103" t="s">
        <v>353</v>
      </c>
      <c r="F1455" s="26" t="s">
        <v>197</v>
      </c>
      <c r="G1455" s="27">
        <f>SUMIF(物料月初库存!$C$3:$C$303,$B1455,物料月初库存!$F$3:$F$303)</f>
        <v>0</v>
      </c>
      <c r="H1455" s="28">
        <f>SUMIF(半成品入库明细!$D$2:$D$650,$B1455,半成品入库明细!$G$2:$G$650)</f>
        <v>0</v>
      </c>
      <c r="I1455" s="28">
        <f ca="1">SUMIF(半成品出库明细!$D$2:$D$558,$B1455,半成品出库明细!$G$2:$G$2)</f>
        <v>0</v>
      </c>
      <c r="J1455" s="28">
        <f ca="1" t="shared" si="27"/>
        <v>0</v>
      </c>
      <c r="K1455" s="30" t="s">
        <v>1271</v>
      </c>
      <c r="L1455" s="19"/>
      <c r="M1455" s="3"/>
    </row>
    <row r="1456" s="1" customFormat="1" spans="1:13">
      <c r="A1456" s="22"/>
      <c r="B1456" s="143" t="s">
        <v>34</v>
      </c>
      <c r="C1456" s="145" t="s">
        <v>2465</v>
      </c>
      <c r="D1456" s="52" t="s">
        <v>2332</v>
      </c>
      <c r="E1456" s="103" t="s">
        <v>76</v>
      </c>
      <c r="F1456" s="26" t="s">
        <v>197</v>
      </c>
      <c r="G1456" s="27">
        <f>SUMIF(物料月初库存!$C$3:$C$303,$B1456,物料月初库存!$F$3:$F$303)</f>
        <v>1800</v>
      </c>
      <c r="H1456" s="28">
        <f>SUMIF(半成品入库明细!$D$2:$D$650,$B1456,半成品入库明细!$G$2:$G$650)</f>
        <v>0</v>
      </c>
      <c r="I1456" s="28">
        <f ca="1">SUMIF(半成品出库明细!$D$2:$D$558,$B1456,半成品出库明细!$G$2:$G$2)</f>
        <v>1800</v>
      </c>
      <c r="J1456" s="28">
        <f ca="1" t="shared" si="27"/>
        <v>0</v>
      </c>
      <c r="K1456" s="30"/>
      <c r="L1456" s="19"/>
      <c r="M1456" s="3"/>
    </row>
    <row r="1457" s="1" customFormat="1" spans="1:13">
      <c r="A1457" s="22"/>
      <c r="B1457" s="143" t="s">
        <v>2466</v>
      </c>
      <c r="C1457" s="145" t="s">
        <v>2465</v>
      </c>
      <c r="D1457" s="52" t="s">
        <v>2332</v>
      </c>
      <c r="E1457" s="103" t="s">
        <v>356</v>
      </c>
      <c r="F1457" s="26" t="s">
        <v>197</v>
      </c>
      <c r="G1457" s="27">
        <f>SUMIF(物料月初库存!$C$3:$C$303,$B1457,物料月初库存!$F$3:$F$303)</f>
        <v>0</v>
      </c>
      <c r="H1457" s="28">
        <f>SUMIF(半成品入库明细!$D$2:$D$650,$B1457,半成品入库明细!$G$2:$G$650)</f>
        <v>0</v>
      </c>
      <c r="I1457" s="28">
        <f ca="1">SUMIF(半成品出库明细!$D$2:$D$558,$B1457,半成品出库明细!$G$2:$G$2)</f>
        <v>0</v>
      </c>
      <c r="J1457" s="28">
        <f ca="1" t="shared" si="27"/>
        <v>0</v>
      </c>
      <c r="K1457" s="148" t="s">
        <v>2467</v>
      </c>
      <c r="L1457" s="19"/>
      <c r="M1457" s="3"/>
    </row>
    <row r="1458" s="1" customFormat="1" spans="1:13">
      <c r="A1458" s="22"/>
      <c r="B1458" s="143" t="s">
        <v>2468</v>
      </c>
      <c r="C1458" s="145" t="s">
        <v>2465</v>
      </c>
      <c r="D1458" s="52" t="s">
        <v>2332</v>
      </c>
      <c r="E1458" s="103" t="s">
        <v>267</v>
      </c>
      <c r="F1458" s="26" t="s">
        <v>197</v>
      </c>
      <c r="G1458" s="27">
        <f>SUMIF(物料月初库存!$C$3:$C$303,$B1458,物料月初库存!$F$3:$F$303)</f>
        <v>0</v>
      </c>
      <c r="H1458" s="28">
        <f>SUMIF(半成品入库明细!$D$2:$D$650,$B1458,半成品入库明细!$G$2:$G$650)</f>
        <v>0</v>
      </c>
      <c r="I1458" s="28">
        <f ca="1">SUMIF(半成品出库明细!$D$2:$D$558,$B1458,半成品出库明细!$G$2:$G$2)</f>
        <v>0</v>
      </c>
      <c r="J1458" s="28">
        <f ca="1" t="shared" ref="J1458:J1477" si="28">G1458+H1458-I1458</f>
        <v>0</v>
      </c>
      <c r="K1458" s="124" t="s">
        <v>146</v>
      </c>
      <c r="L1458" s="19"/>
      <c r="M1458" s="3"/>
    </row>
    <row r="1459" s="1" customFormat="1" spans="1:13">
      <c r="A1459" s="22"/>
      <c r="B1459" s="143" t="s">
        <v>2469</v>
      </c>
      <c r="C1459" s="145" t="s">
        <v>2465</v>
      </c>
      <c r="D1459" s="52" t="s">
        <v>2332</v>
      </c>
      <c r="E1459" s="103" t="s">
        <v>256</v>
      </c>
      <c r="F1459" s="26" t="s">
        <v>197</v>
      </c>
      <c r="G1459" s="27">
        <f>SUMIF(物料月初库存!$C$3:$C$303,$B1459,物料月初库存!$F$3:$F$303)</f>
        <v>0</v>
      </c>
      <c r="H1459" s="28">
        <f>SUMIF(半成品入库明细!$D$2:$D$650,$B1459,半成品入库明细!$G$2:$G$650)</f>
        <v>0</v>
      </c>
      <c r="I1459" s="28">
        <f ca="1">SUMIF(半成品出库明细!$D$2:$D$558,$B1459,半成品出库明细!$G$2:$G$2)</f>
        <v>0</v>
      </c>
      <c r="J1459" s="28">
        <f ca="1" t="shared" si="28"/>
        <v>0</v>
      </c>
      <c r="K1459" s="30" t="s">
        <v>2456</v>
      </c>
      <c r="L1459" s="19"/>
      <c r="M1459" s="3"/>
    </row>
    <row r="1460" s="1" customFormat="1" spans="1:13">
      <c r="A1460" s="22"/>
      <c r="B1460" s="143" t="s">
        <v>2470</v>
      </c>
      <c r="C1460" s="145" t="s">
        <v>2465</v>
      </c>
      <c r="D1460" s="52" t="s">
        <v>2332</v>
      </c>
      <c r="E1460" s="103" t="s">
        <v>353</v>
      </c>
      <c r="F1460" s="26" t="s">
        <v>197</v>
      </c>
      <c r="G1460" s="27">
        <f>SUMIF(物料月初库存!$C$3:$C$303,$B1460,物料月初库存!$F$3:$F$303)</f>
        <v>0</v>
      </c>
      <c r="H1460" s="28">
        <f>SUMIF(半成品入库明细!$D$2:$D$650,$B1460,半成品入库明细!$G$2:$G$650)</f>
        <v>0</v>
      </c>
      <c r="I1460" s="28">
        <f ca="1">SUMIF(半成品出库明细!$D$2:$D$558,$B1460,半成品出库明细!$G$2:$G$2)</f>
        <v>0</v>
      </c>
      <c r="J1460" s="28">
        <f ca="1" t="shared" si="28"/>
        <v>0</v>
      </c>
      <c r="K1460" s="30" t="s">
        <v>1271</v>
      </c>
      <c r="L1460" s="19"/>
      <c r="M1460" s="3"/>
    </row>
    <row r="1461" s="1" customFormat="1" spans="1:13">
      <c r="A1461" s="22"/>
      <c r="B1461" s="143" t="s">
        <v>2471</v>
      </c>
      <c r="C1461" s="145" t="s">
        <v>2472</v>
      </c>
      <c r="D1461" s="52" t="s">
        <v>2332</v>
      </c>
      <c r="E1461" s="103" t="s">
        <v>76</v>
      </c>
      <c r="F1461" s="26" t="s">
        <v>197</v>
      </c>
      <c r="G1461" s="27">
        <f>SUMIF(物料月初库存!$C$3:$C$303,$B1461,物料月初库存!$F$3:$F$303)</f>
        <v>0</v>
      </c>
      <c r="H1461" s="28">
        <f>SUMIF(半成品入库明细!$D$2:$D$650,$B1461,半成品入库明细!$G$2:$G$650)</f>
        <v>0</v>
      </c>
      <c r="I1461" s="28">
        <f ca="1">SUMIF(半成品出库明细!$D$2:$D$558,$B1461,半成品出库明细!$G$2:$G$2)</f>
        <v>0</v>
      </c>
      <c r="J1461" s="28">
        <f ca="1" t="shared" si="28"/>
        <v>0</v>
      </c>
      <c r="K1461" s="30"/>
      <c r="L1461" s="19"/>
      <c r="M1461" s="3"/>
    </row>
    <row r="1462" s="1" customFormat="1" spans="1:13">
      <c r="A1462" s="22"/>
      <c r="B1462" s="143" t="s">
        <v>2473</v>
      </c>
      <c r="C1462" s="145" t="s">
        <v>2472</v>
      </c>
      <c r="D1462" s="52" t="s">
        <v>2332</v>
      </c>
      <c r="E1462" s="103" t="s">
        <v>691</v>
      </c>
      <c r="F1462" s="26" t="s">
        <v>197</v>
      </c>
      <c r="G1462" s="27">
        <f>SUMIF(物料月初库存!$C$3:$C$303,$B1462,物料月初库存!$F$3:$F$303)</f>
        <v>0</v>
      </c>
      <c r="H1462" s="28">
        <f>SUMIF(半成品入库明细!$D$2:$D$650,$B1462,半成品入库明细!$G$2:$G$650)</f>
        <v>0</v>
      </c>
      <c r="I1462" s="28">
        <f ca="1">SUMIF(半成品出库明细!$D$2:$D$558,$B1462,半成品出库明细!$G$2:$G$2)</f>
        <v>0</v>
      </c>
      <c r="J1462" s="28">
        <f ca="1" t="shared" si="28"/>
        <v>0</v>
      </c>
      <c r="K1462" s="30" t="s">
        <v>92</v>
      </c>
      <c r="L1462" s="19"/>
      <c r="M1462" s="3"/>
    </row>
    <row r="1463" s="1" customFormat="1" spans="1:13">
      <c r="A1463" s="22"/>
      <c r="B1463" s="143" t="s">
        <v>2474</v>
      </c>
      <c r="C1463" s="145" t="s">
        <v>2472</v>
      </c>
      <c r="D1463" s="52" t="s">
        <v>2332</v>
      </c>
      <c r="E1463" s="103" t="s">
        <v>256</v>
      </c>
      <c r="F1463" s="26" t="s">
        <v>197</v>
      </c>
      <c r="G1463" s="27">
        <f>SUMIF(物料月初库存!$C$3:$C$303,$B1463,物料月初库存!$F$3:$F$303)</f>
        <v>0</v>
      </c>
      <c r="H1463" s="28">
        <f>SUMIF(半成品入库明细!$D$2:$D$650,$B1463,半成品入库明细!$G$2:$G$650)</f>
        <v>0</v>
      </c>
      <c r="I1463" s="28">
        <f ca="1">SUMIF(半成品出库明细!$D$2:$D$558,$B1463,半成品出库明细!$G$2:$G$2)</f>
        <v>0</v>
      </c>
      <c r="J1463" s="28">
        <f ca="1" t="shared" si="28"/>
        <v>0</v>
      </c>
      <c r="K1463" s="30" t="s">
        <v>2456</v>
      </c>
      <c r="L1463" s="19"/>
      <c r="M1463" s="3"/>
    </row>
    <row r="1464" s="1" customFormat="1" spans="1:13">
      <c r="A1464" s="22"/>
      <c r="B1464" s="143" t="s">
        <v>2475</v>
      </c>
      <c r="C1464" s="145" t="s">
        <v>2472</v>
      </c>
      <c r="D1464" s="52" t="s">
        <v>2332</v>
      </c>
      <c r="E1464" s="103" t="s">
        <v>353</v>
      </c>
      <c r="F1464" s="26" t="s">
        <v>197</v>
      </c>
      <c r="G1464" s="27">
        <f>SUMIF(物料月初库存!$C$3:$C$303,$B1464,物料月初库存!$F$3:$F$303)</f>
        <v>0</v>
      </c>
      <c r="H1464" s="28">
        <f>SUMIF(半成品入库明细!$D$2:$D$650,$B1464,半成品入库明细!$G$2:$G$650)</f>
        <v>0</v>
      </c>
      <c r="I1464" s="28">
        <f ca="1">SUMIF(半成品出库明细!$D$2:$D$558,$B1464,半成品出库明细!$G$2:$G$2)</f>
        <v>0</v>
      </c>
      <c r="J1464" s="28">
        <f ca="1" t="shared" si="28"/>
        <v>0</v>
      </c>
      <c r="K1464" s="30" t="s">
        <v>1271</v>
      </c>
      <c r="L1464" s="19"/>
      <c r="M1464" s="3"/>
    </row>
    <row r="1465" s="1" customFormat="1" spans="1:13">
      <c r="A1465" s="22"/>
      <c r="B1465" s="143" t="s">
        <v>2476</v>
      </c>
      <c r="C1465" s="145" t="s">
        <v>2477</v>
      </c>
      <c r="D1465" s="52" t="s">
        <v>2332</v>
      </c>
      <c r="E1465" s="103" t="s">
        <v>2333</v>
      </c>
      <c r="F1465" s="26" t="s">
        <v>197</v>
      </c>
      <c r="G1465" s="27">
        <f>SUMIF(物料月初库存!$C$3:$C$303,$B1465,物料月初库存!$F$3:$F$303)</f>
        <v>0</v>
      </c>
      <c r="H1465" s="28">
        <f>SUMIF(半成品入库明细!$D$2:$D$650,$B1465,半成品入库明细!$G$2:$G$650)</f>
        <v>0</v>
      </c>
      <c r="I1465" s="28">
        <f ca="1">SUMIF(半成品出库明细!$D$2:$D$558,$B1465,半成品出库明细!$G$2:$G$2)</f>
        <v>0</v>
      </c>
      <c r="J1465" s="28">
        <f ca="1" t="shared" si="28"/>
        <v>0</v>
      </c>
      <c r="K1465" s="30"/>
      <c r="L1465" s="19"/>
      <c r="M1465" s="3"/>
    </row>
    <row r="1466" s="1" customFormat="1" spans="1:13">
      <c r="A1466" s="22"/>
      <c r="B1466" s="143" t="s">
        <v>2478</v>
      </c>
      <c r="C1466" s="145" t="s">
        <v>2479</v>
      </c>
      <c r="D1466" s="52" t="s">
        <v>2332</v>
      </c>
      <c r="E1466" s="103" t="s">
        <v>76</v>
      </c>
      <c r="F1466" s="26" t="s">
        <v>197</v>
      </c>
      <c r="G1466" s="27">
        <f>SUMIF(物料月初库存!$C$3:$C$303,$B1466,物料月初库存!$F$3:$F$303)</f>
        <v>0</v>
      </c>
      <c r="H1466" s="28">
        <f>SUMIF(半成品入库明细!$D$2:$D$650,$B1466,半成品入库明细!$G$2:$G$650)</f>
        <v>0</v>
      </c>
      <c r="I1466" s="28">
        <f ca="1">SUMIF(半成品出库明细!$D$2:$D$558,$B1466,半成品出库明细!$G$2:$G$2)</f>
        <v>0</v>
      </c>
      <c r="J1466" s="28">
        <f ca="1" t="shared" si="28"/>
        <v>0</v>
      </c>
      <c r="K1466" s="30"/>
      <c r="L1466" s="19"/>
      <c r="M1466" s="3"/>
    </row>
    <row r="1467" s="1" customFormat="1" spans="1:13">
      <c r="A1467" s="22"/>
      <c r="B1467" s="143" t="s">
        <v>2480</v>
      </c>
      <c r="C1467" s="145" t="s">
        <v>2479</v>
      </c>
      <c r="D1467" s="52" t="s">
        <v>2332</v>
      </c>
      <c r="E1467" s="103" t="s">
        <v>356</v>
      </c>
      <c r="F1467" s="26" t="s">
        <v>197</v>
      </c>
      <c r="G1467" s="27">
        <f>SUMIF(物料月初库存!$C$3:$C$303,$B1467,物料月初库存!$F$3:$F$303)</f>
        <v>0</v>
      </c>
      <c r="H1467" s="28">
        <f>SUMIF(半成品入库明细!$D$2:$D$650,$B1467,半成品入库明细!$G$2:$G$650)</f>
        <v>0</v>
      </c>
      <c r="I1467" s="28">
        <f ca="1">SUMIF(半成品出库明细!$D$2:$D$558,$B1467,半成品出库明细!$G$2:$G$2)</f>
        <v>0</v>
      </c>
      <c r="J1467" s="28">
        <f ca="1" t="shared" si="28"/>
        <v>0</v>
      </c>
      <c r="K1467" s="30" t="s">
        <v>2481</v>
      </c>
      <c r="L1467" s="19"/>
      <c r="M1467" s="3"/>
    </row>
    <row r="1468" s="1" customFormat="1" spans="1:13">
      <c r="A1468" s="22"/>
      <c r="B1468" s="143" t="s">
        <v>2482</v>
      </c>
      <c r="C1468" s="145" t="s">
        <v>2479</v>
      </c>
      <c r="D1468" s="52" t="s">
        <v>2332</v>
      </c>
      <c r="E1468" s="103" t="s">
        <v>267</v>
      </c>
      <c r="F1468" s="26" t="s">
        <v>197</v>
      </c>
      <c r="G1468" s="27">
        <f>SUMIF(物料月初库存!$C$3:$C$303,$B1468,物料月初库存!$F$3:$F$303)</f>
        <v>0</v>
      </c>
      <c r="H1468" s="28">
        <f>SUMIF(半成品入库明细!$D$2:$D$650,$B1468,半成品入库明细!$G$2:$G$650)</f>
        <v>0</v>
      </c>
      <c r="I1468" s="28">
        <f ca="1">SUMIF(半成品出库明细!$D$2:$D$558,$B1468,半成品出库明细!$G$2:$G$2)</f>
        <v>0</v>
      </c>
      <c r="J1468" s="28">
        <f ca="1" t="shared" si="28"/>
        <v>0</v>
      </c>
      <c r="K1468" s="30" t="s">
        <v>146</v>
      </c>
      <c r="L1468" s="19"/>
      <c r="M1468" s="3"/>
    </row>
    <row r="1469" s="1" customFormat="1" spans="1:13">
      <c r="A1469" s="22"/>
      <c r="B1469" s="143" t="s">
        <v>2483</v>
      </c>
      <c r="C1469" s="145" t="s">
        <v>2479</v>
      </c>
      <c r="D1469" s="52" t="s">
        <v>2332</v>
      </c>
      <c r="E1469" s="103" t="s">
        <v>256</v>
      </c>
      <c r="F1469" s="26" t="s">
        <v>197</v>
      </c>
      <c r="G1469" s="27">
        <f>SUMIF(物料月初库存!$C$3:$C$303,$B1469,物料月初库存!$F$3:$F$303)</f>
        <v>0</v>
      </c>
      <c r="H1469" s="28">
        <f>SUMIF(半成品入库明细!$D$2:$D$650,$B1469,半成品入库明细!$G$2:$G$650)</f>
        <v>0</v>
      </c>
      <c r="I1469" s="28">
        <f ca="1">SUMIF(半成品出库明细!$D$2:$D$558,$B1469,半成品出库明细!$G$2:$G$2)</f>
        <v>0</v>
      </c>
      <c r="J1469" s="28">
        <f ca="1" t="shared" si="28"/>
        <v>0</v>
      </c>
      <c r="K1469" s="124" t="s">
        <v>2484</v>
      </c>
      <c r="L1469" s="19"/>
      <c r="M1469" s="3"/>
    </row>
    <row r="1470" s="1" customFormat="1" spans="1:13">
      <c r="A1470" s="22"/>
      <c r="B1470" s="143" t="s">
        <v>2485</v>
      </c>
      <c r="C1470" s="145" t="s">
        <v>2479</v>
      </c>
      <c r="D1470" s="52" t="s">
        <v>2332</v>
      </c>
      <c r="E1470" s="103" t="s">
        <v>353</v>
      </c>
      <c r="F1470" s="26" t="s">
        <v>197</v>
      </c>
      <c r="G1470" s="27">
        <f>SUMIF(物料月初库存!$C$3:$C$303,$B1470,物料月初库存!$F$3:$F$303)</f>
        <v>0</v>
      </c>
      <c r="H1470" s="28">
        <f>SUMIF(半成品入库明细!$D$2:$D$650,$B1470,半成品入库明细!$G$2:$G$650)</f>
        <v>0</v>
      </c>
      <c r="I1470" s="28">
        <f ca="1">SUMIF(半成品出库明细!$D$2:$D$558,$B1470,半成品出库明细!$G$2:$G$2)</f>
        <v>0</v>
      </c>
      <c r="J1470" s="28">
        <f ca="1" t="shared" si="28"/>
        <v>0</v>
      </c>
      <c r="K1470" s="30" t="s">
        <v>1271</v>
      </c>
      <c r="L1470" s="19"/>
      <c r="M1470" s="3"/>
    </row>
    <row r="1471" s="1" customFormat="1" spans="1:13">
      <c r="A1471" s="22"/>
      <c r="B1471" s="143" t="s">
        <v>2486</v>
      </c>
      <c r="C1471" s="145" t="s">
        <v>2487</v>
      </c>
      <c r="D1471" s="52" t="s">
        <v>2332</v>
      </c>
      <c r="E1471" s="103" t="s">
        <v>76</v>
      </c>
      <c r="F1471" s="26" t="s">
        <v>197</v>
      </c>
      <c r="G1471" s="27">
        <f>SUMIF(物料月初库存!$C$3:$C$303,$B1471,物料月初库存!$F$3:$F$303)</f>
        <v>0</v>
      </c>
      <c r="H1471" s="28">
        <f>SUMIF(半成品入库明细!$D$2:$D$650,$B1471,半成品入库明细!$G$2:$G$650)</f>
        <v>0</v>
      </c>
      <c r="I1471" s="28">
        <f ca="1">SUMIF(半成品出库明细!$D$2:$D$558,$B1471,半成品出库明细!$G$2:$G$2)</f>
        <v>0</v>
      </c>
      <c r="J1471" s="28">
        <f ca="1" t="shared" si="28"/>
        <v>0</v>
      </c>
      <c r="K1471" s="30"/>
      <c r="L1471" s="19"/>
      <c r="M1471" s="3"/>
    </row>
    <row r="1472" s="1" customFormat="1" spans="1:13">
      <c r="A1472" s="22"/>
      <c r="B1472" s="143" t="s">
        <v>2488</v>
      </c>
      <c r="C1472" s="145" t="s">
        <v>2487</v>
      </c>
      <c r="D1472" s="52" t="s">
        <v>2332</v>
      </c>
      <c r="E1472" s="103" t="s">
        <v>356</v>
      </c>
      <c r="F1472" s="26" t="s">
        <v>197</v>
      </c>
      <c r="G1472" s="27">
        <f>SUMIF(物料月初库存!$C$3:$C$303,$B1472,物料月初库存!$F$3:$F$303)</f>
        <v>0</v>
      </c>
      <c r="H1472" s="28">
        <f>SUMIF(半成品入库明细!$D$2:$D$650,$B1472,半成品入库明细!$G$2:$G$650)</f>
        <v>0</v>
      </c>
      <c r="I1472" s="28">
        <f ca="1">SUMIF(半成品出库明细!$D$2:$D$558,$B1472,半成品出库明细!$G$2:$G$2)</f>
        <v>0</v>
      </c>
      <c r="J1472" s="28">
        <f ca="1" t="shared" si="28"/>
        <v>0</v>
      </c>
      <c r="K1472" s="30" t="s">
        <v>113</v>
      </c>
      <c r="L1472" s="19"/>
      <c r="M1472" s="3"/>
    </row>
    <row r="1473" s="1" customFormat="1" spans="1:13">
      <c r="A1473" s="22"/>
      <c r="B1473" s="143" t="s">
        <v>2489</v>
      </c>
      <c r="C1473" s="145" t="s">
        <v>2487</v>
      </c>
      <c r="D1473" s="52" t="s">
        <v>2332</v>
      </c>
      <c r="E1473" s="103" t="s">
        <v>691</v>
      </c>
      <c r="F1473" s="26" t="s">
        <v>197</v>
      </c>
      <c r="G1473" s="27">
        <f>SUMIF(物料月初库存!$C$3:$C$303,$B1473,物料月初库存!$F$3:$F$303)</f>
        <v>0</v>
      </c>
      <c r="H1473" s="28">
        <f>SUMIF(半成品入库明细!$D$2:$D$650,$B1473,半成品入库明细!$G$2:$G$650)</f>
        <v>0</v>
      </c>
      <c r="I1473" s="28">
        <f ca="1">SUMIF(半成品出库明细!$D$2:$D$558,$B1473,半成品出库明细!$G$2:$G$2)</f>
        <v>0</v>
      </c>
      <c r="J1473" s="28">
        <f ca="1" t="shared" si="28"/>
        <v>0</v>
      </c>
      <c r="K1473" s="51" t="s">
        <v>2490</v>
      </c>
      <c r="L1473" s="19"/>
      <c r="M1473" s="3"/>
    </row>
    <row r="1474" s="1" customFormat="1" spans="1:13">
      <c r="A1474" s="22"/>
      <c r="B1474" s="143" t="s">
        <v>2491</v>
      </c>
      <c r="C1474" s="145" t="s">
        <v>2487</v>
      </c>
      <c r="D1474" s="52" t="s">
        <v>2332</v>
      </c>
      <c r="E1474" s="103" t="s">
        <v>267</v>
      </c>
      <c r="F1474" s="26" t="s">
        <v>197</v>
      </c>
      <c r="G1474" s="27">
        <f>SUMIF(物料月初库存!$C$3:$C$303,$B1474,物料月初库存!$F$3:$F$303)</f>
        <v>0</v>
      </c>
      <c r="H1474" s="28">
        <f>SUMIF(半成品入库明细!$D$2:$D$650,$B1474,半成品入库明细!$G$2:$G$650)</f>
        <v>0</v>
      </c>
      <c r="I1474" s="28">
        <f ca="1">SUMIF(半成品出库明细!$D$2:$D$558,$B1474,半成品出库明细!$G$2:$G$2)</f>
        <v>0</v>
      </c>
      <c r="J1474" s="28">
        <f ca="1" t="shared" si="28"/>
        <v>0</v>
      </c>
      <c r="K1474" s="30" t="s">
        <v>146</v>
      </c>
      <c r="L1474" s="19"/>
      <c r="M1474" s="3"/>
    </row>
    <row r="1475" s="1" customFormat="1" spans="1:13">
      <c r="A1475" s="22"/>
      <c r="B1475" s="143" t="s">
        <v>2492</v>
      </c>
      <c r="C1475" s="145" t="s">
        <v>2487</v>
      </c>
      <c r="D1475" s="52" t="s">
        <v>2332</v>
      </c>
      <c r="E1475" s="103" t="s">
        <v>256</v>
      </c>
      <c r="F1475" s="26" t="s">
        <v>197</v>
      </c>
      <c r="G1475" s="27">
        <f>SUMIF(物料月初库存!$C$3:$C$303,$B1475,物料月初库存!$F$3:$F$303)</f>
        <v>0</v>
      </c>
      <c r="H1475" s="28">
        <f>SUMIF(半成品入库明细!$D$2:$D$650,$B1475,半成品入库明细!$G$2:$G$650)</f>
        <v>0</v>
      </c>
      <c r="I1475" s="28">
        <f ca="1">SUMIF(半成品出库明细!$D$2:$D$558,$B1475,半成品出库明细!$G$2:$G$2)</f>
        <v>0</v>
      </c>
      <c r="J1475" s="28">
        <f ca="1" t="shared" si="28"/>
        <v>0</v>
      </c>
      <c r="K1475" s="30" t="s">
        <v>2456</v>
      </c>
      <c r="L1475" s="19"/>
      <c r="M1475" s="3"/>
    </row>
    <row r="1476" s="1" customFormat="1" spans="1:13">
      <c r="A1476" s="22"/>
      <c r="B1476" s="143" t="s">
        <v>2493</v>
      </c>
      <c r="C1476" s="145" t="s">
        <v>2487</v>
      </c>
      <c r="D1476" s="52" t="s">
        <v>2332</v>
      </c>
      <c r="E1476" s="103" t="s">
        <v>353</v>
      </c>
      <c r="F1476" s="26" t="s">
        <v>197</v>
      </c>
      <c r="G1476" s="27">
        <f>SUMIF(物料月初库存!$C$3:$C$303,$B1476,物料月初库存!$F$3:$F$303)</f>
        <v>0</v>
      </c>
      <c r="H1476" s="28">
        <f>SUMIF(半成品入库明细!$D$2:$D$650,$B1476,半成品入库明细!$G$2:$G$650)</f>
        <v>0</v>
      </c>
      <c r="I1476" s="28">
        <f ca="1">SUMIF(半成品出库明细!$D$2:$D$558,$B1476,半成品出库明细!$G$2:$G$2)</f>
        <v>0</v>
      </c>
      <c r="J1476" s="28">
        <f ca="1" t="shared" si="28"/>
        <v>0</v>
      </c>
      <c r="K1476" s="30" t="s">
        <v>1271</v>
      </c>
      <c r="L1476" s="19"/>
      <c r="M1476" s="3"/>
    </row>
    <row r="1477" s="1" customFormat="1" spans="1:13">
      <c r="A1477" s="22"/>
      <c r="B1477" s="143" t="s">
        <v>2494</v>
      </c>
      <c r="C1477" s="145" t="s">
        <v>2495</v>
      </c>
      <c r="D1477" s="52" t="s">
        <v>2332</v>
      </c>
      <c r="E1477" s="103" t="s">
        <v>76</v>
      </c>
      <c r="F1477" s="26" t="s">
        <v>197</v>
      </c>
      <c r="G1477" s="27">
        <f>SUMIF(物料月初库存!$C$3:$C$303,$B1477,物料月初库存!$F$3:$F$303)</f>
        <v>0</v>
      </c>
      <c r="H1477" s="28">
        <f>SUMIF(半成品入库明细!$D$2:$D$650,$B1477,半成品入库明细!$G$2:$G$650)</f>
        <v>0</v>
      </c>
      <c r="I1477" s="28">
        <f ca="1">SUMIF(半成品出库明细!$D$2:$D$558,$B1477,半成品出库明细!$G$2:$G$2)</f>
        <v>0</v>
      </c>
      <c r="J1477" s="28">
        <f ca="1" t="shared" si="28"/>
        <v>0</v>
      </c>
      <c r="K1477" s="30"/>
      <c r="L1477" s="19"/>
      <c r="M1477" s="3"/>
    </row>
    <row r="1478" s="1" customFormat="1" spans="1:13">
      <c r="A1478" s="22"/>
      <c r="B1478" s="143" t="s">
        <v>2496</v>
      </c>
      <c r="C1478" s="145" t="s">
        <v>2495</v>
      </c>
      <c r="D1478" s="52" t="s">
        <v>2332</v>
      </c>
      <c r="E1478" s="103" t="s">
        <v>316</v>
      </c>
      <c r="F1478" s="26" t="s">
        <v>197</v>
      </c>
      <c r="G1478" s="27">
        <f>SUMIF(物料月初库存!$C$3:$C$303,$B1478,物料月初库存!$F$3:$F$303)</f>
        <v>0</v>
      </c>
      <c r="H1478" s="28">
        <f>SUMIF(半成品入库明细!$D$2:$D$650,$B1478,半成品入库明细!$G$2:$G$650)</f>
        <v>0</v>
      </c>
      <c r="I1478" s="28">
        <f ca="1">SUMIF(半成品出库明细!$D$2:$D$558,$B1478,半成品出库明细!$G$2:$G$2)</f>
        <v>0</v>
      </c>
      <c r="J1478" s="28">
        <f ca="1" t="shared" ref="J1478:J1541" si="29">G1478+H1478-I1478</f>
        <v>0</v>
      </c>
      <c r="K1478" s="30" t="s">
        <v>133</v>
      </c>
      <c r="L1478" s="19"/>
      <c r="M1478" s="3"/>
    </row>
    <row r="1479" s="1" customFormat="1" spans="1:13">
      <c r="A1479" s="22"/>
      <c r="B1479" s="143" t="s">
        <v>2497</v>
      </c>
      <c r="C1479" s="145" t="s">
        <v>2495</v>
      </c>
      <c r="D1479" s="52" t="s">
        <v>2332</v>
      </c>
      <c r="E1479" s="103" t="s">
        <v>695</v>
      </c>
      <c r="F1479" s="26" t="s">
        <v>197</v>
      </c>
      <c r="G1479" s="27">
        <f>SUMIF(物料月初库存!$C$3:$C$303,$B1479,物料月初库存!$F$3:$F$303)</f>
        <v>0</v>
      </c>
      <c r="H1479" s="28">
        <f>SUMIF(半成品入库明细!$D$2:$D$650,$B1479,半成品入库明细!$G$2:$G$650)</f>
        <v>0</v>
      </c>
      <c r="I1479" s="28">
        <f ca="1">SUMIF(半成品出库明细!$D$2:$D$558,$B1479,半成品出库明细!$G$2:$G$2)</f>
        <v>0</v>
      </c>
      <c r="J1479" s="28">
        <f ca="1" t="shared" si="29"/>
        <v>0</v>
      </c>
      <c r="K1479" s="30" t="s">
        <v>168</v>
      </c>
      <c r="L1479" s="19"/>
      <c r="M1479" s="3"/>
    </row>
    <row r="1480" s="1" customFormat="1" spans="1:13">
      <c r="A1480" s="22"/>
      <c r="B1480" s="143" t="s">
        <v>2498</v>
      </c>
      <c r="C1480" s="145" t="s">
        <v>2499</v>
      </c>
      <c r="D1480" s="52" t="s">
        <v>2332</v>
      </c>
      <c r="E1480" s="103" t="s">
        <v>76</v>
      </c>
      <c r="F1480" s="26" t="s">
        <v>197</v>
      </c>
      <c r="G1480" s="27">
        <f>SUMIF(物料月初库存!$C$3:$C$303,$B1480,物料月初库存!$F$3:$F$303)</f>
        <v>0</v>
      </c>
      <c r="H1480" s="28">
        <f>SUMIF(半成品入库明细!$D$2:$D$650,$B1480,半成品入库明细!$G$2:$G$650)</f>
        <v>0</v>
      </c>
      <c r="I1480" s="28">
        <f ca="1">SUMIF(半成品出库明细!$D$2:$D$558,$B1480,半成品出库明细!$G$2:$G$2)</f>
        <v>0</v>
      </c>
      <c r="J1480" s="28">
        <f ca="1" t="shared" si="29"/>
        <v>0</v>
      </c>
      <c r="K1480" s="30"/>
      <c r="L1480" s="19"/>
      <c r="M1480" s="3"/>
    </row>
    <row r="1481" s="1" customFormat="1" spans="1:13">
      <c r="A1481" s="22"/>
      <c r="B1481" s="143" t="s">
        <v>2500</v>
      </c>
      <c r="C1481" s="145" t="s">
        <v>2499</v>
      </c>
      <c r="D1481" s="52" t="s">
        <v>2332</v>
      </c>
      <c r="E1481" s="103" t="s">
        <v>356</v>
      </c>
      <c r="F1481" s="26" t="s">
        <v>197</v>
      </c>
      <c r="G1481" s="27">
        <f>SUMIF(物料月初库存!$C$3:$C$303,$B1481,物料月初库存!$F$3:$F$303)</f>
        <v>0</v>
      </c>
      <c r="H1481" s="28">
        <f>SUMIF(半成品入库明细!$D$2:$D$650,$B1481,半成品入库明细!$G$2:$G$650)</f>
        <v>0</v>
      </c>
      <c r="I1481" s="28">
        <f ca="1">SUMIF(半成品出库明细!$D$2:$D$558,$B1481,半成品出库明细!$G$2:$G$2)</f>
        <v>0</v>
      </c>
      <c r="J1481" s="28">
        <f ca="1" t="shared" si="29"/>
        <v>0</v>
      </c>
      <c r="K1481" s="30" t="s">
        <v>113</v>
      </c>
      <c r="L1481" s="19"/>
      <c r="M1481" s="3"/>
    </row>
    <row r="1482" s="1" customFormat="1" spans="1:13">
      <c r="A1482" s="22"/>
      <c r="B1482" s="143" t="s">
        <v>2501</v>
      </c>
      <c r="C1482" s="145" t="s">
        <v>2499</v>
      </c>
      <c r="D1482" s="52" t="s">
        <v>2332</v>
      </c>
      <c r="E1482" s="103" t="s">
        <v>267</v>
      </c>
      <c r="F1482" s="26" t="s">
        <v>197</v>
      </c>
      <c r="G1482" s="27">
        <f>SUMIF(物料月初库存!$C$3:$C$303,$B1482,物料月初库存!$F$3:$F$303)</f>
        <v>0</v>
      </c>
      <c r="H1482" s="28">
        <f>SUMIF(半成品入库明细!$D$2:$D$650,$B1482,半成品入库明细!$G$2:$G$650)</f>
        <v>0</v>
      </c>
      <c r="I1482" s="28">
        <f ca="1">SUMIF(半成品出库明细!$D$2:$D$558,$B1482,半成品出库明细!$G$2:$G$2)</f>
        <v>0</v>
      </c>
      <c r="J1482" s="28">
        <f ca="1" t="shared" si="29"/>
        <v>0</v>
      </c>
      <c r="K1482" s="30" t="s">
        <v>146</v>
      </c>
      <c r="L1482" s="19"/>
      <c r="M1482" s="3"/>
    </row>
    <row r="1483" s="1" customFormat="1" spans="1:13">
      <c r="A1483" s="22"/>
      <c r="B1483" s="143" t="s">
        <v>2502</v>
      </c>
      <c r="C1483" s="145" t="s">
        <v>2499</v>
      </c>
      <c r="D1483" s="52" t="s">
        <v>2332</v>
      </c>
      <c r="E1483" s="103" t="s">
        <v>256</v>
      </c>
      <c r="F1483" s="26" t="s">
        <v>197</v>
      </c>
      <c r="G1483" s="27">
        <f>SUMIF(物料月初库存!$C$3:$C$303,$B1483,物料月初库存!$F$3:$F$303)</f>
        <v>0</v>
      </c>
      <c r="H1483" s="28">
        <f>SUMIF(半成品入库明细!$D$2:$D$650,$B1483,半成品入库明细!$G$2:$G$650)</f>
        <v>0</v>
      </c>
      <c r="I1483" s="28">
        <f ca="1">SUMIF(半成品出库明细!$D$2:$D$558,$B1483,半成品出库明细!$G$2:$G$2)</f>
        <v>0</v>
      </c>
      <c r="J1483" s="28">
        <f ca="1" t="shared" si="29"/>
        <v>0</v>
      </c>
      <c r="K1483" s="30" t="s">
        <v>532</v>
      </c>
      <c r="L1483" s="19"/>
      <c r="M1483" s="3"/>
    </row>
    <row r="1484" s="1" customFormat="1" spans="1:13">
      <c r="A1484" s="22"/>
      <c r="B1484" s="143" t="s">
        <v>2503</v>
      </c>
      <c r="C1484" s="145" t="s">
        <v>2504</v>
      </c>
      <c r="D1484" s="52" t="s">
        <v>2332</v>
      </c>
      <c r="E1484" s="103" t="s">
        <v>76</v>
      </c>
      <c r="F1484" s="26" t="s">
        <v>197</v>
      </c>
      <c r="G1484" s="27">
        <f>SUMIF(物料月初库存!$C$3:$C$303,$B1484,物料月初库存!$F$3:$F$303)</f>
        <v>0</v>
      </c>
      <c r="H1484" s="28">
        <f>SUMIF(半成品入库明细!$D$2:$D$650,$B1484,半成品入库明细!$G$2:$G$650)</f>
        <v>0</v>
      </c>
      <c r="I1484" s="28">
        <f ca="1">SUMIF(半成品出库明细!$D$2:$D$558,$B1484,半成品出库明细!$G$2:$G$2)</f>
        <v>0</v>
      </c>
      <c r="J1484" s="28">
        <f ca="1" t="shared" si="29"/>
        <v>0</v>
      </c>
      <c r="K1484" s="30"/>
      <c r="L1484" s="19"/>
      <c r="M1484" s="3"/>
    </row>
    <row r="1485" s="1" customFormat="1" spans="1:13">
      <c r="A1485" s="22"/>
      <c r="B1485" s="143" t="s">
        <v>2505</v>
      </c>
      <c r="C1485" s="145" t="s">
        <v>2504</v>
      </c>
      <c r="D1485" s="52" t="s">
        <v>2332</v>
      </c>
      <c r="E1485" s="103" t="s">
        <v>356</v>
      </c>
      <c r="F1485" s="26" t="s">
        <v>197</v>
      </c>
      <c r="G1485" s="27">
        <f>SUMIF(物料月初库存!$C$3:$C$303,$B1485,物料月初库存!$F$3:$F$303)</f>
        <v>0</v>
      </c>
      <c r="H1485" s="28">
        <f>SUMIF(半成品入库明细!$D$2:$D$650,$B1485,半成品入库明细!$G$2:$G$650)</f>
        <v>0</v>
      </c>
      <c r="I1485" s="28">
        <f ca="1">SUMIF(半成品出库明细!$D$2:$D$558,$B1485,半成品出库明细!$G$2:$G$2)</f>
        <v>0</v>
      </c>
      <c r="J1485" s="28">
        <f ca="1" t="shared" si="29"/>
        <v>0</v>
      </c>
      <c r="K1485" s="30" t="s">
        <v>113</v>
      </c>
      <c r="L1485" s="19"/>
      <c r="M1485" s="3"/>
    </row>
    <row r="1486" s="1" customFormat="1" spans="1:13">
      <c r="A1486" s="22"/>
      <c r="B1486" s="143" t="s">
        <v>2506</v>
      </c>
      <c r="C1486" s="145" t="s">
        <v>2504</v>
      </c>
      <c r="D1486" s="52" t="s">
        <v>2332</v>
      </c>
      <c r="E1486" s="103" t="s">
        <v>267</v>
      </c>
      <c r="F1486" s="26" t="s">
        <v>197</v>
      </c>
      <c r="G1486" s="27">
        <f>SUMIF(物料月初库存!$C$3:$C$303,$B1486,物料月初库存!$F$3:$F$303)</f>
        <v>0</v>
      </c>
      <c r="H1486" s="28">
        <f>SUMIF(半成品入库明细!$D$2:$D$650,$B1486,半成品入库明细!$G$2:$G$650)</f>
        <v>0</v>
      </c>
      <c r="I1486" s="28">
        <f ca="1">SUMIF(半成品出库明细!$D$2:$D$558,$B1486,半成品出库明细!$G$2:$G$2)</f>
        <v>0</v>
      </c>
      <c r="J1486" s="28">
        <f ca="1" t="shared" si="29"/>
        <v>0</v>
      </c>
      <c r="K1486" s="30" t="s">
        <v>146</v>
      </c>
      <c r="L1486" s="19"/>
      <c r="M1486" s="3"/>
    </row>
    <row r="1487" s="1" customFormat="1" spans="1:13">
      <c r="A1487" s="22"/>
      <c r="B1487" s="143" t="s">
        <v>2507</v>
      </c>
      <c r="C1487" s="145" t="s">
        <v>2504</v>
      </c>
      <c r="D1487" s="52" t="s">
        <v>2332</v>
      </c>
      <c r="E1487" s="103" t="s">
        <v>256</v>
      </c>
      <c r="F1487" s="26" t="s">
        <v>197</v>
      </c>
      <c r="G1487" s="27">
        <f>SUMIF(物料月初库存!$C$3:$C$303,$B1487,物料月初库存!$F$3:$F$303)</f>
        <v>0</v>
      </c>
      <c r="H1487" s="28">
        <f>SUMIF(半成品入库明细!$D$2:$D$650,$B1487,半成品入库明细!$G$2:$G$650)</f>
        <v>0</v>
      </c>
      <c r="I1487" s="28">
        <f ca="1">SUMIF(半成品出库明细!$D$2:$D$558,$B1487,半成品出库明细!$G$2:$G$2)</f>
        <v>0</v>
      </c>
      <c r="J1487" s="28">
        <f ca="1" t="shared" si="29"/>
        <v>0</v>
      </c>
      <c r="K1487" s="30" t="s">
        <v>532</v>
      </c>
      <c r="L1487" s="19"/>
      <c r="M1487" s="3"/>
    </row>
    <row r="1488" s="1" customFormat="1" spans="1:13">
      <c r="A1488" s="22"/>
      <c r="B1488" s="143" t="s">
        <v>35</v>
      </c>
      <c r="C1488" s="145" t="s">
        <v>2508</v>
      </c>
      <c r="D1488" s="52" t="s">
        <v>2332</v>
      </c>
      <c r="E1488" s="103" t="s">
        <v>76</v>
      </c>
      <c r="F1488" s="26" t="s">
        <v>197</v>
      </c>
      <c r="G1488" s="27">
        <f>SUMIF(物料月初库存!$C$3:$C$303,$B1488,物料月初库存!$F$3:$F$303)</f>
        <v>210</v>
      </c>
      <c r="H1488" s="28">
        <f>SUMIF(半成品入库明细!$D$2:$D$650,$B1488,半成品入库明细!$G$2:$G$650)</f>
        <v>526</v>
      </c>
      <c r="I1488" s="28">
        <f ca="1">SUMIF(半成品出库明细!$D$2:$D$558,$B1488,半成品出库明细!$G$2:$G$2)</f>
        <v>736</v>
      </c>
      <c r="J1488" s="28">
        <f ca="1" t="shared" si="29"/>
        <v>0</v>
      </c>
      <c r="K1488" s="30"/>
      <c r="L1488" s="19"/>
      <c r="M1488" s="3"/>
    </row>
    <row r="1489" s="1" customFormat="1" spans="1:13">
      <c r="A1489" s="22"/>
      <c r="B1489" s="143" t="s">
        <v>2509</v>
      </c>
      <c r="C1489" s="145" t="s">
        <v>2508</v>
      </c>
      <c r="D1489" s="52" t="s">
        <v>2332</v>
      </c>
      <c r="E1489" s="103" t="s">
        <v>356</v>
      </c>
      <c r="F1489" s="26" t="s">
        <v>197</v>
      </c>
      <c r="G1489" s="27">
        <f>SUMIF(物料月初库存!$C$3:$C$303,$B1489,物料月初库存!$F$3:$F$303)</f>
        <v>0</v>
      </c>
      <c r="H1489" s="28">
        <f>SUMIF(半成品入库明细!$D$2:$D$650,$B1489,半成品入库明细!$G$2:$G$650)</f>
        <v>0</v>
      </c>
      <c r="I1489" s="28">
        <f ca="1">SUMIF(半成品出库明细!$D$2:$D$558,$B1489,半成品出库明细!$G$2:$G$2)</f>
        <v>0</v>
      </c>
      <c r="J1489" s="28">
        <f ca="1" t="shared" si="29"/>
        <v>0</v>
      </c>
      <c r="K1489" s="30" t="s">
        <v>113</v>
      </c>
      <c r="L1489" s="19"/>
      <c r="M1489" s="3"/>
    </row>
    <row r="1490" s="1" customFormat="1" spans="1:13">
      <c r="A1490" s="22"/>
      <c r="B1490" s="143" t="s">
        <v>2510</v>
      </c>
      <c r="C1490" s="145" t="s">
        <v>2508</v>
      </c>
      <c r="D1490" s="52" t="s">
        <v>2332</v>
      </c>
      <c r="E1490" s="103" t="s">
        <v>326</v>
      </c>
      <c r="F1490" s="26" t="s">
        <v>197</v>
      </c>
      <c r="G1490" s="27">
        <f>SUMIF(物料月初库存!$C$3:$C$303,$B1490,物料月初库存!$F$3:$F$303)</f>
        <v>0</v>
      </c>
      <c r="H1490" s="28">
        <f>SUMIF(半成品入库明细!$D$2:$D$650,$B1490,半成品入库明细!$G$2:$G$650)</f>
        <v>0</v>
      </c>
      <c r="I1490" s="28">
        <f ca="1">SUMIF(半成品出库明细!$D$2:$D$558,$B1490,半成品出库明细!$G$2:$G$2)</f>
        <v>0</v>
      </c>
      <c r="J1490" s="28">
        <f ca="1" t="shared" si="29"/>
        <v>0</v>
      </c>
      <c r="K1490" s="30" t="s">
        <v>146</v>
      </c>
      <c r="L1490" s="19"/>
      <c r="M1490" s="3"/>
    </row>
    <row r="1491" s="1" customFormat="1" spans="1:13">
      <c r="A1491" s="22"/>
      <c r="B1491" s="143" t="s">
        <v>2511</v>
      </c>
      <c r="C1491" s="145" t="s">
        <v>2508</v>
      </c>
      <c r="D1491" s="52" t="s">
        <v>2332</v>
      </c>
      <c r="E1491" s="103" t="s">
        <v>256</v>
      </c>
      <c r="F1491" s="26" t="s">
        <v>197</v>
      </c>
      <c r="G1491" s="27">
        <f>SUMIF(物料月初库存!$C$3:$C$303,$B1491,物料月初库存!$F$3:$F$303)</f>
        <v>0</v>
      </c>
      <c r="H1491" s="28">
        <f>SUMIF(半成品入库明细!$D$2:$D$650,$B1491,半成品入库明细!$G$2:$G$650)</f>
        <v>0</v>
      </c>
      <c r="I1491" s="28">
        <f ca="1">SUMIF(半成品出库明细!$D$2:$D$558,$B1491,半成品出库明细!$G$2:$G$2)</f>
        <v>0</v>
      </c>
      <c r="J1491" s="28">
        <f ca="1" t="shared" si="29"/>
        <v>0</v>
      </c>
      <c r="K1491" s="30" t="s">
        <v>2512</v>
      </c>
      <c r="L1491" s="19"/>
      <c r="M1491" s="3"/>
    </row>
    <row r="1492" s="1" customFormat="1" spans="1:13">
      <c r="A1492" s="22"/>
      <c r="B1492" s="143" t="s">
        <v>2513</v>
      </c>
      <c r="C1492" s="145" t="s">
        <v>2508</v>
      </c>
      <c r="D1492" s="52" t="s">
        <v>2332</v>
      </c>
      <c r="E1492" s="103" t="s">
        <v>353</v>
      </c>
      <c r="F1492" s="26" t="s">
        <v>197</v>
      </c>
      <c r="G1492" s="27">
        <f>SUMIF(物料月初库存!$C$3:$C$303,$B1492,物料月初库存!$F$3:$F$303)</f>
        <v>0</v>
      </c>
      <c r="H1492" s="28">
        <f>SUMIF(半成品入库明细!$D$2:$D$650,$B1492,半成品入库明细!$G$2:$G$650)</f>
        <v>0</v>
      </c>
      <c r="I1492" s="28">
        <f ca="1">SUMIF(半成品出库明细!$D$2:$D$558,$B1492,半成品出库明细!$G$2:$G$2)</f>
        <v>0</v>
      </c>
      <c r="J1492" s="28">
        <f ca="1" t="shared" si="29"/>
        <v>0</v>
      </c>
      <c r="K1492" s="30" t="s">
        <v>1271</v>
      </c>
      <c r="L1492" s="19"/>
      <c r="M1492" s="3"/>
    </row>
    <row r="1493" s="1" customFormat="1" spans="1:13">
      <c r="A1493" s="22"/>
      <c r="B1493" s="143" t="s">
        <v>78</v>
      </c>
      <c r="C1493" s="145" t="s">
        <v>2514</v>
      </c>
      <c r="D1493" s="52" t="s">
        <v>2332</v>
      </c>
      <c r="E1493" s="103" t="s">
        <v>76</v>
      </c>
      <c r="F1493" s="26" t="s">
        <v>197</v>
      </c>
      <c r="G1493" s="27">
        <f>SUMIF(物料月初库存!$C$3:$C$303,$B1493,物料月初库存!$F$3:$F$303)</f>
        <v>0</v>
      </c>
      <c r="H1493" s="28">
        <f>SUMIF(半成品入库明细!$D$2:$D$650,$B1493,半成品入库明细!$G$2:$G$650)</f>
        <v>720</v>
      </c>
      <c r="I1493" s="28">
        <f ca="1">SUMIF(半成品出库明细!$D$2:$D$558,$B1493,半成品出库明细!$G$2:$G$2)</f>
        <v>720</v>
      </c>
      <c r="J1493" s="28">
        <f ca="1" t="shared" si="29"/>
        <v>0</v>
      </c>
      <c r="K1493" s="30"/>
      <c r="L1493" s="19"/>
      <c r="M1493" s="3"/>
    </row>
    <row r="1494" s="1" customFormat="1" spans="1:13">
      <c r="A1494" s="22"/>
      <c r="B1494" s="143" t="s">
        <v>112</v>
      </c>
      <c r="C1494" s="145" t="s">
        <v>2514</v>
      </c>
      <c r="D1494" s="52" t="s">
        <v>2332</v>
      </c>
      <c r="E1494" s="103" t="s">
        <v>691</v>
      </c>
      <c r="F1494" s="26" t="s">
        <v>197</v>
      </c>
      <c r="G1494" s="27">
        <f>SUMIF(物料月初库存!$C$3:$C$303,$B1494,物料月初库存!$F$3:$F$303)</f>
        <v>0</v>
      </c>
      <c r="H1494" s="28">
        <f>SUMIF(半成品入库明细!$D$2:$D$650,$B1494,半成品入库明细!$G$2:$G$650)</f>
        <v>720</v>
      </c>
      <c r="I1494" s="28">
        <f ca="1">SUMIF(半成品出库明细!$D$2:$D$558,$B1494,半成品出库明细!$G$2:$G$2)</f>
        <v>0</v>
      </c>
      <c r="J1494" s="28">
        <f ca="1" t="shared" si="29"/>
        <v>720</v>
      </c>
      <c r="K1494" s="30" t="s">
        <v>92</v>
      </c>
      <c r="L1494" s="19"/>
      <c r="M1494" s="3"/>
    </row>
    <row r="1495" s="1" customFormat="1" spans="1:13">
      <c r="A1495" s="22"/>
      <c r="B1495" s="143" t="s">
        <v>2515</v>
      </c>
      <c r="C1495" s="145" t="s">
        <v>2514</v>
      </c>
      <c r="D1495" s="52" t="s">
        <v>2332</v>
      </c>
      <c r="E1495" s="103" t="s">
        <v>256</v>
      </c>
      <c r="F1495" s="26" t="s">
        <v>197</v>
      </c>
      <c r="G1495" s="27">
        <f>SUMIF(物料月初库存!$C$3:$C$303,$B1495,物料月初库存!$F$3:$F$303)</f>
        <v>0</v>
      </c>
      <c r="H1495" s="28">
        <f>SUMIF(半成品入库明细!$D$2:$D$650,$B1495,半成品入库明细!$G$2:$G$650)</f>
        <v>0</v>
      </c>
      <c r="I1495" s="28">
        <f ca="1">SUMIF(半成品出库明细!$D$2:$D$558,$B1495,半成品出库明细!$G$2:$G$2)</f>
        <v>0</v>
      </c>
      <c r="J1495" s="28">
        <f ca="1" t="shared" si="29"/>
        <v>0</v>
      </c>
      <c r="K1495" s="30" t="s">
        <v>2367</v>
      </c>
      <c r="L1495" s="19"/>
      <c r="M1495" s="3"/>
    </row>
    <row r="1496" s="1" customFormat="1" spans="1:13">
      <c r="A1496" s="22"/>
      <c r="B1496" s="143" t="s">
        <v>2516</v>
      </c>
      <c r="C1496" s="145" t="s">
        <v>2514</v>
      </c>
      <c r="D1496" s="52" t="s">
        <v>2332</v>
      </c>
      <c r="E1496" s="103" t="s">
        <v>353</v>
      </c>
      <c r="F1496" s="26" t="s">
        <v>197</v>
      </c>
      <c r="G1496" s="27">
        <f>SUMIF(物料月初库存!$C$3:$C$303,$B1496,物料月初库存!$F$3:$F$303)</f>
        <v>0</v>
      </c>
      <c r="H1496" s="28">
        <f>SUMIF(半成品入库明细!$D$2:$D$650,$B1496,半成品入库明细!$G$2:$G$650)</f>
        <v>0</v>
      </c>
      <c r="I1496" s="28">
        <f ca="1">SUMIF(半成品出库明细!$D$2:$D$558,$B1496,半成品出库明细!$G$2:$G$2)</f>
        <v>0</v>
      </c>
      <c r="J1496" s="28">
        <f ca="1" t="shared" si="29"/>
        <v>0</v>
      </c>
      <c r="K1496" s="30" t="s">
        <v>1271</v>
      </c>
      <c r="L1496" s="19"/>
      <c r="M1496" s="3"/>
    </row>
    <row r="1497" s="1" customFormat="1" spans="1:13">
      <c r="A1497" s="22"/>
      <c r="B1497" s="143" t="s">
        <v>2517</v>
      </c>
      <c r="C1497" s="145" t="s">
        <v>2518</v>
      </c>
      <c r="D1497" s="52" t="s">
        <v>2332</v>
      </c>
      <c r="E1497" s="103" t="s">
        <v>76</v>
      </c>
      <c r="F1497" s="26" t="s">
        <v>197</v>
      </c>
      <c r="G1497" s="27">
        <f>SUMIF(物料月初库存!$C$3:$C$303,$B1497,物料月初库存!$F$3:$F$303)</f>
        <v>0</v>
      </c>
      <c r="H1497" s="28">
        <f>SUMIF(半成品入库明细!$D$2:$D$650,$B1497,半成品入库明细!$G$2:$G$650)</f>
        <v>0</v>
      </c>
      <c r="I1497" s="28">
        <f ca="1">SUMIF(半成品出库明细!$D$2:$D$558,$B1497,半成品出库明细!$G$2:$G$2)</f>
        <v>0</v>
      </c>
      <c r="J1497" s="28">
        <f ca="1" t="shared" si="29"/>
        <v>0</v>
      </c>
      <c r="K1497" s="30"/>
      <c r="L1497" s="19"/>
      <c r="M1497" s="3"/>
    </row>
    <row r="1498" s="1" customFormat="1" spans="1:13">
      <c r="A1498" s="22"/>
      <c r="B1498" s="143" t="s">
        <v>2519</v>
      </c>
      <c r="C1498" s="145" t="s">
        <v>2518</v>
      </c>
      <c r="D1498" s="52" t="s">
        <v>2332</v>
      </c>
      <c r="E1498" s="103" t="s">
        <v>356</v>
      </c>
      <c r="F1498" s="26" t="s">
        <v>197</v>
      </c>
      <c r="G1498" s="27">
        <f>SUMIF(物料月初库存!$C$3:$C$303,$B1498,物料月初库存!$F$3:$F$303)</f>
        <v>0</v>
      </c>
      <c r="H1498" s="28">
        <f>SUMIF(半成品入库明细!$D$2:$D$650,$B1498,半成品入库明细!$G$2:$G$650)</f>
        <v>0</v>
      </c>
      <c r="I1498" s="28">
        <f ca="1">SUMIF(半成品出库明细!$D$2:$D$558,$B1498,半成品出库明细!$G$2:$G$2)</f>
        <v>0</v>
      </c>
      <c r="J1498" s="28">
        <f ca="1" t="shared" si="29"/>
        <v>0</v>
      </c>
      <c r="K1498" s="30" t="s">
        <v>113</v>
      </c>
      <c r="L1498" s="19"/>
      <c r="M1498" s="3"/>
    </row>
    <row r="1499" s="1" customFormat="1" spans="1:13">
      <c r="A1499" s="22"/>
      <c r="B1499" s="143" t="s">
        <v>2520</v>
      </c>
      <c r="C1499" s="145" t="s">
        <v>2518</v>
      </c>
      <c r="D1499" s="52" t="s">
        <v>2332</v>
      </c>
      <c r="E1499" s="103" t="s">
        <v>326</v>
      </c>
      <c r="F1499" s="26" t="s">
        <v>197</v>
      </c>
      <c r="G1499" s="27">
        <f>SUMIF(物料月初库存!$C$3:$C$303,$B1499,物料月初库存!$F$3:$F$303)</f>
        <v>0</v>
      </c>
      <c r="H1499" s="28">
        <f>SUMIF(半成品入库明细!$D$2:$D$650,$B1499,半成品入库明细!$G$2:$G$650)</f>
        <v>0</v>
      </c>
      <c r="I1499" s="28">
        <f ca="1">SUMIF(半成品出库明细!$D$2:$D$558,$B1499,半成品出库明细!$G$2:$G$2)</f>
        <v>0</v>
      </c>
      <c r="J1499" s="28">
        <f ca="1" t="shared" si="29"/>
        <v>0</v>
      </c>
      <c r="K1499" s="30" t="s">
        <v>146</v>
      </c>
      <c r="L1499" s="19"/>
      <c r="M1499" s="3"/>
    </row>
    <row r="1500" s="1" customFormat="1" spans="1:13">
      <c r="A1500" s="22"/>
      <c r="B1500" s="143" t="s">
        <v>2521</v>
      </c>
      <c r="C1500" s="145" t="s">
        <v>2518</v>
      </c>
      <c r="D1500" s="52" t="s">
        <v>2332</v>
      </c>
      <c r="E1500" s="103" t="s">
        <v>443</v>
      </c>
      <c r="F1500" s="26" t="s">
        <v>197</v>
      </c>
      <c r="G1500" s="27">
        <f>SUMIF(物料月初库存!$C$3:$C$303,$B1500,物料月初库存!$F$3:$F$303)</f>
        <v>0</v>
      </c>
      <c r="H1500" s="28">
        <f>SUMIF(半成品入库明细!$D$2:$D$650,$B1500,半成品入库明细!$G$2:$G$650)</f>
        <v>0</v>
      </c>
      <c r="I1500" s="28">
        <f ca="1">SUMIF(半成品出库明细!$D$2:$D$558,$B1500,半成品出库明细!$G$2:$G$2)</f>
        <v>0</v>
      </c>
      <c r="J1500" s="28">
        <f ca="1" t="shared" si="29"/>
        <v>0</v>
      </c>
      <c r="K1500" s="30" t="s">
        <v>168</v>
      </c>
      <c r="L1500" s="19"/>
      <c r="M1500" s="3"/>
    </row>
    <row r="1501" s="1" customFormat="1" spans="1:13">
      <c r="A1501" s="22"/>
      <c r="B1501" s="143" t="s">
        <v>2522</v>
      </c>
      <c r="C1501" s="145" t="s">
        <v>2523</v>
      </c>
      <c r="D1501" s="52" t="s">
        <v>2332</v>
      </c>
      <c r="E1501" s="103" t="s">
        <v>2333</v>
      </c>
      <c r="F1501" s="26" t="s">
        <v>197</v>
      </c>
      <c r="G1501" s="27">
        <f>SUMIF(物料月初库存!$C$3:$C$303,$B1501,物料月初库存!$F$3:$F$303)</f>
        <v>0</v>
      </c>
      <c r="H1501" s="28">
        <f>SUMIF(半成品入库明细!$D$2:$D$650,$B1501,半成品入库明细!$G$2:$G$650)</f>
        <v>0</v>
      </c>
      <c r="I1501" s="28">
        <f ca="1">SUMIF(半成品出库明细!$D$2:$D$558,$B1501,半成品出库明细!$G$2:$G$2)</f>
        <v>0</v>
      </c>
      <c r="J1501" s="28">
        <f ca="1" t="shared" si="29"/>
        <v>0</v>
      </c>
      <c r="K1501" s="30"/>
      <c r="L1501" s="19"/>
      <c r="M1501" s="3"/>
    </row>
    <row r="1502" s="1" customFormat="1" spans="1:13">
      <c r="A1502" s="22"/>
      <c r="B1502" s="143" t="s">
        <v>2524</v>
      </c>
      <c r="C1502" s="145" t="s">
        <v>2525</v>
      </c>
      <c r="D1502" s="52" t="s">
        <v>2332</v>
      </c>
      <c r="E1502" s="103" t="s">
        <v>76</v>
      </c>
      <c r="F1502" s="26" t="s">
        <v>197</v>
      </c>
      <c r="G1502" s="27">
        <f>SUMIF(物料月初库存!$C$3:$C$303,$B1502,物料月初库存!$F$3:$F$303)</f>
        <v>0</v>
      </c>
      <c r="H1502" s="28">
        <f>SUMIF(半成品入库明细!$D$2:$D$650,$B1502,半成品入库明细!$G$2:$G$650)</f>
        <v>0</v>
      </c>
      <c r="I1502" s="28">
        <f ca="1">SUMIF(半成品出库明细!$D$2:$D$558,$B1502,半成品出库明细!$G$2:$G$2)</f>
        <v>0</v>
      </c>
      <c r="J1502" s="28">
        <f ca="1" t="shared" si="29"/>
        <v>0</v>
      </c>
      <c r="K1502" s="29"/>
      <c r="L1502" s="19"/>
      <c r="M1502" s="3"/>
    </row>
    <row r="1503" s="1" customFormat="1" spans="1:13">
      <c r="A1503" s="22"/>
      <c r="B1503" s="143" t="s">
        <v>2526</v>
      </c>
      <c r="C1503" s="145" t="s">
        <v>2525</v>
      </c>
      <c r="D1503" s="52" t="s">
        <v>2332</v>
      </c>
      <c r="E1503" s="103" t="s">
        <v>691</v>
      </c>
      <c r="F1503" s="26" t="s">
        <v>197</v>
      </c>
      <c r="G1503" s="27">
        <f>SUMIF(物料月初库存!$C$3:$C$303,$B1503,物料月初库存!$F$3:$F$303)</f>
        <v>0</v>
      </c>
      <c r="H1503" s="28">
        <f>SUMIF(半成品入库明细!$D$2:$D$650,$B1503,半成品入库明细!$G$2:$G$650)</f>
        <v>0</v>
      </c>
      <c r="I1503" s="28">
        <f ca="1">SUMIF(半成品出库明细!$D$2:$D$558,$B1503,半成品出库明细!$G$2:$G$2)</f>
        <v>0</v>
      </c>
      <c r="J1503" s="28">
        <f ca="1" t="shared" si="29"/>
        <v>0</v>
      </c>
      <c r="K1503" s="106" t="s">
        <v>92</v>
      </c>
      <c r="L1503" s="19"/>
      <c r="M1503" s="3"/>
    </row>
    <row r="1504" s="1" customFormat="1" spans="1:13">
      <c r="A1504" s="22"/>
      <c r="B1504" s="143" t="s">
        <v>90</v>
      </c>
      <c r="C1504" s="145" t="s">
        <v>2525</v>
      </c>
      <c r="D1504" s="52" t="s">
        <v>2332</v>
      </c>
      <c r="E1504" s="103" t="s">
        <v>256</v>
      </c>
      <c r="F1504" s="26" t="s">
        <v>197</v>
      </c>
      <c r="G1504" s="27">
        <f>SUMIF(物料月初库存!$C$3:$C$303,$B1504,物料月初库存!$F$3:$F$303)</f>
        <v>0</v>
      </c>
      <c r="H1504" s="28">
        <f>SUMIF(半成品入库明细!$D$2:$D$650,$B1504,半成品入库明细!$G$2:$G$650)</f>
        <v>24</v>
      </c>
      <c r="I1504" s="28">
        <f ca="1">SUMIF(半成品出库明细!$D$2:$D$558,$B1504,半成品出库明细!$G$2:$G$2)</f>
        <v>0</v>
      </c>
      <c r="J1504" s="28">
        <f ca="1" t="shared" si="29"/>
        <v>24</v>
      </c>
      <c r="K1504" s="29" t="s">
        <v>532</v>
      </c>
      <c r="L1504" s="19"/>
      <c r="M1504" s="3"/>
    </row>
    <row r="1505" s="1" customFormat="1" spans="1:13">
      <c r="A1505" s="22"/>
      <c r="B1505" s="143" t="s">
        <v>2527</v>
      </c>
      <c r="C1505" s="145" t="s">
        <v>2525</v>
      </c>
      <c r="D1505" s="52" t="s">
        <v>2332</v>
      </c>
      <c r="E1505" s="103" t="s">
        <v>353</v>
      </c>
      <c r="F1505" s="26" t="s">
        <v>197</v>
      </c>
      <c r="G1505" s="27">
        <f>SUMIF(物料月初库存!$C$3:$C$303,$B1505,物料月初库存!$F$3:$F$303)</f>
        <v>0</v>
      </c>
      <c r="H1505" s="28">
        <f>SUMIF(半成品入库明细!$D$2:$D$650,$B1505,半成品入库明细!$G$2:$G$650)</f>
        <v>0</v>
      </c>
      <c r="I1505" s="28">
        <f ca="1">SUMIF(半成品出库明细!$D$2:$D$558,$B1505,半成品出库明细!$G$2:$G$2)</f>
        <v>0</v>
      </c>
      <c r="J1505" s="28">
        <f ca="1" t="shared" si="29"/>
        <v>0</v>
      </c>
      <c r="K1505" s="29" t="s">
        <v>1271</v>
      </c>
      <c r="L1505" s="19"/>
      <c r="M1505" s="3"/>
    </row>
    <row r="1506" s="1" customFormat="1" spans="1:13">
      <c r="A1506" s="22"/>
      <c r="B1506" s="143" t="s">
        <v>2528</v>
      </c>
      <c r="C1506" s="145" t="s">
        <v>2529</v>
      </c>
      <c r="D1506" s="52" t="s">
        <v>2332</v>
      </c>
      <c r="E1506" s="103" t="s">
        <v>76</v>
      </c>
      <c r="F1506" s="26" t="s">
        <v>197</v>
      </c>
      <c r="G1506" s="27">
        <f>SUMIF(物料月初库存!$C$3:$C$303,$B1506,物料月初库存!$F$3:$F$303)</f>
        <v>0</v>
      </c>
      <c r="H1506" s="28">
        <f>SUMIF(半成品入库明细!$D$2:$D$650,$B1506,半成品入库明细!$G$2:$G$650)</f>
        <v>0</v>
      </c>
      <c r="I1506" s="28">
        <f ca="1">SUMIF(半成品出库明细!$D$2:$D$558,$B1506,半成品出库明细!$G$2:$G$2)</f>
        <v>0</v>
      </c>
      <c r="J1506" s="28">
        <f ca="1" t="shared" si="29"/>
        <v>0</v>
      </c>
      <c r="K1506" s="29"/>
      <c r="L1506" s="19"/>
      <c r="M1506" s="3"/>
    </row>
    <row r="1507" s="1" customFormat="1" spans="1:13">
      <c r="A1507" s="22"/>
      <c r="B1507" s="143" t="s">
        <v>71</v>
      </c>
      <c r="C1507" s="145" t="s">
        <v>2529</v>
      </c>
      <c r="D1507" s="52" t="s">
        <v>2332</v>
      </c>
      <c r="E1507" s="103" t="s">
        <v>356</v>
      </c>
      <c r="F1507" s="26" t="s">
        <v>197</v>
      </c>
      <c r="G1507" s="27">
        <f>SUMIF(物料月初库存!$C$3:$C$303,$B1507,物料月初库存!$F$3:$F$303)</f>
        <v>712</v>
      </c>
      <c r="H1507" s="28">
        <f>SUMIF(半成品入库明细!$D$2:$D$650,$B1507,半成品入库明细!$G$2:$G$650)</f>
        <v>0</v>
      </c>
      <c r="I1507" s="28">
        <f ca="1">SUMIF(半成品出库明细!$D$2:$D$558,$B1507,半成品出库明细!$G$2:$G$2)</f>
        <v>712</v>
      </c>
      <c r="J1507" s="28">
        <f ca="1" t="shared" si="29"/>
        <v>0</v>
      </c>
      <c r="K1507" s="147" t="s">
        <v>113</v>
      </c>
      <c r="L1507" s="19"/>
      <c r="M1507" s="3"/>
    </row>
    <row r="1508" s="1" customFormat="1" spans="1:13">
      <c r="A1508" s="22"/>
      <c r="B1508" s="143" t="s">
        <v>2530</v>
      </c>
      <c r="C1508" s="145" t="s">
        <v>2529</v>
      </c>
      <c r="D1508" s="52" t="s">
        <v>2332</v>
      </c>
      <c r="E1508" s="103" t="s">
        <v>670</v>
      </c>
      <c r="F1508" s="26" t="s">
        <v>197</v>
      </c>
      <c r="G1508" s="27">
        <f>SUMIF(物料月初库存!$C$3:$C$303,$B1508,物料月初库存!$F$3:$F$303)</f>
        <v>0</v>
      </c>
      <c r="H1508" s="28">
        <f>SUMIF(半成品入库明细!$D$2:$D$650,$B1508,半成品入库明细!$G$2:$G$650)</f>
        <v>0</v>
      </c>
      <c r="I1508" s="28">
        <f ca="1">SUMIF(半成品出库明细!$D$2:$D$558,$B1508,半成品出库明细!$G$2:$G$2)</f>
        <v>0</v>
      </c>
      <c r="J1508" s="28">
        <f ca="1" t="shared" si="29"/>
        <v>0</v>
      </c>
      <c r="K1508" s="30" t="s">
        <v>146</v>
      </c>
      <c r="L1508" s="19"/>
      <c r="M1508" s="3"/>
    </row>
    <row r="1509" s="1" customFormat="1" spans="1:13">
      <c r="A1509" s="22"/>
      <c r="B1509" s="143" t="s">
        <v>88</v>
      </c>
      <c r="C1509" s="145" t="s">
        <v>2529</v>
      </c>
      <c r="D1509" s="52" t="s">
        <v>2332</v>
      </c>
      <c r="E1509" s="103" t="s">
        <v>256</v>
      </c>
      <c r="F1509" s="26" t="s">
        <v>197</v>
      </c>
      <c r="G1509" s="27">
        <f>SUMIF(物料月初库存!$C$3:$C$303,$B1509,物料月初库存!$F$3:$F$303)</f>
        <v>0</v>
      </c>
      <c r="H1509" s="28">
        <f>SUMIF(半成品入库明细!$D$2:$D$650,$B1509,半成品入库明细!$G$2:$G$650)</f>
        <v>5243</v>
      </c>
      <c r="I1509" s="28">
        <f ca="1">SUMIF(半成品出库明细!$D$2:$D$558,$B1509,半成品出库明细!$G$2:$G$2)</f>
        <v>3028</v>
      </c>
      <c r="J1509" s="28">
        <f ca="1" t="shared" si="29"/>
        <v>2215</v>
      </c>
      <c r="K1509" s="30" t="s">
        <v>2437</v>
      </c>
      <c r="L1509" s="19"/>
      <c r="M1509" s="3"/>
    </row>
    <row r="1510" s="1" customFormat="1" spans="1:13">
      <c r="A1510" s="22"/>
      <c r="B1510" s="143" t="s">
        <v>2531</v>
      </c>
      <c r="C1510" s="145" t="s">
        <v>2529</v>
      </c>
      <c r="D1510" s="52" t="s">
        <v>2332</v>
      </c>
      <c r="E1510" s="103" t="s">
        <v>353</v>
      </c>
      <c r="F1510" s="26" t="s">
        <v>197</v>
      </c>
      <c r="G1510" s="27">
        <f>SUMIF(物料月初库存!$C$3:$C$303,$B1510,物料月初库存!$F$3:$F$303)</f>
        <v>0</v>
      </c>
      <c r="H1510" s="28">
        <f>SUMIF(半成品入库明细!$D$2:$D$650,$B1510,半成品入库明细!$G$2:$G$650)</f>
        <v>0</v>
      </c>
      <c r="I1510" s="28">
        <f ca="1">SUMIF(半成品出库明细!$D$2:$D$558,$B1510,半成品出库明细!$G$2:$G$2)</f>
        <v>0</v>
      </c>
      <c r="J1510" s="28">
        <f ca="1" t="shared" si="29"/>
        <v>0</v>
      </c>
      <c r="K1510" s="30" t="s">
        <v>1271</v>
      </c>
      <c r="L1510" s="19"/>
      <c r="M1510" s="3"/>
    </row>
    <row r="1511" s="1" customFormat="1" spans="1:13">
      <c r="A1511" s="22"/>
      <c r="B1511" s="143" t="s">
        <v>2532</v>
      </c>
      <c r="C1511" s="145" t="s">
        <v>2533</v>
      </c>
      <c r="D1511" s="52" t="s">
        <v>2332</v>
      </c>
      <c r="E1511" s="103" t="s">
        <v>76</v>
      </c>
      <c r="F1511" s="26" t="s">
        <v>197</v>
      </c>
      <c r="G1511" s="27">
        <f>SUMIF(物料月初库存!$C$3:$C$303,$B1511,物料月初库存!$F$3:$F$303)</f>
        <v>0</v>
      </c>
      <c r="H1511" s="28">
        <f>SUMIF(半成品入库明细!$D$2:$D$650,$B1511,半成品入库明细!$G$2:$G$650)</f>
        <v>0</v>
      </c>
      <c r="I1511" s="28">
        <f ca="1">SUMIF(半成品出库明细!$D$2:$D$558,$B1511,半成品出库明细!$G$2:$G$2)</f>
        <v>0</v>
      </c>
      <c r="J1511" s="28">
        <f ca="1" t="shared" si="29"/>
        <v>0</v>
      </c>
      <c r="K1511" s="30"/>
      <c r="L1511" s="19"/>
      <c r="M1511" s="3"/>
    </row>
    <row r="1512" s="1" customFormat="1" spans="1:13">
      <c r="A1512" s="22"/>
      <c r="B1512" s="143" t="s">
        <v>2534</v>
      </c>
      <c r="C1512" s="145" t="s">
        <v>2533</v>
      </c>
      <c r="D1512" s="52" t="s">
        <v>2332</v>
      </c>
      <c r="E1512" s="103" t="s">
        <v>356</v>
      </c>
      <c r="F1512" s="26" t="s">
        <v>197</v>
      </c>
      <c r="G1512" s="27">
        <f>SUMIF(物料月初库存!$C$3:$C$303,$B1512,物料月初库存!$F$3:$F$303)</f>
        <v>0</v>
      </c>
      <c r="H1512" s="28">
        <f>SUMIF(半成品入库明细!$D$2:$D$650,$B1512,半成品入库明细!$G$2:$G$650)</f>
        <v>0</v>
      </c>
      <c r="I1512" s="28">
        <f ca="1">SUMIF(半成品出库明细!$D$2:$D$558,$B1512,半成品出库明细!$G$2:$G$2)</f>
        <v>0</v>
      </c>
      <c r="J1512" s="28">
        <f ca="1" t="shared" si="29"/>
        <v>0</v>
      </c>
      <c r="K1512" s="30" t="s">
        <v>113</v>
      </c>
      <c r="L1512" s="19"/>
      <c r="M1512" s="3"/>
    </row>
    <row r="1513" s="1" customFormat="1" spans="1:13">
      <c r="A1513" s="22"/>
      <c r="B1513" s="143" t="s">
        <v>2535</v>
      </c>
      <c r="C1513" s="145" t="s">
        <v>2533</v>
      </c>
      <c r="D1513" s="52" t="s">
        <v>2332</v>
      </c>
      <c r="E1513" s="103" t="s">
        <v>670</v>
      </c>
      <c r="F1513" s="26" t="s">
        <v>197</v>
      </c>
      <c r="G1513" s="27">
        <f>SUMIF(物料月初库存!$C$3:$C$303,$B1513,物料月初库存!$F$3:$F$303)</f>
        <v>0</v>
      </c>
      <c r="H1513" s="28">
        <f>SUMIF(半成品入库明细!$D$2:$D$650,$B1513,半成品入库明细!$G$2:$G$650)</f>
        <v>0</v>
      </c>
      <c r="I1513" s="28">
        <f ca="1">SUMIF(半成品出库明细!$D$2:$D$558,$B1513,半成品出库明细!$G$2:$G$2)</f>
        <v>0</v>
      </c>
      <c r="J1513" s="28">
        <f ca="1" t="shared" si="29"/>
        <v>0</v>
      </c>
      <c r="K1513" s="30" t="s">
        <v>146</v>
      </c>
      <c r="L1513" s="19"/>
      <c r="M1513" s="3"/>
    </row>
    <row r="1514" s="1" customFormat="1" spans="1:13">
      <c r="A1514" s="22"/>
      <c r="B1514" s="143" t="s">
        <v>2536</v>
      </c>
      <c r="C1514" s="145" t="s">
        <v>2533</v>
      </c>
      <c r="D1514" s="52" t="s">
        <v>2332</v>
      </c>
      <c r="E1514" s="103" t="s">
        <v>256</v>
      </c>
      <c r="F1514" s="26" t="s">
        <v>197</v>
      </c>
      <c r="G1514" s="27">
        <f>SUMIF(物料月初库存!$C$3:$C$303,$B1514,物料月初库存!$F$3:$F$303)</f>
        <v>0</v>
      </c>
      <c r="H1514" s="28">
        <f>SUMIF(半成品入库明细!$D$2:$D$650,$B1514,半成品入库明细!$G$2:$G$650)</f>
        <v>0</v>
      </c>
      <c r="I1514" s="28">
        <f ca="1">SUMIF(半成品出库明细!$D$2:$D$558,$B1514,半成品出库明细!$G$2:$G$2)</f>
        <v>0</v>
      </c>
      <c r="J1514" s="28">
        <f ca="1" t="shared" si="29"/>
        <v>0</v>
      </c>
      <c r="K1514" s="30" t="s">
        <v>2367</v>
      </c>
      <c r="L1514" s="19"/>
      <c r="M1514" s="3"/>
    </row>
    <row r="1515" s="1" customFormat="1" spans="1:13">
      <c r="A1515" s="22"/>
      <c r="B1515" s="143" t="s">
        <v>2537</v>
      </c>
      <c r="C1515" s="145" t="s">
        <v>2533</v>
      </c>
      <c r="D1515" s="52" t="s">
        <v>2332</v>
      </c>
      <c r="E1515" s="103" t="s">
        <v>353</v>
      </c>
      <c r="F1515" s="26" t="s">
        <v>197</v>
      </c>
      <c r="G1515" s="27">
        <f>SUMIF(物料月初库存!$C$3:$C$303,$B1515,物料月初库存!$F$3:$F$303)</f>
        <v>0</v>
      </c>
      <c r="H1515" s="28">
        <f>SUMIF(半成品入库明细!$D$2:$D$650,$B1515,半成品入库明细!$G$2:$G$650)</f>
        <v>0</v>
      </c>
      <c r="I1515" s="28">
        <f ca="1">SUMIF(半成品出库明细!$D$2:$D$558,$B1515,半成品出库明细!$G$2:$G$2)</f>
        <v>0</v>
      </c>
      <c r="J1515" s="28">
        <f ca="1" t="shared" si="29"/>
        <v>0</v>
      </c>
      <c r="K1515" s="30" t="s">
        <v>1271</v>
      </c>
      <c r="L1515" s="19"/>
      <c r="M1515" s="3"/>
    </row>
    <row r="1516" s="1" customFormat="1" spans="1:13">
      <c r="A1516" s="22"/>
      <c r="B1516" s="143" t="s">
        <v>2538</v>
      </c>
      <c r="C1516" s="145" t="s">
        <v>2539</v>
      </c>
      <c r="D1516" s="52" t="s">
        <v>2332</v>
      </c>
      <c r="E1516" s="103" t="s">
        <v>76</v>
      </c>
      <c r="F1516" s="26" t="s">
        <v>197</v>
      </c>
      <c r="G1516" s="27">
        <f>SUMIF(物料月初库存!$C$3:$C$303,$B1516,物料月初库存!$F$3:$F$303)</f>
        <v>0</v>
      </c>
      <c r="H1516" s="28">
        <f>SUMIF(半成品入库明细!$D$2:$D$650,$B1516,半成品入库明细!$G$2:$G$650)</f>
        <v>0</v>
      </c>
      <c r="I1516" s="28">
        <f ca="1">SUMIF(半成品出库明细!$D$2:$D$558,$B1516,半成品出库明细!$G$2:$G$2)</f>
        <v>0</v>
      </c>
      <c r="J1516" s="28">
        <f ca="1" t="shared" si="29"/>
        <v>0</v>
      </c>
      <c r="K1516" s="29"/>
      <c r="L1516" s="19"/>
      <c r="M1516" s="3"/>
    </row>
    <row r="1517" s="1" customFormat="1" spans="1:13">
      <c r="A1517" s="22"/>
      <c r="B1517" s="143" t="s">
        <v>2540</v>
      </c>
      <c r="C1517" s="145" t="s">
        <v>2539</v>
      </c>
      <c r="D1517" s="52" t="s">
        <v>2332</v>
      </c>
      <c r="E1517" s="103" t="s">
        <v>691</v>
      </c>
      <c r="F1517" s="26" t="s">
        <v>197</v>
      </c>
      <c r="G1517" s="27">
        <f>SUMIF(物料月初库存!$C$3:$C$303,$B1517,物料月初库存!$F$3:$F$303)</f>
        <v>0</v>
      </c>
      <c r="H1517" s="28">
        <f>SUMIF(半成品入库明细!$D$2:$D$650,$B1517,半成品入库明细!$G$2:$G$650)</f>
        <v>0</v>
      </c>
      <c r="I1517" s="28">
        <f ca="1">SUMIF(半成品出库明细!$D$2:$D$558,$B1517,半成品出库明细!$G$2:$G$2)</f>
        <v>0</v>
      </c>
      <c r="J1517" s="28">
        <f ca="1" t="shared" si="29"/>
        <v>0</v>
      </c>
      <c r="K1517" s="30" t="s">
        <v>92</v>
      </c>
      <c r="L1517" s="19"/>
      <c r="M1517" s="3"/>
    </row>
    <row r="1518" s="1" customFormat="1" spans="1:13">
      <c r="A1518" s="22"/>
      <c r="B1518" s="143" t="s">
        <v>2541</v>
      </c>
      <c r="C1518" s="145" t="s">
        <v>2539</v>
      </c>
      <c r="D1518" s="52" t="s">
        <v>2332</v>
      </c>
      <c r="E1518" s="103" t="s">
        <v>256</v>
      </c>
      <c r="F1518" s="26" t="s">
        <v>197</v>
      </c>
      <c r="G1518" s="27">
        <f>SUMIF(物料月初库存!$C$3:$C$303,$B1518,物料月初库存!$F$3:$F$303)</f>
        <v>0</v>
      </c>
      <c r="H1518" s="28">
        <f>SUMIF(半成品入库明细!$D$2:$D$650,$B1518,半成品入库明细!$G$2:$G$650)</f>
        <v>0</v>
      </c>
      <c r="I1518" s="28">
        <f ca="1">SUMIF(半成品出库明细!$D$2:$D$558,$B1518,半成品出库明细!$G$2:$G$2)</f>
        <v>0</v>
      </c>
      <c r="J1518" s="28">
        <f ca="1" t="shared" si="29"/>
        <v>0</v>
      </c>
      <c r="K1518" s="124" t="s">
        <v>2437</v>
      </c>
      <c r="L1518" s="19"/>
      <c r="M1518" s="3"/>
    </row>
    <row r="1519" s="1" customFormat="1" spans="1:13">
      <c r="A1519" s="22"/>
      <c r="B1519" s="143" t="s">
        <v>2542</v>
      </c>
      <c r="C1519" s="145" t="s">
        <v>2539</v>
      </c>
      <c r="D1519" s="52" t="s">
        <v>2332</v>
      </c>
      <c r="E1519" s="103" t="s">
        <v>353</v>
      </c>
      <c r="F1519" s="26" t="s">
        <v>197</v>
      </c>
      <c r="G1519" s="27">
        <f>SUMIF(物料月初库存!$C$3:$C$303,$B1519,物料月初库存!$F$3:$F$303)</f>
        <v>0</v>
      </c>
      <c r="H1519" s="28">
        <f>SUMIF(半成品入库明细!$D$2:$D$650,$B1519,半成品入库明细!$G$2:$G$650)</f>
        <v>0</v>
      </c>
      <c r="I1519" s="28">
        <f ca="1">SUMIF(半成品出库明细!$D$2:$D$558,$B1519,半成品出库明细!$G$2:$G$2)</f>
        <v>0</v>
      </c>
      <c r="J1519" s="28">
        <f ca="1" t="shared" si="29"/>
        <v>0</v>
      </c>
      <c r="K1519" s="30" t="s">
        <v>1271</v>
      </c>
      <c r="L1519" s="19"/>
      <c r="M1519" s="3"/>
    </row>
    <row r="1520" s="1" customFormat="1" spans="1:13">
      <c r="A1520" s="22"/>
      <c r="B1520" s="143" t="s">
        <v>2543</v>
      </c>
      <c r="C1520" s="145" t="s">
        <v>37</v>
      </c>
      <c r="D1520" s="52" t="s">
        <v>2332</v>
      </c>
      <c r="E1520" s="103" t="s">
        <v>76</v>
      </c>
      <c r="F1520" s="26" t="s">
        <v>197</v>
      </c>
      <c r="G1520" s="27">
        <f>SUMIF(物料月初库存!$C$3:$C$303,$B1520,物料月初库存!$F$3:$F$303)</f>
        <v>0</v>
      </c>
      <c r="H1520" s="28">
        <f>SUMIF(半成品入库明细!$D$2:$D$650,$B1520,半成品入库明细!$G$2:$G$650)</f>
        <v>0</v>
      </c>
      <c r="I1520" s="28">
        <f ca="1">SUMIF(半成品出库明细!$D$2:$D$558,$B1520,半成品出库明细!$G$2:$G$2)</f>
        <v>0</v>
      </c>
      <c r="J1520" s="28">
        <f ca="1" t="shared" si="29"/>
        <v>0</v>
      </c>
      <c r="K1520" s="29"/>
      <c r="L1520" s="19"/>
      <c r="M1520" s="3"/>
    </row>
    <row r="1521" s="1" customFormat="1" spans="1:13">
      <c r="A1521" s="22"/>
      <c r="B1521" s="143" t="s">
        <v>36</v>
      </c>
      <c r="C1521" s="145" t="s">
        <v>37</v>
      </c>
      <c r="D1521" s="52" t="s">
        <v>2332</v>
      </c>
      <c r="E1521" s="103" t="s">
        <v>1674</v>
      </c>
      <c r="F1521" s="26" t="s">
        <v>197</v>
      </c>
      <c r="G1521" s="27">
        <f>SUMIF(物料月初库存!$C$3:$C$303,$B1521,物料月初库存!$F$3:$F$303)</f>
        <v>2038</v>
      </c>
      <c r="H1521" s="28">
        <f>SUMIF(半成品入库明细!$D$2:$D$650,$B1521,半成品入库明细!$G$2:$G$650)</f>
        <v>0</v>
      </c>
      <c r="I1521" s="28">
        <f ca="1">SUMIF(半成品出库明细!$D$2:$D$558,$B1521,半成品出库明细!$G$2:$G$2)</f>
        <v>0</v>
      </c>
      <c r="J1521" s="28">
        <f ca="1" t="shared" si="29"/>
        <v>2038</v>
      </c>
      <c r="K1521" s="124" t="s">
        <v>2345</v>
      </c>
      <c r="L1521" s="19"/>
      <c r="M1521" s="3"/>
    </row>
    <row r="1522" s="1" customFormat="1" spans="1:13">
      <c r="A1522" s="22"/>
      <c r="B1522" s="143" t="s">
        <v>2544</v>
      </c>
      <c r="C1522" s="145" t="s">
        <v>37</v>
      </c>
      <c r="D1522" s="52" t="s">
        <v>2332</v>
      </c>
      <c r="E1522" s="103" t="s">
        <v>256</v>
      </c>
      <c r="F1522" s="26" t="s">
        <v>197</v>
      </c>
      <c r="G1522" s="27">
        <f>SUMIF(物料月初库存!$C$3:$C$303,$B1522,物料月初库存!$F$3:$F$303)</f>
        <v>0</v>
      </c>
      <c r="H1522" s="28">
        <f>SUMIF(半成品入库明细!$D$2:$D$650,$B1522,半成品入库明细!$G$2:$G$650)</f>
        <v>0</v>
      </c>
      <c r="I1522" s="28">
        <f ca="1">SUMIF(半成品出库明细!$D$2:$D$558,$B1522,半成品出库明细!$G$2:$G$2)</f>
        <v>0</v>
      </c>
      <c r="J1522" s="28">
        <f ca="1" t="shared" si="29"/>
        <v>0</v>
      </c>
      <c r="K1522" s="30" t="s">
        <v>532</v>
      </c>
      <c r="L1522" s="19"/>
      <c r="M1522" s="3"/>
    </row>
    <row r="1523" s="1" customFormat="1" spans="1:13">
      <c r="A1523" s="22"/>
      <c r="B1523" s="143" t="s">
        <v>2545</v>
      </c>
      <c r="C1523" s="145" t="s">
        <v>37</v>
      </c>
      <c r="D1523" s="52" t="s">
        <v>2332</v>
      </c>
      <c r="E1523" s="103" t="s">
        <v>353</v>
      </c>
      <c r="F1523" s="26" t="s">
        <v>197</v>
      </c>
      <c r="G1523" s="27">
        <f>SUMIF(物料月初库存!$C$3:$C$303,$B1523,物料月初库存!$F$3:$F$303)</f>
        <v>0</v>
      </c>
      <c r="H1523" s="28">
        <f>SUMIF(半成品入库明细!$D$2:$D$650,$B1523,半成品入库明细!$G$2:$G$650)</f>
        <v>0</v>
      </c>
      <c r="I1523" s="28">
        <f ca="1">SUMIF(半成品出库明细!$D$2:$D$558,$B1523,半成品出库明细!$G$2:$G$2)</f>
        <v>0</v>
      </c>
      <c r="J1523" s="28">
        <f ca="1" t="shared" si="29"/>
        <v>0</v>
      </c>
      <c r="K1523" s="30" t="s">
        <v>1271</v>
      </c>
      <c r="L1523" s="19"/>
      <c r="M1523" s="3"/>
    </row>
    <row r="1524" s="1" customFormat="1" spans="1:13">
      <c r="A1524" s="22"/>
      <c r="B1524" s="143" t="s">
        <v>2546</v>
      </c>
      <c r="C1524" s="145" t="s">
        <v>2547</v>
      </c>
      <c r="D1524" s="52" t="s">
        <v>2332</v>
      </c>
      <c r="E1524" s="103" t="s">
        <v>76</v>
      </c>
      <c r="F1524" s="26" t="s">
        <v>197</v>
      </c>
      <c r="G1524" s="27">
        <f>SUMIF(物料月初库存!$C$3:$C$303,$B1524,物料月初库存!$F$3:$F$303)</f>
        <v>0</v>
      </c>
      <c r="H1524" s="28">
        <f>SUMIF(半成品入库明细!$D$2:$D$650,$B1524,半成品入库明细!$G$2:$G$650)</f>
        <v>0</v>
      </c>
      <c r="I1524" s="28">
        <f ca="1">SUMIF(半成品出库明细!$D$2:$D$558,$B1524,半成品出库明细!$G$2:$G$2)</f>
        <v>0</v>
      </c>
      <c r="J1524" s="28">
        <f ca="1" t="shared" si="29"/>
        <v>0</v>
      </c>
      <c r="K1524" s="29"/>
      <c r="L1524" s="19"/>
      <c r="M1524" s="3"/>
    </row>
    <row r="1525" s="1" customFormat="1" spans="1:13">
      <c r="A1525" s="22"/>
      <c r="B1525" s="143" t="s">
        <v>2548</v>
      </c>
      <c r="C1525" s="145" t="s">
        <v>2547</v>
      </c>
      <c r="D1525" s="52" t="s">
        <v>2332</v>
      </c>
      <c r="E1525" s="103" t="s">
        <v>356</v>
      </c>
      <c r="F1525" s="26" t="s">
        <v>197</v>
      </c>
      <c r="G1525" s="27">
        <f>SUMIF(物料月初库存!$C$3:$C$303,$B1525,物料月初库存!$F$3:$F$303)</f>
        <v>0</v>
      </c>
      <c r="H1525" s="28">
        <f>SUMIF(半成品入库明细!$D$2:$D$650,$B1525,半成品入库明细!$G$2:$G$650)</f>
        <v>0</v>
      </c>
      <c r="I1525" s="28">
        <f ca="1">SUMIF(半成品出库明细!$D$2:$D$558,$B1525,半成品出库明细!$G$2:$G$2)</f>
        <v>0</v>
      </c>
      <c r="J1525" s="28">
        <f ca="1" t="shared" si="29"/>
        <v>0</v>
      </c>
      <c r="K1525" s="30" t="s">
        <v>113</v>
      </c>
      <c r="L1525" s="19"/>
      <c r="M1525" s="3"/>
    </row>
    <row r="1526" s="1" customFormat="1" spans="1:13">
      <c r="A1526" s="22"/>
      <c r="B1526" s="143" t="s">
        <v>2549</v>
      </c>
      <c r="C1526" s="145" t="s">
        <v>2547</v>
      </c>
      <c r="D1526" s="52" t="s">
        <v>2332</v>
      </c>
      <c r="E1526" s="103" t="s">
        <v>2390</v>
      </c>
      <c r="F1526" s="26" t="s">
        <v>197</v>
      </c>
      <c r="G1526" s="27">
        <f>SUMIF(物料月初库存!$C$3:$C$303,$B1526,物料月初库存!$F$3:$F$303)</f>
        <v>0</v>
      </c>
      <c r="H1526" s="28">
        <f>SUMIF(半成品入库明细!$D$2:$D$650,$B1526,半成品入库明细!$G$2:$G$650)</f>
        <v>0</v>
      </c>
      <c r="I1526" s="28">
        <f ca="1">SUMIF(半成品出库明细!$D$2:$D$558,$B1526,半成品出库明细!$G$2:$G$2)</f>
        <v>0</v>
      </c>
      <c r="J1526" s="28">
        <f ca="1" t="shared" si="29"/>
        <v>0</v>
      </c>
      <c r="K1526" s="30" t="s">
        <v>2391</v>
      </c>
      <c r="L1526" s="19"/>
      <c r="M1526" s="3"/>
    </row>
    <row r="1527" s="1" customFormat="1" spans="1:13">
      <c r="A1527" s="22"/>
      <c r="B1527" s="143" t="s">
        <v>2550</v>
      </c>
      <c r="C1527" s="145" t="s">
        <v>2547</v>
      </c>
      <c r="D1527" s="52" t="s">
        <v>2332</v>
      </c>
      <c r="E1527" s="103" t="s">
        <v>256</v>
      </c>
      <c r="F1527" s="26" t="s">
        <v>197</v>
      </c>
      <c r="G1527" s="27">
        <f>SUMIF(物料月初库存!$C$3:$C$303,$B1527,物料月初库存!$F$3:$F$303)</f>
        <v>0</v>
      </c>
      <c r="H1527" s="28">
        <f>SUMIF(半成品入库明细!$D$2:$D$650,$B1527,半成品入库明细!$G$2:$G$650)</f>
        <v>0</v>
      </c>
      <c r="I1527" s="28">
        <f ca="1">SUMIF(半成品出库明细!$D$2:$D$558,$B1527,半成品出库明细!$G$2:$G$2)</f>
        <v>0</v>
      </c>
      <c r="J1527" s="28">
        <f ca="1" t="shared" si="29"/>
        <v>0</v>
      </c>
      <c r="K1527" s="30" t="s">
        <v>2512</v>
      </c>
      <c r="L1527" s="19"/>
      <c r="M1527" s="3"/>
    </row>
    <row r="1528" s="1" customFormat="1" spans="1:13">
      <c r="A1528" s="22"/>
      <c r="B1528" s="143" t="s">
        <v>2551</v>
      </c>
      <c r="C1528" s="145" t="s">
        <v>2547</v>
      </c>
      <c r="D1528" s="52" t="s">
        <v>2332</v>
      </c>
      <c r="E1528" s="103" t="s">
        <v>353</v>
      </c>
      <c r="F1528" s="26" t="s">
        <v>197</v>
      </c>
      <c r="G1528" s="27">
        <f>SUMIF(物料月初库存!$C$3:$C$303,$B1528,物料月初库存!$F$3:$F$303)</f>
        <v>0</v>
      </c>
      <c r="H1528" s="28">
        <f>SUMIF(半成品入库明细!$D$2:$D$650,$B1528,半成品入库明细!$G$2:$G$650)</f>
        <v>0</v>
      </c>
      <c r="I1528" s="28">
        <f ca="1">SUMIF(半成品出库明细!$D$2:$D$558,$B1528,半成品出库明细!$G$2:$G$2)</f>
        <v>0</v>
      </c>
      <c r="J1528" s="28">
        <f ca="1" t="shared" si="29"/>
        <v>0</v>
      </c>
      <c r="K1528" s="30" t="s">
        <v>1271</v>
      </c>
      <c r="L1528" s="19"/>
      <c r="M1528" s="3"/>
    </row>
    <row r="1529" s="1" customFormat="1" spans="1:13">
      <c r="A1529" s="22"/>
      <c r="B1529" s="143" t="s">
        <v>2552</v>
      </c>
      <c r="C1529" s="145" t="s">
        <v>2553</v>
      </c>
      <c r="D1529" s="52" t="s">
        <v>2332</v>
      </c>
      <c r="E1529" s="103" t="s">
        <v>76</v>
      </c>
      <c r="F1529" s="26" t="s">
        <v>197</v>
      </c>
      <c r="G1529" s="27">
        <f>SUMIF(物料月初库存!$C$3:$C$303,$B1529,物料月初库存!$F$3:$F$303)</f>
        <v>0</v>
      </c>
      <c r="H1529" s="28">
        <f>SUMIF(半成品入库明细!$D$2:$D$650,$B1529,半成品入库明细!$G$2:$G$650)</f>
        <v>0</v>
      </c>
      <c r="I1529" s="28">
        <f ca="1">SUMIF(半成品出库明细!$D$2:$D$558,$B1529,半成品出库明细!$G$2:$G$2)</f>
        <v>0</v>
      </c>
      <c r="J1529" s="28">
        <f ca="1" t="shared" si="29"/>
        <v>0</v>
      </c>
      <c r="K1529" s="29"/>
      <c r="L1529" s="19"/>
      <c r="M1529" s="3"/>
    </row>
    <row r="1530" s="1" customFormat="1" spans="1:13">
      <c r="A1530" s="22"/>
      <c r="B1530" s="143" t="s">
        <v>39</v>
      </c>
      <c r="C1530" s="145" t="s">
        <v>2553</v>
      </c>
      <c r="D1530" s="52" t="s">
        <v>2332</v>
      </c>
      <c r="E1530" s="103" t="s">
        <v>691</v>
      </c>
      <c r="F1530" s="26" t="s">
        <v>197</v>
      </c>
      <c r="G1530" s="27">
        <f>SUMIF(物料月初库存!$C$3:$C$303,$B1530,物料月初库存!$F$3:$F$303)</f>
        <v>1028</v>
      </c>
      <c r="H1530" s="28">
        <f>SUMIF(半成品入库明细!$D$2:$D$650,$B1530,半成品入库明细!$G$2:$G$650)</f>
        <v>0</v>
      </c>
      <c r="I1530" s="28">
        <f ca="1">SUMIF(半成品出库明细!$D$2:$D$558,$B1530,半成品出库明细!$G$2:$G$2)</f>
        <v>0</v>
      </c>
      <c r="J1530" s="28">
        <f ca="1" t="shared" si="29"/>
        <v>1028</v>
      </c>
      <c r="K1530" s="30" t="s">
        <v>92</v>
      </c>
      <c r="L1530" s="19"/>
      <c r="M1530" s="3"/>
    </row>
    <row r="1531" s="1" customFormat="1" spans="1:13">
      <c r="A1531" s="22"/>
      <c r="B1531" s="143" t="s">
        <v>2554</v>
      </c>
      <c r="C1531" s="145" t="s">
        <v>2553</v>
      </c>
      <c r="D1531" s="52" t="s">
        <v>2332</v>
      </c>
      <c r="E1531" s="103" t="s">
        <v>256</v>
      </c>
      <c r="F1531" s="26" t="s">
        <v>197</v>
      </c>
      <c r="G1531" s="27">
        <f>SUMIF(物料月初库存!$C$3:$C$303,$B1531,物料月初库存!$F$3:$F$303)</f>
        <v>0</v>
      </c>
      <c r="H1531" s="28">
        <f>SUMIF(半成品入库明细!$D$2:$D$650,$B1531,半成品入库明细!$G$2:$G$650)</f>
        <v>0</v>
      </c>
      <c r="I1531" s="28">
        <f ca="1">SUMIF(半成品出库明细!$D$2:$D$558,$B1531,半成品出库明细!$G$2:$G$2)</f>
        <v>0</v>
      </c>
      <c r="J1531" s="28">
        <f ca="1" t="shared" si="29"/>
        <v>0</v>
      </c>
      <c r="K1531" s="30" t="s">
        <v>2382</v>
      </c>
      <c r="L1531" s="19"/>
      <c r="M1531" s="3"/>
    </row>
    <row r="1532" s="1" customFormat="1" spans="1:13">
      <c r="A1532" s="22"/>
      <c r="B1532" s="143" t="s">
        <v>2555</v>
      </c>
      <c r="C1532" s="145" t="s">
        <v>2553</v>
      </c>
      <c r="D1532" s="52" t="s">
        <v>2332</v>
      </c>
      <c r="E1532" s="103" t="s">
        <v>353</v>
      </c>
      <c r="F1532" s="26" t="s">
        <v>197</v>
      </c>
      <c r="G1532" s="27">
        <f>SUMIF(物料月初库存!$C$3:$C$303,$B1532,物料月初库存!$F$3:$F$303)</f>
        <v>0</v>
      </c>
      <c r="H1532" s="28">
        <f>SUMIF(半成品入库明细!$D$2:$D$650,$B1532,半成品入库明细!$G$2:$G$650)</f>
        <v>0</v>
      </c>
      <c r="I1532" s="28">
        <f ca="1">SUMIF(半成品出库明细!$D$2:$D$558,$B1532,半成品出库明细!$G$2:$G$2)</f>
        <v>0</v>
      </c>
      <c r="J1532" s="28">
        <f ca="1" t="shared" si="29"/>
        <v>0</v>
      </c>
      <c r="K1532" s="30" t="s">
        <v>1271</v>
      </c>
      <c r="L1532" s="19"/>
      <c r="M1532" s="3"/>
    </row>
    <row r="1533" s="1" customFormat="1" spans="1:13">
      <c r="A1533" s="22"/>
      <c r="B1533" s="143" t="s">
        <v>2556</v>
      </c>
      <c r="C1533" s="145" t="s">
        <v>2557</v>
      </c>
      <c r="D1533" s="52" t="s">
        <v>2332</v>
      </c>
      <c r="E1533" s="103" t="s">
        <v>76</v>
      </c>
      <c r="F1533" s="26" t="s">
        <v>197</v>
      </c>
      <c r="G1533" s="27">
        <f>SUMIF(物料月初库存!$C$3:$C$303,$B1533,物料月初库存!$F$3:$F$303)</f>
        <v>0</v>
      </c>
      <c r="H1533" s="28">
        <f>SUMIF(半成品入库明细!$D$2:$D$650,$B1533,半成品入库明细!$G$2:$G$650)</f>
        <v>0</v>
      </c>
      <c r="I1533" s="28">
        <f ca="1">SUMIF(半成品出库明细!$D$2:$D$558,$B1533,半成品出库明细!$G$2:$G$2)</f>
        <v>0</v>
      </c>
      <c r="J1533" s="28">
        <f ca="1" t="shared" si="29"/>
        <v>0</v>
      </c>
      <c r="K1533" s="30"/>
      <c r="L1533" s="19"/>
      <c r="M1533" s="3"/>
    </row>
    <row r="1534" s="1" customFormat="1" spans="1:13">
      <c r="A1534" s="22"/>
      <c r="B1534" s="143" t="s">
        <v>2558</v>
      </c>
      <c r="C1534" s="145" t="s">
        <v>2557</v>
      </c>
      <c r="D1534" s="52" t="s">
        <v>2332</v>
      </c>
      <c r="E1534" s="103" t="s">
        <v>356</v>
      </c>
      <c r="F1534" s="26" t="s">
        <v>197</v>
      </c>
      <c r="G1534" s="27">
        <f>SUMIF(物料月初库存!$C$3:$C$303,$B1534,物料月初库存!$F$3:$F$303)</f>
        <v>0</v>
      </c>
      <c r="H1534" s="28">
        <f>SUMIF(半成品入库明细!$D$2:$D$650,$B1534,半成品入库明细!$G$2:$G$650)</f>
        <v>0</v>
      </c>
      <c r="I1534" s="28">
        <f ca="1">SUMIF(半成品出库明细!$D$2:$D$558,$B1534,半成品出库明细!$G$2:$G$2)</f>
        <v>0</v>
      </c>
      <c r="J1534" s="28">
        <f ca="1" t="shared" si="29"/>
        <v>0</v>
      </c>
      <c r="K1534" s="30" t="s">
        <v>113</v>
      </c>
      <c r="L1534" s="19"/>
      <c r="M1534" s="3"/>
    </row>
    <row r="1535" s="1" customFormat="1" spans="1:13">
      <c r="A1535" s="22"/>
      <c r="B1535" s="143" t="s">
        <v>2559</v>
      </c>
      <c r="C1535" s="145" t="s">
        <v>2557</v>
      </c>
      <c r="D1535" s="52" t="s">
        <v>2332</v>
      </c>
      <c r="E1535" s="103" t="s">
        <v>670</v>
      </c>
      <c r="F1535" s="26" t="s">
        <v>197</v>
      </c>
      <c r="G1535" s="27">
        <f>SUMIF(物料月初库存!$C$3:$C$303,$B1535,物料月初库存!$F$3:$F$303)</f>
        <v>0</v>
      </c>
      <c r="H1535" s="28">
        <f>SUMIF(半成品入库明细!$D$2:$D$650,$B1535,半成品入库明细!$G$2:$G$650)</f>
        <v>0</v>
      </c>
      <c r="I1535" s="28">
        <f ca="1">SUMIF(半成品出库明细!$D$2:$D$558,$B1535,半成品出库明细!$G$2:$G$2)</f>
        <v>0</v>
      </c>
      <c r="J1535" s="28">
        <f ca="1" t="shared" si="29"/>
        <v>0</v>
      </c>
      <c r="K1535" s="30" t="s">
        <v>146</v>
      </c>
      <c r="L1535" s="19"/>
      <c r="M1535" s="3"/>
    </row>
    <row r="1536" s="1" customFormat="1" spans="1:13">
      <c r="A1536" s="22"/>
      <c r="B1536" s="143" t="s">
        <v>2560</v>
      </c>
      <c r="C1536" s="145" t="s">
        <v>2557</v>
      </c>
      <c r="D1536" s="52" t="s">
        <v>2332</v>
      </c>
      <c r="E1536" s="103" t="s">
        <v>256</v>
      </c>
      <c r="F1536" s="26" t="s">
        <v>197</v>
      </c>
      <c r="G1536" s="27">
        <f>SUMIF(物料月初库存!$C$3:$C$303,$B1536,物料月初库存!$F$3:$F$303)</f>
        <v>0</v>
      </c>
      <c r="H1536" s="28">
        <f>SUMIF(半成品入库明细!$D$2:$D$650,$B1536,半成品入库明细!$G$2:$G$650)</f>
        <v>0</v>
      </c>
      <c r="I1536" s="28">
        <f ca="1">SUMIF(半成品出库明细!$D$2:$D$558,$B1536,半成品出库明细!$G$2:$G$2)</f>
        <v>0</v>
      </c>
      <c r="J1536" s="28">
        <f ca="1" t="shared" si="29"/>
        <v>0</v>
      </c>
      <c r="K1536" s="124" t="s">
        <v>2437</v>
      </c>
      <c r="L1536" s="19"/>
      <c r="M1536" s="3"/>
    </row>
    <row r="1537" s="1" customFormat="1" spans="1:13">
      <c r="A1537" s="22"/>
      <c r="B1537" s="143" t="s">
        <v>2561</v>
      </c>
      <c r="C1537" s="145" t="s">
        <v>2557</v>
      </c>
      <c r="D1537" s="52" t="s">
        <v>2332</v>
      </c>
      <c r="E1537" s="103" t="s">
        <v>353</v>
      </c>
      <c r="F1537" s="26" t="s">
        <v>197</v>
      </c>
      <c r="G1537" s="27">
        <f>SUMIF(物料月初库存!$C$3:$C$303,$B1537,物料月初库存!$F$3:$F$303)</f>
        <v>0</v>
      </c>
      <c r="H1537" s="28">
        <f>SUMIF(半成品入库明细!$D$2:$D$650,$B1537,半成品入库明细!$G$2:$G$650)</f>
        <v>0</v>
      </c>
      <c r="I1537" s="28">
        <f ca="1">SUMIF(半成品出库明细!$D$2:$D$558,$B1537,半成品出库明细!$G$2:$G$2)</f>
        <v>0</v>
      </c>
      <c r="J1537" s="28">
        <f ca="1" t="shared" si="29"/>
        <v>0</v>
      </c>
      <c r="K1537" s="30" t="s">
        <v>1271</v>
      </c>
      <c r="L1537" s="19"/>
      <c r="M1537" s="3"/>
    </row>
    <row r="1538" s="1" customFormat="1" spans="1:13">
      <c r="A1538" s="22"/>
      <c r="B1538" s="143" t="s">
        <v>2562</v>
      </c>
      <c r="C1538" s="145" t="s">
        <v>2563</v>
      </c>
      <c r="D1538" s="52" t="s">
        <v>2332</v>
      </c>
      <c r="E1538" s="103" t="s">
        <v>76</v>
      </c>
      <c r="F1538" s="26" t="s">
        <v>197</v>
      </c>
      <c r="G1538" s="27">
        <f>SUMIF(物料月初库存!$C$3:$C$303,$B1538,物料月初库存!$F$3:$F$303)</f>
        <v>0</v>
      </c>
      <c r="H1538" s="28">
        <f>SUMIF(半成品入库明细!$D$2:$D$650,$B1538,半成品入库明细!$G$2:$G$650)</f>
        <v>0</v>
      </c>
      <c r="I1538" s="28">
        <f ca="1">SUMIF(半成品出库明细!$D$2:$D$558,$B1538,半成品出库明细!$G$2:$G$2)</f>
        <v>0</v>
      </c>
      <c r="J1538" s="28">
        <f ca="1" t="shared" si="29"/>
        <v>0</v>
      </c>
      <c r="K1538" s="30"/>
      <c r="L1538" s="19"/>
      <c r="M1538" s="3"/>
    </row>
    <row r="1539" s="1" customFormat="1" spans="1:13">
      <c r="A1539" s="22"/>
      <c r="B1539" s="143" t="s">
        <v>2564</v>
      </c>
      <c r="C1539" s="145" t="s">
        <v>2563</v>
      </c>
      <c r="D1539" s="52" t="s">
        <v>2332</v>
      </c>
      <c r="E1539" s="103" t="s">
        <v>1674</v>
      </c>
      <c r="F1539" s="26" t="s">
        <v>197</v>
      </c>
      <c r="G1539" s="27">
        <f>SUMIF(物料月初库存!$C$3:$C$303,$B1539,物料月初库存!$F$3:$F$303)</f>
        <v>0</v>
      </c>
      <c r="H1539" s="28">
        <f>SUMIF(半成品入库明细!$D$2:$D$650,$B1539,半成品入库明细!$G$2:$G$650)</f>
        <v>0</v>
      </c>
      <c r="I1539" s="28">
        <f ca="1">SUMIF(半成品出库明细!$D$2:$D$558,$B1539,半成品出库明细!$G$2:$G$2)</f>
        <v>0</v>
      </c>
      <c r="J1539" s="28">
        <f ca="1" t="shared" si="29"/>
        <v>0</v>
      </c>
      <c r="K1539" s="30" t="s">
        <v>2345</v>
      </c>
      <c r="L1539" s="19"/>
      <c r="M1539" s="3"/>
    </row>
    <row r="1540" s="1" customFormat="1" spans="1:13">
      <c r="A1540" s="22"/>
      <c r="B1540" s="143" t="s">
        <v>2565</v>
      </c>
      <c r="C1540" s="145" t="s">
        <v>2563</v>
      </c>
      <c r="D1540" s="52" t="s">
        <v>2332</v>
      </c>
      <c r="E1540" s="103" t="s">
        <v>256</v>
      </c>
      <c r="F1540" s="26" t="s">
        <v>197</v>
      </c>
      <c r="G1540" s="27">
        <f>SUMIF(物料月初库存!$C$3:$C$303,$B1540,物料月初库存!$F$3:$F$303)</f>
        <v>0</v>
      </c>
      <c r="H1540" s="28">
        <f>SUMIF(半成品入库明细!$D$2:$D$650,$B1540,半成品入库明细!$G$2:$G$650)</f>
        <v>0</v>
      </c>
      <c r="I1540" s="28">
        <f ca="1">SUMIF(半成品出库明细!$D$2:$D$558,$B1540,半成品出库明细!$G$2:$G$2)</f>
        <v>0</v>
      </c>
      <c r="J1540" s="28">
        <f ca="1" t="shared" si="29"/>
        <v>0</v>
      </c>
      <c r="K1540" s="29" t="s">
        <v>2456</v>
      </c>
      <c r="L1540" s="19"/>
      <c r="M1540" s="3"/>
    </row>
    <row r="1541" s="1" customFormat="1" spans="1:13">
      <c r="A1541" s="22"/>
      <c r="B1541" s="143" t="s">
        <v>2566</v>
      </c>
      <c r="C1541" s="145" t="s">
        <v>2563</v>
      </c>
      <c r="D1541" s="52" t="s">
        <v>2332</v>
      </c>
      <c r="E1541" s="103" t="s">
        <v>353</v>
      </c>
      <c r="F1541" s="26" t="s">
        <v>197</v>
      </c>
      <c r="G1541" s="27">
        <f>SUMIF(物料月初库存!$C$3:$C$303,$B1541,物料月初库存!$F$3:$F$303)</f>
        <v>0</v>
      </c>
      <c r="H1541" s="28">
        <f>SUMIF(半成品入库明细!$D$2:$D$650,$B1541,半成品入库明细!$G$2:$G$650)</f>
        <v>0</v>
      </c>
      <c r="I1541" s="28">
        <f ca="1">SUMIF(半成品出库明细!$D$2:$D$558,$B1541,半成品出库明细!$G$2:$G$2)</f>
        <v>0</v>
      </c>
      <c r="J1541" s="28">
        <f ca="1" t="shared" si="29"/>
        <v>0</v>
      </c>
      <c r="K1541" s="30" t="s">
        <v>1271</v>
      </c>
      <c r="L1541" s="19"/>
      <c r="M1541" s="3"/>
    </row>
    <row r="1542" s="1" customFormat="1" spans="1:13">
      <c r="A1542" s="22"/>
      <c r="B1542" s="143" t="s">
        <v>2567</v>
      </c>
      <c r="C1542" s="145" t="s">
        <v>2568</v>
      </c>
      <c r="D1542" s="52" t="s">
        <v>2332</v>
      </c>
      <c r="E1542" s="103" t="s">
        <v>2333</v>
      </c>
      <c r="F1542" s="26" t="s">
        <v>197</v>
      </c>
      <c r="G1542" s="27">
        <f>SUMIF(物料月初库存!$C$3:$C$303,$B1542,物料月初库存!$F$3:$F$303)</f>
        <v>0</v>
      </c>
      <c r="H1542" s="28">
        <f>SUMIF(半成品入库明细!$D$2:$D$650,$B1542,半成品入库明细!$G$2:$G$650)</f>
        <v>0</v>
      </c>
      <c r="I1542" s="28">
        <f ca="1">SUMIF(半成品出库明细!$D$2:$D$558,$B1542,半成品出库明细!$G$2:$G$2)</f>
        <v>0</v>
      </c>
      <c r="J1542" s="28">
        <f ca="1">G1542+H1542-I1542</f>
        <v>0</v>
      </c>
      <c r="K1542" s="30"/>
      <c r="L1542" s="19"/>
      <c r="M1542" s="3"/>
    </row>
    <row r="1543" s="1" customFormat="1" spans="1:13">
      <c r="A1543" s="22"/>
      <c r="B1543" s="143" t="s">
        <v>2569</v>
      </c>
      <c r="C1543" s="145" t="s">
        <v>2570</v>
      </c>
      <c r="D1543" s="52" t="s">
        <v>2332</v>
      </c>
      <c r="E1543" s="103" t="s">
        <v>76</v>
      </c>
      <c r="F1543" s="26" t="s">
        <v>197</v>
      </c>
      <c r="G1543" s="27">
        <f>SUMIF(物料月初库存!$C$3:$C$303,$B1543,物料月初库存!$F$3:$F$303)</f>
        <v>0</v>
      </c>
      <c r="H1543" s="28">
        <f>SUMIF(半成品入库明细!$D$2:$D$650,$B1543,半成品入库明细!$G$2:$G$650)</f>
        <v>0</v>
      </c>
      <c r="I1543" s="28">
        <f ca="1">SUMIF(半成品出库明细!$D$2:$D$558,$B1543,半成品出库明细!$G$2:$G$2)</f>
        <v>0</v>
      </c>
      <c r="J1543" s="28">
        <f ca="1">G1543+H1543-I1543</f>
        <v>0</v>
      </c>
      <c r="K1543" s="30"/>
      <c r="L1543" s="19"/>
      <c r="M1543" s="3"/>
    </row>
    <row r="1544" s="1" customFormat="1" spans="1:13">
      <c r="A1544" s="22"/>
      <c r="B1544" s="143" t="s">
        <v>40</v>
      </c>
      <c r="C1544" s="145" t="s">
        <v>2570</v>
      </c>
      <c r="D1544" s="52" t="s">
        <v>2332</v>
      </c>
      <c r="E1544" s="103" t="s">
        <v>225</v>
      </c>
      <c r="F1544" s="26" t="s">
        <v>197</v>
      </c>
      <c r="G1544" s="27">
        <f>SUMIF(物料月初库存!$C$3:$C$303,$B1544,物料月初库存!$F$3:$F$303)</f>
        <v>184</v>
      </c>
      <c r="H1544" s="28">
        <f>SUMIF(半成品入库明细!$D$2:$D$650,$B1544,半成品入库明细!$G$2:$G$650)</f>
        <v>0</v>
      </c>
      <c r="I1544" s="28">
        <f ca="1">SUMIF(半成品出库明细!$D$2:$D$558,$B1544,半成品出库明细!$G$2:$G$2)</f>
        <v>147</v>
      </c>
      <c r="J1544" s="28">
        <f ca="1">G1544+H1544-I1544</f>
        <v>37</v>
      </c>
      <c r="K1544" s="30" t="s">
        <v>92</v>
      </c>
      <c r="L1544" s="19"/>
      <c r="M1544" s="3"/>
    </row>
    <row r="1545" s="1" customFormat="1" spans="1:13">
      <c r="A1545" s="22"/>
      <c r="B1545" s="143" t="s">
        <v>41</v>
      </c>
      <c r="C1545" s="145" t="s">
        <v>2570</v>
      </c>
      <c r="D1545" s="52" t="s">
        <v>2332</v>
      </c>
      <c r="E1545" s="103" t="s">
        <v>316</v>
      </c>
      <c r="F1545" s="26" t="s">
        <v>197</v>
      </c>
      <c r="G1545" s="27">
        <f>SUMIF(物料月初库存!$C$3:$C$303,$B1545,物料月初库存!$F$3:$F$303)</f>
        <v>185</v>
      </c>
      <c r="H1545" s="28">
        <f>SUMIF(半成品入库明细!$D$2:$D$650,$B1545,半成品入库明细!$G$2:$G$650)</f>
        <v>0</v>
      </c>
      <c r="I1545" s="28">
        <f ca="1">SUMIF(半成品出库明细!$D$2:$D$558,$B1545,半成品出库明细!$G$2:$G$2)</f>
        <v>0</v>
      </c>
      <c r="J1545" s="28">
        <f ca="1">G1545+H1545-I1545</f>
        <v>185</v>
      </c>
      <c r="K1545" s="30" t="s">
        <v>2452</v>
      </c>
      <c r="L1545" s="19"/>
      <c r="M1545" s="3"/>
    </row>
    <row r="1546" s="1" customFormat="1" spans="1:13">
      <c r="A1546" s="22"/>
      <c r="B1546" s="143" t="s">
        <v>2571</v>
      </c>
      <c r="C1546" s="145" t="s">
        <v>2570</v>
      </c>
      <c r="D1546" s="52" t="s">
        <v>2332</v>
      </c>
      <c r="E1546" s="103" t="s">
        <v>239</v>
      </c>
      <c r="F1546" s="26" t="s">
        <v>197</v>
      </c>
      <c r="G1546" s="27">
        <f>SUMIF(物料月初库存!$C$3:$C$303,$B1546,物料月初库存!$F$3:$F$303)</f>
        <v>0</v>
      </c>
      <c r="H1546" s="28">
        <f>SUMIF(半成品入库明细!$D$2:$D$650,$B1546,半成品入库明细!$G$2:$G$650)</f>
        <v>0</v>
      </c>
      <c r="I1546" s="28">
        <f ca="1">SUMIF(半成品出库明细!$D$2:$D$558,$B1546,半成品出库明细!$G$2:$G$2)</f>
        <v>0</v>
      </c>
      <c r="J1546" s="28">
        <f ca="1">G1546+H1546-I1546</f>
        <v>0</v>
      </c>
      <c r="K1546" s="30" t="s">
        <v>2572</v>
      </c>
      <c r="L1546" s="19"/>
      <c r="M1546" s="3"/>
    </row>
    <row r="1547" s="1" customFormat="1" spans="1:13">
      <c r="A1547" s="22"/>
      <c r="B1547" s="143" t="s">
        <v>2573</v>
      </c>
      <c r="C1547" s="149" t="s">
        <v>2574</v>
      </c>
      <c r="D1547" s="52" t="s">
        <v>2332</v>
      </c>
      <c r="E1547" s="103" t="s">
        <v>76</v>
      </c>
      <c r="F1547" s="26" t="s">
        <v>197</v>
      </c>
      <c r="G1547" s="27">
        <f>SUMIF(物料月初库存!$C$3:$C$303,$B1547,物料月初库存!$F$3:$F$303)</f>
        <v>0</v>
      </c>
      <c r="H1547" s="28">
        <f>SUMIF(半成品入库明细!$D$2:$D$650,$B1547,半成品入库明细!$G$2:$G$650)</f>
        <v>0</v>
      </c>
      <c r="I1547" s="28">
        <f ca="1">SUMIF(半成品出库明细!$D$2:$D$558,$B1547,半成品出库明细!$G$2:$G$2)</f>
        <v>0</v>
      </c>
      <c r="J1547" s="28">
        <f ca="1" t="shared" ref="J1547:J1576" si="30">G1547+H1547-I1547</f>
        <v>0</v>
      </c>
      <c r="K1547" s="30"/>
      <c r="L1547" s="19"/>
      <c r="M1547" s="3"/>
    </row>
    <row r="1548" s="1" customFormat="1" spans="1:13">
      <c r="A1548" s="22"/>
      <c r="B1548" s="143" t="s">
        <v>2575</v>
      </c>
      <c r="C1548" s="149" t="s">
        <v>2574</v>
      </c>
      <c r="D1548" s="52" t="s">
        <v>2332</v>
      </c>
      <c r="E1548" s="103" t="s">
        <v>356</v>
      </c>
      <c r="F1548" s="26" t="s">
        <v>197</v>
      </c>
      <c r="G1548" s="27">
        <f>SUMIF(物料月初库存!$C$3:$C$303,$B1548,物料月初库存!$F$3:$F$303)</f>
        <v>0</v>
      </c>
      <c r="H1548" s="28">
        <f>SUMIF(半成品入库明细!$D$2:$D$650,$B1548,半成品入库明细!$G$2:$G$650)</f>
        <v>0</v>
      </c>
      <c r="I1548" s="28">
        <f ca="1">SUMIF(半成品出库明细!$D$2:$D$558,$B1548,半成品出库明细!$G$2:$G$2)</f>
        <v>0</v>
      </c>
      <c r="J1548" s="28">
        <f ca="1" t="shared" si="30"/>
        <v>0</v>
      </c>
      <c r="K1548" s="30" t="s">
        <v>113</v>
      </c>
      <c r="L1548" s="19"/>
      <c r="M1548" s="3"/>
    </row>
    <row r="1549" s="1" customFormat="1" spans="1:13">
      <c r="A1549" s="22"/>
      <c r="B1549" s="143" t="s">
        <v>2576</v>
      </c>
      <c r="C1549" s="149" t="s">
        <v>2574</v>
      </c>
      <c r="D1549" s="52" t="s">
        <v>2332</v>
      </c>
      <c r="E1549" s="103" t="s">
        <v>267</v>
      </c>
      <c r="F1549" s="26" t="s">
        <v>197</v>
      </c>
      <c r="G1549" s="27">
        <f>SUMIF(物料月初库存!$C$3:$C$303,$B1549,物料月初库存!$F$3:$F$303)</f>
        <v>0</v>
      </c>
      <c r="H1549" s="28">
        <f>SUMIF(半成品入库明细!$D$2:$D$650,$B1549,半成品入库明细!$G$2:$G$650)</f>
        <v>0</v>
      </c>
      <c r="I1549" s="28">
        <f ca="1">SUMIF(半成品出库明细!$D$2:$D$558,$B1549,半成品出库明细!$G$2:$G$2)</f>
        <v>0</v>
      </c>
      <c r="J1549" s="28">
        <f ca="1" t="shared" si="30"/>
        <v>0</v>
      </c>
      <c r="K1549" s="30" t="s">
        <v>146</v>
      </c>
      <c r="L1549" s="19"/>
      <c r="M1549" s="3"/>
    </row>
    <row r="1550" s="1" customFormat="1" spans="1:13">
      <c r="A1550" s="22"/>
      <c r="B1550" s="143" t="s">
        <v>2577</v>
      </c>
      <c r="C1550" s="149" t="s">
        <v>2574</v>
      </c>
      <c r="D1550" s="52" t="s">
        <v>2332</v>
      </c>
      <c r="E1550" s="103" t="s">
        <v>256</v>
      </c>
      <c r="F1550" s="26" t="s">
        <v>197</v>
      </c>
      <c r="G1550" s="27">
        <f>SUMIF(物料月初库存!$C$3:$C$303,$B1550,物料月初库存!$F$3:$F$303)</f>
        <v>0</v>
      </c>
      <c r="H1550" s="28">
        <f>SUMIF(半成品入库明细!$D$2:$D$650,$B1550,半成品入库明细!$G$2:$G$650)</f>
        <v>0</v>
      </c>
      <c r="I1550" s="28">
        <f ca="1">SUMIF(半成品出库明细!$D$2:$D$558,$B1550,半成品出库明细!$G$2:$G$2)</f>
        <v>0</v>
      </c>
      <c r="J1550" s="28">
        <f ca="1" t="shared" si="30"/>
        <v>0</v>
      </c>
      <c r="K1550" s="30" t="s">
        <v>2456</v>
      </c>
      <c r="L1550" s="19"/>
      <c r="M1550" s="3"/>
    </row>
    <row r="1551" s="1" customFormat="1" spans="1:13">
      <c r="A1551" s="22"/>
      <c r="B1551" s="143" t="s">
        <v>2578</v>
      </c>
      <c r="C1551" s="149" t="s">
        <v>2574</v>
      </c>
      <c r="D1551" s="52" t="s">
        <v>2332</v>
      </c>
      <c r="E1551" s="103" t="s">
        <v>353</v>
      </c>
      <c r="F1551" s="26" t="s">
        <v>197</v>
      </c>
      <c r="G1551" s="27">
        <f>SUMIF(物料月初库存!$C$3:$C$303,$B1551,物料月初库存!$F$3:$F$303)</f>
        <v>0</v>
      </c>
      <c r="H1551" s="28">
        <f>SUMIF(半成品入库明细!$D$2:$D$650,$B1551,半成品入库明细!$G$2:$G$650)</f>
        <v>0</v>
      </c>
      <c r="I1551" s="28">
        <f ca="1">SUMIF(半成品出库明细!$D$2:$D$558,$B1551,半成品出库明细!$G$2:$G$2)</f>
        <v>0</v>
      </c>
      <c r="J1551" s="28">
        <f ca="1" t="shared" si="30"/>
        <v>0</v>
      </c>
      <c r="K1551" s="30" t="s">
        <v>1271</v>
      </c>
      <c r="L1551" s="19"/>
      <c r="M1551" s="3"/>
    </row>
    <row r="1552" s="1" customFormat="1" spans="1:13">
      <c r="A1552" s="22"/>
      <c r="B1552" s="143" t="s">
        <v>2579</v>
      </c>
      <c r="C1552" s="145" t="s">
        <v>2580</v>
      </c>
      <c r="D1552" s="52" t="s">
        <v>2332</v>
      </c>
      <c r="E1552" s="103" t="s">
        <v>76</v>
      </c>
      <c r="F1552" s="26" t="s">
        <v>197</v>
      </c>
      <c r="G1552" s="27">
        <f>SUMIF(物料月初库存!$C$3:$C$303,$B1552,物料月初库存!$F$3:$F$303)</f>
        <v>0</v>
      </c>
      <c r="H1552" s="28">
        <f>SUMIF(半成品入库明细!$D$2:$D$650,$B1552,半成品入库明细!$G$2:$G$650)</f>
        <v>0</v>
      </c>
      <c r="I1552" s="28">
        <f ca="1">SUMIF(半成品出库明细!$D$2:$D$558,$B1552,半成品出库明细!$G$2:$G$2)</f>
        <v>0</v>
      </c>
      <c r="J1552" s="28">
        <f ca="1" t="shared" si="30"/>
        <v>0</v>
      </c>
      <c r="K1552" s="30"/>
      <c r="L1552" s="19"/>
      <c r="M1552" s="3"/>
    </row>
    <row r="1553" s="1" customFormat="1" spans="1:13">
      <c r="A1553" s="22"/>
      <c r="B1553" s="143" t="s">
        <v>145</v>
      </c>
      <c r="C1553" s="145" t="s">
        <v>2580</v>
      </c>
      <c r="D1553" s="52" t="s">
        <v>2332</v>
      </c>
      <c r="E1553" s="103" t="s">
        <v>356</v>
      </c>
      <c r="F1553" s="26" t="s">
        <v>197</v>
      </c>
      <c r="G1553" s="27">
        <f>SUMIF(物料月初库存!$C$3:$C$303,$B1553,物料月初库存!$F$3:$F$303)</f>
        <v>0</v>
      </c>
      <c r="H1553" s="28">
        <f>SUMIF(半成品入库明细!$D$2:$D$650,$B1553,半成品入库明细!$G$2:$G$650)</f>
        <v>900</v>
      </c>
      <c r="I1553" s="28">
        <f ca="1">SUMIF(半成品出库明细!$D$2:$D$558,$B1553,半成品出库明细!$G$2:$G$2)</f>
        <v>0</v>
      </c>
      <c r="J1553" s="28">
        <f ca="1" t="shared" si="30"/>
        <v>900</v>
      </c>
      <c r="K1553" s="30" t="s">
        <v>113</v>
      </c>
      <c r="L1553" s="19"/>
      <c r="M1553" s="3"/>
    </row>
    <row r="1554" s="1" customFormat="1" spans="1:13">
      <c r="A1554" s="22"/>
      <c r="B1554" s="143" t="s">
        <v>2581</v>
      </c>
      <c r="C1554" s="145" t="s">
        <v>2580</v>
      </c>
      <c r="D1554" s="52" t="s">
        <v>2332</v>
      </c>
      <c r="E1554" s="103" t="s">
        <v>267</v>
      </c>
      <c r="F1554" s="26" t="s">
        <v>197</v>
      </c>
      <c r="G1554" s="27">
        <f>SUMIF(物料月初库存!$C$3:$C$303,$B1554,物料月初库存!$F$3:$F$303)</f>
        <v>0</v>
      </c>
      <c r="H1554" s="28">
        <f>SUMIF(半成品入库明细!$D$2:$D$650,$B1554,半成品入库明细!$G$2:$G$650)</f>
        <v>0</v>
      </c>
      <c r="I1554" s="28">
        <f ca="1">SUMIF(半成品出库明细!$D$2:$D$558,$B1554,半成品出库明细!$G$2:$G$2)</f>
        <v>0</v>
      </c>
      <c r="J1554" s="28">
        <f ca="1" t="shared" si="30"/>
        <v>0</v>
      </c>
      <c r="K1554" s="124" t="s">
        <v>146</v>
      </c>
      <c r="L1554" s="19"/>
      <c r="M1554" s="3"/>
    </row>
    <row r="1555" s="1" customFormat="1" spans="1:13">
      <c r="A1555" s="22"/>
      <c r="B1555" s="143" t="s">
        <v>2582</v>
      </c>
      <c r="C1555" s="145" t="s">
        <v>2580</v>
      </c>
      <c r="D1555" s="52" t="s">
        <v>2332</v>
      </c>
      <c r="E1555" s="103" t="s">
        <v>256</v>
      </c>
      <c r="F1555" s="26" t="s">
        <v>197</v>
      </c>
      <c r="G1555" s="27">
        <f>SUMIF(物料月初库存!$C$3:$C$303,$B1555,物料月初库存!$F$3:$F$303)</f>
        <v>0</v>
      </c>
      <c r="H1555" s="28">
        <f>SUMIF(半成品入库明细!$D$2:$D$650,$B1555,半成品入库明细!$G$2:$G$650)</f>
        <v>0</v>
      </c>
      <c r="I1555" s="28">
        <f ca="1">SUMIF(半成品出库明细!$D$2:$D$558,$B1555,半成品出库明细!$G$2:$G$2)</f>
        <v>0</v>
      </c>
      <c r="J1555" s="28">
        <f ca="1" t="shared" si="30"/>
        <v>0</v>
      </c>
      <c r="K1555" s="30" t="s">
        <v>2456</v>
      </c>
      <c r="L1555" s="19"/>
      <c r="M1555" s="3"/>
    </row>
    <row r="1556" s="1" customFormat="1" spans="1:13">
      <c r="A1556" s="22"/>
      <c r="B1556" s="143" t="s">
        <v>2583</v>
      </c>
      <c r="C1556" s="145" t="s">
        <v>2580</v>
      </c>
      <c r="D1556" s="52" t="s">
        <v>2332</v>
      </c>
      <c r="E1556" s="103" t="s">
        <v>353</v>
      </c>
      <c r="F1556" s="26" t="s">
        <v>197</v>
      </c>
      <c r="G1556" s="27">
        <f>SUMIF(物料月初库存!$C$3:$C$303,$B1556,物料月初库存!$F$3:$F$303)</f>
        <v>0</v>
      </c>
      <c r="H1556" s="28">
        <f>SUMIF(半成品入库明细!$D$2:$D$650,$B1556,半成品入库明细!$G$2:$G$650)</f>
        <v>0</v>
      </c>
      <c r="I1556" s="28">
        <f ca="1">SUMIF(半成品出库明细!$D$2:$D$558,$B1556,半成品出库明细!$G$2:$G$2)</f>
        <v>0</v>
      </c>
      <c r="J1556" s="28">
        <f ca="1" t="shared" si="30"/>
        <v>0</v>
      </c>
      <c r="K1556" s="30" t="s">
        <v>1271</v>
      </c>
      <c r="L1556" s="19"/>
      <c r="M1556" s="3"/>
    </row>
    <row r="1557" s="1" customFormat="1" spans="1:13">
      <c r="A1557" s="22"/>
      <c r="B1557" s="143" t="s">
        <v>2532</v>
      </c>
      <c r="C1557" s="145" t="s">
        <v>2584</v>
      </c>
      <c r="D1557" s="52" t="s">
        <v>2332</v>
      </c>
      <c r="E1557" s="103" t="s">
        <v>76</v>
      </c>
      <c r="F1557" s="26" t="s">
        <v>197</v>
      </c>
      <c r="G1557" s="27">
        <f>SUMIF(物料月初库存!$C$3:$C$303,$B1557,物料月初库存!$F$3:$F$303)</f>
        <v>0</v>
      </c>
      <c r="H1557" s="28">
        <f>SUMIF(半成品入库明细!$D$2:$D$650,$B1557,半成品入库明细!$G$2:$G$650)</f>
        <v>0</v>
      </c>
      <c r="I1557" s="28">
        <f ca="1">SUMIF(半成品出库明细!$D$2:$D$558,$B1557,半成品出库明细!$G$2:$G$2)</f>
        <v>0</v>
      </c>
      <c r="J1557" s="28">
        <f ca="1" t="shared" si="30"/>
        <v>0</v>
      </c>
      <c r="L1557" s="19"/>
      <c r="M1557" s="3"/>
    </row>
    <row r="1558" s="1" customFormat="1" spans="1:13">
      <c r="A1558" s="22"/>
      <c r="B1558" s="143" t="s">
        <v>2585</v>
      </c>
      <c r="C1558" s="145" t="s">
        <v>2584</v>
      </c>
      <c r="D1558" s="52" t="s">
        <v>2332</v>
      </c>
      <c r="E1558" s="103" t="s">
        <v>356</v>
      </c>
      <c r="F1558" s="26" t="s">
        <v>197</v>
      </c>
      <c r="G1558" s="27">
        <f>SUMIF(物料月初库存!$C$3:$C$303,$B1558,物料月初库存!$F$3:$F$303)</f>
        <v>0</v>
      </c>
      <c r="H1558" s="28">
        <f>SUMIF(半成品入库明细!$D$2:$D$650,$B1558,半成品入库明细!$G$2:$G$650)</f>
        <v>0</v>
      </c>
      <c r="I1558" s="28">
        <f ca="1">SUMIF(半成品出库明细!$D$2:$D$558,$B1558,半成品出库明细!$G$2:$G$2)</f>
        <v>0</v>
      </c>
      <c r="J1558" s="28">
        <f ca="1" t="shared" si="30"/>
        <v>0</v>
      </c>
      <c r="K1558" s="30" t="s">
        <v>113</v>
      </c>
      <c r="L1558" s="19"/>
      <c r="M1558" s="3"/>
    </row>
    <row r="1559" s="1" customFormat="1" spans="1:13">
      <c r="A1559" s="22"/>
      <c r="B1559" s="143" t="s">
        <v>2586</v>
      </c>
      <c r="C1559" s="145" t="s">
        <v>2584</v>
      </c>
      <c r="D1559" s="52" t="s">
        <v>2332</v>
      </c>
      <c r="E1559" s="103" t="s">
        <v>267</v>
      </c>
      <c r="F1559" s="26" t="s">
        <v>197</v>
      </c>
      <c r="G1559" s="27">
        <f>SUMIF(物料月初库存!$C$3:$C$303,$B1559,物料月初库存!$F$3:$F$303)</f>
        <v>0</v>
      </c>
      <c r="H1559" s="28">
        <f>SUMIF(半成品入库明细!$D$2:$D$650,$B1559,半成品入库明细!$G$2:$G$650)</f>
        <v>0</v>
      </c>
      <c r="I1559" s="28">
        <f ca="1">SUMIF(半成品出库明细!$D$2:$D$558,$B1559,半成品出库明细!$G$2:$G$2)</f>
        <v>0</v>
      </c>
      <c r="J1559" s="28">
        <f ca="1" t="shared" si="30"/>
        <v>0</v>
      </c>
      <c r="K1559" s="124" t="s">
        <v>146</v>
      </c>
      <c r="L1559" s="19"/>
      <c r="M1559" s="3"/>
    </row>
    <row r="1560" s="1" customFormat="1" spans="1:13">
      <c r="A1560" s="22"/>
      <c r="B1560" s="143" t="s">
        <v>2536</v>
      </c>
      <c r="C1560" s="145" t="s">
        <v>2584</v>
      </c>
      <c r="D1560" s="52" t="s">
        <v>2332</v>
      </c>
      <c r="E1560" s="103" t="s">
        <v>256</v>
      </c>
      <c r="F1560" s="26" t="s">
        <v>197</v>
      </c>
      <c r="G1560" s="27">
        <f>SUMIF(物料月初库存!$C$3:$C$303,$B1560,物料月初库存!$F$3:$F$303)</f>
        <v>0</v>
      </c>
      <c r="H1560" s="28">
        <f>SUMIF(半成品入库明细!$D$2:$D$650,$B1560,半成品入库明细!$G$2:$G$650)</f>
        <v>0</v>
      </c>
      <c r="I1560" s="28">
        <f ca="1">SUMIF(半成品出库明细!$D$2:$D$558,$B1560,半成品出库明细!$G$2:$G$2)</f>
        <v>0</v>
      </c>
      <c r="J1560" s="28">
        <f ca="1" t="shared" si="30"/>
        <v>0</v>
      </c>
      <c r="K1560" s="30" t="s">
        <v>2456</v>
      </c>
      <c r="L1560" s="19"/>
      <c r="M1560" s="3"/>
    </row>
    <row r="1561" s="1" customFormat="1" spans="1:13">
      <c r="A1561" s="22"/>
      <c r="B1561" s="143" t="s">
        <v>2537</v>
      </c>
      <c r="C1561" s="145" t="s">
        <v>2584</v>
      </c>
      <c r="D1561" s="52" t="s">
        <v>2332</v>
      </c>
      <c r="E1561" s="103" t="s">
        <v>353</v>
      </c>
      <c r="F1561" s="26" t="s">
        <v>197</v>
      </c>
      <c r="G1561" s="27">
        <f>SUMIF(物料月初库存!$C$3:$C$303,$B1561,物料月初库存!$F$3:$F$303)</f>
        <v>0</v>
      </c>
      <c r="H1561" s="28">
        <f>SUMIF(半成品入库明细!$D$2:$D$650,$B1561,半成品入库明细!$G$2:$G$650)</f>
        <v>0</v>
      </c>
      <c r="I1561" s="28">
        <f ca="1">SUMIF(半成品出库明细!$D$2:$D$558,$B1561,半成品出库明细!$G$2:$G$2)</f>
        <v>0</v>
      </c>
      <c r="J1561" s="28">
        <f ca="1" t="shared" si="30"/>
        <v>0</v>
      </c>
      <c r="K1561" s="30" t="s">
        <v>1271</v>
      </c>
      <c r="L1561" s="19"/>
      <c r="M1561" s="3"/>
    </row>
    <row r="1562" s="1" customFormat="1" spans="1:13">
      <c r="A1562" s="22"/>
      <c r="B1562" s="143" t="s">
        <v>2587</v>
      </c>
      <c r="C1562" s="145" t="s">
        <v>2588</v>
      </c>
      <c r="D1562" s="52" t="s">
        <v>2332</v>
      </c>
      <c r="E1562" s="103" t="s">
        <v>76</v>
      </c>
      <c r="F1562" s="26" t="s">
        <v>197</v>
      </c>
      <c r="G1562" s="27">
        <f>SUMIF(物料月初库存!$C$3:$C$303,$B1562,物料月初库存!$F$3:$F$303)</f>
        <v>0</v>
      </c>
      <c r="H1562" s="28">
        <f>SUMIF(半成品入库明细!$D$2:$D$650,$B1562,半成品入库明细!$G$2:$G$650)</f>
        <v>0</v>
      </c>
      <c r="I1562" s="28">
        <f ca="1">SUMIF(半成品出库明细!$D$2:$D$558,$B1562,半成品出库明细!$G$2:$G$2)</f>
        <v>0</v>
      </c>
      <c r="J1562" s="28">
        <f ca="1" t="shared" si="30"/>
        <v>0</v>
      </c>
      <c r="K1562" s="30"/>
      <c r="L1562" s="19"/>
      <c r="M1562" s="3"/>
    </row>
    <row r="1563" s="1" customFormat="1" spans="1:13">
      <c r="A1563" s="22"/>
      <c r="B1563" s="143" t="s">
        <v>2589</v>
      </c>
      <c r="C1563" s="145" t="s">
        <v>2588</v>
      </c>
      <c r="D1563" s="52" t="s">
        <v>2332</v>
      </c>
      <c r="E1563" s="103" t="s">
        <v>1674</v>
      </c>
      <c r="F1563" s="26" t="s">
        <v>197</v>
      </c>
      <c r="G1563" s="27">
        <f>SUMIF(物料月初库存!$C$3:$C$303,$B1563,物料月初库存!$F$3:$F$303)</f>
        <v>0</v>
      </c>
      <c r="H1563" s="28">
        <f>SUMIF(半成品入库明细!$D$2:$D$650,$B1563,半成品入库明细!$G$2:$G$650)</f>
        <v>0</v>
      </c>
      <c r="I1563" s="28">
        <f ca="1">SUMIF(半成品出库明细!$D$2:$D$558,$B1563,半成品出库明细!$G$2:$G$2)</f>
        <v>0</v>
      </c>
      <c r="J1563" s="28">
        <f ca="1" t="shared" si="30"/>
        <v>0</v>
      </c>
      <c r="K1563" s="30" t="s">
        <v>113</v>
      </c>
      <c r="L1563" s="19"/>
      <c r="M1563" s="3"/>
    </row>
    <row r="1564" s="1" customFormat="1" spans="1:13">
      <c r="A1564" s="22"/>
      <c r="B1564" s="143" t="s">
        <v>2590</v>
      </c>
      <c r="C1564" s="145" t="s">
        <v>2588</v>
      </c>
      <c r="D1564" s="52" t="s">
        <v>2332</v>
      </c>
      <c r="E1564" s="103" t="s">
        <v>267</v>
      </c>
      <c r="F1564" s="26" t="s">
        <v>197</v>
      </c>
      <c r="G1564" s="27">
        <f>SUMIF(物料月初库存!$C$3:$C$303,$B1564,物料月初库存!$F$3:$F$303)</f>
        <v>0</v>
      </c>
      <c r="H1564" s="28">
        <f>SUMIF(半成品入库明细!$D$2:$D$650,$B1564,半成品入库明细!$G$2:$G$650)</f>
        <v>0</v>
      </c>
      <c r="I1564" s="28">
        <f ca="1">SUMIF(半成品出库明细!$D$2:$D$558,$B1564,半成品出库明细!$G$2:$G$2)</f>
        <v>0</v>
      </c>
      <c r="J1564" s="28">
        <f ca="1" t="shared" si="30"/>
        <v>0</v>
      </c>
      <c r="K1564" s="30" t="s">
        <v>146</v>
      </c>
      <c r="L1564" s="19"/>
      <c r="M1564" s="3"/>
    </row>
    <row r="1565" s="1" customFormat="1" spans="1:13">
      <c r="A1565" s="22"/>
      <c r="B1565" s="143" t="s">
        <v>2591</v>
      </c>
      <c r="C1565" s="145" t="s">
        <v>2588</v>
      </c>
      <c r="D1565" s="52" t="s">
        <v>2332</v>
      </c>
      <c r="E1565" s="103" t="s">
        <v>256</v>
      </c>
      <c r="F1565" s="26" t="s">
        <v>197</v>
      </c>
      <c r="G1565" s="27">
        <f>SUMIF(物料月初库存!$C$3:$C$303,$B1565,物料月初库存!$F$3:$F$303)</f>
        <v>0</v>
      </c>
      <c r="H1565" s="28">
        <f>SUMIF(半成品入库明细!$D$2:$D$650,$B1565,半成品入库明细!$G$2:$G$650)</f>
        <v>0</v>
      </c>
      <c r="I1565" s="28">
        <f ca="1">SUMIF(半成品出库明细!$D$2:$D$558,$B1565,半成品出库明细!$G$2:$G$2)</f>
        <v>0</v>
      </c>
      <c r="J1565" s="28">
        <f ca="1" t="shared" si="30"/>
        <v>0</v>
      </c>
      <c r="K1565" s="30" t="s">
        <v>2456</v>
      </c>
      <c r="L1565" s="19"/>
      <c r="M1565" s="3"/>
    </row>
    <row r="1566" s="1" customFormat="1" spans="1:13">
      <c r="A1566" s="22"/>
      <c r="B1566" s="143" t="s">
        <v>2592</v>
      </c>
      <c r="C1566" s="145" t="s">
        <v>2588</v>
      </c>
      <c r="D1566" s="52" t="s">
        <v>2332</v>
      </c>
      <c r="E1566" s="103" t="s">
        <v>353</v>
      </c>
      <c r="F1566" s="26" t="s">
        <v>197</v>
      </c>
      <c r="G1566" s="27">
        <f>SUMIF(物料月初库存!$C$3:$C$303,$B1566,物料月初库存!$F$3:$F$303)</f>
        <v>0</v>
      </c>
      <c r="H1566" s="28">
        <f>SUMIF(半成品入库明细!$D$2:$D$650,$B1566,半成品入库明细!$G$2:$G$650)</f>
        <v>0</v>
      </c>
      <c r="I1566" s="28">
        <f ca="1">SUMIF(半成品出库明细!$D$2:$D$558,$B1566,半成品出库明细!$G$2:$G$2)</f>
        <v>0</v>
      </c>
      <c r="J1566" s="28">
        <f ca="1" t="shared" si="30"/>
        <v>0</v>
      </c>
      <c r="K1566" s="30" t="s">
        <v>1271</v>
      </c>
      <c r="L1566" s="19"/>
      <c r="M1566" s="3"/>
    </row>
    <row r="1567" s="1" customFormat="1" spans="1:13">
      <c r="A1567" s="22"/>
      <c r="B1567" s="143" t="s">
        <v>2593</v>
      </c>
      <c r="C1567" s="145" t="s">
        <v>2594</v>
      </c>
      <c r="D1567" s="52" t="s">
        <v>2332</v>
      </c>
      <c r="E1567" s="103" t="s">
        <v>76</v>
      </c>
      <c r="F1567" s="26" t="s">
        <v>197</v>
      </c>
      <c r="G1567" s="27">
        <f>SUMIF(物料月初库存!$C$3:$C$303,$B1567,物料月初库存!$F$3:$F$303)</f>
        <v>0</v>
      </c>
      <c r="H1567" s="28">
        <f>SUMIF(半成品入库明细!$D$2:$D$650,$B1567,半成品入库明细!$G$2:$G$650)</f>
        <v>0</v>
      </c>
      <c r="I1567" s="28">
        <f ca="1">SUMIF(半成品出库明细!$D$2:$D$558,$B1567,半成品出库明细!$G$2:$G$2)</f>
        <v>0</v>
      </c>
      <c r="J1567" s="28">
        <f ca="1" t="shared" si="30"/>
        <v>0</v>
      </c>
      <c r="K1567" s="30"/>
      <c r="L1567" s="19"/>
      <c r="M1567" s="3"/>
    </row>
    <row r="1568" s="1" customFormat="1" spans="1:13">
      <c r="A1568" s="22"/>
      <c r="B1568" s="143" t="s">
        <v>2595</v>
      </c>
      <c r="C1568" s="145" t="s">
        <v>2594</v>
      </c>
      <c r="D1568" s="52" t="s">
        <v>2332</v>
      </c>
      <c r="E1568" s="103" t="s">
        <v>691</v>
      </c>
      <c r="F1568" s="26" t="s">
        <v>197</v>
      </c>
      <c r="G1568" s="27">
        <f>SUMIF(物料月初库存!$C$3:$C$303,$B1568,物料月初库存!$F$3:$F$303)</f>
        <v>0</v>
      </c>
      <c r="H1568" s="28">
        <f>SUMIF(半成品入库明细!$D$2:$D$650,$B1568,半成品入库明细!$G$2:$G$650)</f>
        <v>0</v>
      </c>
      <c r="I1568" s="28">
        <f ca="1">SUMIF(半成品出库明细!$D$2:$D$558,$B1568,半成品出库明细!$G$2:$G$2)</f>
        <v>0</v>
      </c>
      <c r="J1568" s="28">
        <f ca="1" t="shared" si="30"/>
        <v>0</v>
      </c>
      <c r="K1568" s="30" t="s">
        <v>92</v>
      </c>
      <c r="L1568" s="19"/>
      <c r="M1568" s="3"/>
    </row>
    <row r="1569" s="1" customFormat="1" spans="1:13">
      <c r="A1569" s="22"/>
      <c r="B1569" s="143" t="s">
        <v>2596</v>
      </c>
      <c r="C1569" s="145" t="s">
        <v>2594</v>
      </c>
      <c r="D1569" s="52" t="s">
        <v>2332</v>
      </c>
      <c r="E1569" s="103" t="s">
        <v>256</v>
      </c>
      <c r="F1569" s="26" t="s">
        <v>197</v>
      </c>
      <c r="G1569" s="27">
        <f>SUMIF(物料月初库存!$C$3:$C$303,$B1569,物料月初库存!$F$3:$F$303)</f>
        <v>0</v>
      </c>
      <c r="H1569" s="28">
        <f>SUMIF(半成品入库明细!$D$2:$D$650,$B1569,半成品入库明细!$G$2:$G$650)</f>
        <v>0</v>
      </c>
      <c r="I1569" s="28">
        <f ca="1">SUMIF(半成品出库明细!$D$2:$D$558,$B1569,半成品出库明细!$G$2:$G$2)</f>
        <v>0</v>
      </c>
      <c r="J1569" s="28">
        <f ca="1" t="shared" si="30"/>
        <v>0</v>
      </c>
      <c r="K1569" s="30" t="s">
        <v>2367</v>
      </c>
      <c r="L1569" s="19"/>
      <c r="M1569" s="3"/>
    </row>
    <row r="1570" s="1" customFormat="1" spans="1:13">
      <c r="A1570" s="22"/>
      <c r="B1570" s="143" t="s">
        <v>2597</v>
      </c>
      <c r="C1570" s="145" t="s">
        <v>2594</v>
      </c>
      <c r="D1570" s="52" t="s">
        <v>2332</v>
      </c>
      <c r="E1570" s="103" t="s">
        <v>353</v>
      </c>
      <c r="F1570" s="26" t="s">
        <v>197</v>
      </c>
      <c r="G1570" s="27">
        <f>SUMIF(物料月初库存!$C$3:$C$303,$B1570,物料月初库存!$F$3:$F$303)</f>
        <v>0</v>
      </c>
      <c r="H1570" s="28">
        <f>SUMIF(半成品入库明细!$D$2:$D$650,$B1570,半成品入库明细!$G$2:$G$650)</f>
        <v>0</v>
      </c>
      <c r="I1570" s="28">
        <f ca="1">SUMIF(半成品出库明细!$D$2:$D$558,$B1570,半成品出库明细!$G$2:$G$2)</f>
        <v>0</v>
      </c>
      <c r="J1570" s="28">
        <f ca="1" t="shared" si="30"/>
        <v>0</v>
      </c>
      <c r="K1570" s="30" t="s">
        <v>1271</v>
      </c>
      <c r="L1570" s="19"/>
      <c r="M1570" s="3"/>
    </row>
    <row r="1571" s="1" customFormat="1" spans="1:13">
      <c r="A1571" s="22"/>
      <c r="B1571" s="143" t="s">
        <v>2598</v>
      </c>
      <c r="C1571" s="145" t="s">
        <v>2599</v>
      </c>
      <c r="D1571" s="52" t="s">
        <v>2332</v>
      </c>
      <c r="E1571" s="103" t="s">
        <v>2333</v>
      </c>
      <c r="F1571" s="26" t="s">
        <v>197</v>
      </c>
      <c r="G1571" s="27">
        <f>SUMIF(物料月初库存!$C$3:$C$303,$B1571,物料月初库存!$F$3:$F$303)</f>
        <v>0</v>
      </c>
      <c r="H1571" s="28">
        <f>SUMIF(半成品入库明细!$D$2:$D$650,$B1571,半成品入库明细!$G$2:$G$650)</f>
        <v>0</v>
      </c>
      <c r="I1571" s="28">
        <f ca="1">SUMIF(半成品出库明细!$D$2:$D$558,$B1571,半成品出库明细!$G$2:$G$2)</f>
        <v>0</v>
      </c>
      <c r="J1571" s="28">
        <f ca="1" t="shared" si="30"/>
        <v>0</v>
      </c>
      <c r="K1571" s="30" t="s">
        <v>2600</v>
      </c>
      <c r="L1571" s="19"/>
      <c r="M1571" s="3"/>
    </row>
    <row r="1572" s="1" customFormat="1" spans="1:13">
      <c r="A1572" s="22"/>
      <c r="B1572" s="143" t="s">
        <v>2601</v>
      </c>
      <c r="C1572" s="145" t="s">
        <v>2602</v>
      </c>
      <c r="D1572" s="52" t="s">
        <v>2332</v>
      </c>
      <c r="E1572" s="103" t="s">
        <v>2333</v>
      </c>
      <c r="F1572" s="26" t="s">
        <v>197</v>
      </c>
      <c r="G1572" s="27">
        <f>SUMIF(物料月初库存!$C$3:$C$303,$B1572,物料月初库存!$F$3:$F$303)</f>
        <v>0</v>
      </c>
      <c r="H1572" s="28">
        <f>SUMIF(半成品入库明细!$D$2:$D$650,$B1572,半成品入库明细!$G$2:$G$650)</f>
        <v>0</v>
      </c>
      <c r="I1572" s="28">
        <f ca="1">SUMIF(半成品出库明细!$D$2:$D$558,$B1572,半成品出库明细!$G$2:$G$2)</f>
        <v>0</v>
      </c>
      <c r="J1572" s="28">
        <f ca="1" t="shared" si="30"/>
        <v>0</v>
      </c>
      <c r="K1572" s="30" t="s">
        <v>2600</v>
      </c>
      <c r="L1572" s="19"/>
      <c r="M1572" s="3"/>
    </row>
    <row r="1573" s="1" customFormat="1" spans="1:13">
      <c r="A1573" s="22"/>
      <c r="B1573" s="143" t="s">
        <v>2603</v>
      </c>
      <c r="C1573" s="145" t="s">
        <v>2604</v>
      </c>
      <c r="D1573" s="52" t="s">
        <v>2332</v>
      </c>
      <c r="E1573" s="103" t="s">
        <v>76</v>
      </c>
      <c r="F1573" s="26" t="s">
        <v>197</v>
      </c>
      <c r="G1573" s="27">
        <f>SUMIF(物料月初库存!$C$3:$C$303,$B1573,物料月初库存!$F$3:$F$303)</f>
        <v>0</v>
      </c>
      <c r="H1573" s="28">
        <f>SUMIF(半成品入库明细!$D$2:$D$650,$B1573,半成品入库明细!$G$2:$G$650)</f>
        <v>0</v>
      </c>
      <c r="I1573" s="28">
        <f ca="1">SUMIF(半成品出库明细!$D$2:$D$558,$B1573,半成品出库明细!$G$2:$G$2)</f>
        <v>0</v>
      </c>
      <c r="J1573" s="28">
        <f ca="1" t="shared" si="30"/>
        <v>0</v>
      </c>
      <c r="K1573" s="30"/>
      <c r="L1573" s="19"/>
      <c r="M1573" s="3"/>
    </row>
    <row r="1574" s="1" customFormat="1" spans="1:13">
      <c r="A1574" s="22"/>
      <c r="B1574" s="143" t="s">
        <v>2605</v>
      </c>
      <c r="C1574" s="145" t="s">
        <v>2604</v>
      </c>
      <c r="D1574" s="52" t="s">
        <v>2332</v>
      </c>
      <c r="E1574" s="103" t="s">
        <v>1674</v>
      </c>
      <c r="F1574" s="26" t="s">
        <v>197</v>
      </c>
      <c r="G1574" s="27">
        <f>SUMIF(物料月初库存!$C$3:$C$303,$B1574,物料月初库存!$F$3:$F$303)</f>
        <v>0</v>
      </c>
      <c r="H1574" s="28">
        <f>SUMIF(半成品入库明细!$D$2:$D$650,$B1574,半成品入库明细!$G$2:$G$650)</f>
        <v>0</v>
      </c>
      <c r="I1574" s="28">
        <f ca="1">SUMIF(半成品出库明细!$D$2:$D$558,$B1574,半成品出库明细!$G$2:$G$2)</f>
        <v>0</v>
      </c>
      <c r="J1574" s="28">
        <f ca="1" t="shared" si="30"/>
        <v>0</v>
      </c>
      <c r="K1574" s="30" t="s">
        <v>113</v>
      </c>
      <c r="L1574" s="19"/>
      <c r="M1574" s="3"/>
    </row>
    <row r="1575" s="1" customFormat="1" spans="1:13">
      <c r="A1575" s="22"/>
      <c r="B1575" s="143" t="s">
        <v>2606</v>
      </c>
      <c r="C1575" s="145" t="s">
        <v>2604</v>
      </c>
      <c r="D1575" s="52" t="s">
        <v>2332</v>
      </c>
      <c r="E1575" s="103" t="s">
        <v>256</v>
      </c>
      <c r="F1575" s="26" t="s">
        <v>197</v>
      </c>
      <c r="G1575" s="27">
        <f>SUMIF(物料月初库存!$C$3:$C$303,$B1575,物料月初库存!$F$3:$F$303)</f>
        <v>0</v>
      </c>
      <c r="H1575" s="28">
        <f>SUMIF(半成品入库明细!$D$2:$D$650,$B1575,半成品入库明细!$G$2:$G$650)</f>
        <v>0</v>
      </c>
      <c r="I1575" s="28">
        <f ca="1">SUMIF(半成品出库明细!$D$2:$D$558,$B1575,半成品出库明细!$G$2:$G$2)</f>
        <v>0</v>
      </c>
      <c r="J1575" s="28">
        <f ca="1" t="shared" si="30"/>
        <v>0</v>
      </c>
      <c r="K1575" s="30" t="s">
        <v>532</v>
      </c>
      <c r="L1575" s="19"/>
      <c r="M1575" s="3"/>
    </row>
    <row r="1576" s="1" customFormat="1" spans="1:13">
      <c r="A1576" s="22"/>
      <c r="B1576" s="143" t="s">
        <v>2607</v>
      </c>
      <c r="C1576" s="145" t="s">
        <v>2604</v>
      </c>
      <c r="D1576" s="52" t="s">
        <v>2332</v>
      </c>
      <c r="E1576" s="103" t="s">
        <v>353</v>
      </c>
      <c r="F1576" s="26" t="s">
        <v>197</v>
      </c>
      <c r="G1576" s="27">
        <f>SUMIF(物料月初库存!$C$3:$C$303,$B1576,物料月初库存!$F$3:$F$303)</f>
        <v>0</v>
      </c>
      <c r="H1576" s="28">
        <f>SUMIF(半成品入库明细!$D$2:$D$650,$B1576,半成品入库明细!$G$2:$G$650)</f>
        <v>0</v>
      </c>
      <c r="I1576" s="28">
        <f ca="1">SUMIF(半成品出库明细!$D$2:$D$558,$B1576,半成品出库明细!$G$2:$G$2)</f>
        <v>0</v>
      </c>
      <c r="J1576" s="28">
        <f ca="1" t="shared" si="30"/>
        <v>0</v>
      </c>
      <c r="K1576" s="30" t="s">
        <v>1271</v>
      </c>
      <c r="L1576" s="19"/>
      <c r="M1576" s="3"/>
    </row>
    <row r="1577" s="1" customFormat="1" spans="1:13">
      <c r="A1577" s="22"/>
      <c r="B1577" s="143" t="s">
        <v>42</v>
      </c>
      <c r="C1577" s="150" t="s">
        <v>2608</v>
      </c>
      <c r="D1577" s="151" t="s">
        <v>2609</v>
      </c>
      <c r="E1577" s="103" t="s">
        <v>76</v>
      </c>
      <c r="F1577" s="26" t="s">
        <v>197</v>
      </c>
      <c r="G1577" s="27">
        <f>SUMIF(物料月初库存!$C$3:$C$303,$B1577,物料月初库存!$F$3:$F$303)</f>
        <v>2400</v>
      </c>
      <c r="H1577" s="28">
        <f>SUMIF(半成品入库明细!$D$2:$D$650,$B1577,半成品入库明细!$G$2:$G$650)</f>
        <v>1760</v>
      </c>
      <c r="I1577" s="28">
        <f ca="1">SUMIF(半成品出库明细!$D$2:$D$558,$B1577,半成品出库明细!$G$2:$G$2)</f>
        <v>4160</v>
      </c>
      <c r="J1577" s="28">
        <f ca="1" t="shared" ref="J1577:J1589" si="31">G1577+H1577-I1577</f>
        <v>0</v>
      </c>
      <c r="K1577" s="29">
        <v>1</v>
      </c>
      <c r="L1577" s="19">
        <v>1</v>
      </c>
      <c r="M1577" s="3"/>
    </row>
    <row r="1578" s="1" customFormat="1" spans="1:13">
      <c r="A1578" s="22"/>
      <c r="B1578" s="143" t="s">
        <v>43</v>
      </c>
      <c r="C1578" s="150" t="s">
        <v>2608</v>
      </c>
      <c r="D1578" s="151" t="s">
        <v>2609</v>
      </c>
      <c r="E1578" s="103" t="s">
        <v>356</v>
      </c>
      <c r="F1578" s="26" t="s">
        <v>197</v>
      </c>
      <c r="G1578" s="27">
        <f>SUMIF(物料月初库存!$C$3:$C$303,$B1578,物料月初库存!$F$3:$F$303)</f>
        <v>800</v>
      </c>
      <c r="H1578" s="28">
        <f>SUMIF(半成品入库明细!$D$2:$D$650,$B1578,半成品入库明细!$G$2:$G$650)</f>
        <v>4800</v>
      </c>
      <c r="I1578" s="28">
        <f ca="1">SUMIF(半成品出库明细!$D$2:$D$558,$B1578,半成品出库明细!$G$2:$G$2)</f>
        <v>3200</v>
      </c>
      <c r="J1578" s="28">
        <f ca="1" t="shared" si="31"/>
        <v>2400</v>
      </c>
      <c r="K1578" s="124" t="s">
        <v>2610</v>
      </c>
      <c r="L1578" s="19"/>
      <c r="M1578" s="3"/>
    </row>
    <row r="1579" s="1" customFormat="1" spans="1:13">
      <c r="A1579" s="22"/>
      <c r="B1579" s="143" t="s">
        <v>142</v>
      </c>
      <c r="C1579" s="150" t="s">
        <v>2608</v>
      </c>
      <c r="D1579" s="151" t="s">
        <v>2609</v>
      </c>
      <c r="E1579" s="103" t="s">
        <v>316</v>
      </c>
      <c r="F1579" s="26" t="s">
        <v>197</v>
      </c>
      <c r="G1579" s="27">
        <f>SUMIF(物料月初库存!$C$3:$C$303,$B1579,物料月初库存!$F$3:$F$303)</f>
        <v>0</v>
      </c>
      <c r="H1579" s="28">
        <f>SUMIF(半成品入库明细!$D$2:$D$650,$B1579,半成品入库明细!$G$2:$G$650)</f>
        <v>1760</v>
      </c>
      <c r="I1579" s="28">
        <f ca="1">SUMIF(半成品出库明细!$D$2:$D$558,$B1579,半成品出库明细!$G$2:$G$2)</f>
        <v>1760</v>
      </c>
      <c r="J1579" s="28">
        <f ca="1" t="shared" si="31"/>
        <v>0</v>
      </c>
      <c r="K1579" s="30" t="s">
        <v>2611</v>
      </c>
      <c r="L1579" s="19"/>
      <c r="M1579" s="3"/>
    </row>
    <row r="1580" s="1" customFormat="1" spans="1:13">
      <c r="A1580" s="22"/>
      <c r="B1580" s="143" t="s">
        <v>2612</v>
      </c>
      <c r="C1580" s="150" t="s">
        <v>2608</v>
      </c>
      <c r="D1580" s="151" t="s">
        <v>2609</v>
      </c>
      <c r="E1580" s="103" t="s">
        <v>239</v>
      </c>
      <c r="F1580" s="26" t="s">
        <v>197</v>
      </c>
      <c r="G1580" s="27">
        <f>SUMIF(物料月初库存!$C$3:$C$303,$B1580,物料月初库存!$F$3:$F$303)</f>
        <v>0</v>
      </c>
      <c r="H1580" s="28">
        <f>SUMIF(半成品入库明细!$D$2:$D$650,$B1580,半成品入库明细!$G$2:$G$650)</f>
        <v>0</v>
      </c>
      <c r="I1580" s="28">
        <f ca="1">SUMIF(半成品出库明细!$D$2:$D$558,$B1580,半成品出库明细!$G$2:$G$2)</f>
        <v>0</v>
      </c>
      <c r="J1580" s="28">
        <f ca="1" t="shared" si="31"/>
        <v>0</v>
      </c>
      <c r="K1580" s="30" t="s">
        <v>2613</v>
      </c>
      <c r="L1580" s="19"/>
      <c r="M1580" s="3"/>
    </row>
    <row r="1581" s="1" customFormat="1" spans="1:13">
      <c r="A1581" s="22"/>
      <c r="B1581" s="143" t="s">
        <v>2614</v>
      </c>
      <c r="C1581" s="152" t="s">
        <v>2615</v>
      </c>
      <c r="D1581" s="151" t="s">
        <v>2609</v>
      </c>
      <c r="E1581" s="103" t="s">
        <v>76</v>
      </c>
      <c r="F1581" s="26" t="s">
        <v>197</v>
      </c>
      <c r="G1581" s="27">
        <f>SUMIF(物料月初库存!$C$3:$C$303,$B1581,物料月初库存!$F$3:$F$303)</f>
        <v>0</v>
      </c>
      <c r="H1581" s="28">
        <f>SUMIF(半成品入库明细!$D$2:$D$650,$B1581,半成品入库明细!$G$2:$G$650)</f>
        <v>0</v>
      </c>
      <c r="I1581" s="28">
        <f ca="1">SUMIF(半成品出库明细!$D$2:$D$558,$B1581,半成品出库明细!$G$2:$G$2)</f>
        <v>0</v>
      </c>
      <c r="J1581" s="28">
        <f ca="1" t="shared" si="31"/>
        <v>0</v>
      </c>
      <c r="K1581" s="51" t="s">
        <v>2600</v>
      </c>
      <c r="L1581" s="19"/>
      <c r="M1581" s="3"/>
    </row>
    <row r="1582" s="1" customFormat="1" spans="1:13">
      <c r="A1582" s="22"/>
      <c r="B1582" s="143" t="s">
        <v>2616</v>
      </c>
      <c r="C1582" s="152" t="s">
        <v>2615</v>
      </c>
      <c r="D1582" s="151" t="s">
        <v>2609</v>
      </c>
      <c r="E1582" s="137" t="s">
        <v>316</v>
      </c>
      <c r="F1582" s="26" t="s">
        <v>197</v>
      </c>
      <c r="G1582" s="27">
        <f>SUMIF(物料月初库存!$C$3:$C$303,$B1582,物料月初库存!$F$3:$F$303)</f>
        <v>0</v>
      </c>
      <c r="H1582" s="28">
        <f>SUMIF(半成品入库明细!$D$2:$D$650,$B1582,半成品入库明细!$G$2:$G$650)</f>
        <v>0</v>
      </c>
      <c r="I1582" s="28">
        <f ca="1">SUMIF(半成品出库明细!$D$2:$D$558,$B1582,半成品出库明细!$G$2:$G$2)</f>
        <v>0</v>
      </c>
      <c r="J1582" s="28">
        <f ca="1" t="shared" si="31"/>
        <v>0</v>
      </c>
      <c r="K1582" s="30" t="s">
        <v>2617</v>
      </c>
      <c r="L1582" s="19"/>
      <c r="M1582" s="3"/>
    </row>
    <row r="1583" s="1" customFormat="1" spans="1:13">
      <c r="A1583" s="22"/>
      <c r="B1583" s="143" t="s">
        <v>2618</v>
      </c>
      <c r="C1583" s="152" t="s">
        <v>2615</v>
      </c>
      <c r="D1583" s="151" t="s">
        <v>2609</v>
      </c>
      <c r="E1583" s="103" t="s">
        <v>239</v>
      </c>
      <c r="F1583" s="26" t="s">
        <v>197</v>
      </c>
      <c r="G1583" s="27">
        <f>SUMIF(物料月初库存!$C$3:$C$303,$B1583,物料月初库存!$F$3:$F$303)</f>
        <v>0</v>
      </c>
      <c r="H1583" s="28">
        <f>SUMIF(半成品入库明细!$D$2:$D$650,$B1583,半成品入库明细!$G$2:$G$650)</f>
        <v>0</v>
      </c>
      <c r="I1583" s="28">
        <f ca="1">SUMIF(半成品出库明细!$D$2:$D$558,$B1583,半成品出库明细!$G$2:$G$2)</f>
        <v>0</v>
      </c>
      <c r="J1583" s="28">
        <f ca="1" t="shared" si="31"/>
        <v>0</v>
      </c>
      <c r="K1583" s="51" t="s">
        <v>2619</v>
      </c>
      <c r="L1583" s="19"/>
      <c r="M1583" s="3"/>
    </row>
    <row r="1584" s="1" customFormat="1" spans="1:13">
      <c r="A1584" s="22"/>
      <c r="B1584" s="143" t="s">
        <v>2620</v>
      </c>
      <c r="C1584" s="152" t="s">
        <v>2621</v>
      </c>
      <c r="D1584" s="151" t="s">
        <v>2609</v>
      </c>
      <c r="E1584" s="103" t="s">
        <v>76</v>
      </c>
      <c r="F1584" s="26" t="s">
        <v>197</v>
      </c>
      <c r="G1584" s="27">
        <f>SUMIF(物料月初库存!$C$3:$C$303,$B1584,物料月初库存!$F$3:$F$303)</f>
        <v>0</v>
      </c>
      <c r="H1584" s="28">
        <f>SUMIF(半成品入库明细!$D$2:$D$650,$B1584,半成品入库明细!$G$2:$G$650)</f>
        <v>0</v>
      </c>
      <c r="I1584" s="28">
        <f ca="1">SUMIF(半成品出库明细!$D$2:$D$558,$B1584,半成品出库明细!$G$2:$G$2)</f>
        <v>0</v>
      </c>
      <c r="J1584" s="28">
        <f ca="1" t="shared" si="31"/>
        <v>0</v>
      </c>
      <c r="K1584" s="51" t="s">
        <v>2600</v>
      </c>
      <c r="L1584" s="19"/>
      <c r="M1584" s="3"/>
    </row>
    <row r="1585" s="1" customFormat="1" spans="1:13">
      <c r="A1585" s="22"/>
      <c r="B1585" s="143" t="s">
        <v>2622</v>
      </c>
      <c r="C1585" s="152" t="s">
        <v>2621</v>
      </c>
      <c r="D1585" s="151" t="s">
        <v>2609</v>
      </c>
      <c r="E1585" s="137" t="s">
        <v>316</v>
      </c>
      <c r="F1585" s="26" t="s">
        <v>197</v>
      </c>
      <c r="G1585" s="27">
        <f>SUMIF(物料月初库存!$C$3:$C$303,$B1585,物料月初库存!$F$3:$F$303)</f>
        <v>0</v>
      </c>
      <c r="H1585" s="28">
        <f>SUMIF(半成品入库明细!$D$2:$D$650,$B1585,半成品入库明细!$G$2:$G$650)</f>
        <v>0</v>
      </c>
      <c r="I1585" s="28">
        <f ca="1">SUMIF(半成品出库明细!$D$2:$D$558,$B1585,半成品出库明细!$G$2:$G$2)</f>
        <v>0</v>
      </c>
      <c r="J1585" s="28">
        <f ca="1" t="shared" si="31"/>
        <v>0</v>
      </c>
      <c r="K1585" s="30" t="s">
        <v>2617</v>
      </c>
      <c r="L1585" s="19"/>
      <c r="M1585" s="3"/>
    </row>
    <row r="1586" s="1" customFormat="1" spans="1:13">
      <c r="A1586" s="22"/>
      <c r="B1586" s="143" t="s">
        <v>2623</v>
      </c>
      <c r="C1586" s="152" t="s">
        <v>2621</v>
      </c>
      <c r="D1586" s="151" t="s">
        <v>2609</v>
      </c>
      <c r="E1586" s="103" t="s">
        <v>239</v>
      </c>
      <c r="F1586" s="26" t="s">
        <v>197</v>
      </c>
      <c r="G1586" s="27">
        <f>SUMIF(物料月初库存!$C$3:$C$303,$B1586,物料月初库存!$F$3:$F$303)</f>
        <v>0</v>
      </c>
      <c r="H1586" s="28">
        <f>SUMIF(半成品入库明细!$D$2:$D$650,$B1586,半成品入库明细!$G$2:$G$650)</f>
        <v>0</v>
      </c>
      <c r="I1586" s="28">
        <f ca="1">SUMIF(半成品出库明细!$D$2:$D$558,$B1586,半成品出库明细!$G$2:$G$2)</f>
        <v>0</v>
      </c>
      <c r="J1586" s="28">
        <f ca="1" t="shared" si="31"/>
        <v>0</v>
      </c>
      <c r="K1586" s="51" t="s">
        <v>2619</v>
      </c>
      <c r="L1586" s="19"/>
      <c r="M1586" s="3"/>
    </row>
    <row r="1587" s="1" customFormat="1" spans="1:13">
      <c r="A1587" s="22"/>
      <c r="B1587" s="143" t="s">
        <v>2624</v>
      </c>
      <c r="C1587" s="152" t="s">
        <v>2625</v>
      </c>
      <c r="D1587" s="151" t="s">
        <v>2609</v>
      </c>
      <c r="E1587" s="103" t="s">
        <v>76</v>
      </c>
      <c r="F1587" s="26" t="s">
        <v>197</v>
      </c>
      <c r="G1587" s="27">
        <f>SUMIF(物料月初库存!$C$3:$C$303,$B1587,物料月初库存!$F$3:$F$303)</f>
        <v>0</v>
      </c>
      <c r="H1587" s="28">
        <f>SUMIF(半成品入库明细!$D$2:$D$650,$B1587,半成品入库明细!$G$2:$G$650)</f>
        <v>0</v>
      </c>
      <c r="I1587" s="28">
        <f ca="1">SUMIF(半成品出库明细!$D$2:$D$558,$B1587,半成品出库明细!$G$2:$G$2)</f>
        <v>0</v>
      </c>
      <c r="J1587" s="28">
        <f ca="1" t="shared" si="31"/>
        <v>0</v>
      </c>
      <c r="K1587" s="51"/>
      <c r="L1587" s="19"/>
      <c r="M1587" s="3"/>
    </row>
    <row r="1588" s="1" customFormat="1" spans="1:13">
      <c r="A1588" s="22"/>
      <c r="B1588" s="143" t="s">
        <v>2626</v>
      </c>
      <c r="C1588" s="152" t="s">
        <v>2625</v>
      </c>
      <c r="D1588" s="151" t="s">
        <v>2609</v>
      </c>
      <c r="E1588" s="137" t="s">
        <v>316</v>
      </c>
      <c r="F1588" s="26" t="s">
        <v>197</v>
      </c>
      <c r="G1588" s="27">
        <f>SUMIF(物料月初库存!$C$3:$C$303,$B1588,物料月初库存!$F$3:$F$303)</f>
        <v>0</v>
      </c>
      <c r="H1588" s="28">
        <f>SUMIF(半成品入库明细!$D$2:$D$650,$B1588,半成品入库明细!$G$2:$G$650)</f>
        <v>0</v>
      </c>
      <c r="I1588" s="28">
        <f ca="1">SUMIF(半成品出库明细!$D$2:$D$558,$B1588,半成品出库明细!$G$2:$G$2)</f>
        <v>0</v>
      </c>
      <c r="J1588" s="28">
        <f ca="1" t="shared" si="31"/>
        <v>0</v>
      </c>
      <c r="K1588" s="51"/>
      <c r="L1588" s="19"/>
      <c r="M1588" s="3"/>
    </row>
    <row r="1589" s="1" customFormat="1" spans="1:13">
      <c r="A1589" s="22"/>
      <c r="B1589" s="143" t="s">
        <v>2627</v>
      </c>
      <c r="C1589" s="152" t="s">
        <v>2625</v>
      </c>
      <c r="D1589" s="151" t="s">
        <v>2609</v>
      </c>
      <c r="E1589" s="103" t="s">
        <v>239</v>
      </c>
      <c r="F1589" s="26" t="s">
        <v>197</v>
      </c>
      <c r="G1589" s="27">
        <f>SUMIF(物料月初库存!$C$3:$C$303,$B1589,物料月初库存!$F$3:$F$303)</f>
        <v>0</v>
      </c>
      <c r="H1589" s="28">
        <f>SUMIF(半成品入库明细!$D$2:$D$650,$B1589,半成品入库明细!$G$2:$G$650)</f>
        <v>0</v>
      </c>
      <c r="I1589" s="28">
        <f ca="1">SUMIF(半成品出库明细!$D$2:$D$558,$B1589,半成品出库明细!$G$2:$G$2)</f>
        <v>0</v>
      </c>
      <c r="J1589" s="28">
        <f ca="1" t="shared" si="31"/>
        <v>0</v>
      </c>
      <c r="K1589" s="51"/>
      <c r="L1589" s="19"/>
      <c r="M1589" s="3"/>
    </row>
    <row r="1590" s="1" customFormat="1" spans="1:13">
      <c r="A1590" s="22"/>
      <c r="B1590" s="143" t="s">
        <v>2628</v>
      </c>
      <c r="C1590" s="152" t="s">
        <v>2629</v>
      </c>
      <c r="D1590" s="151" t="s">
        <v>2609</v>
      </c>
      <c r="E1590" s="103" t="s">
        <v>76</v>
      </c>
      <c r="F1590" s="26" t="s">
        <v>197</v>
      </c>
      <c r="G1590" s="27">
        <f>SUMIF(物料月初库存!$C$3:$C$303,$B1590,物料月初库存!$F$3:$F$303)</f>
        <v>0</v>
      </c>
      <c r="H1590" s="28">
        <f>SUMIF(半成品入库明细!$D$2:$D$650,$B1590,半成品入库明细!$G$2:$G$650)</f>
        <v>0</v>
      </c>
      <c r="I1590" s="28">
        <f ca="1">SUMIF(半成品出库明细!$D$2:$D$558,$B1590,半成品出库明细!$G$2:$G$2)</f>
        <v>0</v>
      </c>
      <c r="J1590" s="28">
        <f ca="1" t="shared" ref="J1590:J1597" si="32">G1590+H1590-I1590</f>
        <v>0</v>
      </c>
      <c r="K1590" s="30"/>
      <c r="L1590" s="19"/>
      <c r="M1590" s="3"/>
    </row>
    <row r="1591" s="1" customFormat="1" spans="1:13">
      <c r="A1591" s="22"/>
      <c r="B1591" s="143" t="s">
        <v>2630</v>
      </c>
      <c r="C1591" s="152" t="s">
        <v>2629</v>
      </c>
      <c r="D1591" s="151" t="s">
        <v>2609</v>
      </c>
      <c r="E1591" s="137" t="s">
        <v>316</v>
      </c>
      <c r="F1591" s="26" t="s">
        <v>197</v>
      </c>
      <c r="G1591" s="27">
        <f>SUMIF(物料月初库存!$C$3:$C$303,$B1591,物料月初库存!$F$3:$F$303)</f>
        <v>0</v>
      </c>
      <c r="H1591" s="28">
        <f>SUMIF(半成品入库明细!$D$2:$D$650,$B1591,半成品入库明细!$G$2:$G$650)</f>
        <v>0</v>
      </c>
      <c r="I1591" s="28">
        <f ca="1">SUMIF(半成品出库明细!$D$2:$D$558,$B1591,半成品出库明细!$G$2:$G$2)</f>
        <v>0</v>
      </c>
      <c r="J1591" s="28">
        <f ca="1" t="shared" si="32"/>
        <v>0</v>
      </c>
      <c r="K1591" s="30"/>
      <c r="L1591" s="19"/>
      <c r="M1591" s="3"/>
    </row>
    <row r="1592" s="1" customFormat="1" spans="1:13">
      <c r="A1592" s="22"/>
      <c r="B1592" s="143" t="s">
        <v>2631</v>
      </c>
      <c r="C1592" s="152" t="s">
        <v>2629</v>
      </c>
      <c r="D1592" s="151" t="s">
        <v>2609</v>
      </c>
      <c r="E1592" s="103" t="s">
        <v>733</v>
      </c>
      <c r="F1592" s="26" t="s">
        <v>197</v>
      </c>
      <c r="G1592" s="27">
        <f>SUMIF(物料月初库存!$C$3:$C$303,$B1592,物料月初库存!$F$3:$F$303)</f>
        <v>0</v>
      </c>
      <c r="H1592" s="28">
        <f>SUMIF(半成品入库明细!$D$2:$D$650,$B1592,半成品入库明细!$G$2:$G$650)</f>
        <v>0</v>
      </c>
      <c r="I1592" s="28">
        <f ca="1">SUMIF(半成品出库明细!$D$2:$D$558,$B1592,半成品出库明细!$G$2:$G$2)</f>
        <v>0</v>
      </c>
      <c r="J1592" s="28">
        <f ca="1" t="shared" si="32"/>
        <v>0</v>
      </c>
      <c r="K1592" s="30"/>
      <c r="L1592" s="19"/>
      <c r="M1592" s="3"/>
    </row>
    <row r="1593" s="1" customFormat="1" spans="1:13">
      <c r="A1593" s="22"/>
      <c r="B1593" s="143" t="s">
        <v>2632</v>
      </c>
      <c r="C1593" s="152" t="s">
        <v>2629</v>
      </c>
      <c r="D1593" s="151" t="s">
        <v>2609</v>
      </c>
      <c r="E1593" s="103" t="s">
        <v>839</v>
      </c>
      <c r="F1593" s="26" t="s">
        <v>197</v>
      </c>
      <c r="G1593" s="27">
        <f>SUMIF(物料月初库存!$C$3:$C$303,$B1593,物料月初库存!$F$3:$F$303)</f>
        <v>0</v>
      </c>
      <c r="H1593" s="28">
        <f>SUMIF(半成品入库明细!$D$2:$D$650,$B1593,半成品入库明细!$G$2:$G$650)</f>
        <v>0</v>
      </c>
      <c r="I1593" s="28">
        <f ca="1">SUMIF(半成品出库明细!$D$2:$D$558,$B1593,半成品出库明细!$G$2:$G$2)</f>
        <v>0</v>
      </c>
      <c r="J1593" s="28">
        <f ca="1" t="shared" si="32"/>
        <v>0</v>
      </c>
      <c r="K1593" s="153" t="s">
        <v>1949</v>
      </c>
      <c r="L1593" s="19"/>
      <c r="M1593" s="3"/>
    </row>
    <row r="1594" s="1" customFormat="1" spans="1:13">
      <c r="A1594" s="22"/>
      <c r="B1594" s="143" t="s">
        <v>2633</v>
      </c>
      <c r="C1594" s="152" t="s">
        <v>2634</v>
      </c>
      <c r="D1594" s="151" t="s">
        <v>2609</v>
      </c>
      <c r="E1594" s="103" t="s">
        <v>76</v>
      </c>
      <c r="F1594" s="26" t="s">
        <v>197</v>
      </c>
      <c r="G1594" s="27">
        <f>SUMIF(物料月初库存!$C$3:$C$303,$B1594,物料月初库存!$F$3:$F$303)</f>
        <v>0</v>
      </c>
      <c r="H1594" s="28">
        <f>SUMIF(半成品入库明细!$D$2:$D$650,$B1594,半成品入库明细!$G$2:$G$650)</f>
        <v>0</v>
      </c>
      <c r="I1594" s="28">
        <f ca="1">SUMIF(半成品出库明细!$D$2:$D$558,$B1594,半成品出库明细!$G$2:$G$2)</f>
        <v>0</v>
      </c>
      <c r="J1594" s="28">
        <f ca="1" t="shared" si="32"/>
        <v>0</v>
      </c>
      <c r="K1594" s="30"/>
      <c r="L1594" s="19"/>
      <c r="M1594" s="3"/>
    </row>
    <row r="1595" s="1" customFormat="1" spans="1:13">
      <c r="A1595" s="22"/>
      <c r="B1595" s="143" t="s">
        <v>2635</v>
      </c>
      <c r="C1595" s="152" t="s">
        <v>2634</v>
      </c>
      <c r="D1595" s="151" t="s">
        <v>2609</v>
      </c>
      <c r="E1595" s="137" t="s">
        <v>316</v>
      </c>
      <c r="F1595" s="26" t="s">
        <v>197</v>
      </c>
      <c r="G1595" s="27">
        <f>SUMIF(物料月初库存!$C$3:$C$303,$B1595,物料月初库存!$F$3:$F$303)</f>
        <v>0</v>
      </c>
      <c r="H1595" s="28">
        <f>SUMIF(半成品入库明细!$D$2:$D$650,$B1595,半成品入库明细!$G$2:$G$650)</f>
        <v>0</v>
      </c>
      <c r="I1595" s="28">
        <f ca="1">SUMIF(半成品出库明细!$D$2:$D$558,$B1595,半成品出库明细!$G$2:$G$2)</f>
        <v>0</v>
      </c>
      <c r="J1595" s="28">
        <f ca="1" t="shared" si="32"/>
        <v>0</v>
      </c>
      <c r="K1595" s="30"/>
      <c r="L1595" s="19"/>
      <c r="M1595" s="3"/>
    </row>
    <row r="1596" s="1" customFormat="1" spans="1:13">
      <c r="A1596" s="22"/>
      <c r="B1596" s="143" t="s">
        <v>2636</v>
      </c>
      <c r="C1596" s="152" t="s">
        <v>2634</v>
      </c>
      <c r="D1596" s="151" t="s">
        <v>2609</v>
      </c>
      <c r="E1596" s="103" t="s">
        <v>733</v>
      </c>
      <c r="F1596" s="26" t="s">
        <v>197</v>
      </c>
      <c r="G1596" s="27">
        <f>SUMIF(物料月初库存!$C$3:$C$303,$B1596,物料月初库存!$F$3:$F$303)</f>
        <v>0</v>
      </c>
      <c r="H1596" s="28">
        <f>SUMIF(半成品入库明细!$D$2:$D$650,$B1596,半成品入库明细!$G$2:$G$650)</f>
        <v>0</v>
      </c>
      <c r="I1596" s="28">
        <f ca="1">SUMIF(半成品出库明细!$D$2:$D$558,$B1596,半成品出库明细!$G$2:$G$2)</f>
        <v>0</v>
      </c>
      <c r="J1596" s="28">
        <f ca="1" t="shared" si="32"/>
        <v>0</v>
      </c>
      <c r="K1596" s="30"/>
      <c r="L1596" s="19"/>
      <c r="M1596" s="3"/>
    </row>
    <row r="1597" s="1" customFormat="1" spans="1:13">
      <c r="A1597" s="22"/>
      <c r="B1597" s="143" t="s">
        <v>2637</v>
      </c>
      <c r="C1597" s="152" t="s">
        <v>2634</v>
      </c>
      <c r="D1597" s="151" t="s">
        <v>2609</v>
      </c>
      <c r="E1597" s="103" t="s">
        <v>839</v>
      </c>
      <c r="F1597" s="26" t="s">
        <v>197</v>
      </c>
      <c r="G1597" s="27">
        <f>SUMIF(物料月初库存!$C$3:$C$303,$B1597,物料月初库存!$F$3:$F$303)</f>
        <v>0</v>
      </c>
      <c r="H1597" s="28">
        <f>SUMIF(半成品入库明细!$D$2:$D$650,$B1597,半成品入库明细!$G$2:$G$650)</f>
        <v>0</v>
      </c>
      <c r="I1597" s="28">
        <f ca="1">SUMIF(半成品出库明细!$D$2:$D$558,$B1597,半成品出库明细!$G$2:$G$2)</f>
        <v>0</v>
      </c>
      <c r="J1597" s="28">
        <f ca="1" t="shared" si="32"/>
        <v>0</v>
      </c>
      <c r="K1597" s="153" t="s">
        <v>1949</v>
      </c>
      <c r="L1597" s="19"/>
      <c r="M1597" s="3"/>
    </row>
    <row r="1598" s="1" customFormat="1" spans="1:13">
      <c r="A1598" s="22"/>
      <c r="B1598" s="143" t="s">
        <v>2638</v>
      </c>
      <c r="C1598" s="154" t="s">
        <v>2639</v>
      </c>
      <c r="D1598" s="151" t="s">
        <v>2640</v>
      </c>
      <c r="E1598" s="103" t="s">
        <v>76</v>
      </c>
      <c r="F1598" s="26" t="s">
        <v>197</v>
      </c>
      <c r="G1598" s="27">
        <f>SUMIF(物料月初库存!$C$3:$C$303,$B1598,物料月初库存!$F$3:$F$303)</f>
        <v>0</v>
      </c>
      <c r="H1598" s="28">
        <f>SUMIF(半成品入库明细!$D$2:$D$650,$B1598,半成品入库明细!$G$2:$G$650)</f>
        <v>0</v>
      </c>
      <c r="I1598" s="28">
        <f ca="1">SUMIF(半成品出库明细!$D$2:$D$558,$B1598,半成品出库明细!$G$2:$G$2)</f>
        <v>0</v>
      </c>
      <c r="J1598" s="28">
        <f ca="1" t="shared" ref="J1598:J1623" si="33">G1598+H1598-I1598</f>
        <v>0</v>
      </c>
      <c r="K1598" s="30"/>
      <c r="L1598" s="19"/>
      <c r="M1598" s="3"/>
    </row>
    <row r="1599" s="1" customFormat="1" spans="1:13">
      <c r="A1599" s="22"/>
      <c r="B1599" s="143" t="s">
        <v>2641</v>
      </c>
      <c r="C1599" s="154" t="s">
        <v>2639</v>
      </c>
      <c r="D1599" s="151" t="s">
        <v>2640</v>
      </c>
      <c r="E1599" s="137" t="s">
        <v>199</v>
      </c>
      <c r="F1599" s="26" t="s">
        <v>197</v>
      </c>
      <c r="G1599" s="27">
        <f>SUMIF(物料月初库存!$C$3:$C$303,$B1599,物料月初库存!$F$3:$F$303)</f>
        <v>0</v>
      </c>
      <c r="H1599" s="28">
        <f>SUMIF(半成品入库明细!$D$2:$D$650,$B1599,半成品入库明细!$G$2:$G$650)</f>
        <v>0</v>
      </c>
      <c r="I1599" s="28">
        <f ca="1">SUMIF(半成品出库明细!$D$2:$D$558,$B1599,半成品出库明细!$G$2:$G$2)</f>
        <v>0</v>
      </c>
      <c r="J1599" s="28">
        <f ca="1" t="shared" si="33"/>
        <v>0</v>
      </c>
      <c r="K1599" s="30" t="s">
        <v>173</v>
      </c>
      <c r="L1599" s="19"/>
      <c r="M1599" s="3"/>
    </row>
    <row r="1600" s="1" customFormat="1" spans="1:13">
      <c r="A1600" s="22"/>
      <c r="B1600" s="143" t="s">
        <v>2642</v>
      </c>
      <c r="C1600" s="155" t="s">
        <v>2639</v>
      </c>
      <c r="D1600" s="156" t="s">
        <v>2640</v>
      </c>
      <c r="E1600" s="123" t="s">
        <v>201</v>
      </c>
      <c r="F1600" s="38" t="s">
        <v>197</v>
      </c>
      <c r="G1600" s="39">
        <f>SUMIF(物料月初库存!$C$3:$C$303,$B1600,物料月初库存!$F$3:$F$303)</f>
        <v>0</v>
      </c>
      <c r="H1600" s="40">
        <f>SUMIF(半成品入库明细!$D$2:$D$650,$B1600,半成品入库明细!$G$2:$G$650)</f>
        <v>0</v>
      </c>
      <c r="I1600" s="40">
        <f ca="1">SUMIF(半成品出库明细!$D$2:$D$558,$B1600,半成品出库明细!$G$2:$G$2)</f>
        <v>0</v>
      </c>
      <c r="J1600" s="40">
        <f ca="1" t="shared" si="33"/>
        <v>0</v>
      </c>
      <c r="K1600" s="124" t="s">
        <v>2643</v>
      </c>
      <c r="L1600" s="19"/>
      <c r="M1600" s="3"/>
    </row>
    <row r="1601" s="1" customFormat="1" spans="1:13">
      <c r="A1601" s="22"/>
      <c r="B1601" s="143" t="s">
        <v>2644</v>
      </c>
      <c r="C1601" s="154" t="s">
        <v>2645</v>
      </c>
      <c r="D1601" s="151" t="s">
        <v>2640</v>
      </c>
      <c r="E1601" s="103" t="s">
        <v>76</v>
      </c>
      <c r="F1601" s="26" t="s">
        <v>197</v>
      </c>
      <c r="G1601" s="27">
        <f>SUMIF(物料月初库存!$C$3:$C$303,$B1601,物料月初库存!$F$3:$F$303)</f>
        <v>0</v>
      </c>
      <c r="H1601" s="28">
        <f>SUMIF(半成品入库明细!$D$2:$D$650,$B1601,半成品入库明细!$G$2:$G$650)</f>
        <v>0</v>
      </c>
      <c r="I1601" s="28">
        <f ca="1">SUMIF(半成品出库明细!$D$2:$D$558,$B1601,半成品出库明细!$G$2:$G$2)</f>
        <v>0</v>
      </c>
      <c r="J1601" s="28">
        <f ca="1" t="shared" si="33"/>
        <v>0</v>
      </c>
      <c r="K1601" s="30"/>
      <c r="L1601" s="19"/>
      <c r="M1601" s="3"/>
    </row>
    <row r="1602" s="1" customFormat="1" spans="1:13">
      <c r="A1602" s="22"/>
      <c r="B1602" s="143" t="s">
        <v>2646</v>
      </c>
      <c r="C1602" s="154" t="s">
        <v>2645</v>
      </c>
      <c r="D1602" s="151" t="s">
        <v>2640</v>
      </c>
      <c r="E1602" s="137" t="s">
        <v>199</v>
      </c>
      <c r="F1602" s="26" t="s">
        <v>197</v>
      </c>
      <c r="G1602" s="27">
        <f>SUMIF(物料月初库存!$C$3:$C$303,$B1602,物料月初库存!$F$3:$F$303)</f>
        <v>0</v>
      </c>
      <c r="H1602" s="28">
        <f>SUMIF(半成品入库明细!$D$2:$D$650,$B1602,半成品入库明细!$G$2:$G$650)</f>
        <v>0</v>
      </c>
      <c r="I1602" s="28">
        <f ca="1">SUMIF(半成品出库明细!$D$2:$D$558,$B1602,半成品出库明细!$G$2:$G$2)</f>
        <v>0</v>
      </c>
      <c r="J1602" s="28">
        <f ca="1" t="shared" si="33"/>
        <v>0</v>
      </c>
      <c r="K1602" s="30" t="s">
        <v>173</v>
      </c>
      <c r="L1602" s="19"/>
      <c r="M1602" s="3"/>
    </row>
    <row r="1603" s="1" customFormat="1" spans="1:13">
      <c r="A1603" s="22"/>
      <c r="B1603" s="143" t="s">
        <v>2647</v>
      </c>
      <c r="C1603" s="154" t="s">
        <v>2645</v>
      </c>
      <c r="D1603" s="151" t="s">
        <v>2640</v>
      </c>
      <c r="E1603" s="137" t="s">
        <v>201</v>
      </c>
      <c r="F1603" s="26" t="s">
        <v>197</v>
      </c>
      <c r="G1603" s="27">
        <f>SUMIF(物料月初库存!$C$3:$C$303,$B1603,物料月初库存!$F$3:$F$303)</f>
        <v>0</v>
      </c>
      <c r="H1603" s="28">
        <f>SUMIF(半成品入库明细!$D$2:$D$650,$B1603,半成品入库明细!$G$2:$G$650)</f>
        <v>0</v>
      </c>
      <c r="I1603" s="28">
        <f ca="1">SUMIF(半成品出库明细!$D$2:$D$558,$B1603,半成品出库明细!$G$2:$G$2)</f>
        <v>0</v>
      </c>
      <c r="J1603" s="28">
        <f ca="1" t="shared" si="33"/>
        <v>0</v>
      </c>
      <c r="K1603" s="30"/>
      <c r="L1603" s="19"/>
      <c r="M1603" s="3"/>
    </row>
    <row r="1604" s="1" customFormat="1" spans="1:13">
      <c r="A1604" s="22"/>
      <c r="B1604" s="143" t="s">
        <v>2648</v>
      </c>
      <c r="C1604" s="154" t="s">
        <v>2649</v>
      </c>
      <c r="D1604" s="151" t="s">
        <v>2640</v>
      </c>
      <c r="E1604" s="103" t="s">
        <v>76</v>
      </c>
      <c r="F1604" s="26" t="s">
        <v>197</v>
      </c>
      <c r="G1604" s="27">
        <f>SUMIF(物料月初库存!$C$3:$C$303,$B1604,物料月初库存!$F$3:$F$303)</f>
        <v>0</v>
      </c>
      <c r="H1604" s="28">
        <f>SUMIF(半成品入库明细!$D$2:$D$650,$B1604,半成品入库明细!$G$2:$G$650)</f>
        <v>0</v>
      </c>
      <c r="I1604" s="28">
        <f ca="1">SUMIF(半成品出库明细!$D$2:$D$558,$B1604,半成品出库明细!$G$2:$G$2)</f>
        <v>0</v>
      </c>
      <c r="J1604" s="28">
        <f ca="1" t="shared" si="33"/>
        <v>0</v>
      </c>
      <c r="K1604" s="30"/>
      <c r="L1604" s="19"/>
      <c r="M1604" s="3"/>
    </row>
    <row r="1605" s="1" customFormat="1" spans="1:13">
      <c r="A1605" s="22"/>
      <c r="B1605" s="143" t="s">
        <v>2650</v>
      </c>
      <c r="C1605" s="154" t="s">
        <v>2649</v>
      </c>
      <c r="D1605" s="151" t="s">
        <v>2640</v>
      </c>
      <c r="E1605" s="137" t="s">
        <v>2651</v>
      </c>
      <c r="F1605" s="26" t="s">
        <v>197</v>
      </c>
      <c r="G1605" s="27">
        <f>SUMIF(物料月初库存!$C$3:$C$303,$B1605,物料月初库存!$F$3:$F$303)</f>
        <v>0</v>
      </c>
      <c r="H1605" s="28">
        <f>SUMIF(半成品入库明细!$D$2:$D$650,$B1605,半成品入库明细!$G$2:$G$650)</f>
        <v>0</v>
      </c>
      <c r="I1605" s="28">
        <f ca="1">SUMIF(半成品出库明细!$D$2:$D$558,$B1605,半成品出库明细!$G$2:$G$2)</f>
        <v>0</v>
      </c>
      <c r="J1605" s="28">
        <f ca="1" t="shared" si="33"/>
        <v>0</v>
      </c>
      <c r="K1605" s="157" t="s">
        <v>113</v>
      </c>
      <c r="L1605" s="19"/>
      <c r="M1605" s="3"/>
    </row>
    <row r="1606" s="1" customFormat="1" spans="1:13">
      <c r="A1606" s="22"/>
      <c r="B1606" s="143" t="s">
        <v>2652</v>
      </c>
      <c r="C1606" s="154" t="s">
        <v>2649</v>
      </c>
      <c r="D1606" s="151" t="s">
        <v>2640</v>
      </c>
      <c r="E1606" s="137" t="s">
        <v>201</v>
      </c>
      <c r="F1606" s="26" t="s">
        <v>197</v>
      </c>
      <c r="G1606" s="27">
        <f>SUMIF(物料月初库存!$C$3:$C$303,$B1606,物料月初库存!$F$3:$F$303)</f>
        <v>0</v>
      </c>
      <c r="H1606" s="40">
        <f>SUMIF(半成品入库明细!$D$2:$D$650,$B1606,半成品入库明细!$G$2:$G$650)</f>
        <v>0</v>
      </c>
      <c r="I1606" s="40">
        <f ca="1">SUMIF(半成品出库明细!$D$2:$D$558,$B1606,半成品出库明细!$G$2:$G$2)</f>
        <v>0</v>
      </c>
      <c r="J1606" s="40">
        <f ca="1" t="shared" si="33"/>
        <v>0</v>
      </c>
      <c r="K1606" s="157" t="s">
        <v>2653</v>
      </c>
      <c r="L1606" s="19"/>
      <c r="M1606" s="3"/>
    </row>
    <row r="1607" s="1" customFormat="1" spans="1:13">
      <c r="A1607" s="22"/>
      <c r="B1607" s="143" t="s">
        <v>2654</v>
      </c>
      <c r="C1607" s="154" t="s">
        <v>2655</v>
      </c>
      <c r="D1607" s="151" t="s">
        <v>2640</v>
      </c>
      <c r="E1607" s="137" t="s">
        <v>76</v>
      </c>
      <c r="F1607" s="26" t="s">
        <v>197</v>
      </c>
      <c r="G1607" s="27">
        <f>SUMIF(物料月初库存!$C$3:$C$303,$B1607,物料月初库存!$F$3:$F$303)</f>
        <v>0</v>
      </c>
      <c r="H1607" s="28">
        <f>SUMIF(半成品入库明细!$D$2:$D$650,$B1607,半成品入库明细!$G$2:$G$650)</f>
        <v>0</v>
      </c>
      <c r="I1607" s="28">
        <f ca="1">SUMIF(半成品出库明细!$D$2:$D$558,$B1607,半成品出库明细!$G$2:$G$2)</f>
        <v>0</v>
      </c>
      <c r="J1607" s="28">
        <f ca="1" t="shared" si="33"/>
        <v>0</v>
      </c>
      <c r="K1607" s="30"/>
      <c r="L1607" s="19"/>
      <c r="M1607" s="3"/>
    </row>
    <row r="1608" s="1" customFormat="1" spans="1:13">
      <c r="A1608" s="22"/>
      <c r="B1608" s="143" t="s">
        <v>2656</v>
      </c>
      <c r="C1608" s="154" t="s">
        <v>2655</v>
      </c>
      <c r="D1608" s="151" t="s">
        <v>2640</v>
      </c>
      <c r="E1608" s="137" t="s">
        <v>2657</v>
      </c>
      <c r="F1608" s="26" t="s">
        <v>197</v>
      </c>
      <c r="G1608" s="27">
        <f>SUMIF(物料月初库存!$C$3:$C$303,$B1608,物料月初库存!$F$3:$F$303)</f>
        <v>0</v>
      </c>
      <c r="H1608" s="28">
        <f>SUMIF(半成品入库明细!$D$2:$D$650,$B1608,半成品入库明细!$G$2:$G$650)</f>
        <v>0</v>
      </c>
      <c r="I1608" s="28">
        <f ca="1">SUMIF(半成品出库明细!$D$2:$D$558,$B1608,半成品出库明细!$G$2:$G$2)</f>
        <v>0</v>
      </c>
      <c r="J1608" s="28">
        <f ca="1" t="shared" si="33"/>
        <v>0</v>
      </c>
      <c r="K1608" s="51" t="s">
        <v>2490</v>
      </c>
      <c r="L1608" s="19"/>
      <c r="M1608" s="3"/>
    </row>
    <row r="1609" s="1" customFormat="1" spans="1:13">
      <c r="A1609" s="22"/>
      <c r="B1609" s="143" t="s">
        <v>2658</v>
      </c>
      <c r="C1609" s="154" t="s">
        <v>2655</v>
      </c>
      <c r="D1609" s="151" t="s">
        <v>2640</v>
      </c>
      <c r="E1609" s="137" t="s">
        <v>201</v>
      </c>
      <c r="F1609" s="26" t="s">
        <v>197</v>
      </c>
      <c r="G1609" s="27">
        <f>SUMIF(物料月初库存!$C$3:$C$303,$B1609,物料月初库存!$F$3:$F$303)</f>
        <v>0</v>
      </c>
      <c r="H1609" s="28">
        <f>SUMIF(半成品入库明细!$D$2:$D$650,$B1609,半成品入库明细!$G$2:$G$650)</f>
        <v>0</v>
      </c>
      <c r="I1609" s="28">
        <f ca="1">SUMIF(半成品出库明细!$D$2:$D$558,$B1609,半成品出库明细!$G$2:$G$2)</f>
        <v>0</v>
      </c>
      <c r="J1609" s="28">
        <f ca="1" t="shared" si="33"/>
        <v>0</v>
      </c>
      <c r="K1609" s="51" t="s">
        <v>2659</v>
      </c>
      <c r="L1609" s="19"/>
      <c r="M1609" s="3"/>
    </row>
    <row r="1610" s="1" customFormat="1" spans="1:13">
      <c r="A1610" s="22"/>
      <c r="B1610" s="143" t="s">
        <v>2660</v>
      </c>
      <c r="C1610" s="158" t="s">
        <v>2661</v>
      </c>
      <c r="D1610" s="151" t="s">
        <v>2640</v>
      </c>
      <c r="E1610" s="137" t="s">
        <v>76</v>
      </c>
      <c r="F1610" s="26" t="s">
        <v>197</v>
      </c>
      <c r="G1610" s="27">
        <f>SUMIF(物料月初库存!$C$3:$C$303,$B1610,物料月初库存!$F$3:$F$303)</f>
        <v>0</v>
      </c>
      <c r="H1610" s="28">
        <f>SUMIF(半成品入库明细!$D$2:$D$650,$B1610,半成品入库明细!$G$2:$G$650)</f>
        <v>0</v>
      </c>
      <c r="I1610" s="28">
        <f ca="1">SUMIF(半成品出库明细!$D$2:$D$558,$B1610,半成品出库明细!$G$2:$G$2)</f>
        <v>0</v>
      </c>
      <c r="J1610" s="28">
        <f ca="1" t="shared" si="33"/>
        <v>0</v>
      </c>
      <c r="K1610" s="51"/>
      <c r="L1610" s="19"/>
      <c r="M1610" s="3"/>
    </row>
    <row r="1611" s="1" customFormat="1" spans="1:13">
      <c r="A1611" s="22"/>
      <c r="B1611" s="143" t="s">
        <v>2662</v>
      </c>
      <c r="C1611" s="158" t="s">
        <v>2661</v>
      </c>
      <c r="D1611" s="151" t="s">
        <v>2640</v>
      </c>
      <c r="E1611" s="137" t="s">
        <v>199</v>
      </c>
      <c r="F1611" s="26" t="s">
        <v>197</v>
      </c>
      <c r="G1611" s="27">
        <f>SUMIF(物料月初库存!$C$3:$C$303,$B1611,物料月初库存!$F$3:$F$303)</f>
        <v>0</v>
      </c>
      <c r="H1611" s="28">
        <f>SUMIF(半成品入库明细!$D$2:$D$650,$B1611,半成品入库明细!$G$2:$G$650)</f>
        <v>0</v>
      </c>
      <c r="I1611" s="28">
        <f ca="1">SUMIF(半成品出库明细!$D$2:$D$558,$B1611,半成品出库明细!$G$2:$G$2)</f>
        <v>0</v>
      </c>
      <c r="J1611" s="28">
        <f ca="1" t="shared" si="33"/>
        <v>0</v>
      </c>
      <c r="K1611" s="51" t="s">
        <v>173</v>
      </c>
      <c r="L1611" s="19"/>
      <c r="M1611" s="3"/>
    </row>
    <row r="1612" s="1" customFormat="1" spans="1:13">
      <c r="A1612" s="22"/>
      <c r="B1612" s="143" t="s">
        <v>2663</v>
      </c>
      <c r="C1612" s="158" t="s">
        <v>2661</v>
      </c>
      <c r="D1612" s="151" t="s">
        <v>2640</v>
      </c>
      <c r="E1612" s="137" t="s">
        <v>201</v>
      </c>
      <c r="F1612" s="26" t="s">
        <v>197</v>
      </c>
      <c r="G1612" s="27">
        <f>SUMIF(物料月初库存!$C$3:$C$303,$B1612,物料月初库存!$F$3:$F$303)</f>
        <v>0</v>
      </c>
      <c r="H1612" s="28">
        <f>SUMIF(半成品入库明细!$D$2:$D$650,$B1612,半成品入库明细!$G$2:$G$650)</f>
        <v>0</v>
      </c>
      <c r="I1612" s="28">
        <f ca="1">SUMIF(半成品出库明细!$D$2:$D$558,$B1612,半成品出库明细!$G$2:$G$2)</f>
        <v>0</v>
      </c>
      <c r="J1612" s="28">
        <f ca="1" t="shared" si="33"/>
        <v>0</v>
      </c>
      <c r="K1612" s="51" t="s">
        <v>183</v>
      </c>
      <c r="L1612" s="19"/>
      <c r="M1612" s="3"/>
    </row>
    <row r="1613" s="1" customFormat="1" spans="1:13">
      <c r="A1613" s="22"/>
      <c r="B1613" s="143" t="s">
        <v>83</v>
      </c>
      <c r="C1613" s="158" t="s">
        <v>2664</v>
      </c>
      <c r="D1613" s="151" t="s">
        <v>2640</v>
      </c>
      <c r="E1613" s="137" t="s">
        <v>76</v>
      </c>
      <c r="F1613" s="26" t="s">
        <v>197</v>
      </c>
      <c r="G1613" s="27">
        <f>SUMIF(物料月初库存!$C$3:$C$303,$B1613,物料月初库存!$F$3:$F$303)</f>
        <v>0</v>
      </c>
      <c r="H1613" s="28">
        <f>SUMIF(半成品入库明细!$D$2:$D$650,$B1613,半成品入库明细!$G$2:$G$650)</f>
        <v>1014</v>
      </c>
      <c r="I1613" s="28">
        <f ca="1">SUMIF(半成品出库明细!$D$2:$D$558,$B1613,半成品出库明细!$G$2:$G$2)</f>
        <v>0</v>
      </c>
      <c r="J1613" s="28">
        <f ca="1" t="shared" si="33"/>
        <v>1014</v>
      </c>
      <c r="K1613" s="51"/>
      <c r="L1613" s="19"/>
      <c r="M1613" s="3"/>
    </row>
    <row r="1614" s="1" customFormat="1" spans="1:13">
      <c r="A1614" s="22"/>
      <c r="B1614" s="143" t="s">
        <v>2665</v>
      </c>
      <c r="C1614" s="158" t="s">
        <v>2664</v>
      </c>
      <c r="D1614" s="151" t="s">
        <v>2640</v>
      </c>
      <c r="E1614" s="137" t="s">
        <v>2651</v>
      </c>
      <c r="F1614" s="26" t="s">
        <v>197</v>
      </c>
      <c r="G1614" s="27">
        <f>SUMIF(物料月初库存!$C$3:$C$303,$B1614,物料月初库存!$F$3:$F$303)</f>
        <v>0</v>
      </c>
      <c r="H1614" s="28">
        <f>SUMIF(半成品入库明细!$D$2:$D$650,$B1614,半成品入库明细!$G$2:$G$650)</f>
        <v>0</v>
      </c>
      <c r="I1614" s="28">
        <f ca="1">SUMIF(半成品出库明细!$D$2:$D$558,$B1614,半成品出库明细!$G$2:$G$2)</f>
        <v>0</v>
      </c>
      <c r="J1614" s="28">
        <f ca="1" t="shared" si="33"/>
        <v>0</v>
      </c>
      <c r="K1614" s="157" t="s">
        <v>113</v>
      </c>
      <c r="L1614" s="19"/>
      <c r="M1614" s="3"/>
    </row>
    <row r="1615" s="1" customFormat="1" spans="1:13">
      <c r="A1615" s="22"/>
      <c r="B1615" s="143" t="s">
        <v>2666</v>
      </c>
      <c r="C1615" s="158" t="s">
        <v>2667</v>
      </c>
      <c r="D1615" s="151" t="s">
        <v>2640</v>
      </c>
      <c r="E1615" s="137" t="s">
        <v>76</v>
      </c>
      <c r="F1615" s="26" t="s">
        <v>197</v>
      </c>
      <c r="G1615" s="27">
        <f>SUMIF(物料月初库存!$C$3:$C$303,$B1615,物料月初库存!$F$3:$F$303)</f>
        <v>0</v>
      </c>
      <c r="H1615" s="28">
        <f>SUMIF(半成品入库明细!$D$2:$D$650,$B1615,半成品入库明细!$G$2:$G$650)</f>
        <v>0</v>
      </c>
      <c r="I1615" s="28">
        <f ca="1">SUMIF(半成品出库明细!$D$2:$D$558,$B1615,半成品出库明细!$G$2:$G$2)</f>
        <v>0</v>
      </c>
      <c r="J1615" s="28">
        <f ca="1" t="shared" si="33"/>
        <v>0</v>
      </c>
      <c r="K1615" s="51"/>
      <c r="L1615" s="19"/>
      <c r="M1615" s="3"/>
    </row>
    <row r="1616" s="1" customFormat="1" spans="1:13">
      <c r="A1616" s="22"/>
      <c r="B1616" s="143" t="s">
        <v>2668</v>
      </c>
      <c r="C1616" s="158" t="s">
        <v>2667</v>
      </c>
      <c r="D1616" s="151" t="s">
        <v>2640</v>
      </c>
      <c r="E1616" s="137" t="s">
        <v>2651</v>
      </c>
      <c r="F1616" s="26" t="s">
        <v>197</v>
      </c>
      <c r="G1616" s="27">
        <f>SUMIF(物料月初库存!$C$3:$C$303,$B1616,物料月初库存!$F$3:$F$303)</f>
        <v>0</v>
      </c>
      <c r="H1616" s="28">
        <f>SUMIF(半成品入库明细!$D$2:$D$650,$B1616,半成品入库明细!$G$2:$G$650)</f>
        <v>0</v>
      </c>
      <c r="I1616" s="28">
        <f ca="1">SUMIF(半成品出库明细!$D$2:$D$558,$B1616,半成品出库明细!$G$2:$G$2)</f>
        <v>0</v>
      </c>
      <c r="J1616" s="28">
        <f ca="1" t="shared" si="33"/>
        <v>0</v>
      </c>
      <c r="K1616" s="157" t="s">
        <v>113</v>
      </c>
      <c r="L1616" s="19"/>
      <c r="M1616" s="3"/>
    </row>
    <row r="1617" s="1" customFormat="1" spans="1:13">
      <c r="A1617" s="22"/>
      <c r="B1617" s="143" t="s">
        <v>44</v>
      </c>
      <c r="C1617" s="158" t="s">
        <v>2669</v>
      </c>
      <c r="D1617" s="151" t="s">
        <v>2640</v>
      </c>
      <c r="E1617" s="137" t="s">
        <v>76</v>
      </c>
      <c r="F1617" s="26" t="s">
        <v>197</v>
      </c>
      <c r="G1617" s="27">
        <f>SUMIF(物料月初库存!$C$3:$C$303,$B1617,物料月初库存!$F$3:$F$303)</f>
        <v>86</v>
      </c>
      <c r="H1617" s="28">
        <f>SUMIF(半成品入库明细!$D$2:$D$650,$B1617,半成品入库明细!$G$2:$G$650)</f>
        <v>0</v>
      </c>
      <c r="I1617" s="28">
        <f ca="1">SUMIF(半成品出库明细!$D$2:$D$558,$B1617,半成品出库明细!$G$2:$G$2)</f>
        <v>0</v>
      </c>
      <c r="J1617" s="28">
        <f ca="1" t="shared" si="33"/>
        <v>86</v>
      </c>
      <c r="K1617" s="51"/>
      <c r="L1617" s="19"/>
      <c r="M1617" s="3"/>
    </row>
    <row r="1618" s="1" customFormat="1" spans="1:13">
      <c r="A1618" s="22"/>
      <c r="B1618" s="143" t="s">
        <v>2670</v>
      </c>
      <c r="C1618" s="158" t="s">
        <v>2669</v>
      </c>
      <c r="D1618" s="151" t="s">
        <v>2640</v>
      </c>
      <c r="E1618" s="137" t="s">
        <v>199</v>
      </c>
      <c r="F1618" s="26" t="s">
        <v>197</v>
      </c>
      <c r="G1618" s="27">
        <f>SUMIF(物料月初库存!$C$3:$C$303,$B1618,物料月初库存!$F$3:$F$303)</f>
        <v>0</v>
      </c>
      <c r="H1618" s="28">
        <f>SUMIF(半成品入库明细!$D$2:$D$650,$B1618,半成品入库明细!$G$2:$G$650)</f>
        <v>0</v>
      </c>
      <c r="I1618" s="28">
        <f ca="1">SUMIF(半成品出库明细!$D$2:$D$558,$B1618,半成品出库明细!$G$2:$G$2)</f>
        <v>0</v>
      </c>
      <c r="J1618" s="28">
        <f ca="1" t="shared" si="33"/>
        <v>0</v>
      </c>
      <c r="K1618" s="51" t="s">
        <v>173</v>
      </c>
      <c r="L1618" s="19"/>
      <c r="M1618" s="3"/>
    </row>
    <row r="1619" s="1" customFormat="1" spans="1:13">
      <c r="A1619" s="22"/>
      <c r="B1619" s="143" t="s">
        <v>2671</v>
      </c>
      <c r="C1619" s="158" t="s">
        <v>2669</v>
      </c>
      <c r="D1619" s="151" t="s">
        <v>2640</v>
      </c>
      <c r="E1619" s="137" t="s">
        <v>201</v>
      </c>
      <c r="F1619" s="26" t="s">
        <v>197</v>
      </c>
      <c r="G1619" s="27">
        <f>SUMIF(物料月初库存!$C$3:$C$303,$B1619,物料月初库存!$F$3:$F$303)</f>
        <v>0</v>
      </c>
      <c r="H1619" s="28">
        <f>SUMIF(半成品入库明细!$D$2:$D$650,$B1619,半成品入库明细!$G$2:$G$650)</f>
        <v>0</v>
      </c>
      <c r="I1619" s="28">
        <f ca="1">SUMIF(半成品出库明细!$D$2:$D$558,$B1619,半成品出库明细!$G$2:$G$2)</f>
        <v>0</v>
      </c>
      <c r="J1619" s="28">
        <f ca="1" t="shared" si="33"/>
        <v>0</v>
      </c>
      <c r="K1619" s="51" t="s">
        <v>183</v>
      </c>
      <c r="L1619" s="19"/>
      <c r="M1619" s="3"/>
    </row>
    <row r="1620" s="1" customFormat="1" spans="1:13">
      <c r="A1620" s="22"/>
      <c r="B1620" s="143" t="s">
        <v>2672</v>
      </c>
      <c r="C1620" s="158" t="s">
        <v>2673</v>
      </c>
      <c r="D1620" s="151" t="s">
        <v>2640</v>
      </c>
      <c r="E1620" s="137" t="s">
        <v>76</v>
      </c>
      <c r="F1620" s="26" t="s">
        <v>197</v>
      </c>
      <c r="G1620" s="27">
        <f>SUMIF(物料月初库存!$C$3:$C$303,$B1620,物料月初库存!$F$3:$F$303)</f>
        <v>0</v>
      </c>
      <c r="H1620" s="28">
        <f>SUMIF(半成品入库明细!$D$2:$D$650,$B1620,半成品入库明细!$G$2:$G$650)</f>
        <v>0</v>
      </c>
      <c r="I1620" s="28">
        <f ca="1">SUMIF(半成品出库明细!$D$2:$D$558,$B1620,半成品出库明细!$G$2:$G$2)</f>
        <v>0</v>
      </c>
      <c r="J1620" s="28">
        <f ca="1" t="shared" si="33"/>
        <v>0</v>
      </c>
      <c r="K1620" s="51"/>
      <c r="L1620" s="19"/>
      <c r="M1620" s="3"/>
    </row>
    <row r="1621" s="1" customFormat="1" spans="1:13">
      <c r="A1621" s="22"/>
      <c r="B1621" s="143" t="s">
        <v>2674</v>
      </c>
      <c r="C1621" s="158" t="s">
        <v>2673</v>
      </c>
      <c r="D1621" s="151" t="s">
        <v>2640</v>
      </c>
      <c r="E1621" s="137" t="s">
        <v>199</v>
      </c>
      <c r="F1621" s="26" t="s">
        <v>197</v>
      </c>
      <c r="G1621" s="27">
        <f>SUMIF(物料月初库存!$C$3:$C$303,$B1621,物料月初库存!$F$3:$F$303)</f>
        <v>0</v>
      </c>
      <c r="H1621" s="28">
        <f>SUMIF(半成品入库明细!$D$2:$D$650,$B1621,半成品入库明细!$G$2:$G$650)</f>
        <v>0</v>
      </c>
      <c r="I1621" s="28">
        <f ca="1">SUMIF(半成品出库明细!$D$2:$D$558,$B1621,半成品出库明细!$G$2:$G$2)</f>
        <v>0</v>
      </c>
      <c r="J1621" s="28">
        <f ca="1" t="shared" si="33"/>
        <v>0</v>
      </c>
      <c r="K1621" s="51" t="s">
        <v>173</v>
      </c>
      <c r="L1621" s="19"/>
      <c r="M1621" s="3"/>
    </row>
    <row r="1622" s="1" customFormat="1" spans="1:13">
      <c r="A1622" s="22"/>
      <c r="B1622" s="143" t="s">
        <v>2675</v>
      </c>
      <c r="C1622" s="158" t="s">
        <v>2673</v>
      </c>
      <c r="D1622" s="151" t="s">
        <v>2640</v>
      </c>
      <c r="E1622" s="137" t="s">
        <v>2155</v>
      </c>
      <c r="F1622" s="26" t="s">
        <v>197</v>
      </c>
      <c r="G1622" s="27">
        <f>SUMIF(物料月初库存!$C$3:$C$303,$B1622,物料月初库存!$F$3:$F$303)</f>
        <v>0</v>
      </c>
      <c r="H1622" s="28">
        <f>SUMIF(半成品入库明细!$D$2:$D$650,$B1622,半成品入库明细!$G$2:$G$650)</f>
        <v>0</v>
      </c>
      <c r="I1622" s="28">
        <f ca="1">SUMIF(半成品出库明细!$D$2:$D$558,$B1622,半成品出库明细!$G$2:$G$2)</f>
        <v>0</v>
      </c>
      <c r="J1622" s="28">
        <f ca="1" t="shared" si="33"/>
        <v>0</v>
      </c>
      <c r="K1622" s="51" t="s">
        <v>2676</v>
      </c>
      <c r="L1622" s="19"/>
      <c r="M1622" s="3"/>
    </row>
    <row r="1623" s="1" customFormat="1" spans="1:13">
      <c r="A1623" s="22"/>
      <c r="B1623" s="143" t="s">
        <v>2677</v>
      </c>
      <c r="C1623" s="143" t="s">
        <v>2678</v>
      </c>
      <c r="D1623" s="143" t="s">
        <v>2679</v>
      </c>
      <c r="E1623" s="137" t="s">
        <v>76</v>
      </c>
      <c r="F1623" s="26" t="s">
        <v>197</v>
      </c>
      <c r="G1623" s="27">
        <f>SUMIF(物料月初库存!$C$3:$C$303,$B1623,物料月初库存!$F$3:$F$303)</f>
        <v>0</v>
      </c>
      <c r="H1623" s="28">
        <f>SUMIF(半成品入库明细!$D$2:$D$650,$B1623,半成品入库明细!$G$2:$G$650)</f>
        <v>0</v>
      </c>
      <c r="I1623" s="28">
        <f ca="1">SUMIF(半成品出库明细!$D$2:$D$558,$B1623,半成品出库明细!$G$2:$G$2)</f>
        <v>0</v>
      </c>
      <c r="J1623" s="28">
        <f ca="1" t="shared" si="33"/>
        <v>0</v>
      </c>
      <c r="K1623" s="30"/>
      <c r="L1623" s="19"/>
      <c r="M1623" s="3"/>
    </row>
    <row r="1624" s="1" customFormat="1" spans="1:13">
      <c r="A1624" s="22"/>
      <c r="B1624" s="143" t="s">
        <v>2680</v>
      </c>
      <c r="C1624" s="159" t="s">
        <v>2681</v>
      </c>
      <c r="D1624" s="143" t="s">
        <v>2679</v>
      </c>
      <c r="E1624" s="137" t="s">
        <v>76</v>
      </c>
      <c r="F1624" s="26" t="s">
        <v>197</v>
      </c>
      <c r="G1624" s="27">
        <f>SUMIF(物料月初库存!$C$3:$C$303,$B1624,物料月初库存!$F$3:$F$303)</f>
        <v>0</v>
      </c>
      <c r="H1624" s="28">
        <f>SUMIF(半成品入库明细!$D$2:$D$650,$B1624,半成品入库明细!$G$2:$G$650)</f>
        <v>0</v>
      </c>
      <c r="I1624" s="28">
        <f ca="1">SUMIF(半成品出库明细!$D$2:$D$558,$B1624,半成品出库明细!$G$2:$G$2)</f>
        <v>0</v>
      </c>
      <c r="J1624" s="28">
        <f ca="1" t="shared" ref="J1623:J1664" si="34">G1624+H1624-I1624</f>
        <v>0</v>
      </c>
      <c r="K1624" s="30"/>
      <c r="L1624" s="19"/>
      <c r="M1624" s="3"/>
    </row>
    <row r="1625" s="1" customFormat="1" spans="1:13">
      <c r="A1625" s="22"/>
      <c r="B1625" s="143" t="s">
        <v>2682</v>
      </c>
      <c r="C1625" s="159" t="s">
        <v>2683</v>
      </c>
      <c r="D1625" s="143" t="s">
        <v>2684</v>
      </c>
      <c r="E1625" s="103" t="s">
        <v>76</v>
      </c>
      <c r="F1625" s="26" t="s">
        <v>197</v>
      </c>
      <c r="G1625" s="27">
        <f>SUMIF(物料月初库存!$C$3:$C$303,$B1625,物料月初库存!$F$3:$F$303)</f>
        <v>0</v>
      </c>
      <c r="H1625" s="28">
        <f>SUMIF(半成品入库明细!$D$2:$D$650,$B1625,半成品入库明细!$G$2:$G$650)</f>
        <v>0</v>
      </c>
      <c r="I1625" s="28">
        <f ca="1">SUMIF(半成品出库明细!$D$2:$D$558,$B1625,半成品出库明细!$G$2:$G$2)</f>
        <v>0</v>
      </c>
      <c r="J1625" s="28">
        <f ca="1" t="shared" si="34"/>
        <v>0</v>
      </c>
      <c r="K1625" s="30"/>
      <c r="L1625" s="19"/>
      <c r="M1625" s="3"/>
    </row>
    <row r="1626" s="1" customFormat="1" spans="1:13">
      <c r="A1626" s="22"/>
      <c r="B1626" s="143" t="s">
        <v>2685</v>
      </c>
      <c r="C1626" s="159" t="s">
        <v>2683</v>
      </c>
      <c r="D1626" s="143" t="s">
        <v>2684</v>
      </c>
      <c r="E1626" s="137" t="s">
        <v>356</v>
      </c>
      <c r="F1626" s="26" t="s">
        <v>197</v>
      </c>
      <c r="G1626" s="27">
        <f>SUMIF(物料月初库存!$C$3:$C$303,$B1626,物料月初库存!$F$3:$F$303)</f>
        <v>0</v>
      </c>
      <c r="H1626" s="28">
        <f>SUMIF(半成品入库明细!$D$2:$D$650,$B1626,半成品入库明细!$G$2:$G$650)</f>
        <v>0</v>
      </c>
      <c r="I1626" s="28">
        <f ca="1">SUMIF(半成品出库明细!$D$2:$D$558,$B1626,半成品出库明细!$G$2:$G$2)</f>
        <v>0</v>
      </c>
      <c r="J1626" s="28">
        <f ca="1" t="shared" si="34"/>
        <v>0</v>
      </c>
      <c r="K1626" s="30" t="s">
        <v>113</v>
      </c>
      <c r="L1626" s="19"/>
      <c r="M1626" s="3"/>
    </row>
    <row r="1627" s="1" customFormat="1" spans="1:13">
      <c r="A1627" s="22"/>
      <c r="B1627" s="143" t="s">
        <v>2686</v>
      </c>
      <c r="C1627" s="159" t="s">
        <v>2683</v>
      </c>
      <c r="D1627" s="143" t="s">
        <v>2684</v>
      </c>
      <c r="E1627" s="137" t="s">
        <v>225</v>
      </c>
      <c r="F1627" s="26" t="s">
        <v>197</v>
      </c>
      <c r="G1627" s="27">
        <f>SUMIF(物料月初库存!$C$3:$C$303,$B1627,物料月初库存!$F$3:$F$303)</f>
        <v>0</v>
      </c>
      <c r="H1627" s="28">
        <f>SUMIF(半成品入库明细!$D$2:$D$650,$B1627,半成品入库明细!$G$2:$G$650)</f>
        <v>0</v>
      </c>
      <c r="I1627" s="28">
        <f ca="1">SUMIF(半成品出库明细!$D$2:$D$558,$B1627,半成品出库明细!$G$2:$G$2)</f>
        <v>0</v>
      </c>
      <c r="J1627" s="28">
        <f ca="1" t="shared" si="34"/>
        <v>0</v>
      </c>
      <c r="K1627" s="30" t="s">
        <v>92</v>
      </c>
      <c r="L1627" s="19"/>
      <c r="M1627" s="3"/>
    </row>
    <row r="1628" s="1" customFormat="1" spans="1:13">
      <c r="A1628" s="22"/>
      <c r="B1628" s="143" t="s">
        <v>2687</v>
      </c>
      <c r="C1628" s="159" t="s">
        <v>2683</v>
      </c>
      <c r="D1628" s="143" t="s">
        <v>2684</v>
      </c>
      <c r="E1628" s="137" t="s">
        <v>267</v>
      </c>
      <c r="F1628" s="26" t="s">
        <v>197</v>
      </c>
      <c r="G1628" s="27">
        <f>SUMIF(物料月初库存!$C$3:$C$303,$B1628,物料月初库存!$F$3:$F$303)</f>
        <v>0</v>
      </c>
      <c r="H1628" s="28">
        <f>SUMIF(半成品入库明细!$D$2:$D$650,$B1628,半成品入库明细!$G$2:$G$650)</f>
        <v>0</v>
      </c>
      <c r="I1628" s="28">
        <f ca="1">SUMIF(半成品出库明细!$D$2:$D$558,$B1628,半成品出库明细!$G$2:$G$2)</f>
        <v>0</v>
      </c>
      <c r="J1628" s="28">
        <f ca="1" t="shared" si="34"/>
        <v>0</v>
      </c>
      <c r="K1628" s="30" t="s">
        <v>146</v>
      </c>
      <c r="L1628" s="19"/>
      <c r="M1628" s="3"/>
    </row>
    <row r="1629" s="1" customFormat="1" spans="1:13">
      <c r="A1629" s="22"/>
      <c r="B1629" s="143" t="s">
        <v>2688</v>
      </c>
      <c r="C1629" s="159" t="s">
        <v>2689</v>
      </c>
      <c r="D1629" s="143" t="s">
        <v>2684</v>
      </c>
      <c r="E1629" s="103" t="s">
        <v>76</v>
      </c>
      <c r="F1629" s="26" t="s">
        <v>197</v>
      </c>
      <c r="G1629" s="27">
        <f>SUMIF(物料月初库存!$C$3:$C$303,$B1629,物料月初库存!$F$3:$F$303)</f>
        <v>0</v>
      </c>
      <c r="H1629" s="28">
        <f>SUMIF(半成品入库明细!$D$2:$D$650,$B1629,半成品入库明细!$G$2:$G$650)</f>
        <v>0</v>
      </c>
      <c r="I1629" s="28">
        <f ca="1">SUMIF(半成品出库明细!$D$2:$D$558,$B1629,半成品出库明细!$G$2:$G$2)</f>
        <v>0</v>
      </c>
      <c r="J1629" s="28">
        <f ca="1" t="shared" si="34"/>
        <v>0</v>
      </c>
      <c r="K1629" s="30"/>
      <c r="L1629" s="19"/>
      <c r="M1629" s="3"/>
    </row>
    <row r="1630" s="1" customFormat="1" spans="1:13">
      <c r="A1630" s="22"/>
      <c r="B1630" s="143" t="s">
        <v>2690</v>
      </c>
      <c r="C1630" s="159" t="s">
        <v>2689</v>
      </c>
      <c r="D1630" s="143" t="s">
        <v>2684</v>
      </c>
      <c r="E1630" s="137" t="s">
        <v>356</v>
      </c>
      <c r="F1630" s="26" t="s">
        <v>197</v>
      </c>
      <c r="G1630" s="27">
        <f>SUMIF(物料月初库存!$C$3:$C$303,$B1630,物料月初库存!$F$3:$F$303)</f>
        <v>0</v>
      </c>
      <c r="H1630" s="28">
        <f>SUMIF(半成品入库明细!$D$2:$D$650,$B1630,半成品入库明细!$G$2:$G$650)</f>
        <v>0</v>
      </c>
      <c r="I1630" s="28">
        <f ca="1">SUMIF(半成品出库明细!$D$2:$D$558,$B1630,半成品出库明细!$G$2:$G$2)</f>
        <v>0</v>
      </c>
      <c r="J1630" s="28">
        <f ca="1" t="shared" si="34"/>
        <v>0</v>
      </c>
      <c r="K1630" s="30" t="s">
        <v>113</v>
      </c>
      <c r="L1630" s="19"/>
      <c r="M1630" s="3"/>
    </row>
    <row r="1631" s="1" customFormat="1" spans="1:13">
      <c r="A1631" s="22"/>
      <c r="B1631" s="143" t="s">
        <v>2691</v>
      </c>
      <c r="C1631" s="159" t="s">
        <v>2689</v>
      </c>
      <c r="D1631" s="143" t="s">
        <v>2684</v>
      </c>
      <c r="E1631" s="137" t="s">
        <v>225</v>
      </c>
      <c r="F1631" s="26" t="s">
        <v>197</v>
      </c>
      <c r="G1631" s="27">
        <f>SUMIF(物料月初库存!$C$3:$C$303,$B1631,物料月初库存!$F$3:$F$303)</f>
        <v>0</v>
      </c>
      <c r="H1631" s="28">
        <f>SUMIF(半成品入库明细!$D$2:$D$650,$B1631,半成品入库明细!$G$2:$G$650)</f>
        <v>0</v>
      </c>
      <c r="I1631" s="28">
        <f ca="1">SUMIF(半成品出库明细!$D$2:$D$558,$B1631,半成品出库明细!$G$2:$G$2)</f>
        <v>0</v>
      </c>
      <c r="J1631" s="28">
        <f ca="1" t="shared" si="34"/>
        <v>0</v>
      </c>
      <c r="K1631" s="30" t="s">
        <v>92</v>
      </c>
      <c r="L1631" s="19"/>
      <c r="M1631" s="3"/>
    </row>
    <row r="1632" s="1" customFormat="1" spans="1:13">
      <c r="A1632" s="22"/>
      <c r="B1632" s="143" t="s">
        <v>2692</v>
      </c>
      <c r="C1632" s="143" t="s">
        <v>2693</v>
      </c>
      <c r="D1632" s="143" t="s">
        <v>2684</v>
      </c>
      <c r="E1632" s="103" t="s">
        <v>76</v>
      </c>
      <c r="F1632" s="26" t="s">
        <v>197</v>
      </c>
      <c r="G1632" s="27">
        <f>SUMIF(物料月初库存!$C$3:$C$303,$B1632,物料月初库存!$F$3:$F$303)</f>
        <v>0</v>
      </c>
      <c r="H1632" s="28">
        <f>SUMIF(半成品入库明细!$D$2:$D$650,$B1632,半成品入库明细!$G$2:$G$650)</f>
        <v>0</v>
      </c>
      <c r="I1632" s="28">
        <f ca="1">SUMIF(半成品出库明细!$D$2:$D$558,$B1632,半成品出库明细!$G$2:$G$2)</f>
        <v>0</v>
      </c>
      <c r="J1632" s="28">
        <f ca="1" t="shared" si="34"/>
        <v>0</v>
      </c>
      <c r="K1632" s="30"/>
      <c r="L1632" s="19"/>
      <c r="M1632" s="3"/>
    </row>
    <row r="1633" s="1" customFormat="1" spans="1:13">
      <c r="A1633" s="22"/>
      <c r="B1633" s="143" t="s">
        <v>2694</v>
      </c>
      <c r="C1633" s="143" t="s">
        <v>2693</v>
      </c>
      <c r="D1633" s="143" t="s">
        <v>2684</v>
      </c>
      <c r="E1633" s="137" t="s">
        <v>356</v>
      </c>
      <c r="F1633" s="26" t="s">
        <v>197</v>
      </c>
      <c r="G1633" s="27">
        <f>SUMIF(物料月初库存!$C$3:$C$303,$B1633,物料月初库存!$F$3:$F$303)</f>
        <v>0</v>
      </c>
      <c r="H1633" s="28">
        <f>SUMIF(半成品入库明细!$D$2:$D$650,$B1633,半成品入库明细!$G$2:$G$650)</f>
        <v>0</v>
      </c>
      <c r="I1633" s="28">
        <f ca="1">SUMIF(半成品出库明细!$D$2:$D$558,$B1633,半成品出库明细!$G$2:$G$2)</f>
        <v>0</v>
      </c>
      <c r="J1633" s="28">
        <f ca="1" t="shared" si="34"/>
        <v>0</v>
      </c>
      <c r="K1633" s="30" t="s">
        <v>113</v>
      </c>
      <c r="L1633" s="19"/>
      <c r="M1633" s="3"/>
    </row>
    <row r="1634" s="1" customFormat="1" spans="1:13">
      <c r="A1634" s="22"/>
      <c r="B1634" s="143" t="s">
        <v>2695</v>
      </c>
      <c r="C1634" s="143" t="s">
        <v>2693</v>
      </c>
      <c r="D1634" s="143" t="s">
        <v>2684</v>
      </c>
      <c r="E1634" s="137" t="s">
        <v>225</v>
      </c>
      <c r="F1634" s="26" t="s">
        <v>197</v>
      </c>
      <c r="G1634" s="27">
        <f>SUMIF(物料月初库存!$C$3:$C$303,$B1634,物料月初库存!$F$3:$F$303)</f>
        <v>0</v>
      </c>
      <c r="H1634" s="28">
        <f>SUMIF(半成品入库明细!$D$2:$D$650,$B1634,半成品入库明细!$G$2:$G$650)</f>
        <v>0</v>
      </c>
      <c r="I1634" s="28">
        <f ca="1">SUMIF(半成品出库明细!$D$2:$D$558,$B1634,半成品出库明细!$G$2:$G$2)</f>
        <v>0</v>
      </c>
      <c r="J1634" s="28">
        <f ca="1" t="shared" si="34"/>
        <v>0</v>
      </c>
      <c r="K1634" s="30" t="s">
        <v>92</v>
      </c>
      <c r="L1634" s="19"/>
      <c r="M1634" s="3"/>
    </row>
    <row r="1635" s="1" customFormat="1" spans="1:13">
      <c r="A1635" s="22"/>
      <c r="B1635" s="143" t="s">
        <v>2696</v>
      </c>
      <c r="C1635" s="143" t="s">
        <v>2693</v>
      </c>
      <c r="D1635" s="143" t="s">
        <v>2684</v>
      </c>
      <c r="E1635" s="137" t="s">
        <v>2697</v>
      </c>
      <c r="F1635" s="26" t="s">
        <v>197</v>
      </c>
      <c r="G1635" s="27">
        <f>SUMIF(物料月初库存!$C$3:$C$303,$B1635,物料月初库存!$F$3:$F$303)</f>
        <v>0</v>
      </c>
      <c r="H1635" s="28">
        <f>SUMIF(半成品入库明细!$D$2:$D$650,$B1635,半成品入库明细!$G$2:$G$650)</f>
        <v>0</v>
      </c>
      <c r="I1635" s="28">
        <f ca="1">SUMIF(半成品出库明细!$D$2:$D$558,$B1635,半成品出库明细!$G$2:$G$2)</f>
        <v>0</v>
      </c>
      <c r="J1635" s="28">
        <f ca="1" t="shared" si="34"/>
        <v>0</v>
      </c>
      <c r="K1635" s="30" t="s">
        <v>146</v>
      </c>
      <c r="L1635" s="19"/>
      <c r="M1635" s="3"/>
    </row>
    <row r="1636" s="1" customFormat="1" spans="1:13">
      <c r="A1636" s="22"/>
      <c r="B1636" s="143" t="s">
        <v>2698</v>
      </c>
      <c r="C1636" s="143" t="s">
        <v>2693</v>
      </c>
      <c r="D1636" s="143" t="s">
        <v>2684</v>
      </c>
      <c r="E1636" s="28" t="s">
        <v>316</v>
      </c>
      <c r="F1636" s="26" t="s">
        <v>197</v>
      </c>
      <c r="G1636" s="27">
        <f>SUMIF(物料月初库存!$C$3:$C$303,$B1636,物料月初库存!$F$3:$F$303)</f>
        <v>0</v>
      </c>
      <c r="H1636" s="28">
        <f>SUMIF(半成品入库明细!$D$2:$D$650,$B1636,半成品入库明细!$G$2:$G$650)</f>
        <v>0</v>
      </c>
      <c r="I1636" s="28">
        <f ca="1">SUMIF(半成品出库明细!$D$2:$D$558,$B1636,半成品出库明细!$G$2:$G$2)</f>
        <v>0</v>
      </c>
      <c r="J1636" s="28">
        <f ca="1" t="shared" si="34"/>
        <v>0</v>
      </c>
      <c r="K1636" s="30" t="s">
        <v>1476</v>
      </c>
      <c r="L1636" s="19"/>
      <c r="M1636" s="3"/>
    </row>
    <row r="1637" s="1" customFormat="1" spans="1:13">
      <c r="A1637" s="22"/>
      <c r="B1637" s="143" t="s">
        <v>2699</v>
      </c>
      <c r="C1637" s="143" t="s">
        <v>2700</v>
      </c>
      <c r="D1637" s="143" t="s">
        <v>2684</v>
      </c>
      <c r="E1637" s="103" t="s">
        <v>76</v>
      </c>
      <c r="F1637" s="26" t="s">
        <v>197</v>
      </c>
      <c r="G1637" s="27">
        <f>SUMIF(物料月初库存!$C$3:$C$303,$B1637,物料月初库存!$F$3:$F$303)</f>
        <v>0</v>
      </c>
      <c r="H1637" s="28">
        <f>SUMIF(半成品入库明细!$D$2:$D$650,$B1637,半成品入库明细!$G$2:$G$650)</f>
        <v>0</v>
      </c>
      <c r="I1637" s="28">
        <f ca="1">SUMIF(半成品出库明细!$D$2:$D$558,$B1637,半成品出库明细!$G$2:$G$2)</f>
        <v>0</v>
      </c>
      <c r="J1637" s="28">
        <f ca="1" t="shared" si="34"/>
        <v>0</v>
      </c>
      <c r="K1637" s="30"/>
      <c r="L1637" s="19"/>
      <c r="M1637" s="3"/>
    </row>
    <row r="1638" s="1" customFormat="1" spans="1:13">
      <c r="A1638" s="22"/>
      <c r="B1638" s="143" t="s">
        <v>2701</v>
      </c>
      <c r="C1638" s="143" t="s">
        <v>2700</v>
      </c>
      <c r="D1638" s="143" t="s">
        <v>2684</v>
      </c>
      <c r="E1638" s="19" t="s">
        <v>356</v>
      </c>
      <c r="F1638" s="26" t="s">
        <v>197</v>
      </c>
      <c r="G1638" s="27">
        <f>SUMIF(物料月初库存!$C$3:$C$303,$B1638,物料月初库存!$F$3:$F$303)</f>
        <v>0</v>
      </c>
      <c r="H1638" s="28">
        <f>SUMIF(半成品入库明细!$D$2:$D$650,$B1638,半成品入库明细!$G$2:$G$650)</f>
        <v>0</v>
      </c>
      <c r="I1638" s="28">
        <f ca="1">SUMIF(半成品出库明细!$D$2:$D$558,$B1638,半成品出库明细!$G$2:$G$2)</f>
        <v>0</v>
      </c>
      <c r="J1638" s="28">
        <f ca="1" t="shared" si="34"/>
        <v>0</v>
      </c>
      <c r="K1638" s="30" t="s">
        <v>2702</v>
      </c>
      <c r="L1638" s="19"/>
      <c r="M1638" s="3"/>
    </row>
    <row r="1639" s="1" customFormat="1" spans="1:13">
      <c r="A1639" s="22"/>
      <c r="B1639" s="143" t="s">
        <v>2703</v>
      </c>
      <c r="C1639" s="143" t="s">
        <v>2700</v>
      </c>
      <c r="D1639" s="143" t="s">
        <v>2684</v>
      </c>
      <c r="E1639" s="19" t="s">
        <v>644</v>
      </c>
      <c r="F1639" s="26" t="s">
        <v>197</v>
      </c>
      <c r="G1639" s="27">
        <f>SUMIF(物料月初库存!$C$3:$C$303,$B1639,物料月初库存!$F$3:$F$303)</f>
        <v>0</v>
      </c>
      <c r="H1639" s="28">
        <f>SUMIF(半成品入库明细!$D$2:$D$650,$B1639,半成品入库明细!$G$2:$G$650)</f>
        <v>0</v>
      </c>
      <c r="I1639" s="28">
        <f ca="1">SUMIF(半成品出库明细!$D$2:$D$558,$B1639,半成品出库明细!$G$2:$G$2)</f>
        <v>0</v>
      </c>
      <c r="J1639" s="28">
        <f ca="1" t="shared" si="34"/>
        <v>0</v>
      </c>
      <c r="K1639" s="30" t="s">
        <v>173</v>
      </c>
      <c r="L1639" s="19"/>
      <c r="M1639" s="3"/>
    </row>
    <row r="1640" s="1" customFormat="1" spans="1:13">
      <c r="A1640" s="22"/>
      <c r="B1640" s="143" t="s">
        <v>2704</v>
      </c>
      <c r="C1640" s="143" t="s">
        <v>2700</v>
      </c>
      <c r="D1640" s="143" t="s">
        <v>2684</v>
      </c>
      <c r="E1640" s="19" t="s">
        <v>839</v>
      </c>
      <c r="F1640" s="26" t="s">
        <v>197</v>
      </c>
      <c r="G1640" s="27">
        <f>SUMIF(物料月初库存!$C$3:$C$303,$B1640,物料月初库存!$F$3:$F$303)</f>
        <v>0</v>
      </c>
      <c r="H1640" s="28">
        <f>SUMIF(半成品入库明细!$D$2:$D$650,$B1640,半成品入库明细!$G$2:$G$650)</f>
        <v>0</v>
      </c>
      <c r="I1640" s="28">
        <f ca="1">SUMIF(半成品出库明细!$D$2:$D$558,$B1640,半成品出库明细!$G$2:$G$2)</f>
        <v>0</v>
      </c>
      <c r="J1640" s="28">
        <f ca="1" t="shared" si="34"/>
        <v>0</v>
      </c>
      <c r="K1640" s="30" t="s">
        <v>2705</v>
      </c>
      <c r="L1640" s="19"/>
      <c r="M1640" s="3"/>
    </row>
    <row r="1641" s="1" customFormat="1" spans="1:13">
      <c r="A1641" s="22"/>
      <c r="B1641" s="143" t="s">
        <v>45</v>
      </c>
      <c r="C1641" s="143" t="s">
        <v>2706</v>
      </c>
      <c r="D1641" s="143" t="s">
        <v>2684</v>
      </c>
      <c r="E1641" s="103" t="s">
        <v>76</v>
      </c>
      <c r="F1641" s="26" t="s">
        <v>197</v>
      </c>
      <c r="G1641" s="27">
        <f>SUMIF(物料月初库存!$C$3:$C$303,$B1641,物料月初库存!$F$3:$F$303)</f>
        <v>0</v>
      </c>
      <c r="H1641" s="28">
        <f>SUMIF(半成品入库明细!$D$2:$D$650,$B1641,半成品入库明细!$G$2:$G$650)</f>
        <v>0</v>
      </c>
      <c r="I1641" s="28">
        <f ca="1">SUMIF(半成品出库明细!$D$2:$D$558,$B1641,半成品出库明细!$G$2:$G$2)</f>
        <v>0</v>
      </c>
      <c r="J1641" s="28">
        <f ca="1" t="shared" si="34"/>
        <v>0</v>
      </c>
      <c r="K1641" s="30"/>
      <c r="L1641" s="19"/>
      <c r="M1641" s="3"/>
    </row>
    <row r="1642" s="1" customFormat="1" spans="1:13">
      <c r="A1642" s="22"/>
      <c r="B1642" s="143" t="s">
        <v>2707</v>
      </c>
      <c r="C1642" s="143" t="s">
        <v>2706</v>
      </c>
      <c r="D1642" s="143" t="s">
        <v>2684</v>
      </c>
      <c r="E1642" s="19" t="s">
        <v>356</v>
      </c>
      <c r="F1642" s="26" t="s">
        <v>197</v>
      </c>
      <c r="G1642" s="27">
        <f>SUMIF(物料月初库存!$C$3:$C$303,$B1642,物料月初库存!$F$3:$F$303)</f>
        <v>0</v>
      </c>
      <c r="H1642" s="28">
        <f>SUMIF(半成品入库明细!$D$2:$D$650,$B1642,半成品入库明细!$G$2:$G$650)</f>
        <v>0</v>
      </c>
      <c r="I1642" s="28">
        <f ca="1">SUMIF(半成品出库明细!$D$2:$D$558,$B1642,半成品出库明细!$G$2:$G$2)</f>
        <v>0</v>
      </c>
      <c r="J1642" s="28">
        <f ca="1" t="shared" si="34"/>
        <v>0</v>
      </c>
      <c r="K1642" s="30" t="s">
        <v>2702</v>
      </c>
      <c r="L1642" s="19"/>
      <c r="M1642" s="3"/>
    </row>
    <row r="1643" s="1" customFormat="1" spans="1:13">
      <c r="A1643" s="22"/>
      <c r="B1643" s="143" t="s">
        <v>46</v>
      </c>
      <c r="C1643" s="143" t="s">
        <v>2706</v>
      </c>
      <c r="D1643" s="143" t="s">
        <v>2684</v>
      </c>
      <c r="E1643" s="19" t="s">
        <v>644</v>
      </c>
      <c r="F1643" s="26" t="s">
        <v>197</v>
      </c>
      <c r="G1643" s="27">
        <f>SUMIF(物料月初库存!$C$3:$C$303,$B1643,物料月初库存!$F$3:$F$303)</f>
        <v>469</v>
      </c>
      <c r="H1643" s="28">
        <f>SUMIF(半成品入库明细!$D$2:$D$650,$B1643,半成品入库明细!$G$2:$G$650)</f>
        <v>0</v>
      </c>
      <c r="I1643" s="28">
        <f ca="1">SUMIF(半成品出库明细!$D$2:$D$558,$B1643,半成品出库明细!$G$2:$G$2)</f>
        <v>0</v>
      </c>
      <c r="J1643" s="28">
        <f ca="1" t="shared" si="34"/>
        <v>469</v>
      </c>
      <c r="K1643" s="30" t="s">
        <v>173</v>
      </c>
      <c r="L1643" s="19"/>
      <c r="M1643" s="3"/>
    </row>
    <row r="1644" s="1" customFormat="1" spans="1:13">
      <c r="A1644" s="22"/>
      <c r="B1644" s="143" t="s">
        <v>2708</v>
      </c>
      <c r="C1644" s="143" t="s">
        <v>2706</v>
      </c>
      <c r="D1644" s="143" t="s">
        <v>2684</v>
      </c>
      <c r="E1644" s="19" t="s">
        <v>839</v>
      </c>
      <c r="F1644" s="26" t="s">
        <v>197</v>
      </c>
      <c r="G1644" s="27">
        <f>SUMIF(物料月初库存!$C$3:$C$303,$B1644,物料月初库存!$F$3:$F$303)</f>
        <v>0</v>
      </c>
      <c r="H1644" s="28">
        <f>SUMIF(半成品入库明细!$D$2:$D$650,$B1644,半成品入库明细!$G$2:$G$650)</f>
        <v>0</v>
      </c>
      <c r="I1644" s="28">
        <f ca="1">SUMIF(半成品出库明细!$D$2:$D$558,$B1644,半成品出库明细!$G$2:$G$2)</f>
        <v>0</v>
      </c>
      <c r="J1644" s="28">
        <f ca="1" t="shared" si="34"/>
        <v>0</v>
      </c>
      <c r="K1644" s="30" t="s">
        <v>2705</v>
      </c>
      <c r="L1644" s="19"/>
      <c r="M1644" s="3"/>
    </row>
    <row r="1645" s="1" customFormat="1" spans="1:13">
      <c r="A1645" s="22"/>
      <c r="B1645" s="143" t="s">
        <v>2709</v>
      </c>
      <c r="C1645" s="143" t="s">
        <v>2710</v>
      </c>
      <c r="D1645" s="143" t="s">
        <v>2684</v>
      </c>
      <c r="E1645" s="103" t="s">
        <v>76</v>
      </c>
      <c r="F1645" s="26" t="s">
        <v>197</v>
      </c>
      <c r="G1645" s="27">
        <f>SUMIF(物料月初库存!$C$3:$C$303,$B1645,物料月初库存!$F$3:$F$303)</f>
        <v>0</v>
      </c>
      <c r="H1645" s="28">
        <f>SUMIF(半成品入库明细!$D$2:$D$650,$B1645,半成品入库明细!$G$2:$G$650)</f>
        <v>0</v>
      </c>
      <c r="I1645" s="28">
        <f ca="1">SUMIF(半成品出库明细!$D$2:$D$558,$B1645,半成品出库明细!$G$2:$G$2)</f>
        <v>0</v>
      </c>
      <c r="J1645" s="28">
        <f ca="1" t="shared" si="34"/>
        <v>0</v>
      </c>
      <c r="K1645" s="30"/>
      <c r="L1645" s="19"/>
      <c r="M1645" s="3"/>
    </row>
    <row r="1646" s="1" customFormat="1" spans="1:13">
      <c r="A1646" s="22"/>
      <c r="B1646" s="143" t="s">
        <v>2711</v>
      </c>
      <c r="C1646" s="143" t="s">
        <v>2710</v>
      </c>
      <c r="D1646" s="143" t="s">
        <v>2684</v>
      </c>
      <c r="E1646" s="103" t="s">
        <v>287</v>
      </c>
      <c r="F1646" s="26" t="s">
        <v>197</v>
      </c>
      <c r="G1646" s="27">
        <f>SUMIF(物料月初库存!$C$3:$C$303,$B1646,物料月初库存!$F$3:$F$303)</f>
        <v>0</v>
      </c>
      <c r="H1646" s="28">
        <f>SUMIF(半成品入库明细!$D$2:$D$650,$B1646,半成品入库明细!$G$2:$G$650)</f>
        <v>0</v>
      </c>
      <c r="I1646" s="28">
        <f ca="1">SUMIF(半成品出库明细!$D$2:$D$558,$B1646,半成品出库明细!$G$2:$G$2)</f>
        <v>0</v>
      </c>
      <c r="J1646" s="28">
        <f ca="1" t="shared" si="34"/>
        <v>0</v>
      </c>
      <c r="K1646" s="30"/>
      <c r="L1646" s="19"/>
      <c r="M1646" s="3"/>
    </row>
    <row r="1647" s="1" customFormat="1" spans="1:13">
      <c r="A1647" s="22"/>
      <c r="B1647" s="143" t="s">
        <v>2712</v>
      </c>
      <c r="C1647" s="143" t="s">
        <v>2710</v>
      </c>
      <c r="D1647" s="143" t="s">
        <v>2684</v>
      </c>
      <c r="E1647" s="19" t="s">
        <v>225</v>
      </c>
      <c r="F1647" s="26" t="s">
        <v>197</v>
      </c>
      <c r="G1647" s="27">
        <f>SUMIF(物料月初库存!$C$3:$C$303,$B1647,物料月初库存!$F$3:$F$303)</f>
        <v>0</v>
      </c>
      <c r="H1647" s="28">
        <f>SUMIF(半成品入库明细!$D$2:$D$650,$B1647,半成品入库明细!$G$2:$G$650)</f>
        <v>0</v>
      </c>
      <c r="I1647" s="28">
        <f ca="1">SUMIF(半成品出库明细!$D$2:$D$558,$B1647,半成品出库明细!$G$2:$G$2)</f>
        <v>0</v>
      </c>
      <c r="J1647" s="28">
        <f ca="1" t="shared" si="34"/>
        <v>0</v>
      </c>
      <c r="K1647" s="30"/>
      <c r="L1647" s="19"/>
      <c r="M1647" s="3"/>
    </row>
    <row r="1648" s="1" customFormat="1" spans="1:13">
      <c r="A1648" s="22"/>
      <c r="B1648" s="143" t="s">
        <v>2713</v>
      </c>
      <c r="C1648" s="143" t="s">
        <v>2710</v>
      </c>
      <c r="D1648" s="143" t="s">
        <v>2684</v>
      </c>
      <c r="E1648" s="19" t="s">
        <v>267</v>
      </c>
      <c r="F1648" s="26" t="s">
        <v>197</v>
      </c>
      <c r="G1648" s="27">
        <f>SUMIF(物料月初库存!$C$3:$C$303,$B1648,物料月初库存!$F$3:$F$303)</f>
        <v>0</v>
      </c>
      <c r="H1648" s="28">
        <f>SUMIF(半成品入库明细!$D$2:$D$650,$B1648,半成品入库明细!$G$2:$G$650)</f>
        <v>0</v>
      </c>
      <c r="I1648" s="28">
        <f ca="1">SUMIF(半成品出库明细!$D$2:$D$558,$B1648,半成品出库明细!$G$2:$G$2)</f>
        <v>0</v>
      </c>
      <c r="J1648" s="28">
        <f ca="1" t="shared" si="34"/>
        <v>0</v>
      </c>
      <c r="K1648" s="30" t="s">
        <v>202</v>
      </c>
      <c r="L1648" s="19"/>
      <c r="M1648" s="3"/>
    </row>
    <row r="1649" s="1" customFormat="1" spans="1:13">
      <c r="A1649" s="22"/>
      <c r="B1649" s="143" t="s">
        <v>2714</v>
      </c>
      <c r="C1649" s="143" t="s">
        <v>2715</v>
      </c>
      <c r="D1649" s="143" t="s">
        <v>2684</v>
      </c>
      <c r="E1649" s="103" t="s">
        <v>76</v>
      </c>
      <c r="F1649" s="26" t="s">
        <v>197</v>
      </c>
      <c r="G1649" s="27">
        <f>SUMIF(物料月初库存!$C$3:$C$303,$B1649,物料月初库存!$F$3:$F$303)</f>
        <v>0</v>
      </c>
      <c r="H1649" s="28">
        <f>SUMIF(半成品入库明细!$D$2:$D$650,$B1649,半成品入库明细!$G$2:$G$650)</f>
        <v>0</v>
      </c>
      <c r="I1649" s="28">
        <f ca="1">SUMIF(半成品出库明细!$D$2:$D$558,$B1649,半成品出库明细!$G$2:$G$2)</f>
        <v>0</v>
      </c>
      <c r="J1649" s="28">
        <f ca="1" t="shared" si="34"/>
        <v>0</v>
      </c>
      <c r="K1649" s="30"/>
      <c r="L1649" s="19"/>
      <c r="M1649" s="3"/>
    </row>
    <row r="1650" s="1" customFormat="1" spans="1:13">
      <c r="A1650" s="22"/>
      <c r="B1650" s="143" t="s">
        <v>2716</v>
      </c>
      <c r="C1650" s="143" t="s">
        <v>2715</v>
      </c>
      <c r="D1650" s="143" t="s">
        <v>2684</v>
      </c>
      <c r="E1650" s="19" t="s">
        <v>287</v>
      </c>
      <c r="F1650" s="26" t="s">
        <v>197</v>
      </c>
      <c r="G1650" s="27">
        <f>SUMIF(物料月初库存!$C$3:$C$303,$B1650,物料月初库存!$F$3:$F$303)</f>
        <v>0</v>
      </c>
      <c r="H1650" s="28">
        <f>SUMIF(半成品入库明细!$D$2:$D$650,$B1650,半成品入库明细!$G$2:$G$650)</f>
        <v>0</v>
      </c>
      <c r="I1650" s="28">
        <f ca="1">SUMIF(半成品出库明细!$D$2:$D$558,$B1650,半成品出库明细!$G$2:$G$2)</f>
        <v>0</v>
      </c>
      <c r="J1650" s="28">
        <f ca="1" t="shared" si="34"/>
        <v>0</v>
      </c>
      <c r="K1650" s="30"/>
      <c r="L1650" s="19"/>
      <c r="M1650" s="3"/>
    </row>
    <row r="1651" s="1" customFormat="1" spans="1:13">
      <c r="A1651" s="22"/>
      <c r="B1651" s="143" t="s">
        <v>2717</v>
      </c>
      <c r="C1651" s="143" t="s">
        <v>2715</v>
      </c>
      <c r="D1651" s="143" t="s">
        <v>2684</v>
      </c>
      <c r="E1651" s="19" t="s">
        <v>225</v>
      </c>
      <c r="F1651" s="26" t="s">
        <v>197</v>
      </c>
      <c r="G1651" s="27">
        <f>SUMIF(物料月初库存!$C$3:$C$303,$B1651,物料月初库存!$F$3:$F$303)</f>
        <v>0</v>
      </c>
      <c r="H1651" s="28">
        <f>SUMIF(半成品入库明细!$D$2:$D$650,$B1651,半成品入库明细!$G$2:$G$650)</f>
        <v>0</v>
      </c>
      <c r="I1651" s="28">
        <f ca="1">SUMIF(半成品出库明细!$D$2:$D$558,$B1651,半成品出库明细!$G$2:$G$2)</f>
        <v>0</v>
      </c>
      <c r="J1651" s="28">
        <f ca="1" t="shared" si="34"/>
        <v>0</v>
      </c>
      <c r="K1651" s="30" t="s">
        <v>202</v>
      </c>
      <c r="L1651" s="19"/>
      <c r="M1651" s="3"/>
    </row>
    <row r="1652" s="1" customFormat="1" spans="1:13">
      <c r="A1652" s="22"/>
      <c r="B1652" s="143" t="s">
        <v>2718</v>
      </c>
      <c r="C1652" s="143" t="s">
        <v>2719</v>
      </c>
      <c r="D1652" s="143" t="s">
        <v>2684</v>
      </c>
      <c r="E1652" s="103" t="s">
        <v>76</v>
      </c>
      <c r="F1652" s="26" t="s">
        <v>197</v>
      </c>
      <c r="G1652" s="27">
        <f>SUMIF(物料月初库存!$C$3:$C$303,$B1652,物料月初库存!$F$3:$F$303)</f>
        <v>0</v>
      </c>
      <c r="H1652" s="28">
        <f>SUMIF(半成品入库明细!$D$2:$D$650,$B1652,半成品入库明细!$G$2:$G$650)</f>
        <v>0</v>
      </c>
      <c r="I1652" s="28">
        <f ca="1">SUMIF(半成品出库明细!$D$2:$D$558,$B1652,半成品出库明细!$G$2:$G$2)</f>
        <v>0</v>
      </c>
      <c r="J1652" s="28">
        <f ca="1" t="shared" si="34"/>
        <v>0</v>
      </c>
      <c r="K1652" s="30"/>
      <c r="L1652" s="19"/>
      <c r="M1652" s="3"/>
    </row>
    <row r="1653" s="1" customFormat="1" spans="1:13">
      <c r="A1653" s="22"/>
      <c r="B1653" s="143" t="s">
        <v>2720</v>
      </c>
      <c r="C1653" s="143" t="s">
        <v>2719</v>
      </c>
      <c r="D1653" s="143" t="s">
        <v>2684</v>
      </c>
      <c r="E1653" s="19" t="s">
        <v>287</v>
      </c>
      <c r="F1653" s="26" t="s">
        <v>197</v>
      </c>
      <c r="G1653" s="27">
        <f>SUMIF(物料月初库存!$C$3:$C$303,$B1653,物料月初库存!$F$3:$F$303)</f>
        <v>0</v>
      </c>
      <c r="H1653" s="28">
        <f>SUMIF(半成品入库明细!$D$2:$D$650,$B1653,半成品入库明细!$G$2:$G$650)</f>
        <v>0</v>
      </c>
      <c r="I1653" s="28">
        <f ca="1">SUMIF(半成品出库明细!$D$2:$D$558,$B1653,半成品出库明细!$G$2:$G$2)</f>
        <v>0</v>
      </c>
      <c r="J1653" s="28">
        <f ca="1" t="shared" si="34"/>
        <v>0</v>
      </c>
      <c r="K1653" s="30"/>
      <c r="L1653" s="19"/>
      <c r="M1653" s="3"/>
    </row>
    <row r="1654" s="1" customFormat="1" spans="1:13">
      <c r="A1654" s="22"/>
      <c r="B1654" s="143" t="s">
        <v>2721</v>
      </c>
      <c r="C1654" s="143" t="s">
        <v>2719</v>
      </c>
      <c r="D1654" s="143" t="s">
        <v>2684</v>
      </c>
      <c r="E1654" s="19" t="s">
        <v>225</v>
      </c>
      <c r="F1654" s="26" t="s">
        <v>197</v>
      </c>
      <c r="G1654" s="27">
        <f>SUMIF(物料月初库存!$C$3:$C$303,$B1654,物料月初库存!$F$3:$F$303)</f>
        <v>0</v>
      </c>
      <c r="H1654" s="28">
        <f>SUMIF(半成品入库明细!$D$2:$D$650,$B1654,半成品入库明细!$G$2:$G$650)</f>
        <v>0</v>
      </c>
      <c r="I1654" s="28">
        <f ca="1">SUMIF(半成品出库明细!$D$2:$D$558,$B1654,半成品出库明细!$G$2:$G$2)</f>
        <v>0</v>
      </c>
      <c r="J1654" s="28">
        <f ca="1" t="shared" si="34"/>
        <v>0</v>
      </c>
      <c r="K1654" s="30"/>
      <c r="L1654" s="19"/>
      <c r="M1654" s="3"/>
    </row>
    <row r="1655" s="1" customFormat="1" spans="1:13">
      <c r="A1655" s="22"/>
      <c r="B1655" s="143" t="s">
        <v>2722</v>
      </c>
      <c r="C1655" s="143" t="s">
        <v>2719</v>
      </c>
      <c r="D1655" s="143" t="s">
        <v>2684</v>
      </c>
      <c r="E1655" s="19" t="s">
        <v>267</v>
      </c>
      <c r="F1655" s="26" t="s">
        <v>197</v>
      </c>
      <c r="G1655" s="27">
        <f>SUMIF(物料月初库存!$C$3:$C$303,$B1655,物料月初库存!$F$3:$F$303)</f>
        <v>0</v>
      </c>
      <c r="H1655" s="28">
        <f>SUMIF(半成品入库明细!$D$2:$D$650,$B1655,半成品入库明细!$G$2:$G$650)</f>
        <v>0</v>
      </c>
      <c r="I1655" s="28">
        <f ca="1">SUMIF(半成品出库明细!$D$2:$D$558,$B1655,半成品出库明细!$G$2:$G$2)</f>
        <v>0</v>
      </c>
      <c r="J1655" s="28">
        <f ca="1" t="shared" si="34"/>
        <v>0</v>
      </c>
      <c r="K1655" s="30" t="s">
        <v>202</v>
      </c>
      <c r="L1655" s="19"/>
      <c r="M1655" s="3"/>
    </row>
    <row r="1656" s="1" customFormat="1" spans="1:13">
      <c r="A1656" s="22"/>
      <c r="B1656" s="143" t="s">
        <v>2723</v>
      </c>
      <c r="C1656" s="143" t="s">
        <v>2724</v>
      </c>
      <c r="D1656" s="143" t="s">
        <v>2684</v>
      </c>
      <c r="E1656" s="103" t="s">
        <v>76</v>
      </c>
      <c r="F1656" s="26" t="s">
        <v>197</v>
      </c>
      <c r="G1656" s="27">
        <f>SUMIF(物料月初库存!$C$3:$C$303,$B1656,物料月初库存!$F$3:$F$303)</f>
        <v>0</v>
      </c>
      <c r="H1656" s="28">
        <f>SUMIF(半成品入库明细!$D$2:$D$650,$B1656,半成品入库明细!$G$2:$G$650)</f>
        <v>0</v>
      </c>
      <c r="I1656" s="28">
        <f ca="1">SUMIF(半成品出库明细!$D$2:$D$558,$B1656,半成品出库明细!$G$2:$G$2)</f>
        <v>0</v>
      </c>
      <c r="J1656" s="28">
        <f ca="1" t="shared" si="34"/>
        <v>0</v>
      </c>
      <c r="K1656" s="30"/>
      <c r="L1656" s="19"/>
      <c r="M1656" s="3"/>
    </row>
    <row r="1657" s="1" customFormat="1" spans="1:13">
      <c r="A1657" s="22"/>
      <c r="B1657" s="143" t="s">
        <v>2725</v>
      </c>
      <c r="C1657" s="143" t="s">
        <v>2724</v>
      </c>
      <c r="D1657" s="143" t="s">
        <v>2684</v>
      </c>
      <c r="E1657" s="19" t="s">
        <v>287</v>
      </c>
      <c r="F1657" s="26" t="s">
        <v>197</v>
      </c>
      <c r="G1657" s="27">
        <f>SUMIF(物料月初库存!$C$3:$C$303,$B1657,物料月初库存!$F$3:$F$303)</f>
        <v>0</v>
      </c>
      <c r="H1657" s="28">
        <f>SUMIF(半成品入库明细!$D$2:$D$650,$B1657,半成品入库明细!$G$2:$G$650)</f>
        <v>0</v>
      </c>
      <c r="I1657" s="28">
        <f ca="1">SUMIF(半成品出库明细!$D$2:$D$558,$B1657,半成品出库明细!$G$2:$G$2)</f>
        <v>0</v>
      </c>
      <c r="J1657" s="28">
        <f ca="1" t="shared" si="34"/>
        <v>0</v>
      </c>
      <c r="K1657" s="30"/>
      <c r="L1657" s="19"/>
      <c r="M1657" s="3"/>
    </row>
    <row r="1658" s="1" customFormat="1" spans="1:13">
      <c r="A1658" s="22"/>
      <c r="B1658" s="143" t="s">
        <v>2726</v>
      </c>
      <c r="C1658" s="143" t="s">
        <v>2724</v>
      </c>
      <c r="D1658" s="143" t="s">
        <v>2684</v>
      </c>
      <c r="E1658" s="19" t="s">
        <v>2727</v>
      </c>
      <c r="F1658" s="26" t="s">
        <v>197</v>
      </c>
      <c r="G1658" s="27">
        <f>SUMIF(物料月初库存!$C$3:$C$303,$B1658,物料月初库存!$F$3:$F$303)</f>
        <v>0</v>
      </c>
      <c r="H1658" s="28">
        <f>SUMIF(半成品入库明细!$D$2:$D$650,$B1658,半成品入库明细!$G$2:$G$650)</f>
        <v>0</v>
      </c>
      <c r="I1658" s="28">
        <f ca="1">SUMIF(半成品出库明细!$D$2:$D$558,$B1658,半成品出库明细!$G$2:$G$2)</f>
        <v>0</v>
      </c>
      <c r="J1658" s="28">
        <f ca="1" t="shared" si="34"/>
        <v>0</v>
      </c>
      <c r="K1658" s="30"/>
      <c r="L1658" s="19"/>
      <c r="M1658" s="3"/>
    </row>
    <row r="1659" s="1" customFormat="1" spans="1:13">
      <c r="A1659" s="22"/>
      <c r="B1659" s="143" t="s">
        <v>2728</v>
      </c>
      <c r="C1659" s="143" t="s">
        <v>2724</v>
      </c>
      <c r="D1659" s="143" t="s">
        <v>2684</v>
      </c>
      <c r="E1659" s="19" t="s">
        <v>225</v>
      </c>
      <c r="F1659" s="26" t="s">
        <v>197</v>
      </c>
      <c r="G1659" s="27">
        <f>SUMIF(物料月初库存!$C$3:$C$303,$B1659,物料月初库存!$F$3:$F$303)</f>
        <v>0</v>
      </c>
      <c r="H1659" s="28">
        <f>SUMIF(半成品入库明细!$D$2:$D$650,$B1659,半成品入库明细!$G$2:$G$650)</f>
        <v>0</v>
      </c>
      <c r="I1659" s="28">
        <f ca="1">SUMIF(半成品出库明细!$D$2:$D$558,$B1659,半成品出库明细!$G$2:$G$2)</f>
        <v>0</v>
      </c>
      <c r="J1659" s="28">
        <f ca="1" t="shared" si="34"/>
        <v>0</v>
      </c>
      <c r="K1659" s="30" t="s">
        <v>202</v>
      </c>
      <c r="L1659" s="19"/>
      <c r="M1659" s="3"/>
    </row>
    <row r="1660" s="1" customFormat="1" spans="1:13">
      <c r="A1660" s="22"/>
      <c r="B1660" s="143" t="s">
        <v>2729</v>
      </c>
      <c r="C1660" s="143" t="s">
        <v>2730</v>
      </c>
      <c r="D1660" s="143" t="s">
        <v>2684</v>
      </c>
      <c r="E1660" s="19" t="s">
        <v>76</v>
      </c>
      <c r="F1660" s="26" t="s">
        <v>197</v>
      </c>
      <c r="G1660" s="27">
        <f>SUMIF(物料月初库存!$C$3:$C$303,$B1660,物料月初库存!$F$3:$F$303)</f>
        <v>0</v>
      </c>
      <c r="H1660" s="28">
        <f>SUMIF(半成品入库明细!$D$2:$D$650,$B1660,半成品入库明细!$G$2:$G$650)</f>
        <v>0</v>
      </c>
      <c r="I1660" s="28">
        <f ca="1">SUMIF(半成品出库明细!$D$2:$D$558,$B1660,半成品出库明细!$G$2:$G$2)</f>
        <v>0</v>
      </c>
      <c r="J1660" s="28">
        <f ca="1" t="shared" si="34"/>
        <v>0</v>
      </c>
      <c r="K1660" s="30"/>
      <c r="L1660" s="19"/>
      <c r="M1660" s="3"/>
    </row>
    <row r="1661" s="1" customFormat="1" spans="1:13">
      <c r="A1661" s="22"/>
      <c r="B1661" s="143" t="s">
        <v>2731</v>
      </c>
      <c r="C1661" s="143" t="s">
        <v>2730</v>
      </c>
      <c r="D1661" s="143" t="s">
        <v>2684</v>
      </c>
      <c r="E1661" s="19" t="s">
        <v>287</v>
      </c>
      <c r="F1661" s="26" t="s">
        <v>197</v>
      </c>
      <c r="G1661" s="27">
        <f>SUMIF(物料月初库存!$C$3:$C$303,$B1661,物料月初库存!$F$3:$F$303)</f>
        <v>0</v>
      </c>
      <c r="H1661" s="28">
        <f>SUMIF(半成品入库明细!$D$2:$D$650,$B1661,半成品入库明细!$G$2:$G$650)</f>
        <v>0</v>
      </c>
      <c r="I1661" s="28">
        <f ca="1">SUMIF(半成品出库明细!$D$2:$D$558,$B1661,半成品出库明细!$G$2:$G$2)</f>
        <v>0</v>
      </c>
      <c r="J1661" s="28">
        <f ca="1" t="shared" si="34"/>
        <v>0</v>
      </c>
      <c r="K1661" s="30"/>
      <c r="L1661" s="19"/>
      <c r="M1661" s="3"/>
    </row>
    <row r="1662" s="1" customFormat="1" spans="1:13">
      <c r="A1662" s="22"/>
      <c r="B1662" s="143" t="s">
        <v>2732</v>
      </c>
      <c r="C1662" s="143" t="s">
        <v>2730</v>
      </c>
      <c r="D1662" s="143" t="s">
        <v>2684</v>
      </c>
      <c r="E1662" s="19" t="s">
        <v>225</v>
      </c>
      <c r="F1662" s="26" t="s">
        <v>197</v>
      </c>
      <c r="G1662" s="27">
        <f>SUMIF(物料月初库存!$C$3:$C$303,$B1662,物料月初库存!$F$3:$F$303)</f>
        <v>0</v>
      </c>
      <c r="H1662" s="28">
        <f>SUMIF(半成品入库明细!$D$2:$D$650,$B1662,半成品入库明细!$G$2:$G$650)</f>
        <v>0</v>
      </c>
      <c r="I1662" s="28">
        <f ca="1">SUMIF(半成品出库明细!$D$2:$D$558,$B1662,半成品出库明细!$G$2:$G$2)</f>
        <v>0</v>
      </c>
      <c r="J1662" s="28">
        <f ca="1" t="shared" si="34"/>
        <v>0</v>
      </c>
      <c r="K1662" s="30"/>
      <c r="L1662" s="19"/>
      <c r="M1662" s="3"/>
    </row>
    <row r="1663" s="1" customFormat="1" spans="1:13">
      <c r="A1663" s="22"/>
      <c r="B1663" s="143" t="s">
        <v>2733</v>
      </c>
      <c r="C1663" s="143" t="s">
        <v>2730</v>
      </c>
      <c r="D1663" s="143" t="s">
        <v>2684</v>
      </c>
      <c r="E1663" s="19" t="s">
        <v>267</v>
      </c>
      <c r="F1663" s="26" t="s">
        <v>197</v>
      </c>
      <c r="G1663" s="27">
        <f>SUMIF(物料月初库存!$C$3:$C$303,$B1663,物料月初库存!$F$3:$F$303)</f>
        <v>0</v>
      </c>
      <c r="H1663" s="28">
        <f>SUMIF(半成品入库明细!$D$2:$D$650,$B1663,半成品入库明细!$G$2:$G$650)</f>
        <v>0</v>
      </c>
      <c r="I1663" s="28">
        <f ca="1">SUMIF(半成品出库明细!$D$2:$D$558,$B1663,半成品出库明细!$G$2:$G$2)</f>
        <v>0</v>
      </c>
      <c r="J1663" s="28">
        <f ca="1" t="shared" si="34"/>
        <v>0</v>
      </c>
      <c r="K1663" s="30" t="s">
        <v>202</v>
      </c>
      <c r="L1663" s="19"/>
      <c r="M1663" s="3"/>
    </row>
    <row r="1664" s="1" customFormat="1" spans="1:13">
      <c r="A1664" s="22"/>
      <c r="B1664" s="143" t="s">
        <v>2734</v>
      </c>
      <c r="C1664" s="143" t="s">
        <v>2735</v>
      </c>
      <c r="D1664" s="143" t="s">
        <v>2684</v>
      </c>
      <c r="E1664" s="103" t="s">
        <v>76</v>
      </c>
      <c r="F1664" s="26" t="s">
        <v>197</v>
      </c>
      <c r="G1664" s="27">
        <f>SUMIF(物料月初库存!$C$3:$C$303,$B1664,物料月初库存!$F$3:$F$303)</f>
        <v>0</v>
      </c>
      <c r="H1664" s="28">
        <f>SUMIF(半成品入库明细!$D$2:$D$650,$B1664,半成品入库明细!$G$2:$G$650)</f>
        <v>0</v>
      </c>
      <c r="I1664" s="28">
        <f ca="1">SUMIF(半成品出库明细!$D$2:$D$558,$B1664,半成品出库明细!$G$2:$G$2)</f>
        <v>0</v>
      </c>
      <c r="J1664" s="28">
        <f ca="1" t="shared" si="34"/>
        <v>0</v>
      </c>
      <c r="K1664" s="30"/>
      <c r="L1664" s="19"/>
      <c r="M1664" s="3"/>
    </row>
    <row r="1665" s="1" customFormat="1" spans="1:13">
      <c r="A1665" s="22"/>
      <c r="B1665" s="143" t="s">
        <v>2736</v>
      </c>
      <c r="C1665" s="143" t="s">
        <v>2735</v>
      </c>
      <c r="D1665" s="143" t="s">
        <v>2684</v>
      </c>
      <c r="E1665" s="19" t="s">
        <v>287</v>
      </c>
      <c r="F1665" s="26" t="s">
        <v>197</v>
      </c>
      <c r="G1665" s="27">
        <f>SUMIF(物料月初库存!$C$3:$C$303,$B1665,物料月初库存!$F$3:$F$303)</f>
        <v>0</v>
      </c>
      <c r="H1665" s="28">
        <f>SUMIF(半成品入库明细!$D$2:$D$650,$B1665,半成品入库明细!$G$2:$G$650)</f>
        <v>0</v>
      </c>
      <c r="I1665" s="28">
        <f ca="1">SUMIF(半成品出库明细!$D$2:$D$558,$B1665,半成品出库明细!$G$2:$G$2)</f>
        <v>0</v>
      </c>
      <c r="J1665" s="28">
        <f ca="1" t="shared" ref="J1665:J1728" si="35">G1665+H1665-I1665</f>
        <v>0</v>
      </c>
      <c r="K1665" s="30"/>
      <c r="L1665" s="19"/>
      <c r="M1665" s="3"/>
    </row>
    <row r="1666" s="1" customFormat="1" spans="1:13">
      <c r="A1666" s="22"/>
      <c r="B1666" s="143" t="s">
        <v>2737</v>
      </c>
      <c r="C1666" s="143" t="s">
        <v>2735</v>
      </c>
      <c r="D1666" s="143" t="s">
        <v>2684</v>
      </c>
      <c r="E1666" s="19" t="s">
        <v>225</v>
      </c>
      <c r="F1666" s="26" t="s">
        <v>197</v>
      </c>
      <c r="G1666" s="27">
        <f>SUMIF(物料月初库存!$C$3:$C$303,$B1666,物料月初库存!$F$3:$F$303)</f>
        <v>0</v>
      </c>
      <c r="H1666" s="28">
        <f>SUMIF(半成品入库明细!$D$2:$D$650,$B1666,半成品入库明细!$G$2:$G$650)</f>
        <v>0</v>
      </c>
      <c r="I1666" s="28">
        <f ca="1">SUMIF(半成品出库明细!$D$2:$D$558,$B1666,半成品出库明细!$G$2:$G$2)</f>
        <v>0</v>
      </c>
      <c r="J1666" s="28">
        <f ca="1" t="shared" si="35"/>
        <v>0</v>
      </c>
      <c r="K1666" s="30"/>
      <c r="L1666" s="19"/>
      <c r="M1666" s="3"/>
    </row>
    <row r="1667" s="1" customFormat="1" spans="1:13">
      <c r="A1667" s="22"/>
      <c r="B1667" s="143" t="s">
        <v>2738</v>
      </c>
      <c r="C1667" s="143" t="s">
        <v>2735</v>
      </c>
      <c r="D1667" s="143" t="s">
        <v>2684</v>
      </c>
      <c r="E1667" s="19" t="s">
        <v>316</v>
      </c>
      <c r="F1667" s="26" t="s">
        <v>197</v>
      </c>
      <c r="G1667" s="27">
        <f>SUMIF(物料月初库存!$C$3:$C$303,$B1667,物料月初库存!$F$3:$F$303)</f>
        <v>0</v>
      </c>
      <c r="H1667" s="28">
        <f>SUMIF(半成品入库明细!$D$2:$D$650,$B1667,半成品入库明细!$G$2:$G$650)</f>
        <v>0</v>
      </c>
      <c r="I1667" s="28">
        <f ca="1">SUMIF(半成品出库明细!$D$2:$D$558,$B1667,半成品出库明细!$G$2:$G$2)</f>
        <v>0</v>
      </c>
      <c r="J1667" s="28">
        <f ca="1" t="shared" si="35"/>
        <v>0</v>
      </c>
      <c r="K1667" s="30" t="s">
        <v>202</v>
      </c>
      <c r="L1667" s="19"/>
      <c r="M1667" s="3"/>
    </row>
    <row r="1668" s="1" customFormat="1" spans="1:13">
      <c r="A1668" s="22"/>
      <c r="B1668" s="143" t="s">
        <v>2739</v>
      </c>
      <c r="C1668" s="143" t="s">
        <v>2740</v>
      </c>
      <c r="D1668" s="143" t="s">
        <v>2684</v>
      </c>
      <c r="E1668" s="19" t="s">
        <v>76</v>
      </c>
      <c r="F1668" s="26" t="s">
        <v>197</v>
      </c>
      <c r="G1668" s="27">
        <f>SUMIF(物料月初库存!$C$3:$C$303,$B1668,物料月初库存!$F$3:$F$303)</f>
        <v>0</v>
      </c>
      <c r="H1668" s="28">
        <f>SUMIF(半成品入库明细!$D$2:$D$650,$B1668,半成品入库明细!$G$2:$G$650)</f>
        <v>0</v>
      </c>
      <c r="I1668" s="28">
        <f ca="1">SUMIF(半成品出库明细!$D$2:$D$558,$B1668,半成品出库明细!$G$2:$G$2)</f>
        <v>0</v>
      </c>
      <c r="J1668" s="28">
        <f ca="1" t="shared" si="35"/>
        <v>0</v>
      </c>
      <c r="K1668" s="30"/>
      <c r="L1668" s="19"/>
      <c r="M1668" s="3"/>
    </row>
    <row r="1669" s="1" customFormat="1" spans="1:13">
      <c r="A1669" s="22"/>
      <c r="B1669" s="143" t="s">
        <v>2741</v>
      </c>
      <c r="C1669" s="143" t="s">
        <v>2740</v>
      </c>
      <c r="D1669" s="143" t="s">
        <v>2684</v>
      </c>
      <c r="E1669" s="19" t="s">
        <v>287</v>
      </c>
      <c r="F1669" s="26" t="s">
        <v>197</v>
      </c>
      <c r="G1669" s="27">
        <f>SUMIF(物料月初库存!$C$3:$C$303,$B1669,物料月初库存!$F$3:$F$303)</f>
        <v>0</v>
      </c>
      <c r="H1669" s="28">
        <f>SUMIF(半成品入库明细!$D$2:$D$650,$B1669,半成品入库明细!$G$2:$G$650)</f>
        <v>0</v>
      </c>
      <c r="I1669" s="28">
        <f ca="1">SUMIF(半成品出库明细!$D$2:$D$558,$B1669,半成品出库明细!$G$2:$G$2)</f>
        <v>0</v>
      </c>
      <c r="J1669" s="28">
        <f ca="1" t="shared" si="35"/>
        <v>0</v>
      </c>
      <c r="K1669" s="30"/>
      <c r="L1669" s="19"/>
      <c r="M1669" s="3"/>
    </row>
    <row r="1670" s="1" customFormat="1" spans="1:13">
      <c r="A1670" s="22"/>
      <c r="B1670" s="143" t="s">
        <v>2742</v>
      </c>
      <c r="C1670" s="143" t="s">
        <v>2740</v>
      </c>
      <c r="D1670" s="143" t="s">
        <v>2684</v>
      </c>
      <c r="E1670" s="19" t="s">
        <v>225</v>
      </c>
      <c r="F1670" s="26" t="s">
        <v>197</v>
      </c>
      <c r="G1670" s="27">
        <f>SUMIF(物料月初库存!$C$3:$C$303,$B1670,物料月初库存!$F$3:$F$303)</f>
        <v>0</v>
      </c>
      <c r="H1670" s="28">
        <f>SUMIF(半成品入库明细!$D$2:$D$650,$B1670,半成品入库明细!$G$2:$G$650)</f>
        <v>0</v>
      </c>
      <c r="I1670" s="28">
        <f ca="1">SUMIF(半成品出库明细!$D$2:$D$558,$B1670,半成品出库明细!$G$2:$G$2)</f>
        <v>0</v>
      </c>
      <c r="J1670" s="28">
        <f ca="1" t="shared" si="35"/>
        <v>0</v>
      </c>
      <c r="K1670" s="30"/>
      <c r="L1670" s="19"/>
      <c r="M1670" s="3"/>
    </row>
    <row r="1671" s="1" customFormat="1" spans="1:13">
      <c r="A1671" s="22"/>
      <c r="B1671" s="143" t="s">
        <v>2743</v>
      </c>
      <c r="C1671" s="143" t="s">
        <v>2740</v>
      </c>
      <c r="D1671" s="143" t="s">
        <v>2684</v>
      </c>
      <c r="E1671" s="19" t="s">
        <v>267</v>
      </c>
      <c r="F1671" s="26" t="s">
        <v>197</v>
      </c>
      <c r="G1671" s="27">
        <f>SUMIF(物料月初库存!$C$3:$C$303,$B1671,物料月初库存!$F$3:$F$303)</f>
        <v>0</v>
      </c>
      <c r="H1671" s="28">
        <f>SUMIF(半成品入库明细!$D$2:$D$650,$B1671,半成品入库明细!$G$2:$G$650)</f>
        <v>0</v>
      </c>
      <c r="I1671" s="28">
        <f ca="1">SUMIF(半成品出库明细!$D$2:$D$558,$B1671,半成品出库明细!$G$2:$G$2)</f>
        <v>0</v>
      </c>
      <c r="J1671" s="28">
        <f ca="1" t="shared" si="35"/>
        <v>0</v>
      </c>
      <c r="K1671" s="30" t="s">
        <v>202</v>
      </c>
      <c r="L1671" s="19"/>
      <c r="M1671" s="3"/>
    </row>
    <row r="1672" s="1" customFormat="1" spans="1:13">
      <c r="A1672" s="22"/>
      <c r="B1672" s="143" t="s">
        <v>2744</v>
      </c>
      <c r="C1672" s="143" t="s">
        <v>2745</v>
      </c>
      <c r="D1672" s="143" t="s">
        <v>2684</v>
      </c>
      <c r="E1672" s="19" t="s">
        <v>76</v>
      </c>
      <c r="F1672" s="26" t="s">
        <v>197</v>
      </c>
      <c r="G1672" s="27">
        <f>SUMIF(物料月初库存!$C$3:$C$303,$B1672,物料月初库存!$F$3:$F$303)</f>
        <v>0</v>
      </c>
      <c r="H1672" s="28">
        <f>SUMIF(半成品入库明细!$D$2:$D$650,$B1672,半成品入库明细!$G$2:$G$650)</f>
        <v>0</v>
      </c>
      <c r="I1672" s="28">
        <f ca="1">SUMIF(半成品出库明细!$D$2:$D$558,$B1672,半成品出库明细!$G$2:$G$2)</f>
        <v>0</v>
      </c>
      <c r="J1672" s="28">
        <f ca="1" t="shared" si="35"/>
        <v>0</v>
      </c>
      <c r="K1672" s="30"/>
      <c r="L1672" s="19"/>
      <c r="M1672" s="3"/>
    </row>
    <row r="1673" s="1" customFormat="1" spans="1:13">
      <c r="A1673" s="22"/>
      <c r="B1673" s="143" t="s">
        <v>2746</v>
      </c>
      <c r="C1673" s="143" t="s">
        <v>2745</v>
      </c>
      <c r="D1673" s="143" t="s">
        <v>2684</v>
      </c>
      <c r="E1673" s="19" t="s">
        <v>356</v>
      </c>
      <c r="F1673" s="26" t="s">
        <v>197</v>
      </c>
      <c r="G1673" s="27">
        <f>SUMIF(物料月初库存!$C$3:$C$303,$B1673,物料月初库存!$F$3:$F$303)</f>
        <v>0</v>
      </c>
      <c r="H1673" s="28">
        <f>SUMIF(半成品入库明细!$D$2:$D$650,$B1673,半成品入库明细!$G$2:$G$650)</f>
        <v>0</v>
      </c>
      <c r="I1673" s="28">
        <f ca="1">SUMIF(半成品出库明细!$D$2:$D$558,$B1673,半成品出库明细!$G$2:$G$2)</f>
        <v>0</v>
      </c>
      <c r="J1673" s="28">
        <f ca="1" t="shared" si="35"/>
        <v>0</v>
      </c>
      <c r="K1673" s="30" t="s">
        <v>113</v>
      </c>
      <c r="L1673" s="19"/>
      <c r="M1673" s="3"/>
    </row>
    <row r="1674" s="1" customFormat="1" spans="1:13">
      <c r="A1674" s="22"/>
      <c r="B1674" s="143" t="s">
        <v>2747</v>
      </c>
      <c r="C1674" s="143" t="s">
        <v>2745</v>
      </c>
      <c r="D1674" s="143" t="s">
        <v>2684</v>
      </c>
      <c r="E1674" s="19" t="s">
        <v>267</v>
      </c>
      <c r="F1674" s="26" t="s">
        <v>197</v>
      </c>
      <c r="G1674" s="27">
        <f>SUMIF(物料月初库存!$C$3:$C$303,$B1674,物料月初库存!$F$3:$F$303)</f>
        <v>0</v>
      </c>
      <c r="H1674" s="28">
        <f>SUMIF(半成品入库明细!$D$2:$D$650,$B1674,半成品入库明细!$G$2:$G$650)</f>
        <v>0</v>
      </c>
      <c r="I1674" s="28">
        <f ca="1">SUMIF(半成品出库明细!$D$2:$D$558,$B1674,半成品出库明细!$G$2:$G$2)</f>
        <v>0</v>
      </c>
      <c r="J1674" s="28">
        <f ca="1" t="shared" si="35"/>
        <v>0</v>
      </c>
      <c r="K1674" s="30" t="s">
        <v>146</v>
      </c>
      <c r="L1674" s="19"/>
      <c r="M1674" s="3"/>
    </row>
    <row r="1675" s="1" customFormat="1" spans="1:13">
      <c r="A1675" s="22"/>
      <c r="B1675" s="143" t="s">
        <v>2748</v>
      </c>
      <c r="C1675" s="143" t="s">
        <v>2745</v>
      </c>
      <c r="D1675" s="143" t="s">
        <v>2684</v>
      </c>
      <c r="E1675" s="19" t="s">
        <v>316</v>
      </c>
      <c r="F1675" s="26" t="s">
        <v>197</v>
      </c>
      <c r="G1675" s="27">
        <f>SUMIF(物料月初库存!$C$3:$C$303,$B1675,物料月初库存!$F$3:$F$303)</f>
        <v>0</v>
      </c>
      <c r="H1675" s="28">
        <f>SUMIF(半成品入库明细!$D$2:$D$650,$B1675,半成品入库明细!$G$2:$G$650)</f>
        <v>0</v>
      </c>
      <c r="I1675" s="28">
        <f ca="1">SUMIF(半成品出库明细!$D$2:$D$558,$B1675,半成品出库明细!$G$2:$G$2)</f>
        <v>0</v>
      </c>
      <c r="J1675" s="28">
        <f ca="1" t="shared" si="35"/>
        <v>0</v>
      </c>
      <c r="K1675" s="30" t="s">
        <v>1476</v>
      </c>
      <c r="L1675" s="19"/>
      <c r="M1675" s="3"/>
    </row>
    <row r="1676" s="1" customFormat="1" spans="1:13">
      <c r="A1676" s="22"/>
      <c r="B1676" s="143" t="s">
        <v>2749</v>
      </c>
      <c r="C1676" s="143" t="s">
        <v>2745</v>
      </c>
      <c r="D1676" s="143" t="s">
        <v>2684</v>
      </c>
      <c r="E1676" s="19" t="s">
        <v>256</v>
      </c>
      <c r="F1676" s="26" t="s">
        <v>197</v>
      </c>
      <c r="G1676" s="27">
        <f>SUMIF(物料月初库存!$C$3:$C$303,$B1676,物料月初库存!$F$3:$F$303)</f>
        <v>0</v>
      </c>
      <c r="H1676" s="28">
        <f>SUMIF(半成品入库明细!$D$2:$D$650,$B1676,半成品入库明细!$G$2:$G$650)</f>
        <v>0</v>
      </c>
      <c r="I1676" s="28">
        <f ca="1">SUMIF(半成品出库明细!$D$2:$D$558,$B1676,半成品出库明细!$G$2:$G$2)</f>
        <v>0</v>
      </c>
      <c r="J1676" s="28">
        <f ca="1" t="shared" si="35"/>
        <v>0</v>
      </c>
      <c r="K1676" s="30" t="s">
        <v>2750</v>
      </c>
      <c r="L1676" s="19"/>
      <c r="M1676" s="3"/>
    </row>
    <row r="1677" s="1" customFormat="1" spans="1:13">
      <c r="A1677" s="22"/>
      <c r="B1677" s="143" t="s">
        <v>2751</v>
      </c>
      <c r="C1677" s="160" t="s">
        <v>2752</v>
      </c>
      <c r="D1677" s="143" t="s">
        <v>2753</v>
      </c>
      <c r="E1677" s="19" t="s">
        <v>76</v>
      </c>
      <c r="F1677" s="26" t="s">
        <v>197</v>
      </c>
      <c r="G1677" s="27">
        <f>SUMIF(物料月初库存!$C$3:$C$303,$B1677,物料月初库存!$F$3:$F$303)</f>
        <v>0</v>
      </c>
      <c r="H1677" s="28">
        <f>SUMIF(半成品入库明细!$D$2:$D$650,$B1677,半成品入库明细!$G$2:$G$650)</f>
        <v>0</v>
      </c>
      <c r="I1677" s="28">
        <f ca="1">SUMIF(半成品出库明细!$D$2:$D$558,$B1677,半成品出库明细!$G$2:$G$2)</f>
        <v>0</v>
      </c>
      <c r="J1677" s="28">
        <f ca="1" t="shared" si="35"/>
        <v>0</v>
      </c>
      <c r="K1677" s="30"/>
      <c r="L1677" s="19"/>
      <c r="M1677" s="3"/>
    </row>
    <row r="1678" s="1" customFormat="1" spans="1:13">
      <c r="A1678" s="22"/>
      <c r="B1678" s="143" t="s">
        <v>2754</v>
      </c>
      <c r="C1678" s="160" t="s">
        <v>2752</v>
      </c>
      <c r="D1678" s="143" t="s">
        <v>2753</v>
      </c>
      <c r="E1678" s="19" t="s">
        <v>356</v>
      </c>
      <c r="F1678" s="26" t="s">
        <v>197</v>
      </c>
      <c r="G1678" s="27">
        <f>SUMIF(物料月初库存!$C$3:$C$303,$B1678,物料月初库存!$F$3:$F$303)</f>
        <v>0</v>
      </c>
      <c r="H1678" s="28">
        <f>SUMIF(半成品入库明细!$D$2:$D$650,$B1678,半成品入库明细!$G$2:$G$650)</f>
        <v>0</v>
      </c>
      <c r="I1678" s="28">
        <f ca="1">SUMIF(半成品出库明细!$D$2:$D$558,$B1678,半成品出库明细!$G$2:$G$2)</f>
        <v>0</v>
      </c>
      <c r="J1678" s="28">
        <f ca="1" t="shared" si="35"/>
        <v>0</v>
      </c>
      <c r="K1678" s="30" t="s">
        <v>113</v>
      </c>
      <c r="L1678" s="19"/>
      <c r="M1678" s="3"/>
    </row>
    <row r="1679" s="1" customFormat="1" spans="1:13">
      <c r="A1679" s="22"/>
      <c r="B1679" s="143" t="s">
        <v>2755</v>
      </c>
      <c r="C1679" s="160" t="s">
        <v>2752</v>
      </c>
      <c r="D1679" s="143" t="s">
        <v>2753</v>
      </c>
      <c r="E1679" s="19" t="s">
        <v>326</v>
      </c>
      <c r="F1679" s="26" t="s">
        <v>197</v>
      </c>
      <c r="G1679" s="27">
        <f>SUMIF(物料月初库存!$C$3:$C$303,$B1679,物料月初库存!$F$3:$F$303)</f>
        <v>0</v>
      </c>
      <c r="H1679" s="28">
        <f>SUMIF(半成品入库明细!$D$2:$D$650,$B1679,半成品入库明细!$G$2:$G$650)</f>
        <v>0</v>
      </c>
      <c r="I1679" s="28">
        <f ca="1">SUMIF(半成品出库明细!$D$2:$D$558,$B1679,半成品出库明细!$G$2:$G$2)</f>
        <v>0</v>
      </c>
      <c r="J1679" s="28">
        <f ca="1" t="shared" si="35"/>
        <v>0</v>
      </c>
      <c r="K1679" s="29" t="s">
        <v>2321</v>
      </c>
      <c r="L1679" s="19"/>
      <c r="M1679" s="3"/>
    </row>
    <row r="1680" s="1" customFormat="1" spans="1:13">
      <c r="A1680" s="22"/>
      <c r="B1680" s="143" t="s">
        <v>2756</v>
      </c>
      <c r="C1680" s="160" t="s">
        <v>2752</v>
      </c>
      <c r="D1680" s="143" t="s">
        <v>2753</v>
      </c>
      <c r="E1680" s="19" t="s">
        <v>644</v>
      </c>
      <c r="F1680" s="26" t="s">
        <v>197</v>
      </c>
      <c r="G1680" s="27">
        <f>SUMIF(物料月初库存!$C$3:$C$303,$B1680,物料月初库存!$F$3:$F$303)</f>
        <v>0</v>
      </c>
      <c r="H1680" s="28">
        <f>SUMIF(半成品入库明细!$D$2:$D$650,$B1680,半成品入库明细!$G$2:$G$650)</f>
        <v>0</v>
      </c>
      <c r="I1680" s="28">
        <f ca="1">SUMIF(半成品出库明细!$D$2:$D$558,$B1680,半成品出库明细!$G$2:$G$2)</f>
        <v>0</v>
      </c>
      <c r="J1680" s="28">
        <f ca="1" t="shared" si="35"/>
        <v>0</v>
      </c>
      <c r="K1680" s="30" t="s">
        <v>173</v>
      </c>
      <c r="L1680" s="19"/>
      <c r="M1680" s="3"/>
    </row>
    <row r="1681" s="1" customFormat="1" spans="1:13">
      <c r="A1681" s="22"/>
      <c r="B1681" s="143" t="s">
        <v>2757</v>
      </c>
      <c r="C1681" s="160" t="s">
        <v>2752</v>
      </c>
      <c r="D1681" s="143" t="s">
        <v>2753</v>
      </c>
      <c r="E1681" s="19" t="s">
        <v>2155</v>
      </c>
      <c r="F1681" s="26" t="s">
        <v>197</v>
      </c>
      <c r="G1681" s="27">
        <f>SUMIF(物料月初库存!$C$3:$C$303,$B1681,物料月初库存!$F$3:$F$303)</f>
        <v>0</v>
      </c>
      <c r="H1681" s="28">
        <f>SUMIF(半成品入库明细!$D$2:$D$650,$B1681,半成品入库明细!$G$2:$G$650)</f>
        <v>0</v>
      </c>
      <c r="I1681" s="28">
        <f ca="1">SUMIF(半成品出库明细!$D$2:$D$558,$B1681,半成品出库明细!$G$2:$G$2)</f>
        <v>0</v>
      </c>
      <c r="J1681" s="28">
        <f ca="1" t="shared" si="35"/>
        <v>0</v>
      </c>
      <c r="K1681" s="30" t="s">
        <v>2758</v>
      </c>
      <c r="L1681" s="19"/>
      <c r="M1681" s="3"/>
    </row>
    <row r="1682" s="1" customFormat="1" spans="1:13">
      <c r="A1682" s="22"/>
      <c r="B1682" s="143" t="s">
        <v>2759</v>
      </c>
      <c r="C1682" s="160" t="s">
        <v>2760</v>
      </c>
      <c r="D1682" s="143" t="s">
        <v>2753</v>
      </c>
      <c r="E1682" s="19" t="s">
        <v>76</v>
      </c>
      <c r="F1682" s="26" t="s">
        <v>197</v>
      </c>
      <c r="G1682" s="27">
        <f>SUMIF(物料月初库存!$C$3:$C$303,$B1682,物料月初库存!$F$3:$F$303)</f>
        <v>0</v>
      </c>
      <c r="H1682" s="28">
        <f>SUMIF(半成品入库明细!$D$2:$D$650,$B1682,半成品入库明细!$G$2:$G$650)</f>
        <v>0</v>
      </c>
      <c r="I1682" s="28">
        <f ca="1">SUMIF(半成品出库明细!$D$2:$D$558,$B1682,半成品出库明细!$G$2:$G$2)</f>
        <v>0</v>
      </c>
      <c r="J1682" s="28">
        <f ca="1" t="shared" si="35"/>
        <v>0</v>
      </c>
      <c r="K1682" s="30"/>
      <c r="L1682" s="19"/>
      <c r="M1682" s="3"/>
    </row>
    <row r="1683" s="1" customFormat="1" spans="1:13">
      <c r="A1683" s="22"/>
      <c r="B1683" s="143" t="s">
        <v>2761</v>
      </c>
      <c r="C1683" s="160" t="s">
        <v>2760</v>
      </c>
      <c r="D1683" s="143" t="s">
        <v>2753</v>
      </c>
      <c r="E1683" s="19" t="s">
        <v>356</v>
      </c>
      <c r="F1683" s="26" t="s">
        <v>197</v>
      </c>
      <c r="G1683" s="27">
        <f>SUMIF(物料月初库存!$C$3:$C$303,$B1683,物料月初库存!$F$3:$F$303)</f>
        <v>0</v>
      </c>
      <c r="H1683" s="28">
        <f>SUMIF(半成品入库明细!$D$2:$D$650,$B1683,半成品入库明细!$G$2:$G$650)</f>
        <v>0</v>
      </c>
      <c r="I1683" s="28">
        <f ca="1">SUMIF(半成品出库明细!$D$2:$D$558,$B1683,半成品出库明细!$G$2:$G$2)</f>
        <v>0</v>
      </c>
      <c r="J1683" s="28">
        <f ca="1" t="shared" si="35"/>
        <v>0</v>
      </c>
      <c r="K1683" s="30" t="s">
        <v>113</v>
      </c>
      <c r="L1683" s="19"/>
      <c r="M1683" s="3"/>
    </row>
    <row r="1684" s="1" customFormat="1" spans="1:13">
      <c r="A1684" s="22"/>
      <c r="B1684" s="143" t="s">
        <v>2762</v>
      </c>
      <c r="C1684" s="160" t="s">
        <v>2760</v>
      </c>
      <c r="D1684" s="143" t="s">
        <v>2753</v>
      </c>
      <c r="E1684" s="19" t="s">
        <v>326</v>
      </c>
      <c r="F1684" s="26" t="s">
        <v>197</v>
      </c>
      <c r="G1684" s="27">
        <f>SUMIF(物料月初库存!$C$3:$C$303,$B1684,物料月初库存!$F$3:$F$303)</f>
        <v>0</v>
      </c>
      <c r="H1684" s="28">
        <f>SUMIF(半成品入库明细!$D$2:$D$650,$B1684,半成品入库明细!$G$2:$G$650)</f>
        <v>0</v>
      </c>
      <c r="I1684" s="28">
        <f ca="1">SUMIF(半成品出库明细!$D$2:$D$558,$B1684,半成品出库明细!$G$2:$G$2)</f>
        <v>0</v>
      </c>
      <c r="J1684" s="28">
        <f ca="1" t="shared" si="35"/>
        <v>0</v>
      </c>
      <c r="K1684" s="29" t="s">
        <v>2321</v>
      </c>
      <c r="L1684" s="19"/>
      <c r="M1684" s="3"/>
    </row>
    <row r="1685" s="1" customFormat="1" spans="1:13">
      <c r="A1685" s="22"/>
      <c r="B1685" s="143" t="s">
        <v>2763</v>
      </c>
      <c r="C1685" s="160" t="s">
        <v>2760</v>
      </c>
      <c r="D1685" s="143" t="s">
        <v>2753</v>
      </c>
      <c r="E1685" s="19" t="s">
        <v>644</v>
      </c>
      <c r="F1685" s="26" t="s">
        <v>197</v>
      </c>
      <c r="G1685" s="27">
        <f>SUMIF(物料月初库存!$C$3:$C$303,$B1685,物料月初库存!$F$3:$F$303)</f>
        <v>0</v>
      </c>
      <c r="H1685" s="28">
        <f>SUMIF(半成品入库明细!$D$2:$D$650,$B1685,半成品入库明细!$G$2:$G$650)</f>
        <v>0</v>
      </c>
      <c r="I1685" s="28">
        <f ca="1">SUMIF(半成品出库明细!$D$2:$D$558,$B1685,半成品出库明细!$G$2:$G$2)</f>
        <v>0</v>
      </c>
      <c r="J1685" s="28">
        <f ca="1" t="shared" si="35"/>
        <v>0</v>
      </c>
      <c r="K1685" s="30" t="s">
        <v>173</v>
      </c>
      <c r="L1685" s="19"/>
      <c r="M1685" s="3"/>
    </row>
    <row r="1686" s="1" customFormat="1" spans="1:13">
      <c r="A1686" s="22"/>
      <c r="B1686" s="143" t="s">
        <v>2757</v>
      </c>
      <c r="C1686" s="160" t="s">
        <v>2760</v>
      </c>
      <c r="D1686" s="143" t="s">
        <v>2753</v>
      </c>
      <c r="E1686" s="19" t="s">
        <v>2155</v>
      </c>
      <c r="F1686" s="26" t="s">
        <v>197</v>
      </c>
      <c r="G1686" s="27">
        <f>SUMIF(物料月初库存!$C$3:$C$303,$B1686,物料月初库存!$F$3:$F$303)</f>
        <v>0</v>
      </c>
      <c r="H1686" s="28">
        <f>SUMIF(半成品入库明细!$D$2:$D$650,$B1686,半成品入库明细!$G$2:$G$650)</f>
        <v>0</v>
      </c>
      <c r="I1686" s="28">
        <f ca="1">SUMIF(半成品出库明细!$D$2:$D$558,$B1686,半成品出库明细!$G$2:$G$2)</f>
        <v>0</v>
      </c>
      <c r="J1686" s="28">
        <f ca="1" t="shared" si="35"/>
        <v>0</v>
      </c>
      <c r="K1686" s="30" t="s">
        <v>2764</v>
      </c>
      <c r="L1686" s="19"/>
      <c r="M1686" s="3"/>
    </row>
    <row r="1687" s="1" customFormat="1" spans="1:13">
      <c r="A1687" s="22"/>
      <c r="B1687" s="143" t="s">
        <v>2765</v>
      </c>
      <c r="C1687" s="143" t="s">
        <v>2766</v>
      </c>
      <c r="D1687" s="143" t="s">
        <v>2767</v>
      </c>
      <c r="E1687" s="19" t="s">
        <v>76</v>
      </c>
      <c r="F1687" s="26" t="s">
        <v>197</v>
      </c>
      <c r="G1687" s="27">
        <f>SUMIF(物料月初库存!$C$3:$C$303,$B1687,物料月初库存!$F$3:$F$303)</f>
        <v>0</v>
      </c>
      <c r="H1687" s="28">
        <f>SUMIF(半成品入库明细!$D$2:$D$650,$B1687,半成品入库明细!$G$2:$G$650)</f>
        <v>0</v>
      </c>
      <c r="I1687" s="28">
        <f ca="1">SUMIF(半成品出库明细!$D$2:$D$558,$B1687,半成品出库明细!$G$2:$G$2)</f>
        <v>0</v>
      </c>
      <c r="J1687" s="28">
        <f ca="1" t="shared" si="35"/>
        <v>0</v>
      </c>
      <c r="K1687" s="30"/>
      <c r="L1687" s="19"/>
      <c r="M1687" s="3"/>
    </row>
    <row r="1688" s="1" customFormat="1" spans="1:13">
      <c r="A1688" s="22"/>
      <c r="B1688" s="143" t="s">
        <v>2768</v>
      </c>
      <c r="C1688" s="143" t="s">
        <v>2766</v>
      </c>
      <c r="D1688" s="159" t="s">
        <v>2767</v>
      </c>
      <c r="E1688" s="19" t="s">
        <v>316</v>
      </c>
      <c r="F1688" s="26" t="s">
        <v>197</v>
      </c>
      <c r="G1688" s="27">
        <f>SUMIF(物料月初库存!$C$3:$C$303,$B1688,物料月初库存!$F$3:$F$303)</f>
        <v>0</v>
      </c>
      <c r="H1688" s="28">
        <f>SUMIF(半成品入库明细!$D$2:$D$650,$B1688,半成品入库明细!$G$2:$G$650)</f>
        <v>0</v>
      </c>
      <c r="I1688" s="28">
        <f ca="1">SUMIF(半成品出库明细!$D$2:$D$558,$B1688,半成品出库明细!$G$2:$G$2)</f>
        <v>0</v>
      </c>
      <c r="J1688" s="28">
        <f ca="1" t="shared" si="35"/>
        <v>0</v>
      </c>
      <c r="K1688" s="30" t="s">
        <v>2769</v>
      </c>
      <c r="L1688" s="19"/>
      <c r="M1688" s="3"/>
    </row>
    <row r="1689" s="1" customFormat="1" spans="1:13">
      <c r="A1689" s="22"/>
      <c r="B1689" s="143" t="s">
        <v>2770</v>
      </c>
      <c r="C1689" s="143" t="s">
        <v>2766</v>
      </c>
      <c r="D1689" s="159" t="s">
        <v>2767</v>
      </c>
      <c r="E1689" s="19" t="s">
        <v>2771</v>
      </c>
      <c r="F1689" s="26" t="s">
        <v>197</v>
      </c>
      <c r="G1689" s="27">
        <f>SUMIF(物料月初库存!$C$3:$C$303,$B1689,物料月初库存!$F$3:$F$303)</f>
        <v>0</v>
      </c>
      <c r="H1689" s="28">
        <f>SUMIF(半成品入库明细!$D$2:$D$650,$B1689,半成品入库明细!$G$2:$G$650)</f>
        <v>0</v>
      </c>
      <c r="I1689" s="28">
        <f ca="1">SUMIF(半成品出库明细!$D$2:$D$558,$B1689,半成品出库明细!$G$2:$G$2)</f>
        <v>0</v>
      </c>
      <c r="J1689" s="28">
        <f ca="1" t="shared" si="35"/>
        <v>0</v>
      </c>
      <c r="K1689" s="124" t="s">
        <v>1905</v>
      </c>
      <c r="L1689" s="19"/>
      <c r="M1689" s="3"/>
    </row>
    <row r="1690" s="1" customFormat="1" spans="1:13">
      <c r="A1690" s="22"/>
      <c r="B1690" s="143" t="s">
        <v>2772</v>
      </c>
      <c r="C1690" s="143" t="s">
        <v>2766</v>
      </c>
      <c r="D1690" s="159" t="s">
        <v>2767</v>
      </c>
      <c r="E1690" s="19" t="s">
        <v>839</v>
      </c>
      <c r="F1690" s="26" t="s">
        <v>197</v>
      </c>
      <c r="G1690" s="27">
        <f>SUMIF(物料月初库存!$C$3:$C$303,$B1690,物料月初库存!$F$3:$F$303)</f>
        <v>0</v>
      </c>
      <c r="H1690" s="28">
        <f>SUMIF(半成品入库明细!$D$2:$D$650,$B1690,半成品入库明细!$G$2:$G$650)</f>
        <v>0</v>
      </c>
      <c r="I1690" s="28">
        <f ca="1">SUMIF(半成品出库明细!$D$2:$D$558,$B1690,半成品出库明细!$G$2:$G$2)</f>
        <v>0</v>
      </c>
      <c r="J1690" s="28">
        <f ca="1" t="shared" si="35"/>
        <v>0</v>
      </c>
      <c r="K1690" s="124" t="s">
        <v>2773</v>
      </c>
      <c r="L1690" s="19"/>
      <c r="M1690" s="3"/>
    </row>
    <row r="1691" s="1" customFormat="1" spans="1:13">
      <c r="A1691" s="22"/>
      <c r="B1691" s="143" t="s">
        <v>2774</v>
      </c>
      <c r="C1691" s="143" t="s">
        <v>2766</v>
      </c>
      <c r="D1691" s="159" t="s">
        <v>2767</v>
      </c>
      <c r="E1691" s="19" t="s">
        <v>256</v>
      </c>
      <c r="F1691" s="26" t="s">
        <v>197</v>
      </c>
      <c r="G1691" s="27">
        <f>SUMIF(物料月初库存!$C$3:$C$303,$B1691,物料月初库存!$F$3:$F$303)</f>
        <v>0</v>
      </c>
      <c r="H1691" s="28">
        <f>SUMIF(半成品入库明细!$D$2:$D$650,$B1691,半成品入库明细!$G$2:$G$650)</f>
        <v>0</v>
      </c>
      <c r="I1691" s="28">
        <f ca="1">SUMIF(半成品出库明细!$D$2:$D$558,$B1691,半成品出库明细!$G$2:$G$2)</f>
        <v>0</v>
      </c>
      <c r="J1691" s="28">
        <f ca="1" t="shared" si="35"/>
        <v>0</v>
      </c>
      <c r="K1691" s="124" t="s">
        <v>2773</v>
      </c>
      <c r="L1691" s="19"/>
      <c r="M1691" s="3"/>
    </row>
    <row r="1692" s="1" customFormat="1" spans="1:13">
      <c r="A1692" s="22"/>
      <c r="B1692" s="143" t="s">
        <v>2775</v>
      </c>
      <c r="C1692" s="143" t="s">
        <v>2766</v>
      </c>
      <c r="D1692" s="159" t="s">
        <v>2767</v>
      </c>
      <c r="E1692" s="19" t="s">
        <v>359</v>
      </c>
      <c r="F1692" s="26" t="s">
        <v>197</v>
      </c>
      <c r="G1692" s="27">
        <f>SUMIF(物料月初库存!$C$3:$C$303,$B1692,物料月初库存!$F$3:$F$303)</f>
        <v>0</v>
      </c>
      <c r="H1692" s="28">
        <f>SUMIF(半成品入库明细!$D$2:$D$650,$B1692,半成品入库明细!$G$2:$G$650)</f>
        <v>0</v>
      </c>
      <c r="I1692" s="28">
        <f ca="1">SUMIF(半成品出库明细!$D$2:$D$558,$B1692,半成品出库明细!$G$2:$G$2)</f>
        <v>0</v>
      </c>
      <c r="J1692" s="28">
        <f ca="1" t="shared" si="35"/>
        <v>0</v>
      </c>
      <c r="K1692" s="124" t="s">
        <v>2773</v>
      </c>
      <c r="L1692" s="19"/>
      <c r="M1692" s="3"/>
    </row>
    <row r="1693" s="1" customFormat="1" spans="1:13">
      <c r="A1693" s="22"/>
      <c r="B1693" s="143" t="s">
        <v>2776</v>
      </c>
      <c r="C1693" s="143" t="s">
        <v>2777</v>
      </c>
      <c r="D1693" s="159" t="s">
        <v>2767</v>
      </c>
      <c r="E1693" s="19" t="s">
        <v>76</v>
      </c>
      <c r="F1693" s="26" t="s">
        <v>197</v>
      </c>
      <c r="G1693" s="27">
        <f>SUMIF(物料月初库存!$C$3:$C$303,$B1693,物料月初库存!$F$3:$F$303)</f>
        <v>0</v>
      </c>
      <c r="H1693" s="28">
        <f>SUMIF(半成品入库明细!$D$2:$D$650,$B1693,半成品入库明细!$G$2:$G$650)</f>
        <v>0</v>
      </c>
      <c r="I1693" s="28">
        <f ca="1">SUMIF(半成品出库明细!$D$2:$D$558,$B1693,半成品出库明细!$G$2:$G$2)</f>
        <v>0</v>
      </c>
      <c r="J1693" s="28">
        <f ca="1" t="shared" si="35"/>
        <v>0</v>
      </c>
      <c r="K1693" s="30"/>
      <c r="L1693" s="19"/>
      <c r="M1693" s="3"/>
    </row>
    <row r="1694" s="1" customFormat="1" spans="1:13">
      <c r="A1694" s="22"/>
      <c r="B1694" s="143" t="s">
        <v>2778</v>
      </c>
      <c r="C1694" s="143" t="s">
        <v>2777</v>
      </c>
      <c r="D1694" s="159" t="s">
        <v>2767</v>
      </c>
      <c r="E1694" s="19" t="s">
        <v>316</v>
      </c>
      <c r="F1694" s="26" t="s">
        <v>197</v>
      </c>
      <c r="G1694" s="27">
        <f>SUMIF(物料月初库存!$C$3:$C$303,$B1694,物料月初库存!$F$3:$F$303)</f>
        <v>0</v>
      </c>
      <c r="H1694" s="28">
        <f>SUMIF(半成品入库明细!$D$2:$D$650,$B1694,半成品入库明细!$G$2:$G$650)</f>
        <v>0</v>
      </c>
      <c r="I1694" s="28">
        <f ca="1">SUMIF(半成品出库明细!$D$2:$D$558,$B1694,半成品出库明细!$G$2:$G$2)</f>
        <v>0</v>
      </c>
      <c r="J1694" s="28">
        <f ca="1" t="shared" si="35"/>
        <v>0</v>
      </c>
      <c r="K1694" s="30" t="s">
        <v>2769</v>
      </c>
      <c r="L1694" s="19"/>
      <c r="M1694" s="3"/>
    </row>
    <row r="1695" s="1" customFormat="1" spans="1:13">
      <c r="A1695" s="22"/>
      <c r="B1695" s="143" t="s">
        <v>2779</v>
      </c>
      <c r="C1695" s="143" t="s">
        <v>2777</v>
      </c>
      <c r="D1695" s="159" t="s">
        <v>2767</v>
      </c>
      <c r="E1695" s="19" t="s">
        <v>356</v>
      </c>
      <c r="F1695" s="26" t="s">
        <v>197</v>
      </c>
      <c r="G1695" s="27">
        <f>SUMIF(物料月初库存!$C$3:$C$303,$B1695,物料月初库存!$F$3:$F$303)</f>
        <v>0</v>
      </c>
      <c r="H1695" s="28">
        <f>SUMIF(半成品入库明细!$D$2:$D$650,$B1695,半成品入库明细!$G$2:$G$650)</f>
        <v>0</v>
      </c>
      <c r="I1695" s="28">
        <f ca="1">SUMIF(半成品出库明细!$D$2:$D$558,$B1695,半成品出库明细!$G$2:$G$2)</f>
        <v>0</v>
      </c>
      <c r="J1695" s="28">
        <f ca="1" t="shared" si="35"/>
        <v>0</v>
      </c>
      <c r="K1695" s="51" t="s">
        <v>2780</v>
      </c>
      <c r="L1695" s="19"/>
      <c r="M1695" s="3"/>
    </row>
    <row r="1696" s="1" customFormat="1" spans="1:13">
      <c r="A1696" s="22"/>
      <c r="B1696" s="143" t="s">
        <v>2781</v>
      </c>
      <c r="C1696" s="143" t="s">
        <v>2777</v>
      </c>
      <c r="D1696" s="159" t="s">
        <v>2767</v>
      </c>
      <c r="E1696" s="19" t="s">
        <v>839</v>
      </c>
      <c r="F1696" s="26" t="s">
        <v>197</v>
      </c>
      <c r="G1696" s="27">
        <f>SUMIF(物料月初库存!$C$3:$C$303,$B1696,物料月初库存!$F$3:$F$303)</f>
        <v>0</v>
      </c>
      <c r="H1696" s="28">
        <f>SUMIF(半成品入库明细!$D$2:$D$650,$B1696,半成品入库明细!$G$2:$G$650)</f>
        <v>0</v>
      </c>
      <c r="I1696" s="28">
        <f ca="1">SUMIF(半成品出库明细!$D$2:$D$558,$B1696,半成品出库明细!$G$2:$G$2)</f>
        <v>0</v>
      </c>
      <c r="J1696" s="28">
        <f ca="1" t="shared" si="35"/>
        <v>0</v>
      </c>
      <c r="K1696" s="30" t="s">
        <v>2773</v>
      </c>
      <c r="L1696" s="19"/>
      <c r="M1696" s="3"/>
    </row>
    <row r="1697" s="1" customFormat="1" spans="1:13">
      <c r="A1697" s="22"/>
      <c r="B1697" s="143" t="s">
        <v>2782</v>
      </c>
      <c r="C1697" s="143" t="s">
        <v>2777</v>
      </c>
      <c r="D1697" s="159" t="s">
        <v>2767</v>
      </c>
      <c r="E1697" s="19" t="s">
        <v>256</v>
      </c>
      <c r="F1697" s="26" t="s">
        <v>197</v>
      </c>
      <c r="G1697" s="27">
        <f>SUMIF(物料月初库存!$C$3:$C$303,$B1697,物料月初库存!$F$3:$F$303)</f>
        <v>0</v>
      </c>
      <c r="H1697" s="28">
        <f>SUMIF(半成品入库明细!$D$2:$D$650,$B1697,半成品入库明细!$G$2:$G$650)</f>
        <v>0</v>
      </c>
      <c r="I1697" s="28">
        <f ca="1">SUMIF(半成品出库明细!$D$2:$D$558,$B1697,半成品出库明细!$G$2:$G$2)</f>
        <v>0</v>
      </c>
      <c r="J1697" s="28">
        <f ca="1" t="shared" si="35"/>
        <v>0</v>
      </c>
      <c r="K1697" s="30" t="s">
        <v>2773</v>
      </c>
      <c r="L1697" s="19"/>
      <c r="M1697" s="3"/>
    </row>
    <row r="1698" s="1" customFormat="1" spans="1:13">
      <c r="A1698" s="22"/>
      <c r="B1698" s="143" t="s">
        <v>2783</v>
      </c>
      <c r="C1698" s="143" t="s">
        <v>2784</v>
      </c>
      <c r="D1698" s="159" t="s">
        <v>2767</v>
      </c>
      <c r="E1698" s="19" t="s">
        <v>76</v>
      </c>
      <c r="F1698" s="26" t="s">
        <v>197</v>
      </c>
      <c r="G1698" s="27">
        <f>SUMIF(物料月初库存!$C$3:$C$303,$B1698,物料月初库存!$F$3:$F$303)</f>
        <v>0</v>
      </c>
      <c r="H1698" s="28">
        <f>SUMIF(半成品入库明细!$D$2:$D$650,$B1698,半成品入库明细!$G$2:$G$650)</f>
        <v>0</v>
      </c>
      <c r="I1698" s="28">
        <f ca="1">SUMIF(半成品出库明细!$D$2:$D$558,$B1698,半成品出库明细!$G$2:$G$2)</f>
        <v>0</v>
      </c>
      <c r="J1698" s="28">
        <f ca="1" t="shared" si="35"/>
        <v>0</v>
      </c>
      <c r="K1698" s="30"/>
      <c r="L1698" s="19"/>
      <c r="M1698" s="3"/>
    </row>
    <row r="1699" s="1" customFormat="1" spans="1:13">
      <c r="A1699" s="22"/>
      <c r="B1699" s="143" t="s">
        <v>2785</v>
      </c>
      <c r="C1699" s="143" t="s">
        <v>2784</v>
      </c>
      <c r="D1699" s="159" t="s">
        <v>2767</v>
      </c>
      <c r="E1699" s="19" t="s">
        <v>316</v>
      </c>
      <c r="F1699" s="26" t="s">
        <v>197</v>
      </c>
      <c r="G1699" s="27">
        <f>SUMIF(物料月初库存!$C$3:$C$303,$B1699,物料月初库存!$F$3:$F$303)</f>
        <v>0</v>
      </c>
      <c r="H1699" s="28">
        <f>SUMIF(半成品入库明细!$D$2:$D$650,$B1699,半成品入库明细!$G$2:$G$650)</f>
        <v>0</v>
      </c>
      <c r="I1699" s="28">
        <f ca="1">SUMIF(半成品出库明细!$D$2:$D$558,$B1699,半成品出库明细!$G$2:$G$2)</f>
        <v>0</v>
      </c>
      <c r="J1699" s="28">
        <f ca="1" t="shared" si="35"/>
        <v>0</v>
      </c>
      <c r="K1699" s="30" t="s">
        <v>2769</v>
      </c>
      <c r="L1699" s="19"/>
      <c r="M1699" s="3"/>
    </row>
    <row r="1700" s="1" customFormat="1" spans="1:13">
      <c r="A1700" s="22"/>
      <c r="B1700" s="143" t="s">
        <v>2786</v>
      </c>
      <c r="C1700" s="143" t="s">
        <v>2784</v>
      </c>
      <c r="D1700" s="159" t="s">
        <v>2767</v>
      </c>
      <c r="E1700" s="19" t="s">
        <v>2657</v>
      </c>
      <c r="F1700" s="26" t="s">
        <v>197</v>
      </c>
      <c r="G1700" s="27">
        <f>SUMIF(物料月初库存!$C$3:$C$303,$B1700,物料月初库存!$F$3:$F$303)</f>
        <v>0</v>
      </c>
      <c r="H1700" s="28">
        <f>SUMIF(半成品入库明细!$D$2:$D$650,$B1700,半成品入库明细!$G$2:$G$650)</f>
        <v>0</v>
      </c>
      <c r="I1700" s="28">
        <f ca="1">SUMIF(半成品出库明细!$D$2:$D$558,$B1700,半成品出库明细!$G$2:$G$2)</f>
        <v>0</v>
      </c>
      <c r="J1700" s="28">
        <f ca="1" t="shared" si="35"/>
        <v>0</v>
      </c>
      <c r="K1700" s="51" t="s">
        <v>2787</v>
      </c>
      <c r="L1700" s="19"/>
      <c r="M1700" s="3"/>
    </row>
    <row r="1701" s="1" customFormat="1" spans="1:13">
      <c r="A1701" s="22"/>
      <c r="B1701" s="143" t="s">
        <v>2788</v>
      </c>
      <c r="C1701" s="143" t="s">
        <v>2784</v>
      </c>
      <c r="D1701" s="159" t="s">
        <v>2767</v>
      </c>
      <c r="E1701" s="19" t="s">
        <v>839</v>
      </c>
      <c r="F1701" s="26" t="s">
        <v>197</v>
      </c>
      <c r="G1701" s="27">
        <f>SUMIF(物料月初库存!$C$3:$C$303,$B1701,物料月初库存!$F$3:$F$303)</f>
        <v>0</v>
      </c>
      <c r="H1701" s="28">
        <f>SUMIF(半成品入库明细!$D$2:$D$650,$B1701,半成品入库明细!$G$2:$G$650)</f>
        <v>0</v>
      </c>
      <c r="I1701" s="28">
        <f ca="1">SUMIF(半成品出库明细!$D$2:$D$558,$B1701,半成品出库明细!$G$2:$G$2)</f>
        <v>0</v>
      </c>
      <c r="J1701" s="28">
        <f ca="1" t="shared" si="35"/>
        <v>0</v>
      </c>
      <c r="K1701" s="30" t="s">
        <v>2773</v>
      </c>
      <c r="L1701" s="19"/>
      <c r="M1701" s="3"/>
    </row>
    <row r="1702" s="1" customFormat="1" spans="1:13">
      <c r="A1702" s="22"/>
      <c r="B1702" s="143" t="s">
        <v>2789</v>
      </c>
      <c r="C1702" s="143" t="s">
        <v>2784</v>
      </c>
      <c r="D1702" s="159" t="s">
        <v>2767</v>
      </c>
      <c r="E1702" s="19" t="s">
        <v>256</v>
      </c>
      <c r="F1702" s="26" t="s">
        <v>197</v>
      </c>
      <c r="G1702" s="27">
        <f>SUMIF(物料月初库存!$C$3:$C$303,$B1702,物料月初库存!$F$3:$F$303)</f>
        <v>0</v>
      </c>
      <c r="H1702" s="28">
        <f>SUMIF(半成品入库明细!$D$2:$D$650,$B1702,半成品入库明细!$G$2:$G$650)</f>
        <v>0</v>
      </c>
      <c r="I1702" s="28">
        <f ca="1">SUMIF(半成品出库明细!$D$2:$D$558,$B1702,半成品出库明细!$G$2:$G$2)</f>
        <v>0</v>
      </c>
      <c r="J1702" s="28">
        <f ca="1" t="shared" si="35"/>
        <v>0</v>
      </c>
      <c r="K1702" s="30" t="s">
        <v>2773</v>
      </c>
      <c r="L1702" s="19"/>
      <c r="M1702" s="3"/>
    </row>
    <row r="1703" s="1" customFormat="1" spans="1:13">
      <c r="A1703" s="22"/>
      <c r="B1703" s="143" t="s">
        <v>2790</v>
      </c>
      <c r="C1703" s="143" t="s">
        <v>2784</v>
      </c>
      <c r="D1703" s="159" t="s">
        <v>2767</v>
      </c>
      <c r="E1703" s="19" t="s">
        <v>359</v>
      </c>
      <c r="F1703" s="26" t="s">
        <v>197</v>
      </c>
      <c r="G1703" s="27">
        <f>SUMIF(物料月初库存!$C$3:$C$303,$B1703,物料月初库存!$F$3:$F$303)</f>
        <v>0</v>
      </c>
      <c r="H1703" s="28">
        <f>SUMIF(半成品入库明细!$D$2:$D$650,$B1703,半成品入库明细!$G$2:$G$650)</f>
        <v>0</v>
      </c>
      <c r="I1703" s="28">
        <f ca="1">SUMIF(半成品出库明细!$D$2:$D$558,$B1703,半成品出库明细!$G$2:$G$2)</f>
        <v>0</v>
      </c>
      <c r="J1703" s="28">
        <f ca="1" t="shared" si="35"/>
        <v>0</v>
      </c>
      <c r="K1703" s="30" t="s">
        <v>2773</v>
      </c>
      <c r="L1703" s="19"/>
      <c r="M1703" s="3"/>
    </row>
    <row r="1704" s="1" customFormat="1" spans="1:13">
      <c r="A1704" s="22"/>
      <c r="B1704" s="143" t="s">
        <v>2791</v>
      </c>
      <c r="C1704" s="143" t="s">
        <v>2792</v>
      </c>
      <c r="D1704" s="159" t="s">
        <v>2767</v>
      </c>
      <c r="E1704" s="19" t="s">
        <v>76</v>
      </c>
      <c r="F1704" s="26" t="s">
        <v>197</v>
      </c>
      <c r="G1704" s="27">
        <f>SUMIF(物料月初库存!$C$3:$C$303,$B1704,物料月初库存!$F$3:$F$303)</f>
        <v>0</v>
      </c>
      <c r="H1704" s="28">
        <f>SUMIF(半成品入库明细!$D$2:$D$650,$B1704,半成品入库明细!$G$2:$G$650)</f>
        <v>0</v>
      </c>
      <c r="I1704" s="28">
        <f ca="1">SUMIF(半成品出库明细!$D$2:$D$558,$B1704,半成品出库明细!$G$2:$G$2)</f>
        <v>0</v>
      </c>
      <c r="J1704" s="28">
        <f ca="1" t="shared" si="35"/>
        <v>0</v>
      </c>
      <c r="K1704" s="30"/>
      <c r="L1704" s="19"/>
      <c r="M1704" s="3"/>
    </row>
    <row r="1705" s="1" customFormat="1" spans="1:13">
      <c r="A1705" s="22"/>
      <c r="B1705" s="143" t="s">
        <v>2793</v>
      </c>
      <c r="C1705" s="143" t="s">
        <v>2792</v>
      </c>
      <c r="D1705" s="159" t="s">
        <v>2767</v>
      </c>
      <c r="E1705" s="19" t="s">
        <v>691</v>
      </c>
      <c r="F1705" s="26" t="s">
        <v>197</v>
      </c>
      <c r="G1705" s="27">
        <f>SUMIF(物料月初库存!$C$3:$C$303,$B1705,物料月初库存!$F$3:$F$303)</f>
        <v>0</v>
      </c>
      <c r="H1705" s="28">
        <f>SUMIF(半成品入库明细!$D$2:$D$650,$B1705,半成品入库明细!$G$2:$G$650)</f>
        <v>0</v>
      </c>
      <c r="I1705" s="28">
        <f ca="1">SUMIF(半成品出库明细!$D$2:$D$558,$B1705,半成品出库明细!$G$2:$G$2)</f>
        <v>0</v>
      </c>
      <c r="J1705" s="28">
        <f ca="1" t="shared" si="35"/>
        <v>0</v>
      </c>
      <c r="K1705" s="124" t="s">
        <v>2794</v>
      </c>
      <c r="L1705" s="19"/>
      <c r="M1705" s="3"/>
    </row>
    <row r="1706" s="1" customFormat="1" spans="1:13">
      <c r="A1706" s="22"/>
      <c r="B1706" s="143" t="s">
        <v>2795</v>
      </c>
      <c r="C1706" s="143" t="s">
        <v>2792</v>
      </c>
      <c r="D1706" s="159" t="s">
        <v>2767</v>
      </c>
      <c r="E1706" s="19" t="s">
        <v>316</v>
      </c>
      <c r="F1706" s="26" t="s">
        <v>197</v>
      </c>
      <c r="G1706" s="27">
        <f>SUMIF(物料月初库存!$C$3:$C$303,$B1706,物料月初库存!$F$3:$F$303)</f>
        <v>0</v>
      </c>
      <c r="H1706" s="28">
        <f>SUMIF(半成品入库明细!$D$2:$D$650,$B1706,半成品入库明细!$G$2:$G$650)</f>
        <v>0</v>
      </c>
      <c r="I1706" s="28">
        <f ca="1">SUMIF(半成品出库明细!$D$2:$D$558,$B1706,半成品出库明细!$G$2:$G$2)</f>
        <v>0</v>
      </c>
      <c r="J1706" s="28">
        <f ca="1" t="shared" si="35"/>
        <v>0</v>
      </c>
      <c r="K1706" s="30" t="s">
        <v>1271</v>
      </c>
      <c r="L1706" s="19"/>
      <c r="M1706" s="3"/>
    </row>
    <row r="1707" s="1" customFormat="1" spans="1:13">
      <c r="A1707" s="22"/>
      <c r="B1707" s="143" t="s">
        <v>2796</v>
      </c>
      <c r="C1707" s="144" t="s">
        <v>2792</v>
      </c>
      <c r="D1707" s="161" t="s">
        <v>2767</v>
      </c>
      <c r="E1707" s="37" t="s">
        <v>356</v>
      </c>
      <c r="F1707" s="38" t="s">
        <v>197</v>
      </c>
      <c r="G1707" s="39">
        <f>SUMIF(物料月初库存!$C$3:$C$303,$B1707,物料月初库存!$F$3:$F$303)</f>
        <v>0</v>
      </c>
      <c r="H1707" s="40">
        <f>SUMIF(半成品入库明细!$D$2:$D$650,$B1707,半成品入库明细!$G$2:$G$650)</f>
        <v>0</v>
      </c>
      <c r="I1707" s="40">
        <f ca="1">SUMIF(半成品出库明细!$D$2:$D$558,$B1707,半成品出库明细!$G$2:$G$2)</f>
        <v>0</v>
      </c>
      <c r="J1707" s="40">
        <f ca="1" t="shared" si="35"/>
        <v>0</v>
      </c>
      <c r="K1707" s="51" t="s">
        <v>2780</v>
      </c>
      <c r="L1707" s="19"/>
      <c r="M1707" s="3"/>
    </row>
    <row r="1708" s="1" customFormat="1" spans="1:13">
      <c r="A1708" s="22"/>
      <c r="B1708" s="143" t="s">
        <v>2797</v>
      </c>
      <c r="C1708" s="143" t="s">
        <v>2792</v>
      </c>
      <c r="D1708" s="159" t="s">
        <v>2767</v>
      </c>
      <c r="E1708" s="19" t="s">
        <v>839</v>
      </c>
      <c r="F1708" s="26" t="s">
        <v>197</v>
      </c>
      <c r="G1708" s="27">
        <f>SUMIF(物料月初库存!$C$3:$C$303,$B1708,物料月初库存!$F$3:$F$303)</f>
        <v>0</v>
      </c>
      <c r="H1708" s="28">
        <f>SUMIF(半成品入库明细!$D$2:$D$650,$B1708,半成品入库明细!$G$2:$G$650)</f>
        <v>0</v>
      </c>
      <c r="I1708" s="28">
        <f ca="1">SUMIF(半成品出库明细!$D$2:$D$558,$B1708,半成品出库明细!$G$2:$G$2)</f>
        <v>0</v>
      </c>
      <c r="J1708" s="28">
        <f ca="1" t="shared" si="35"/>
        <v>0</v>
      </c>
      <c r="K1708" s="30" t="s">
        <v>2773</v>
      </c>
      <c r="L1708" s="19"/>
      <c r="M1708" s="3"/>
    </row>
    <row r="1709" s="1" customFormat="1" spans="1:13">
      <c r="A1709" s="22"/>
      <c r="B1709" s="143" t="s">
        <v>2798</v>
      </c>
      <c r="C1709" s="143" t="s">
        <v>2792</v>
      </c>
      <c r="D1709" s="159" t="s">
        <v>2767</v>
      </c>
      <c r="E1709" s="19" t="s">
        <v>256</v>
      </c>
      <c r="F1709" s="26" t="s">
        <v>197</v>
      </c>
      <c r="G1709" s="27">
        <f>SUMIF(物料月初库存!$C$3:$C$303,$B1709,物料月初库存!$F$3:$F$303)</f>
        <v>0</v>
      </c>
      <c r="H1709" s="28">
        <f>SUMIF(半成品入库明细!$D$2:$D$650,$B1709,半成品入库明细!$G$2:$G$650)</f>
        <v>0</v>
      </c>
      <c r="I1709" s="28">
        <f ca="1">SUMIF(半成品出库明细!$D$2:$D$558,$B1709,半成品出库明细!$G$2:$G$2)</f>
        <v>0</v>
      </c>
      <c r="J1709" s="28">
        <f ca="1" t="shared" si="35"/>
        <v>0</v>
      </c>
      <c r="K1709" s="30" t="s">
        <v>2773</v>
      </c>
      <c r="L1709" s="19"/>
      <c r="M1709" s="3"/>
    </row>
    <row r="1710" s="1" customFormat="1" ht="17" customHeight="1" spans="1:13">
      <c r="A1710" s="22"/>
      <c r="B1710" s="143" t="s">
        <v>2799</v>
      </c>
      <c r="C1710" s="143" t="s">
        <v>2800</v>
      </c>
      <c r="D1710" s="159" t="s">
        <v>2767</v>
      </c>
      <c r="E1710" s="19" t="s">
        <v>76</v>
      </c>
      <c r="F1710" s="26" t="s">
        <v>197</v>
      </c>
      <c r="G1710" s="27">
        <f>SUMIF(物料月初库存!$C$3:$C$303,$B1710,物料月初库存!$F$3:$F$303)</f>
        <v>0</v>
      </c>
      <c r="H1710" s="28">
        <f>SUMIF(半成品入库明细!$D$2:$D$650,$B1710,半成品入库明细!$G$2:$G$650)</f>
        <v>0</v>
      </c>
      <c r="I1710" s="28">
        <f ca="1">SUMIF(半成品出库明细!$D$2:$D$558,$B1710,半成品出库明细!$G$2:$G$2)</f>
        <v>0</v>
      </c>
      <c r="J1710" s="28">
        <f ca="1" t="shared" si="35"/>
        <v>0</v>
      </c>
      <c r="K1710" s="30"/>
      <c r="L1710" s="19"/>
      <c r="M1710" s="3"/>
    </row>
    <row r="1711" s="1" customFormat="1" spans="1:13">
      <c r="A1711" s="22"/>
      <c r="B1711" s="143" t="s">
        <v>2801</v>
      </c>
      <c r="C1711" s="143" t="s">
        <v>2800</v>
      </c>
      <c r="D1711" s="159" t="s">
        <v>2767</v>
      </c>
      <c r="E1711" s="19" t="s">
        <v>316</v>
      </c>
      <c r="F1711" s="26" t="s">
        <v>197</v>
      </c>
      <c r="G1711" s="27">
        <f>SUMIF(物料月初库存!$C$3:$C$303,$B1711,物料月初库存!$F$3:$F$303)</f>
        <v>0</v>
      </c>
      <c r="H1711" s="28">
        <f>SUMIF(半成品入库明细!$D$2:$D$650,$B1711,半成品入库明细!$G$2:$G$650)</f>
        <v>0</v>
      </c>
      <c r="I1711" s="28">
        <f ca="1">SUMIF(半成品出库明细!$D$2:$D$558,$B1711,半成品出库明细!$G$2:$G$2)</f>
        <v>0</v>
      </c>
      <c r="J1711" s="28">
        <f ca="1" t="shared" si="35"/>
        <v>0</v>
      </c>
      <c r="K1711" s="30" t="s">
        <v>2769</v>
      </c>
      <c r="L1711" s="19"/>
      <c r="M1711" s="3"/>
    </row>
    <row r="1712" s="1" customFormat="1" spans="1:13">
      <c r="A1712" s="22"/>
      <c r="B1712" s="143" t="s">
        <v>2802</v>
      </c>
      <c r="C1712" s="143" t="s">
        <v>2800</v>
      </c>
      <c r="D1712" s="159" t="s">
        <v>2767</v>
      </c>
      <c r="E1712" s="19" t="s">
        <v>356</v>
      </c>
      <c r="F1712" s="26" t="s">
        <v>197</v>
      </c>
      <c r="G1712" s="27">
        <f>SUMIF(物料月初库存!$C$3:$C$303,$B1712,物料月初库存!$F$3:$F$303)</f>
        <v>0</v>
      </c>
      <c r="H1712" s="28">
        <f>SUMIF(半成品入库明细!$D$2:$D$650,$B1712,半成品入库明细!$G$2:$G$650)</f>
        <v>0</v>
      </c>
      <c r="I1712" s="28">
        <f ca="1">SUMIF(半成品出库明细!$D$2:$D$558,$B1712,半成品出库明细!$G$2:$G$2)</f>
        <v>0</v>
      </c>
      <c r="J1712" s="28">
        <f ca="1" t="shared" si="35"/>
        <v>0</v>
      </c>
      <c r="K1712" s="30" t="s">
        <v>1905</v>
      </c>
      <c r="L1712" s="19"/>
      <c r="M1712" s="3"/>
    </row>
    <row r="1713" s="1" customFormat="1" spans="1:13">
      <c r="A1713" s="22"/>
      <c r="B1713" s="143" t="s">
        <v>2803</v>
      </c>
      <c r="C1713" s="143" t="s">
        <v>2800</v>
      </c>
      <c r="D1713" s="159" t="s">
        <v>2767</v>
      </c>
      <c r="E1713" s="19" t="s">
        <v>839</v>
      </c>
      <c r="F1713" s="26" t="s">
        <v>197</v>
      </c>
      <c r="G1713" s="27">
        <f>SUMIF(物料月初库存!$C$3:$C$303,$B1713,物料月初库存!$F$3:$F$303)</f>
        <v>0</v>
      </c>
      <c r="H1713" s="28">
        <f>SUMIF(半成品入库明细!$D$2:$D$650,$B1713,半成品入库明细!$G$2:$G$650)</f>
        <v>0</v>
      </c>
      <c r="I1713" s="28">
        <f ca="1">SUMIF(半成品出库明细!$D$2:$D$558,$B1713,半成品出库明细!$G$2:$G$2)</f>
        <v>0</v>
      </c>
      <c r="J1713" s="28">
        <f ca="1" t="shared" si="35"/>
        <v>0</v>
      </c>
      <c r="K1713" s="30" t="s">
        <v>2804</v>
      </c>
      <c r="L1713" s="19"/>
      <c r="M1713" s="3"/>
    </row>
    <row r="1714" s="1" customFormat="1" spans="1:13">
      <c r="A1714" s="22"/>
      <c r="B1714" s="143" t="s">
        <v>2805</v>
      </c>
      <c r="C1714" s="143" t="s">
        <v>2800</v>
      </c>
      <c r="D1714" s="159" t="s">
        <v>2767</v>
      </c>
      <c r="E1714" s="19" t="s">
        <v>256</v>
      </c>
      <c r="F1714" s="26" t="s">
        <v>197</v>
      </c>
      <c r="G1714" s="27">
        <f>SUMIF(物料月初库存!$C$3:$C$303,$B1714,物料月初库存!$F$3:$F$303)</f>
        <v>0</v>
      </c>
      <c r="H1714" s="28">
        <f>SUMIF(半成品入库明细!$D$2:$D$650,$B1714,半成品入库明细!$G$2:$G$650)</f>
        <v>0</v>
      </c>
      <c r="I1714" s="28">
        <f ca="1">SUMIF(半成品出库明细!$D$2:$D$558,$B1714,半成品出库明细!$G$2:$G$2)</f>
        <v>0</v>
      </c>
      <c r="J1714" s="28">
        <f ca="1" t="shared" si="35"/>
        <v>0</v>
      </c>
      <c r="K1714" s="30" t="s">
        <v>2773</v>
      </c>
      <c r="L1714" s="19"/>
      <c r="M1714" s="3"/>
    </row>
    <row r="1715" s="1" customFormat="1" spans="1:13">
      <c r="A1715" s="22"/>
      <c r="B1715" s="143" t="s">
        <v>2806</v>
      </c>
      <c r="C1715" s="143" t="s">
        <v>2807</v>
      </c>
      <c r="D1715" s="159" t="s">
        <v>2767</v>
      </c>
      <c r="E1715" s="19" t="s">
        <v>76</v>
      </c>
      <c r="F1715" s="26" t="s">
        <v>197</v>
      </c>
      <c r="G1715" s="27">
        <f>SUMIF(物料月初库存!$C$3:$C$303,$B1715,物料月初库存!$F$3:$F$303)</f>
        <v>0</v>
      </c>
      <c r="H1715" s="28">
        <f>SUMIF(半成品入库明细!$D$2:$D$650,$B1715,半成品入库明细!$G$2:$G$650)</f>
        <v>0</v>
      </c>
      <c r="I1715" s="28">
        <f ca="1">SUMIF(半成品出库明细!$D$2:$D$558,$B1715,半成品出库明细!$G$2:$G$2)</f>
        <v>0</v>
      </c>
      <c r="J1715" s="28">
        <f ca="1" t="shared" si="35"/>
        <v>0</v>
      </c>
      <c r="K1715" s="30"/>
      <c r="L1715" s="19"/>
      <c r="M1715" s="3"/>
    </row>
    <row r="1716" s="1" customFormat="1" spans="1:13">
      <c r="A1716" s="22"/>
      <c r="B1716" s="143" t="s">
        <v>2808</v>
      </c>
      <c r="C1716" s="143" t="s">
        <v>2807</v>
      </c>
      <c r="D1716" s="159" t="s">
        <v>2767</v>
      </c>
      <c r="E1716" s="19" t="s">
        <v>316</v>
      </c>
      <c r="F1716" s="26" t="s">
        <v>197</v>
      </c>
      <c r="G1716" s="27">
        <f>SUMIF(物料月初库存!$C$3:$C$303,$B1716,物料月初库存!$F$3:$F$303)</f>
        <v>0</v>
      </c>
      <c r="H1716" s="28">
        <f>SUMIF(半成品入库明细!$D$2:$D$650,$B1716,半成品入库明细!$G$2:$G$650)</f>
        <v>0</v>
      </c>
      <c r="I1716" s="28">
        <f ca="1">SUMIF(半成品出库明细!$D$2:$D$558,$B1716,半成品出库明细!$G$2:$G$2)</f>
        <v>0</v>
      </c>
      <c r="J1716" s="28">
        <f ca="1" t="shared" si="35"/>
        <v>0</v>
      </c>
      <c r="K1716" s="30" t="s">
        <v>2769</v>
      </c>
      <c r="L1716" s="19"/>
      <c r="M1716" s="3"/>
    </row>
    <row r="1717" s="1" customFormat="1" spans="1:13">
      <c r="A1717" s="22"/>
      <c r="B1717" s="143" t="s">
        <v>2809</v>
      </c>
      <c r="C1717" s="143" t="s">
        <v>2807</v>
      </c>
      <c r="D1717" s="159" t="s">
        <v>2767</v>
      </c>
      <c r="E1717" s="19" t="s">
        <v>356</v>
      </c>
      <c r="F1717" s="26" t="s">
        <v>197</v>
      </c>
      <c r="G1717" s="27">
        <f>SUMIF(物料月初库存!$C$3:$C$303,$B1717,物料月初库存!$F$3:$F$303)</f>
        <v>0</v>
      </c>
      <c r="H1717" s="28">
        <f>SUMIF(半成品入库明细!$D$2:$D$650,$B1717,半成品入库明细!$G$2:$G$650)</f>
        <v>0</v>
      </c>
      <c r="I1717" s="28">
        <f ca="1">SUMIF(半成品出库明细!$D$2:$D$558,$B1717,半成品出库明细!$G$2:$G$2)</f>
        <v>0</v>
      </c>
      <c r="J1717" s="28">
        <f ca="1" t="shared" si="35"/>
        <v>0</v>
      </c>
      <c r="K1717" s="30" t="s">
        <v>1905</v>
      </c>
      <c r="L1717" s="19"/>
      <c r="M1717" s="3"/>
    </row>
    <row r="1718" s="1" customFormat="1" spans="1:13">
      <c r="A1718" s="22"/>
      <c r="B1718" s="143" t="s">
        <v>2810</v>
      </c>
      <c r="C1718" s="143" t="s">
        <v>2807</v>
      </c>
      <c r="D1718" s="159" t="s">
        <v>2767</v>
      </c>
      <c r="E1718" s="19" t="s">
        <v>839</v>
      </c>
      <c r="F1718" s="26" t="s">
        <v>197</v>
      </c>
      <c r="G1718" s="27">
        <f>SUMIF(物料月初库存!$C$3:$C$303,$B1718,物料月初库存!$F$3:$F$303)</f>
        <v>0</v>
      </c>
      <c r="H1718" s="28">
        <f>SUMIF(半成品入库明细!$D$2:$D$650,$B1718,半成品入库明细!$G$2:$G$650)</f>
        <v>0</v>
      </c>
      <c r="I1718" s="28">
        <f ca="1">SUMIF(半成品出库明细!$D$2:$D$558,$B1718,半成品出库明细!$G$2:$G$2)</f>
        <v>0</v>
      </c>
      <c r="J1718" s="28">
        <f ca="1" t="shared" si="35"/>
        <v>0</v>
      </c>
      <c r="K1718" s="30" t="s">
        <v>2804</v>
      </c>
      <c r="L1718" s="19"/>
      <c r="M1718" s="3"/>
    </row>
    <row r="1719" s="1" customFormat="1" spans="1:13">
      <c r="A1719" s="22"/>
      <c r="B1719" s="143" t="s">
        <v>2811</v>
      </c>
      <c r="C1719" s="143" t="s">
        <v>2807</v>
      </c>
      <c r="D1719" s="159" t="s">
        <v>2767</v>
      </c>
      <c r="E1719" s="19" t="s">
        <v>256</v>
      </c>
      <c r="F1719" s="26" t="s">
        <v>197</v>
      </c>
      <c r="G1719" s="27">
        <f>SUMIF(物料月初库存!$C$3:$C$303,$B1719,物料月初库存!$F$3:$F$303)</f>
        <v>0</v>
      </c>
      <c r="H1719" s="28">
        <f>SUMIF(半成品入库明细!$D$2:$D$650,$B1719,半成品入库明细!$G$2:$G$650)</f>
        <v>0</v>
      </c>
      <c r="I1719" s="28">
        <f ca="1">SUMIF(半成品出库明细!$D$2:$D$558,$B1719,半成品出库明细!$G$2:$G$2)</f>
        <v>0</v>
      </c>
      <c r="J1719" s="28">
        <f ca="1" t="shared" si="35"/>
        <v>0</v>
      </c>
      <c r="K1719" s="30" t="s">
        <v>2773</v>
      </c>
      <c r="L1719" s="19"/>
      <c r="M1719" s="3"/>
    </row>
    <row r="1720" s="1" customFormat="1" spans="1:13">
      <c r="A1720" s="22"/>
      <c r="B1720" s="143" t="s">
        <v>2812</v>
      </c>
      <c r="C1720" s="143" t="s">
        <v>2813</v>
      </c>
      <c r="D1720" s="143" t="s">
        <v>2814</v>
      </c>
      <c r="E1720" s="19" t="s">
        <v>76</v>
      </c>
      <c r="F1720" s="26" t="s">
        <v>197</v>
      </c>
      <c r="G1720" s="27">
        <f>SUMIF(物料月初库存!$C$3:$C$303,$B1720,物料月初库存!$F$3:$F$303)</f>
        <v>0</v>
      </c>
      <c r="H1720" s="28">
        <f>SUMIF(半成品入库明细!$D$2:$D$650,$B1720,半成品入库明细!$G$2:$G$650)</f>
        <v>0</v>
      </c>
      <c r="I1720" s="28">
        <f ca="1">SUMIF(半成品出库明细!$D$2:$D$558,$B1720,半成品出库明细!$G$2:$G$2)</f>
        <v>0</v>
      </c>
      <c r="J1720" s="28">
        <f ca="1" t="shared" si="35"/>
        <v>0</v>
      </c>
      <c r="K1720" s="30"/>
      <c r="L1720" s="19"/>
      <c r="M1720" s="3"/>
    </row>
    <row r="1721" s="1" customFormat="1" spans="1:13">
      <c r="A1721" s="22"/>
      <c r="B1721" s="143" t="s">
        <v>2815</v>
      </c>
      <c r="C1721" s="143" t="s">
        <v>2813</v>
      </c>
      <c r="D1721" s="143" t="s">
        <v>2814</v>
      </c>
      <c r="E1721" s="19" t="s">
        <v>2816</v>
      </c>
      <c r="F1721" s="26" t="s">
        <v>197</v>
      </c>
      <c r="G1721" s="27">
        <f>SUMIF(物料月初库存!$C$3:$C$303,$B1721,物料月初库存!$F$3:$F$303)</f>
        <v>0</v>
      </c>
      <c r="H1721" s="28">
        <f>SUMIF(半成品入库明细!$D$2:$D$650,$B1721,半成品入库明细!$G$2:$G$650)</f>
        <v>0</v>
      </c>
      <c r="I1721" s="28">
        <f ca="1">SUMIF(半成品出库明细!$D$2:$D$558,$B1721,半成品出库明细!$G$2:$G$2)</f>
        <v>0</v>
      </c>
      <c r="J1721" s="28">
        <f ca="1" t="shared" si="35"/>
        <v>0</v>
      </c>
      <c r="K1721" s="30" t="s">
        <v>113</v>
      </c>
      <c r="L1721" s="19"/>
      <c r="M1721" s="3"/>
    </row>
    <row r="1722" s="1" customFormat="1" spans="1:13">
      <c r="A1722" s="22"/>
      <c r="B1722" s="143" t="s">
        <v>2817</v>
      </c>
      <c r="C1722" s="143" t="s">
        <v>2813</v>
      </c>
      <c r="D1722" s="143" t="s">
        <v>2814</v>
      </c>
      <c r="E1722" s="19" t="s">
        <v>839</v>
      </c>
      <c r="F1722" s="26" t="s">
        <v>197</v>
      </c>
      <c r="G1722" s="27">
        <f>SUMIF(物料月初库存!$C$3:$C$303,$B1722,物料月初库存!$F$3:$F$303)</f>
        <v>0</v>
      </c>
      <c r="H1722" s="28">
        <f>SUMIF(半成品入库明细!$D$2:$D$650,$B1722,半成品入库明细!$G$2:$G$650)</f>
        <v>0</v>
      </c>
      <c r="I1722" s="28">
        <f ca="1">SUMIF(半成品出库明细!$D$2:$D$558,$B1722,半成品出库明细!$G$2:$G$2)</f>
        <v>0</v>
      </c>
      <c r="J1722" s="28">
        <f ca="1" t="shared" si="35"/>
        <v>0</v>
      </c>
      <c r="K1722" s="30" t="s">
        <v>2818</v>
      </c>
      <c r="L1722" s="19"/>
      <c r="M1722" s="3"/>
    </row>
    <row r="1723" s="1" customFormat="1" spans="1:13">
      <c r="A1723" s="22"/>
      <c r="B1723" s="143" t="s">
        <v>2819</v>
      </c>
      <c r="C1723" s="143" t="s">
        <v>2813</v>
      </c>
      <c r="D1723" s="143" t="s">
        <v>2814</v>
      </c>
      <c r="E1723" s="19" t="s">
        <v>326</v>
      </c>
      <c r="F1723" s="26" t="s">
        <v>197</v>
      </c>
      <c r="G1723" s="27">
        <f>SUMIF(物料月初库存!$C$3:$C$303,$B1723,物料月初库存!$F$3:$F$303)</f>
        <v>0</v>
      </c>
      <c r="H1723" s="28">
        <f>SUMIF(半成品入库明细!$D$2:$D$650,$B1723,半成品入库明细!$G$2:$G$650)</f>
        <v>0</v>
      </c>
      <c r="I1723" s="28">
        <f ca="1">SUMIF(半成品出库明细!$D$2:$D$558,$B1723,半成品出库明细!$G$2:$G$2)</f>
        <v>0</v>
      </c>
      <c r="J1723" s="28">
        <f ca="1" t="shared" si="35"/>
        <v>0</v>
      </c>
      <c r="K1723" s="30" t="s">
        <v>146</v>
      </c>
      <c r="L1723" s="19"/>
      <c r="M1723" s="3"/>
    </row>
    <row r="1724" s="1" customFormat="1" spans="1:13">
      <c r="A1724" s="22"/>
      <c r="B1724" s="143" t="s">
        <v>2820</v>
      </c>
      <c r="C1724" s="143" t="s">
        <v>2821</v>
      </c>
      <c r="D1724" s="143" t="s">
        <v>2822</v>
      </c>
      <c r="E1724" s="19" t="s">
        <v>76</v>
      </c>
      <c r="F1724" s="26" t="s">
        <v>197</v>
      </c>
      <c r="G1724" s="27">
        <f>SUMIF(物料月初库存!$C$3:$C$303,$B1724,物料月初库存!$F$3:$F$303)</f>
        <v>0</v>
      </c>
      <c r="H1724" s="28">
        <f>SUMIF(半成品入库明细!$D$2:$D$650,$B1724,半成品入库明细!$G$2:$G$650)</f>
        <v>0</v>
      </c>
      <c r="I1724" s="28">
        <f ca="1">SUMIF(半成品出库明细!$D$2:$D$558,$B1724,半成品出库明细!$G$2:$G$2)</f>
        <v>0</v>
      </c>
      <c r="J1724" s="28">
        <f ca="1" t="shared" si="35"/>
        <v>0</v>
      </c>
      <c r="K1724" s="30"/>
      <c r="L1724" s="19"/>
      <c r="M1724" s="3"/>
    </row>
    <row r="1725" s="1" customFormat="1" spans="1:13">
      <c r="A1725" s="22"/>
      <c r="B1725" s="143" t="s">
        <v>2823</v>
      </c>
      <c r="C1725" s="143" t="s">
        <v>2821</v>
      </c>
      <c r="D1725" s="143" t="s">
        <v>2822</v>
      </c>
      <c r="E1725" s="19" t="s">
        <v>316</v>
      </c>
      <c r="F1725" s="26" t="s">
        <v>197</v>
      </c>
      <c r="G1725" s="27">
        <f>SUMIF(物料月初库存!$C$3:$C$303,$B1725,物料月初库存!$F$3:$F$303)</f>
        <v>0</v>
      </c>
      <c r="H1725" s="28">
        <f>SUMIF(半成品入库明细!$D$2:$D$650,$B1725,半成品入库明细!$G$2:$G$650)</f>
        <v>0</v>
      </c>
      <c r="I1725" s="28">
        <f ca="1">SUMIF(半成品出库明细!$D$2:$D$558,$B1725,半成品出库明细!$G$2:$G$2)</f>
        <v>0</v>
      </c>
      <c r="J1725" s="28">
        <f ca="1" t="shared" si="35"/>
        <v>0</v>
      </c>
      <c r="K1725" s="30" t="s">
        <v>140</v>
      </c>
      <c r="L1725" s="19"/>
      <c r="M1725" s="3"/>
    </row>
    <row r="1726" s="1" customFormat="1" spans="1:13">
      <c r="A1726" s="22"/>
      <c r="B1726" s="143" t="s">
        <v>2824</v>
      </c>
      <c r="C1726" s="143" t="s">
        <v>2821</v>
      </c>
      <c r="D1726" s="143" t="s">
        <v>2822</v>
      </c>
      <c r="E1726" s="19" t="s">
        <v>256</v>
      </c>
      <c r="F1726" s="26" t="s">
        <v>197</v>
      </c>
      <c r="G1726" s="27">
        <f>SUMIF(物料月初库存!$C$3:$C$303,$B1726,物料月初库存!$F$3:$F$303)</f>
        <v>0</v>
      </c>
      <c r="H1726" s="28">
        <f>SUMIF(半成品入库明细!$D$2:$D$650,$B1726,半成品入库明细!$G$2:$G$650)</f>
        <v>0</v>
      </c>
      <c r="I1726" s="28">
        <f ca="1">SUMIF(半成品出库明细!$D$2:$D$558,$B1726,半成品出库明细!$G$2:$G$2)</f>
        <v>0</v>
      </c>
      <c r="J1726" s="28">
        <f ca="1" t="shared" si="35"/>
        <v>0</v>
      </c>
      <c r="K1726" s="30" t="s">
        <v>2825</v>
      </c>
      <c r="L1726" s="19"/>
      <c r="M1726" s="3"/>
    </row>
    <row r="1727" s="1" customFormat="1" spans="1:13">
      <c r="A1727" s="22"/>
      <c r="B1727" s="143" t="s">
        <v>2826</v>
      </c>
      <c r="C1727" s="143" t="s">
        <v>2827</v>
      </c>
      <c r="D1727" s="143" t="s">
        <v>2822</v>
      </c>
      <c r="E1727" s="19" t="s">
        <v>76</v>
      </c>
      <c r="F1727" s="26" t="s">
        <v>197</v>
      </c>
      <c r="G1727" s="27">
        <f>SUMIF(物料月初库存!$C$3:$C$303,$B1727,物料月初库存!$F$3:$F$303)</f>
        <v>0</v>
      </c>
      <c r="H1727" s="28">
        <f>SUMIF(半成品入库明细!$D$2:$D$650,$B1727,半成品入库明细!$G$2:$G$650)</f>
        <v>0</v>
      </c>
      <c r="I1727" s="28">
        <f ca="1">SUMIF(半成品出库明细!$D$2:$D$558,$B1727,半成品出库明细!$G$2:$G$2)</f>
        <v>0</v>
      </c>
      <c r="J1727" s="28">
        <f ca="1" t="shared" si="35"/>
        <v>0</v>
      </c>
      <c r="K1727" s="30" t="s">
        <v>704</v>
      </c>
      <c r="L1727" s="19"/>
      <c r="M1727" s="3"/>
    </row>
    <row r="1728" s="1" customFormat="1" spans="1:13">
      <c r="A1728" s="22"/>
      <c r="B1728" s="143" t="s">
        <v>2828</v>
      </c>
      <c r="C1728" s="143" t="s">
        <v>2827</v>
      </c>
      <c r="D1728" s="143" t="s">
        <v>2822</v>
      </c>
      <c r="E1728" s="19" t="s">
        <v>316</v>
      </c>
      <c r="F1728" s="26" t="s">
        <v>197</v>
      </c>
      <c r="G1728" s="27">
        <f>SUMIF(物料月初库存!$C$3:$C$303,$B1728,物料月初库存!$F$3:$F$303)</f>
        <v>0</v>
      </c>
      <c r="H1728" s="28">
        <f>SUMIF(半成品入库明细!$D$2:$D$650,$B1728,半成品入库明细!$G$2:$G$650)</f>
        <v>0</v>
      </c>
      <c r="I1728" s="28">
        <f ca="1">SUMIF(半成品出库明细!$D$2:$D$558,$B1728,半成品出库明细!$G$2:$G$2)</f>
        <v>0</v>
      </c>
      <c r="J1728" s="28">
        <f ca="1" t="shared" si="35"/>
        <v>0</v>
      </c>
      <c r="K1728" s="30" t="s">
        <v>140</v>
      </c>
      <c r="L1728" s="19"/>
      <c r="M1728" s="3"/>
    </row>
    <row r="1729" s="1" customFormat="1" spans="1:13">
      <c r="A1729" s="22"/>
      <c r="B1729" s="143" t="s">
        <v>2829</v>
      </c>
      <c r="C1729" s="143" t="s">
        <v>2827</v>
      </c>
      <c r="D1729" s="143" t="s">
        <v>2822</v>
      </c>
      <c r="E1729" s="19" t="s">
        <v>691</v>
      </c>
      <c r="F1729" s="26" t="s">
        <v>197</v>
      </c>
      <c r="G1729" s="27">
        <f>SUMIF(物料月初库存!$C$3:$C$303,$B1729,物料月初库存!$F$3:$F$303)</f>
        <v>0</v>
      </c>
      <c r="H1729" s="28">
        <f>SUMIF(半成品入库明细!$D$2:$D$650,$B1729,半成品入库明细!$G$2:$G$650)</f>
        <v>0</v>
      </c>
      <c r="I1729" s="28">
        <f ca="1">SUMIF(半成品出库明细!$D$2:$D$558,$B1729,半成品出库明细!$G$2:$G$2)</f>
        <v>0</v>
      </c>
      <c r="J1729" s="28">
        <f ca="1" t="shared" ref="J1729:J1734" si="36">G1729+H1729-I1729</f>
        <v>0</v>
      </c>
      <c r="K1729" s="30" t="s">
        <v>92</v>
      </c>
      <c r="L1729" s="19"/>
      <c r="M1729" s="3"/>
    </row>
    <row r="1730" s="1" customFormat="1" spans="1:13">
      <c r="A1730" s="22"/>
      <c r="B1730" s="143" t="s">
        <v>2830</v>
      </c>
      <c r="C1730" s="143" t="s">
        <v>2827</v>
      </c>
      <c r="D1730" s="143" t="s">
        <v>2822</v>
      </c>
      <c r="E1730" s="19" t="s">
        <v>839</v>
      </c>
      <c r="F1730" s="26" t="s">
        <v>197</v>
      </c>
      <c r="G1730" s="27">
        <f>SUMIF(物料月初库存!$C$3:$C$303,$B1730,物料月初库存!$F$3:$F$303)</f>
        <v>0</v>
      </c>
      <c r="H1730" s="28">
        <f>SUMIF(半成品入库明细!$D$2:$D$650,$B1730,半成品入库明细!$G$2:$G$650)</f>
        <v>0</v>
      </c>
      <c r="I1730" s="28">
        <f ca="1">SUMIF(半成品出库明细!$D$2:$D$558,$B1730,半成品出库明细!$G$2:$G$2)</f>
        <v>0</v>
      </c>
      <c r="J1730" s="28">
        <f ca="1" t="shared" si="36"/>
        <v>0</v>
      </c>
      <c r="K1730" s="30"/>
      <c r="L1730" s="19"/>
      <c r="M1730" s="3"/>
    </row>
    <row r="1731" s="1" customFormat="1" spans="1:13">
      <c r="A1731" s="22"/>
      <c r="B1731" s="143" t="s">
        <v>47</v>
      </c>
      <c r="C1731" s="143" t="s">
        <v>2831</v>
      </c>
      <c r="D1731" s="143" t="s">
        <v>2822</v>
      </c>
      <c r="E1731" s="19" t="s">
        <v>76</v>
      </c>
      <c r="F1731" s="26" t="s">
        <v>197</v>
      </c>
      <c r="G1731" s="27">
        <f>SUMIF(物料月初库存!$C$3:$C$303,$B1731,物料月初库存!$F$3:$F$303)</f>
        <v>0</v>
      </c>
      <c r="H1731" s="28">
        <f>SUMIF(半成品入库明细!$D$2:$D$650,$B1731,半成品入库明细!$G$2:$G$650)</f>
        <v>0</v>
      </c>
      <c r="I1731" s="28">
        <f ca="1">SUMIF(半成品出库明细!$D$2:$D$558,$B1731,半成品出库明细!$G$2:$G$2)</f>
        <v>0</v>
      </c>
      <c r="J1731" s="28">
        <f ca="1" t="shared" si="36"/>
        <v>0</v>
      </c>
      <c r="K1731" s="30"/>
      <c r="L1731" s="19"/>
      <c r="M1731" s="3"/>
    </row>
    <row r="1732" s="1" customFormat="1" spans="1:13">
      <c r="A1732" s="22"/>
      <c r="B1732" s="143" t="s">
        <v>48</v>
      </c>
      <c r="C1732" s="143" t="s">
        <v>2831</v>
      </c>
      <c r="D1732" s="143" t="s">
        <v>2822</v>
      </c>
      <c r="E1732" s="19" t="s">
        <v>356</v>
      </c>
      <c r="F1732" s="26" t="s">
        <v>197</v>
      </c>
      <c r="G1732" s="27">
        <f>SUMIF(物料月初库存!$C$3:$C$303,$B1732,物料月初库存!$F$3:$F$303)</f>
        <v>0</v>
      </c>
      <c r="H1732" s="28">
        <f>SUMIF(半成品入库明细!$D$2:$D$650,$B1732,半成品入库明细!$G$2:$G$650)</f>
        <v>0</v>
      </c>
      <c r="I1732" s="28">
        <f ca="1">SUMIF(半成品出库明细!$D$2:$D$558,$B1732,半成品出库明细!$G$2:$G$2)</f>
        <v>0</v>
      </c>
      <c r="J1732" s="28">
        <f ca="1" t="shared" si="36"/>
        <v>0</v>
      </c>
      <c r="K1732" s="30" t="s">
        <v>113</v>
      </c>
      <c r="L1732" s="19"/>
      <c r="M1732" s="3"/>
    </row>
    <row r="1733" s="1" customFormat="1" spans="1:13">
      <c r="A1733" s="22"/>
      <c r="B1733" s="143" t="s">
        <v>2832</v>
      </c>
      <c r="C1733" s="143" t="s">
        <v>2831</v>
      </c>
      <c r="D1733" s="143" t="s">
        <v>2822</v>
      </c>
      <c r="E1733" s="19" t="s">
        <v>691</v>
      </c>
      <c r="F1733" s="26" t="s">
        <v>197</v>
      </c>
      <c r="G1733" s="27">
        <f>SUMIF(物料月初库存!$C$3:$C$303,$B1733,物料月初库存!$F$3:$F$303)</f>
        <v>0</v>
      </c>
      <c r="H1733" s="28">
        <f>SUMIF(半成品入库明细!$D$2:$D$650,$B1733,半成品入库明细!$G$2:$G$650)</f>
        <v>0</v>
      </c>
      <c r="I1733" s="28">
        <f ca="1">SUMIF(半成品出库明细!$D$2:$D$558,$B1733,半成品出库明细!$G$2:$G$2)</f>
        <v>0</v>
      </c>
      <c r="J1733" s="28">
        <f ca="1" t="shared" si="36"/>
        <v>0</v>
      </c>
      <c r="K1733" s="30" t="s">
        <v>92</v>
      </c>
      <c r="L1733" s="19"/>
      <c r="M1733" s="3"/>
    </row>
    <row r="1734" s="1" customFormat="1" spans="1:13">
      <c r="A1734" s="22"/>
      <c r="B1734" s="143" t="s">
        <v>49</v>
      </c>
      <c r="C1734" s="143" t="s">
        <v>2831</v>
      </c>
      <c r="D1734" s="143" t="s">
        <v>2822</v>
      </c>
      <c r="E1734" s="19" t="s">
        <v>316</v>
      </c>
      <c r="F1734" s="26" t="s">
        <v>197</v>
      </c>
      <c r="G1734" s="27">
        <f>SUMIF(物料月初库存!$C$3:$C$303,$B1734,物料月初库存!$F$3:$F$303)</f>
        <v>647</v>
      </c>
      <c r="H1734" s="28">
        <f>SUMIF(半成品入库明细!$D$2:$D$650,$B1734,半成品入库明细!$G$2:$G$650)</f>
        <v>0</v>
      </c>
      <c r="I1734" s="28">
        <f ca="1">SUMIF(半成品出库明细!$D$2:$D$558,$B1734,半成品出库明细!$G$2:$G$2)</f>
        <v>0</v>
      </c>
      <c r="J1734" s="28">
        <f ca="1" t="shared" si="36"/>
        <v>647</v>
      </c>
      <c r="K1734" s="30" t="s">
        <v>140</v>
      </c>
      <c r="L1734" s="19"/>
      <c r="M1734" s="3"/>
    </row>
    <row r="1735" s="1" customFormat="1" spans="1:13">
      <c r="A1735" s="22"/>
      <c r="B1735" s="143" t="s">
        <v>2833</v>
      </c>
      <c r="C1735" s="143" t="s">
        <v>2831</v>
      </c>
      <c r="D1735" s="143" t="s">
        <v>2822</v>
      </c>
      <c r="E1735" s="19" t="s">
        <v>839</v>
      </c>
      <c r="F1735" s="26" t="s">
        <v>197</v>
      </c>
      <c r="G1735" s="27">
        <f>SUMIF(物料月初库存!$C$3:$C$303,$B1735,物料月初库存!$F$3:$F$303)</f>
        <v>0</v>
      </c>
      <c r="H1735" s="28">
        <f>SUMIF(半成品入库明细!$D$2:$D$650,$B1735,半成品入库明细!$G$2:$G$650)</f>
        <v>0</v>
      </c>
      <c r="I1735" s="28">
        <f ca="1">SUMIF(半成品出库明细!$D$2:$D$558,$B1735,半成品出库明细!$G$2:$G$2)</f>
        <v>0</v>
      </c>
      <c r="J1735" s="28">
        <f ca="1" t="shared" ref="J1733:J1781" si="37">G1735+H1735-I1735</f>
        <v>0</v>
      </c>
      <c r="K1735" s="30" t="s">
        <v>2818</v>
      </c>
      <c r="L1735" s="19"/>
      <c r="M1735" s="3"/>
    </row>
    <row r="1736" s="1" customFormat="1" spans="1:13">
      <c r="A1736" s="22"/>
      <c r="B1736" s="143" t="s">
        <v>2834</v>
      </c>
      <c r="C1736" s="143" t="s">
        <v>2835</v>
      </c>
      <c r="D1736" s="143" t="s">
        <v>2836</v>
      </c>
      <c r="E1736" s="19" t="s">
        <v>76</v>
      </c>
      <c r="F1736" s="26" t="s">
        <v>197</v>
      </c>
      <c r="G1736" s="27">
        <f>SUMIF(物料月初库存!$C$3:$C$303,$B1736,物料月初库存!$F$3:$F$303)</f>
        <v>0</v>
      </c>
      <c r="H1736" s="28">
        <f>SUMIF(半成品入库明细!$D$2:$D$650,$B1736,半成品入库明细!$G$2:$G$650)</f>
        <v>0</v>
      </c>
      <c r="I1736" s="28">
        <f ca="1">SUMIF(半成品出库明细!$D$2:$D$558,$B1736,半成品出库明细!$G$2:$G$2)</f>
        <v>0</v>
      </c>
      <c r="J1736" s="28">
        <f ca="1" t="shared" si="37"/>
        <v>0</v>
      </c>
      <c r="K1736" s="30"/>
      <c r="L1736" s="19"/>
      <c r="M1736" s="3"/>
    </row>
    <row r="1737" s="1" customFormat="1" spans="1:13">
      <c r="A1737" s="22"/>
      <c r="B1737" s="143" t="s">
        <v>2837</v>
      </c>
      <c r="C1737" s="143" t="s">
        <v>2835</v>
      </c>
      <c r="D1737" s="143" t="s">
        <v>2836</v>
      </c>
      <c r="E1737" s="19" t="s">
        <v>267</v>
      </c>
      <c r="F1737" s="26" t="s">
        <v>197</v>
      </c>
      <c r="G1737" s="27">
        <f>SUMIF(物料月初库存!$C$3:$C$303,$B1737,物料月初库存!$F$3:$F$303)</f>
        <v>0</v>
      </c>
      <c r="H1737" s="28">
        <f>SUMIF(半成品入库明细!$D$2:$D$650,$B1737,半成品入库明细!$G$2:$G$650)</f>
        <v>0</v>
      </c>
      <c r="I1737" s="28">
        <f ca="1">SUMIF(半成品出库明细!$D$2:$D$558,$B1737,半成品出库明细!$G$2:$G$2)</f>
        <v>0</v>
      </c>
      <c r="J1737" s="28">
        <f ca="1" t="shared" si="37"/>
        <v>0</v>
      </c>
      <c r="K1737" s="30" t="s">
        <v>146</v>
      </c>
      <c r="L1737" s="19"/>
      <c r="M1737" s="3"/>
    </row>
    <row r="1738" s="1" customFormat="1" spans="1:13">
      <c r="A1738" s="22"/>
      <c r="B1738" s="143" t="s">
        <v>2838</v>
      </c>
      <c r="C1738" s="143" t="s">
        <v>2839</v>
      </c>
      <c r="D1738" s="143" t="s">
        <v>2840</v>
      </c>
      <c r="E1738" s="19" t="s">
        <v>76</v>
      </c>
      <c r="F1738" s="26" t="s">
        <v>197</v>
      </c>
      <c r="G1738" s="27">
        <f>SUMIF(物料月初库存!$C$3:$C$303,$B1738,物料月初库存!$F$3:$F$303)</f>
        <v>0</v>
      </c>
      <c r="H1738" s="28">
        <f>SUMIF(半成品入库明细!$D$2:$D$650,$B1738,半成品入库明细!$G$2:$G$650)</f>
        <v>0</v>
      </c>
      <c r="I1738" s="28">
        <f ca="1">SUMIF(半成品出库明细!$D$2:$D$558,$B1738,半成品出库明细!$G$2:$G$2)</f>
        <v>0</v>
      </c>
      <c r="J1738" s="28">
        <f ca="1" t="shared" si="37"/>
        <v>0</v>
      </c>
      <c r="K1738" s="30"/>
      <c r="L1738" s="19"/>
      <c r="M1738" s="3"/>
    </row>
    <row r="1739" s="1" customFormat="1" spans="1:13">
      <c r="A1739" s="22"/>
      <c r="B1739" s="143" t="s">
        <v>2841</v>
      </c>
      <c r="C1739" s="143" t="s">
        <v>2839</v>
      </c>
      <c r="D1739" s="143" t="s">
        <v>2840</v>
      </c>
      <c r="E1739" s="19" t="s">
        <v>225</v>
      </c>
      <c r="F1739" s="26" t="s">
        <v>197</v>
      </c>
      <c r="G1739" s="27">
        <f>SUMIF(物料月初库存!$C$3:$C$303,$B1739,物料月初库存!$F$3:$F$303)</f>
        <v>0</v>
      </c>
      <c r="H1739" s="28">
        <f>SUMIF(半成品入库明细!$D$2:$D$650,$B1739,半成品入库明细!$G$2:$G$650)</f>
        <v>0</v>
      </c>
      <c r="I1739" s="28">
        <f ca="1">SUMIF(半成品出库明细!$D$2:$D$558,$B1739,半成品出库明细!$G$2:$G$2)</f>
        <v>0</v>
      </c>
      <c r="J1739" s="28">
        <f ca="1" t="shared" si="37"/>
        <v>0</v>
      </c>
      <c r="K1739" s="30" t="s">
        <v>2842</v>
      </c>
      <c r="L1739" s="19"/>
      <c r="M1739" s="3"/>
    </row>
    <row r="1740" s="1" customFormat="1" spans="1:13">
      <c r="A1740" s="22"/>
      <c r="B1740" s="143" t="s">
        <v>2843</v>
      </c>
      <c r="C1740" s="143" t="s">
        <v>2844</v>
      </c>
      <c r="D1740" s="143" t="s">
        <v>2840</v>
      </c>
      <c r="E1740" s="19" t="s">
        <v>2845</v>
      </c>
      <c r="F1740" s="26" t="s">
        <v>197</v>
      </c>
      <c r="G1740" s="27">
        <f>SUMIF(物料月初库存!$C$3:$C$303,$B1740,物料月初库存!$F$3:$F$303)</f>
        <v>0</v>
      </c>
      <c r="H1740" s="28">
        <f>SUMIF(半成品入库明细!$D$2:$D$650,$B1740,半成品入库明细!$G$2:$G$650)</f>
        <v>0</v>
      </c>
      <c r="I1740" s="28">
        <f ca="1">SUMIF(半成品出库明细!$D$2:$D$558,$B1740,半成品出库明细!$G$2:$G$2)</f>
        <v>0</v>
      </c>
      <c r="J1740" s="28">
        <f ca="1" t="shared" si="37"/>
        <v>0</v>
      </c>
      <c r="K1740" s="30" t="s">
        <v>2846</v>
      </c>
      <c r="L1740" s="19"/>
      <c r="M1740" s="3"/>
    </row>
    <row r="1741" s="1" customFormat="1" spans="1:13">
      <c r="A1741" s="22"/>
      <c r="B1741" s="143" t="s">
        <v>2847</v>
      </c>
      <c r="C1741" s="143" t="s">
        <v>2848</v>
      </c>
      <c r="D1741" s="143" t="s">
        <v>2840</v>
      </c>
      <c r="E1741" s="19" t="s">
        <v>2849</v>
      </c>
      <c r="F1741" s="26" t="s">
        <v>197</v>
      </c>
      <c r="G1741" s="27">
        <f>SUMIF(物料月初库存!$C$3:$C$303,$B1741,物料月初库存!$F$3:$F$303)</f>
        <v>0</v>
      </c>
      <c r="H1741" s="28">
        <f>SUMIF(半成品入库明细!$D$2:$D$650,$B1741,半成品入库明细!$G$2:$G$650)</f>
        <v>0</v>
      </c>
      <c r="I1741" s="28">
        <f ca="1">SUMIF(半成品出库明细!$D$2:$D$558,$B1741,半成品出库明细!$G$2:$G$2)</f>
        <v>0</v>
      </c>
      <c r="J1741" s="28">
        <f ca="1" t="shared" si="37"/>
        <v>0</v>
      </c>
      <c r="K1741" s="30" t="s">
        <v>2850</v>
      </c>
      <c r="L1741" s="19"/>
      <c r="M1741" s="3"/>
    </row>
    <row r="1742" s="1" customFormat="1" spans="1:13">
      <c r="A1742" s="22"/>
      <c r="B1742" s="143" t="s">
        <v>2851</v>
      </c>
      <c r="C1742" s="143" t="s">
        <v>2852</v>
      </c>
      <c r="D1742" s="143" t="s">
        <v>2840</v>
      </c>
      <c r="E1742" s="19" t="s">
        <v>2853</v>
      </c>
      <c r="F1742" s="26" t="s">
        <v>197</v>
      </c>
      <c r="G1742" s="27">
        <f>SUMIF(物料月初库存!$C$3:$C$303,$B1742,物料月初库存!$F$3:$F$303)</f>
        <v>0</v>
      </c>
      <c r="H1742" s="28">
        <f>SUMIF(半成品入库明细!$D$2:$D$650,$B1742,半成品入库明细!$G$2:$G$650)</f>
        <v>0</v>
      </c>
      <c r="I1742" s="28">
        <f ca="1">SUMIF(半成品出库明细!$D$2:$D$558,$B1742,半成品出库明细!$G$2:$G$2)</f>
        <v>0</v>
      </c>
      <c r="J1742" s="28">
        <f ca="1" t="shared" si="37"/>
        <v>0</v>
      </c>
      <c r="K1742" s="30" t="s">
        <v>2854</v>
      </c>
      <c r="L1742" s="19"/>
      <c r="M1742" s="3"/>
    </row>
    <row r="1743" s="1" customFormat="1" spans="1:13">
      <c r="A1743" s="22"/>
      <c r="B1743" s="143" t="s">
        <v>2855</v>
      </c>
      <c r="C1743" s="143" t="s">
        <v>2848</v>
      </c>
      <c r="D1743" s="143" t="s">
        <v>2840</v>
      </c>
      <c r="E1743" s="19" t="s">
        <v>2856</v>
      </c>
      <c r="F1743" s="26" t="s">
        <v>197</v>
      </c>
      <c r="G1743" s="27">
        <f>SUMIF(物料月初库存!$C$3:$C$303,$B1743,物料月初库存!$F$3:$F$303)</f>
        <v>0</v>
      </c>
      <c r="H1743" s="28">
        <f>SUMIF(半成品入库明细!$D$2:$D$650,$B1743,半成品入库明细!$G$2:$G$650)</f>
        <v>0</v>
      </c>
      <c r="I1743" s="28">
        <f ca="1">SUMIF(半成品出库明细!$D$2:$D$558,$B1743,半成品出库明细!$G$2:$G$2)</f>
        <v>0</v>
      </c>
      <c r="J1743" s="28">
        <f ca="1" t="shared" si="37"/>
        <v>0</v>
      </c>
      <c r="K1743" s="30" t="s">
        <v>2857</v>
      </c>
      <c r="L1743" s="19"/>
      <c r="M1743" s="3"/>
    </row>
    <row r="1744" s="1" customFormat="1" spans="1:13">
      <c r="A1744" s="22"/>
      <c r="B1744" s="143" t="s">
        <v>2858</v>
      </c>
      <c r="C1744" s="143" t="s">
        <v>2839</v>
      </c>
      <c r="D1744" s="143" t="s">
        <v>2840</v>
      </c>
      <c r="E1744" s="19" t="s">
        <v>256</v>
      </c>
      <c r="F1744" s="26" t="s">
        <v>197</v>
      </c>
      <c r="G1744" s="27">
        <f>SUMIF(物料月初库存!$C$3:$C$303,$B1744,物料月初库存!$F$3:$F$303)</f>
        <v>0</v>
      </c>
      <c r="H1744" s="28">
        <f>SUMIF(半成品入库明细!$D$2:$D$650,$B1744,半成品入库明细!$G$2:$G$650)</f>
        <v>0</v>
      </c>
      <c r="I1744" s="28">
        <f ca="1">SUMIF(半成品出库明细!$D$2:$D$558,$B1744,半成品出库明细!$G$2:$G$2)</f>
        <v>0</v>
      </c>
      <c r="J1744" s="28">
        <f ca="1" t="shared" si="37"/>
        <v>0</v>
      </c>
      <c r="K1744" s="124" t="s">
        <v>2859</v>
      </c>
      <c r="L1744" s="19"/>
      <c r="M1744" s="3"/>
    </row>
    <row r="1745" s="1" customFormat="1" spans="1:13">
      <c r="A1745" s="22"/>
      <c r="B1745" s="143" t="s">
        <v>50</v>
      </c>
      <c r="C1745" s="143" t="s">
        <v>2860</v>
      </c>
      <c r="D1745" s="143" t="s">
        <v>2861</v>
      </c>
      <c r="E1745" s="19" t="s">
        <v>76</v>
      </c>
      <c r="F1745" s="26" t="s">
        <v>197</v>
      </c>
      <c r="G1745" s="27">
        <f>SUMIF(物料月初库存!$C$3:$C$303,$B1745,物料月初库存!$F$3:$F$303)</f>
        <v>0</v>
      </c>
      <c r="H1745" s="28">
        <f>SUMIF(半成品入库明细!$D$2:$D$650,$B1745,半成品入库明细!$G$2:$G$650)</f>
        <v>0</v>
      </c>
      <c r="I1745" s="28">
        <f ca="1">SUMIF(半成品出库明细!$D$2:$D$558,$B1745,半成品出库明细!$G$2:$G$2)</f>
        <v>0</v>
      </c>
      <c r="J1745" s="28">
        <f ca="1" t="shared" si="37"/>
        <v>0</v>
      </c>
      <c r="K1745" s="30"/>
      <c r="L1745" s="19"/>
      <c r="M1745" s="3"/>
    </row>
    <row r="1746" s="1" customFormat="1" spans="1:13">
      <c r="A1746" s="22"/>
      <c r="B1746" s="143" t="s">
        <v>2862</v>
      </c>
      <c r="C1746" s="143" t="s">
        <v>2860</v>
      </c>
      <c r="D1746" s="143" t="s">
        <v>2861</v>
      </c>
      <c r="E1746" s="19" t="s">
        <v>316</v>
      </c>
      <c r="F1746" s="26" t="s">
        <v>197</v>
      </c>
      <c r="G1746" s="27">
        <f>SUMIF(物料月初库存!$C$3:$C$303,$B1746,物料月初库存!$F$3:$F$303)</f>
        <v>0</v>
      </c>
      <c r="H1746" s="28">
        <f>SUMIF(半成品入库明细!$D$2:$D$650,$B1746,半成品入库明细!$G$2:$G$650)</f>
        <v>0</v>
      </c>
      <c r="I1746" s="28">
        <f ca="1">SUMIF(半成品出库明细!$D$2:$D$558,$B1746,半成品出库明细!$G$2:$G$2)</f>
        <v>0</v>
      </c>
      <c r="J1746" s="28">
        <f ca="1" t="shared" si="37"/>
        <v>0</v>
      </c>
      <c r="K1746" s="30" t="s">
        <v>2863</v>
      </c>
      <c r="L1746" s="19"/>
      <c r="M1746" s="3"/>
    </row>
    <row r="1747" s="1" customFormat="1" spans="1:13">
      <c r="A1747" s="22"/>
      <c r="B1747" s="143" t="s">
        <v>2864</v>
      </c>
      <c r="C1747" s="143" t="s">
        <v>2860</v>
      </c>
      <c r="D1747" s="143" t="s">
        <v>2861</v>
      </c>
      <c r="E1747" s="19" t="s">
        <v>239</v>
      </c>
      <c r="F1747" s="26" t="s">
        <v>197</v>
      </c>
      <c r="G1747" s="27">
        <f>SUMIF(物料月初库存!$C$3:$C$303,$B1747,物料月初库存!$F$3:$F$303)</f>
        <v>0</v>
      </c>
      <c r="H1747" s="28">
        <f>SUMIF(半成品入库明细!$D$2:$D$650,$B1747,半成品入库明细!$G$2:$G$650)</f>
        <v>0</v>
      </c>
      <c r="I1747" s="28">
        <f ca="1">SUMIF(半成品出库明细!$D$2:$D$558,$B1747,半成品出库明细!$G$2:$G$2)</f>
        <v>0</v>
      </c>
      <c r="J1747" s="28">
        <f ca="1" t="shared" si="37"/>
        <v>0</v>
      </c>
      <c r="K1747" s="30" t="s">
        <v>2865</v>
      </c>
      <c r="L1747" s="19"/>
      <c r="M1747" s="3"/>
    </row>
    <row r="1748" s="1" customFormat="1" spans="1:13">
      <c r="A1748" s="22"/>
      <c r="B1748" s="143" t="s">
        <v>2866</v>
      </c>
      <c r="C1748" s="143" t="s">
        <v>2867</v>
      </c>
      <c r="D1748" s="143" t="s">
        <v>2868</v>
      </c>
      <c r="E1748" s="19" t="s">
        <v>76</v>
      </c>
      <c r="F1748" s="26" t="s">
        <v>197</v>
      </c>
      <c r="G1748" s="27">
        <f>SUMIF(物料月初库存!$C$3:$C$303,$B1748,物料月初库存!$F$3:$F$303)</f>
        <v>0</v>
      </c>
      <c r="H1748" s="28">
        <f>SUMIF(半成品入库明细!$D$2:$D$650,$B1748,半成品入库明细!$G$2:$G$650)</f>
        <v>0</v>
      </c>
      <c r="I1748" s="28">
        <f ca="1">SUMIF(半成品出库明细!$D$2:$D$558,$B1748,半成品出库明细!$G$2:$G$2)</f>
        <v>0</v>
      </c>
      <c r="J1748" s="28">
        <f ca="1" t="shared" si="37"/>
        <v>0</v>
      </c>
      <c r="K1748" s="30"/>
      <c r="L1748" s="19"/>
      <c r="M1748" s="3"/>
    </row>
    <row r="1749" s="1" customFormat="1" spans="1:13">
      <c r="A1749" s="22"/>
      <c r="B1749" s="143" t="s">
        <v>2869</v>
      </c>
      <c r="C1749" s="143" t="s">
        <v>2867</v>
      </c>
      <c r="D1749" s="143" t="s">
        <v>2868</v>
      </c>
      <c r="E1749" s="19" t="s">
        <v>267</v>
      </c>
      <c r="F1749" s="26" t="s">
        <v>197</v>
      </c>
      <c r="G1749" s="27">
        <f>SUMIF(物料月初库存!$C$3:$C$303,$B1749,物料月初库存!$F$3:$F$303)</f>
        <v>0</v>
      </c>
      <c r="H1749" s="28">
        <f>SUMIF(半成品入库明细!$D$2:$D$650,$B1749,半成品入库明细!$G$2:$G$650)</f>
        <v>0</v>
      </c>
      <c r="I1749" s="28">
        <f ca="1">SUMIF(半成品出库明细!$D$2:$D$558,$B1749,半成品出库明细!$G$2:$G$2)</f>
        <v>0</v>
      </c>
      <c r="J1749" s="28">
        <f ca="1" t="shared" si="37"/>
        <v>0</v>
      </c>
      <c r="K1749" s="30" t="s">
        <v>146</v>
      </c>
      <c r="L1749" s="19"/>
      <c r="M1749" s="3"/>
    </row>
    <row r="1750" s="1" customFormat="1" spans="1:13">
      <c r="A1750" s="22"/>
      <c r="B1750" s="143" t="s">
        <v>2870</v>
      </c>
      <c r="C1750" s="143" t="s">
        <v>2867</v>
      </c>
      <c r="D1750" s="143" t="s">
        <v>2868</v>
      </c>
      <c r="E1750" s="19" t="s">
        <v>356</v>
      </c>
      <c r="F1750" s="26" t="s">
        <v>197</v>
      </c>
      <c r="G1750" s="27">
        <f>SUMIF(物料月初库存!$C$3:$C$303,$B1750,物料月初库存!$F$3:$F$303)</f>
        <v>0</v>
      </c>
      <c r="H1750" s="28">
        <f>SUMIF(半成品入库明细!$D$2:$D$650,$B1750,半成品入库明细!$G$2:$G$650)</f>
        <v>0</v>
      </c>
      <c r="I1750" s="28">
        <f ca="1">SUMIF(半成品出库明细!$D$2:$D$558,$B1750,半成品出库明细!$G$2:$G$2)</f>
        <v>0</v>
      </c>
      <c r="J1750" s="28">
        <f ca="1" t="shared" si="37"/>
        <v>0</v>
      </c>
      <c r="K1750" s="30" t="s">
        <v>1841</v>
      </c>
      <c r="L1750" s="19"/>
      <c r="M1750" s="3"/>
    </row>
    <row r="1751" s="1" customFormat="1" spans="1:13">
      <c r="A1751" s="22"/>
      <c r="B1751" s="143" t="s">
        <v>2871</v>
      </c>
      <c r="C1751" s="143" t="s">
        <v>2867</v>
      </c>
      <c r="D1751" s="143" t="s">
        <v>2868</v>
      </c>
      <c r="E1751" s="19" t="s">
        <v>644</v>
      </c>
      <c r="F1751" s="26" t="s">
        <v>197</v>
      </c>
      <c r="G1751" s="27">
        <f>SUMIF(物料月初库存!$C$3:$C$303,$B1751,物料月初库存!$F$3:$F$303)</f>
        <v>0</v>
      </c>
      <c r="H1751" s="28">
        <f>SUMIF(半成品入库明细!$D$2:$D$650,$B1751,半成品入库明细!$G$2:$G$650)</f>
        <v>0</v>
      </c>
      <c r="I1751" s="28">
        <f ca="1">SUMIF(半成品出库明细!$D$2:$D$558,$B1751,半成品出库明细!$G$2:$G$2)</f>
        <v>0</v>
      </c>
      <c r="J1751" s="28">
        <f ca="1" t="shared" si="37"/>
        <v>0</v>
      </c>
      <c r="K1751" s="30" t="s">
        <v>218</v>
      </c>
      <c r="L1751" s="19"/>
      <c r="M1751" s="3"/>
    </row>
    <row r="1752" s="1" customFormat="1" spans="1:13">
      <c r="A1752" s="22"/>
      <c r="B1752" s="143" t="s">
        <v>2872</v>
      </c>
      <c r="C1752" s="143" t="s">
        <v>2873</v>
      </c>
      <c r="D1752" s="143" t="s">
        <v>2874</v>
      </c>
      <c r="E1752" s="19" t="s">
        <v>76</v>
      </c>
      <c r="F1752" s="26" t="s">
        <v>197</v>
      </c>
      <c r="G1752" s="27">
        <f>SUMIF(物料月初库存!$C$3:$C$303,$B1752,物料月初库存!$F$3:$F$303)</f>
        <v>0</v>
      </c>
      <c r="H1752" s="28">
        <f>SUMIF(半成品入库明细!$D$2:$D$650,$B1752,半成品入库明细!$G$2:$G$650)</f>
        <v>0</v>
      </c>
      <c r="I1752" s="28">
        <f ca="1">SUMIF(半成品出库明细!$D$2:$D$558,$B1752,半成品出库明细!$G$2:$G$2)</f>
        <v>0</v>
      </c>
      <c r="J1752" s="28">
        <f ca="1" t="shared" si="37"/>
        <v>0</v>
      </c>
      <c r="K1752" s="30"/>
      <c r="L1752" s="19"/>
      <c r="M1752" s="3"/>
    </row>
    <row r="1753" s="1" customFormat="1" spans="1:13">
      <c r="A1753" s="22"/>
      <c r="B1753" s="143" t="s">
        <v>2875</v>
      </c>
      <c r="C1753" s="143" t="s">
        <v>2873</v>
      </c>
      <c r="D1753" s="143" t="s">
        <v>2874</v>
      </c>
      <c r="E1753" s="19" t="s">
        <v>225</v>
      </c>
      <c r="F1753" s="26" t="s">
        <v>197</v>
      </c>
      <c r="G1753" s="27">
        <f>SUMIF(物料月初库存!$C$3:$C$303,$B1753,物料月初库存!$F$3:$F$303)</f>
        <v>0</v>
      </c>
      <c r="H1753" s="28">
        <f>SUMIF(半成品入库明细!$D$2:$D$650,$B1753,半成品入库明细!$G$2:$G$650)</f>
        <v>0</v>
      </c>
      <c r="I1753" s="28">
        <f ca="1">SUMIF(半成品出库明细!$D$2:$D$558,$B1753,半成品出库明细!$G$2:$G$2)</f>
        <v>0</v>
      </c>
      <c r="J1753" s="28">
        <f ca="1" t="shared" si="37"/>
        <v>0</v>
      </c>
      <c r="K1753" s="30" t="s">
        <v>92</v>
      </c>
      <c r="L1753" s="19"/>
      <c r="M1753" s="3"/>
    </row>
    <row r="1754" s="1" customFormat="1" spans="1:13">
      <c r="A1754" s="22"/>
      <c r="B1754" s="143" t="s">
        <v>2876</v>
      </c>
      <c r="C1754" s="143" t="s">
        <v>2877</v>
      </c>
      <c r="D1754" s="143" t="s">
        <v>2874</v>
      </c>
      <c r="E1754" s="19" t="s">
        <v>76</v>
      </c>
      <c r="F1754" s="26" t="s">
        <v>197</v>
      </c>
      <c r="G1754" s="27">
        <f>SUMIF(物料月初库存!$C$3:$C$303,$B1754,物料月初库存!$F$3:$F$303)</f>
        <v>0</v>
      </c>
      <c r="H1754" s="28">
        <f>SUMIF(半成品入库明细!$D$2:$D$650,$B1754,半成品入库明细!$G$2:$G$650)</f>
        <v>0</v>
      </c>
      <c r="I1754" s="28">
        <f ca="1">SUMIF(半成品出库明细!$D$2:$D$558,$B1754,半成品出库明细!$G$2:$G$2)</f>
        <v>0</v>
      </c>
      <c r="J1754" s="28">
        <f ca="1" t="shared" si="37"/>
        <v>0</v>
      </c>
      <c r="K1754" s="30"/>
      <c r="L1754" s="19"/>
      <c r="M1754" s="3"/>
    </row>
    <row r="1755" s="1" customFormat="1" spans="1:13">
      <c r="A1755" s="22"/>
      <c r="B1755" s="143" t="s">
        <v>2878</v>
      </c>
      <c r="C1755" s="143" t="s">
        <v>2877</v>
      </c>
      <c r="D1755" s="143" t="s">
        <v>2874</v>
      </c>
      <c r="E1755" s="19" t="s">
        <v>225</v>
      </c>
      <c r="F1755" s="26" t="s">
        <v>197</v>
      </c>
      <c r="G1755" s="27">
        <f>SUMIF(物料月初库存!$C$3:$C$303,$B1755,物料月初库存!$F$3:$F$303)</f>
        <v>0</v>
      </c>
      <c r="H1755" s="28">
        <f>SUMIF(半成品入库明细!$D$2:$D$650,$B1755,半成品入库明细!$G$2:$G$650)</f>
        <v>0</v>
      </c>
      <c r="I1755" s="28">
        <f ca="1">SUMIF(半成品出库明细!$D$2:$D$558,$B1755,半成品出库明细!$G$2:$G$2)</f>
        <v>0</v>
      </c>
      <c r="J1755" s="28">
        <f ca="1" t="shared" si="37"/>
        <v>0</v>
      </c>
      <c r="K1755" s="30" t="s">
        <v>92</v>
      </c>
      <c r="L1755" s="19"/>
      <c r="M1755" s="3"/>
    </row>
    <row r="1756" s="1" customFormat="1" spans="1:13">
      <c r="A1756" s="22"/>
      <c r="B1756" s="143" t="s">
        <v>2879</v>
      </c>
      <c r="C1756" s="143" t="s">
        <v>2880</v>
      </c>
      <c r="D1756" s="143" t="s">
        <v>2874</v>
      </c>
      <c r="E1756" s="19" t="s">
        <v>76</v>
      </c>
      <c r="F1756" s="26" t="s">
        <v>197</v>
      </c>
      <c r="G1756" s="27">
        <f>SUMIF(物料月初库存!$C$3:$C$303,$B1756,物料月初库存!$F$3:$F$303)</f>
        <v>0</v>
      </c>
      <c r="H1756" s="28">
        <f>SUMIF(半成品入库明细!$D$2:$D$650,$B1756,半成品入库明细!$G$2:$G$650)</f>
        <v>0</v>
      </c>
      <c r="I1756" s="28">
        <f ca="1">SUMIF(半成品出库明细!$D$2:$D$558,$B1756,半成品出库明细!$G$2:$G$2)</f>
        <v>0</v>
      </c>
      <c r="J1756" s="28">
        <f ca="1" t="shared" si="37"/>
        <v>0</v>
      </c>
      <c r="K1756" s="30"/>
      <c r="L1756" s="19"/>
      <c r="M1756" s="3"/>
    </row>
    <row r="1757" s="1" customFormat="1" spans="1:13">
      <c r="A1757" s="22"/>
      <c r="B1757" s="143" t="s">
        <v>2881</v>
      </c>
      <c r="C1757" s="143" t="s">
        <v>2880</v>
      </c>
      <c r="D1757" s="143" t="s">
        <v>2874</v>
      </c>
      <c r="E1757" s="19" t="s">
        <v>225</v>
      </c>
      <c r="F1757" s="26" t="s">
        <v>197</v>
      </c>
      <c r="G1757" s="27">
        <f>SUMIF(物料月初库存!$C$3:$C$303,$B1757,物料月初库存!$F$3:$F$303)</f>
        <v>0</v>
      </c>
      <c r="H1757" s="28">
        <f>SUMIF(半成品入库明细!$D$2:$D$650,$B1757,半成品入库明细!$G$2:$G$650)</f>
        <v>0</v>
      </c>
      <c r="I1757" s="28">
        <f ca="1">SUMIF(半成品出库明细!$D$2:$D$558,$B1757,半成品出库明细!$G$2:$G$2)</f>
        <v>0</v>
      </c>
      <c r="J1757" s="28">
        <f ca="1" t="shared" si="37"/>
        <v>0</v>
      </c>
      <c r="K1757" s="30" t="s">
        <v>92</v>
      </c>
      <c r="L1757" s="19"/>
      <c r="M1757" s="3"/>
    </row>
    <row r="1758" s="1" customFormat="1" spans="1:13">
      <c r="A1758" s="22"/>
      <c r="B1758" s="143" t="s">
        <v>2882</v>
      </c>
      <c r="C1758" s="143" t="s">
        <v>2883</v>
      </c>
      <c r="D1758" s="143" t="s">
        <v>2874</v>
      </c>
      <c r="E1758" s="19" t="s">
        <v>76</v>
      </c>
      <c r="F1758" s="26" t="s">
        <v>197</v>
      </c>
      <c r="G1758" s="27">
        <f>SUMIF(物料月初库存!$C$3:$C$303,$B1758,物料月初库存!$F$3:$F$303)</f>
        <v>0</v>
      </c>
      <c r="H1758" s="28">
        <f>SUMIF(半成品入库明细!$D$2:$D$650,$B1758,半成品入库明细!$G$2:$G$650)</f>
        <v>0</v>
      </c>
      <c r="I1758" s="28">
        <f ca="1">SUMIF(半成品出库明细!$D$2:$D$558,$B1758,半成品出库明细!$G$2:$G$2)</f>
        <v>0</v>
      </c>
      <c r="J1758" s="28">
        <f ca="1" t="shared" si="37"/>
        <v>0</v>
      </c>
      <c r="K1758" s="30"/>
      <c r="L1758" s="19"/>
      <c r="M1758" s="3"/>
    </row>
    <row r="1759" s="1" customFormat="1" spans="1:13">
      <c r="A1759" s="22"/>
      <c r="B1759" s="143" t="s">
        <v>2884</v>
      </c>
      <c r="C1759" s="143" t="s">
        <v>2883</v>
      </c>
      <c r="D1759" s="143" t="s">
        <v>2874</v>
      </c>
      <c r="E1759" s="19" t="s">
        <v>733</v>
      </c>
      <c r="F1759" s="26" t="s">
        <v>197</v>
      </c>
      <c r="G1759" s="27">
        <f>SUMIF(物料月初库存!$C$3:$C$303,$B1759,物料月初库存!$F$3:$F$303)</f>
        <v>0</v>
      </c>
      <c r="H1759" s="28">
        <f>SUMIF(半成品入库明细!$D$2:$D$650,$B1759,半成品入库明细!$G$2:$G$650)</f>
        <v>0</v>
      </c>
      <c r="I1759" s="28">
        <f ca="1">SUMIF(半成品出库明细!$D$2:$D$558,$B1759,半成品出库明细!$G$2:$G$2)</f>
        <v>0</v>
      </c>
      <c r="J1759" s="28">
        <f ca="1" t="shared" si="37"/>
        <v>0</v>
      </c>
      <c r="K1759" s="30" t="s">
        <v>1841</v>
      </c>
      <c r="L1759" s="19"/>
      <c r="M1759" s="3"/>
    </row>
    <row r="1760" s="1" customFormat="1" spans="1:13">
      <c r="A1760" s="22"/>
      <c r="B1760" s="143" t="s">
        <v>2885</v>
      </c>
      <c r="C1760" s="143" t="s">
        <v>2883</v>
      </c>
      <c r="D1760" s="143" t="s">
        <v>2874</v>
      </c>
      <c r="E1760" s="19" t="s">
        <v>256</v>
      </c>
      <c r="F1760" s="26" t="s">
        <v>197</v>
      </c>
      <c r="G1760" s="27">
        <f>SUMIF(物料月初库存!$C$3:$C$303,$B1760,物料月初库存!$F$3:$F$303)</f>
        <v>0</v>
      </c>
      <c r="H1760" s="28">
        <f>SUMIF(半成品入库明细!$D$2:$D$650,$B1760,半成品入库明细!$G$2:$G$650)</f>
        <v>0</v>
      </c>
      <c r="I1760" s="28">
        <f ca="1">SUMIF(半成品出库明细!$D$2:$D$558,$B1760,半成品出库明细!$G$2:$G$2)</f>
        <v>0</v>
      </c>
      <c r="J1760" s="28">
        <f ca="1" t="shared" si="37"/>
        <v>0</v>
      </c>
      <c r="K1760" s="30"/>
      <c r="L1760" s="19"/>
      <c r="M1760" s="3"/>
    </row>
    <row r="1761" s="1" customFormat="1" spans="1:13">
      <c r="A1761" s="22"/>
      <c r="B1761" s="143" t="s">
        <v>2886</v>
      </c>
      <c r="C1761" s="143" t="s">
        <v>2887</v>
      </c>
      <c r="D1761" s="143" t="s">
        <v>2874</v>
      </c>
      <c r="E1761" s="19" t="s">
        <v>76</v>
      </c>
      <c r="F1761" s="26" t="s">
        <v>197</v>
      </c>
      <c r="G1761" s="27">
        <f>SUMIF(物料月初库存!$C$3:$C$303,$B1761,物料月初库存!$F$3:$F$303)</f>
        <v>0</v>
      </c>
      <c r="H1761" s="28">
        <f>SUMIF(半成品入库明细!$D$2:$D$650,$B1761,半成品入库明细!$G$2:$G$650)</f>
        <v>0</v>
      </c>
      <c r="I1761" s="28">
        <f ca="1">SUMIF(半成品出库明细!$D$2:$D$558,$B1761,半成品出库明细!$G$2:$G$2)</f>
        <v>0</v>
      </c>
      <c r="J1761" s="28">
        <f ca="1" t="shared" si="37"/>
        <v>0</v>
      </c>
      <c r="K1761" s="30"/>
      <c r="L1761" s="19"/>
      <c r="M1761" s="3"/>
    </row>
    <row r="1762" s="1" customFormat="1" spans="1:13">
      <c r="A1762" s="22"/>
      <c r="B1762" s="143" t="s">
        <v>2888</v>
      </c>
      <c r="C1762" s="143" t="s">
        <v>2887</v>
      </c>
      <c r="D1762" s="143" t="s">
        <v>2874</v>
      </c>
      <c r="E1762" s="19" t="s">
        <v>2889</v>
      </c>
      <c r="F1762" s="26" t="s">
        <v>197</v>
      </c>
      <c r="G1762" s="27">
        <f>SUMIF(物料月初库存!$C$3:$C$303,$B1762,物料月初库存!$F$3:$F$303)</f>
        <v>0</v>
      </c>
      <c r="H1762" s="28">
        <f>SUMIF(半成品入库明细!$D$2:$D$650,$B1762,半成品入库明细!$G$2:$G$650)</f>
        <v>0</v>
      </c>
      <c r="I1762" s="28">
        <f ca="1">SUMIF(半成品出库明细!$D$2:$D$558,$B1762,半成品出库明细!$G$2:$G$2)</f>
        <v>0</v>
      </c>
      <c r="J1762" s="28">
        <f ca="1" t="shared" si="37"/>
        <v>0</v>
      </c>
      <c r="K1762" s="30" t="s">
        <v>1476</v>
      </c>
      <c r="L1762" s="19"/>
      <c r="M1762" s="3"/>
    </row>
    <row r="1763" s="1" customFormat="1" spans="1:13">
      <c r="A1763" s="22"/>
      <c r="B1763" s="143" t="s">
        <v>2890</v>
      </c>
      <c r="C1763" s="143" t="s">
        <v>2887</v>
      </c>
      <c r="D1763" s="143" t="s">
        <v>2874</v>
      </c>
      <c r="E1763" s="19" t="s">
        <v>256</v>
      </c>
      <c r="F1763" s="26" t="s">
        <v>197</v>
      </c>
      <c r="G1763" s="27">
        <f>SUMIF(物料月初库存!$C$3:$C$303,$B1763,物料月初库存!$F$3:$F$303)</f>
        <v>0</v>
      </c>
      <c r="H1763" s="28">
        <f>SUMIF(半成品入库明细!$D$2:$D$650,$B1763,半成品入库明细!$G$2:$G$650)</f>
        <v>0</v>
      </c>
      <c r="I1763" s="28">
        <f ca="1">SUMIF(半成品出库明细!$D$2:$D$558,$B1763,半成品出库明细!$G$2:$G$2)</f>
        <v>0</v>
      </c>
      <c r="J1763" s="28">
        <f ca="1" t="shared" si="37"/>
        <v>0</v>
      </c>
      <c r="K1763" s="51" t="s">
        <v>2891</v>
      </c>
      <c r="L1763" s="19"/>
      <c r="M1763" s="3"/>
    </row>
    <row r="1764" s="1" customFormat="1" spans="1:13">
      <c r="A1764" s="22"/>
      <c r="B1764" s="143" t="s">
        <v>51</v>
      </c>
      <c r="C1764" s="143" t="s">
        <v>2892</v>
      </c>
      <c r="D1764" s="143" t="s">
        <v>2874</v>
      </c>
      <c r="E1764" s="19" t="s">
        <v>76</v>
      </c>
      <c r="F1764" s="26" t="s">
        <v>197</v>
      </c>
      <c r="G1764" s="27">
        <f>SUMIF(物料月初库存!$C$3:$C$303,$B1764,物料月初库存!$F$3:$F$303)</f>
        <v>1840</v>
      </c>
      <c r="H1764" s="28">
        <f>SUMIF(半成品入库明细!$D$2:$D$650,$B1764,半成品入库明细!$G$2:$G$650)</f>
        <v>0</v>
      </c>
      <c r="I1764" s="28">
        <f ca="1">SUMIF(半成品出库明细!$D$2:$D$558,$B1764,半成品出库明细!$G$2:$G$2)</f>
        <v>0</v>
      </c>
      <c r="J1764" s="28">
        <f ca="1" t="shared" si="37"/>
        <v>1840</v>
      </c>
      <c r="K1764" s="30"/>
      <c r="L1764" s="19"/>
      <c r="M1764" s="3"/>
    </row>
    <row r="1765" s="1" customFormat="1" spans="1:13">
      <c r="A1765" s="22"/>
      <c r="B1765" s="143" t="s">
        <v>2893</v>
      </c>
      <c r="C1765" s="143" t="s">
        <v>2892</v>
      </c>
      <c r="D1765" s="143" t="s">
        <v>2874</v>
      </c>
      <c r="E1765" s="19" t="s">
        <v>225</v>
      </c>
      <c r="F1765" s="26" t="s">
        <v>197</v>
      </c>
      <c r="G1765" s="27">
        <f>SUMIF(物料月初库存!$C$3:$C$303,$B1765,物料月初库存!$F$3:$F$303)</f>
        <v>0</v>
      </c>
      <c r="H1765" s="28">
        <f>SUMIF(半成品入库明细!$D$2:$D$650,$B1765,半成品入库明细!$G$2:$G$650)</f>
        <v>0</v>
      </c>
      <c r="I1765" s="28">
        <f ca="1">SUMIF(半成品出库明细!$D$2:$D$558,$B1765,半成品出库明细!$G$2:$G$2)</f>
        <v>0</v>
      </c>
      <c r="J1765" s="28">
        <f ca="1" t="shared" si="37"/>
        <v>0</v>
      </c>
      <c r="K1765" s="30" t="s">
        <v>92</v>
      </c>
      <c r="L1765" s="19"/>
      <c r="M1765" s="3"/>
    </row>
    <row r="1766" s="1" customFormat="1" spans="1:13">
      <c r="A1766" s="22"/>
      <c r="B1766" s="143" t="s">
        <v>2894</v>
      </c>
      <c r="C1766" s="143" t="s">
        <v>2892</v>
      </c>
      <c r="D1766" s="143" t="s">
        <v>2874</v>
      </c>
      <c r="E1766" s="19" t="s">
        <v>256</v>
      </c>
      <c r="F1766" s="26" t="s">
        <v>197</v>
      </c>
      <c r="G1766" s="27">
        <f>SUMIF(物料月初库存!$C$3:$C$303,$B1766,物料月初库存!$F$3:$F$303)</f>
        <v>0</v>
      </c>
      <c r="H1766" s="28">
        <f>SUMIF(半成品入库明细!$D$2:$D$650,$B1766,半成品入库明细!$G$2:$G$650)</f>
        <v>0</v>
      </c>
      <c r="I1766" s="28">
        <f ca="1">SUMIF(半成品出库明细!$D$2:$D$558,$B1766,半成品出库明细!$G$2:$G$2)</f>
        <v>0</v>
      </c>
      <c r="J1766" s="28">
        <f ca="1" t="shared" si="37"/>
        <v>0</v>
      </c>
      <c r="K1766" s="30"/>
      <c r="L1766" s="19"/>
      <c r="M1766" s="3"/>
    </row>
    <row r="1767" s="1" customFormat="1" spans="1:13">
      <c r="A1767" s="22"/>
      <c r="B1767" s="143" t="s">
        <v>2895</v>
      </c>
      <c r="C1767" s="143" t="s">
        <v>2896</v>
      </c>
      <c r="D1767" s="143" t="s">
        <v>2897</v>
      </c>
      <c r="E1767" s="19" t="s">
        <v>76</v>
      </c>
      <c r="F1767" s="26" t="s">
        <v>197</v>
      </c>
      <c r="G1767" s="27">
        <f>SUMIF(物料月初库存!$C$3:$C$303,$B1767,物料月初库存!$F$3:$F$303)</f>
        <v>0</v>
      </c>
      <c r="H1767" s="28">
        <f>SUMIF(半成品入库明细!$D$2:$D$650,$B1767,半成品入库明细!$G$2:$G$650)</f>
        <v>0</v>
      </c>
      <c r="I1767" s="28">
        <f ca="1">SUMIF(半成品出库明细!$D$2:$D$558,$B1767,半成品出库明细!$G$2:$G$2)</f>
        <v>0</v>
      </c>
      <c r="J1767" s="28">
        <f ca="1" t="shared" si="37"/>
        <v>0</v>
      </c>
      <c r="K1767" s="30"/>
      <c r="L1767" s="19"/>
      <c r="M1767" s="3"/>
    </row>
    <row r="1768" s="1" customFormat="1" spans="1:13">
      <c r="A1768" s="22"/>
      <c r="B1768" s="143" t="s">
        <v>2898</v>
      </c>
      <c r="C1768" s="143" t="s">
        <v>2896</v>
      </c>
      <c r="D1768" s="143" t="s">
        <v>2897</v>
      </c>
      <c r="E1768" s="19" t="s">
        <v>225</v>
      </c>
      <c r="F1768" s="26" t="s">
        <v>197</v>
      </c>
      <c r="G1768" s="27">
        <f>SUMIF(物料月初库存!$C$3:$C$303,$B1768,物料月初库存!$F$3:$F$303)</f>
        <v>0</v>
      </c>
      <c r="H1768" s="28">
        <f>SUMIF(半成品入库明细!$D$2:$D$650,$B1768,半成品入库明细!$G$2:$G$650)</f>
        <v>0</v>
      </c>
      <c r="I1768" s="28">
        <f ca="1">SUMIF(半成品出库明细!$D$2:$D$558,$B1768,半成品出库明细!$G$2:$G$2)</f>
        <v>0</v>
      </c>
      <c r="J1768" s="28">
        <f ca="1" t="shared" si="37"/>
        <v>0</v>
      </c>
      <c r="K1768" s="30" t="s">
        <v>92</v>
      </c>
      <c r="L1768" s="19"/>
      <c r="M1768" s="3"/>
    </row>
    <row r="1769" s="1" customFormat="1" spans="1:13">
      <c r="A1769" s="22"/>
      <c r="B1769" s="143" t="s">
        <v>2899</v>
      </c>
      <c r="C1769" s="143" t="s">
        <v>2896</v>
      </c>
      <c r="D1769" s="143" t="s">
        <v>2897</v>
      </c>
      <c r="E1769" s="19" t="s">
        <v>2651</v>
      </c>
      <c r="F1769" s="26" t="s">
        <v>197</v>
      </c>
      <c r="G1769" s="27">
        <f>SUMIF(物料月初库存!$C$3:$C$303,$B1769,物料月初库存!$F$3:$F$303)</f>
        <v>0</v>
      </c>
      <c r="H1769" s="28">
        <f>SUMIF(半成品入库明细!$D$2:$D$650,$B1769,半成品入库明细!$G$2:$G$650)</f>
        <v>0</v>
      </c>
      <c r="I1769" s="28">
        <f ca="1">SUMIF(半成品出库明细!$D$2:$D$558,$B1769,半成品出库明细!$G$2:$G$2)</f>
        <v>0</v>
      </c>
      <c r="J1769" s="28">
        <f ca="1" t="shared" si="37"/>
        <v>0</v>
      </c>
      <c r="K1769" s="30" t="s">
        <v>2900</v>
      </c>
      <c r="L1769" s="19"/>
      <c r="M1769" s="3"/>
    </row>
    <row r="1770" s="1" customFormat="1" spans="1:13">
      <c r="A1770" s="22"/>
      <c r="B1770" s="143" t="s">
        <v>2901</v>
      </c>
      <c r="C1770" s="143" t="s">
        <v>2896</v>
      </c>
      <c r="D1770" s="143" t="s">
        <v>2897</v>
      </c>
      <c r="E1770" s="19" t="s">
        <v>239</v>
      </c>
      <c r="F1770" s="26" t="s">
        <v>197</v>
      </c>
      <c r="G1770" s="27">
        <f>SUMIF(物料月初库存!$C$3:$C$303,$B1770,物料月初库存!$F$3:$F$303)</f>
        <v>0</v>
      </c>
      <c r="H1770" s="28">
        <f>SUMIF(半成品入库明细!$D$2:$D$650,$B1770,半成品入库明细!$G$2:$G$650)</f>
        <v>0</v>
      </c>
      <c r="I1770" s="28">
        <f ca="1">SUMIF(半成品出库明细!$D$2:$D$558,$B1770,半成品出库明细!$G$2:$G$2)</f>
        <v>0</v>
      </c>
      <c r="J1770" s="28">
        <f ca="1" t="shared" si="37"/>
        <v>0</v>
      </c>
      <c r="K1770" s="30" t="s">
        <v>183</v>
      </c>
      <c r="L1770" s="19"/>
      <c r="M1770" s="3"/>
    </row>
    <row r="1771" s="1" customFormat="1" spans="1:13">
      <c r="A1771" s="22"/>
      <c r="B1771" s="143" t="s">
        <v>2902</v>
      </c>
      <c r="C1771" s="143" t="s">
        <v>2903</v>
      </c>
      <c r="D1771" s="143" t="s">
        <v>2897</v>
      </c>
      <c r="E1771" s="19" t="s">
        <v>76</v>
      </c>
      <c r="F1771" s="26" t="s">
        <v>197</v>
      </c>
      <c r="G1771" s="27">
        <f>SUMIF(物料月初库存!$C$3:$C$303,$B1771,物料月初库存!$F$3:$F$303)</f>
        <v>0</v>
      </c>
      <c r="H1771" s="28">
        <f>SUMIF(半成品入库明细!$D$2:$D$650,$B1771,半成品入库明细!$G$2:$G$650)</f>
        <v>0</v>
      </c>
      <c r="I1771" s="28">
        <f ca="1">SUMIF(半成品出库明细!$D$2:$D$558,$B1771,半成品出库明细!$G$2:$G$2)</f>
        <v>0</v>
      </c>
      <c r="J1771" s="28">
        <f ca="1" t="shared" si="37"/>
        <v>0</v>
      </c>
      <c r="K1771" s="30"/>
      <c r="L1771" s="19"/>
      <c r="M1771" s="3"/>
    </row>
    <row r="1772" s="1" customFormat="1" spans="1:13">
      <c r="A1772" s="22"/>
      <c r="B1772" s="143" t="s">
        <v>2904</v>
      </c>
      <c r="C1772" s="143" t="s">
        <v>2903</v>
      </c>
      <c r="D1772" s="143" t="s">
        <v>2897</v>
      </c>
      <c r="E1772" s="19" t="s">
        <v>235</v>
      </c>
      <c r="F1772" s="26" t="s">
        <v>197</v>
      </c>
      <c r="G1772" s="27">
        <f>SUMIF(物料月初库存!$C$3:$C$303,$B1772,物料月初库存!$F$3:$F$303)</f>
        <v>0</v>
      </c>
      <c r="H1772" s="28">
        <f>SUMIF(半成品入库明细!$D$2:$D$650,$B1772,半成品入库明细!$G$2:$G$650)</f>
        <v>0</v>
      </c>
      <c r="I1772" s="28">
        <f ca="1">SUMIF(半成品出库明细!$D$2:$D$558,$B1772,半成品出库明细!$G$2:$G$2)</f>
        <v>0</v>
      </c>
      <c r="J1772" s="28">
        <f ca="1" t="shared" si="37"/>
        <v>0</v>
      </c>
      <c r="K1772" s="51" t="s">
        <v>2905</v>
      </c>
      <c r="L1772" s="19"/>
      <c r="M1772" s="3"/>
    </row>
    <row r="1773" s="1" customFormat="1" spans="1:13">
      <c r="A1773" s="22"/>
      <c r="B1773" s="143" t="s">
        <v>2906</v>
      </c>
      <c r="C1773" s="143" t="s">
        <v>2903</v>
      </c>
      <c r="D1773" s="143" t="s">
        <v>2897</v>
      </c>
      <c r="E1773" s="19" t="s">
        <v>225</v>
      </c>
      <c r="F1773" s="26" t="s">
        <v>197</v>
      </c>
      <c r="G1773" s="27">
        <f>SUMIF(物料月初库存!$C$3:$C$303,$B1773,物料月初库存!$F$3:$F$303)</f>
        <v>0</v>
      </c>
      <c r="H1773" s="28">
        <f>SUMIF(半成品入库明细!$D$2:$D$650,$B1773,半成品入库明细!$G$2:$G$650)</f>
        <v>0</v>
      </c>
      <c r="I1773" s="28">
        <f ca="1">SUMIF(半成品出库明细!$D$2:$D$558,$B1773,半成品出库明细!$G$2:$G$2)</f>
        <v>0</v>
      </c>
      <c r="J1773" s="28">
        <f ca="1" t="shared" si="37"/>
        <v>0</v>
      </c>
      <c r="K1773" s="30" t="s">
        <v>92</v>
      </c>
      <c r="L1773" s="19"/>
      <c r="M1773" s="3"/>
    </row>
    <row r="1774" s="1" customFormat="1" spans="1:13">
      <c r="A1774" s="22"/>
      <c r="B1774" s="143" t="s">
        <v>2907</v>
      </c>
      <c r="C1774" s="143" t="s">
        <v>2903</v>
      </c>
      <c r="D1774" s="143" t="s">
        <v>2897</v>
      </c>
      <c r="E1774" s="19" t="s">
        <v>239</v>
      </c>
      <c r="F1774" s="26" t="s">
        <v>197</v>
      </c>
      <c r="G1774" s="27">
        <f>SUMIF(物料月初库存!$C$3:$C$303,$B1774,物料月初库存!$F$3:$F$303)</f>
        <v>0</v>
      </c>
      <c r="H1774" s="28">
        <f>SUMIF(半成品入库明细!$D$2:$D$650,$B1774,半成品入库明细!$G$2:$G$650)</f>
        <v>0</v>
      </c>
      <c r="I1774" s="28">
        <f ca="1">SUMIF(半成品出库明细!$D$2:$D$558,$B1774,半成品出库明细!$G$2:$G$2)</f>
        <v>0</v>
      </c>
      <c r="J1774" s="28">
        <f ca="1" t="shared" si="37"/>
        <v>0</v>
      </c>
      <c r="K1774" s="30" t="s">
        <v>183</v>
      </c>
      <c r="L1774" s="19"/>
      <c r="M1774" s="3"/>
    </row>
    <row r="1775" s="1" customFormat="1" spans="1:13">
      <c r="A1775" s="22"/>
      <c r="B1775" s="143" t="s">
        <v>2908</v>
      </c>
      <c r="C1775" s="143" t="s">
        <v>2909</v>
      </c>
      <c r="D1775" s="143" t="s">
        <v>2897</v>
      </c>
      <c r="E1775" s="19" t="s">
        <v>76</v>
      </c>
      <c r="F1775" s="26" t="s">
        <v>197</v>
      </c>
      <c r="G1775" s="27">
        <f>SUMIF(物料月初库存!$C$3:$C$303,$B1775,物料月初库存!$F$3:$F$303)</f>
        <v>0</v>
      </c>
      <c r="H1775" s="28">
        <f>SUMIF(半成品入库明细!$D$2:$D$650,$B1775,半成品入库明细!$G$2:$G$650)</f>
        <v>0</v>
      </c>
      <c r="I1775" s="28">
        <f ca="1">SUMIF(半成品出库明细!$D$2:$D$558,$B1775,半成品出库明细!$G$2:$G$2)</f>
        <v>0</v>
      </c>
      <c r="J1775" s="28">
        <f ca="1" t="shared" si="37"/>
        <v>0</v>
      </c>
      <c r="K1775" s="30"/>
      <c r="L1775" s="19"/>
      <c r="M1775" s="3"/>
    </row>
    <row r="1776" s="1" customFormat="1" spans="1:13">
      <c r="A1776" s="22"/>
      <c r="B1776" s="143" t="s">
        <v>2910</v>
      </c>
      <c r="C1776" s="143" t="s">
        <v>2909</v>
      </c>
      <c r="D1776" s="143" t="s">
        <v>2897</v>
      </c>
      <c r="E1776" s="19" t="s">
        <v>225</v>
      </c>
      <c r="F1776" s="26" t="s">
        <v>197</v>
      </c>
      <c r="G1776" s="27">
        <f>SUMIF(物料月初库存!$C$3:$C$303,$B1776,物料月初库存!$F$3:$F$303)</f>
        <v>0</v>
      </c>
      <c r="H1776" s="28">
        <f>SUMIF(半成品入库明细!$D$2:$D$650,$B1776,半成品入库明细!$G$2:$G$650)</f>
        <v>0</v>
      </c>
      <c r="I1776" s="28">
        <f ca="1">SUMIF(半成品出库明细!$D$2:$D$558,$B1776,半成品出库明细!$G$2:$G$2)</f>
        <v>0</v>
      </c>
      <c r="J1776" s="28">
        <f ca="1" t="shared" si="37"/>
        <v>0</v>
      </c>
      <c r="K1776" s="30" t="s">
        <v>92</v>
      </c>
      <c r="L1776" s="19"/>
      <c r="M1776" s="3"/>
    </row>
    <row r="1777" s="1" customFormat="1" spans="1:13">
      <c r="A1777" s="22"/>
      <c r="B1777" s="143" t="s">
        <v>2911</v>
      </c>
      <c r="C1777" s="143" t="s">
        <v>2909</v>
      </c>
      <c r="D1777" s="143" t="s">
        <v>2897</v>
      </c>
      <c r="E1777" s="19" t="s">
        <v>239</v>
      </c>
      <c r="F1777" s="26" t="s">
        <v>197</v>
      </c>
      <c r="G1777" s="27">
        <f>SUMIF(物料月初库存!$C$3:$C$303,$B1777,物料月初库存!$F$3:$F$303)</f>
        <v>0</v>
      </c>
      <c r="H1777" s="28">
        <f>SUMIF(半成品入库明细!$D$2:$D$650,$B1777,半成品入库明细!$G$2:$G$650)</f>
        <v>0</v>
      </c>
      <c r="I1777" s="28">
        <f ca="1">SUMIF(半成品出库明细!$D$2:$D$558,$B1777,半成品出库明细!$G$2:$G$2)</f>
        <v>0</v>
      </c>
      <c r="J1777" s="28">
        <f ca="1" t="shared" si="37"/>
        <v>0</v>
      </c>
      <c r="K1777" s="30" t="s">
        <v>183</v>
      </c>
      <c r="L1777" s="19"/>
      <c r="M1777" s="3"/>
    </row>
    <row r="1778" s="1" customFormat="1" spans="1:13">
      <c r="A1778" s="22"/>
      <c r="B1778" s="143" t="s">
        <v>2912</v>
      </c>
      <c r="C1778" s="143" t="s">
        <v>2913</v>
      </c>
      <c r="D1778" s="143" t="s">
        <v>2914</v>
      </c>
      <c r="E1778" s="19" t="s">
        <v>76</v>
      </c>
      <c r="F1778" s="26" t="s">
        <v>197</v>
      </c>
      <c r="G1778" s="27">
        <f>SUMIF(物料月初库存!$C$3:$C$303,$B1778,物料月初库存!$F$3:$F$303)</f>
        <v>0</v>
      </c>
      <c r="H1778" s="28">
        <f>SUMIF(半成品入库明细!$D$2:$D$650,$B1778,半成品入库明细!$G$2:$G$650)</f>
        <v>0</v>
      </c>
      <c r="I1778" s="28">
        <f ca="1">SUMIF(半成品出库明细!$D$2:$D$558,$B1778,半成品出库明细!$G$2:$G$2)</f>
        <v>0</v>
      </c>
      <c r="J1778" s="28">
        <f ca="1" t="shared" ref="J1778:J1804" si="38">G1778+H1778-I1778</f>
        <v>0</v>
      </c>
      <c r="K1778" s="30"/>
      <c r="L1778" s="19"/>
      <c r="M1778" s="3"/>
    </row>
    <row r="1779" s="1" customFormat="1" spans="1:13">
      <c r="A1779" s="22"/>
      <c r="B1779" s="143" t="s">
        <v>2915</v>
      </c>
      <c r="C1779" s="143" t="s">
        <v>2913</v>
      </c>
      <c r="D1779" s="143" t="s">
        <v>2914</v>
      </c>
      <c r="E1779" s="19" t="s">
        <v>199</v>
      </c>
      <c r="F1779" s="26" t="s">
        <v>197</v>
      </c>
      <c r="G1779" s="27">
        <f>SUMIF(物料月初库存!$C$3:$C$303,$B1779,物料月初库存!$F$3:$F$303)</f>
        <v>0</v>
      </c>
      <c r="H1779" s="28">
        <f>SUMIF(半成品入库明细!$D$2:$D$650,$B1779,半成品入库明细!$G$2:$G$650)</f>
        <v>0</v>
      </c>
      <c r="I1779" s="28">
        <f ca="1">SUMIF(半成品出库明细!$D$2:$D$558,$B1779,半成品出库明细!$G$2:$G$2)</f>
        <v>0</v>
      </c>
      <c r="J1779" s="28">
        <f ca="1" t="shared" si="38"/>
        <v>0</v>
      </c>
      <c r="K1779" s="30" t="s">
        <v>173</v>
      </c>
      <c r="L1779" s="19"/>
      <c r="M1779" s="3"/>
    </row>
    <row r="1780" s="1" customFormat="1" spans="1:13">
      <c r="A1780" s="22"/>
      <c r="B1780" s="143" t="s">
        <v>2916</v>
      </c>
      <c r="C1780" s="162" t="s">
        <v>2917</v>
      </c>
      <c r="D1780" s="143" t="s">
        <v>2918</v>
      </c>
      <c r="E1780" s="19" t="s">
        <v>76</v>
      </c>
      <c r="F1780" s="26" t="s">
        <v>197</v>
      </c>
      <c r="G1780" s="27">
        <f>SUMIF(物料月初库存!$C$3:$C$303,$B1780,物料月初库存!$F$3:$F$303)</f>
        <v>0</v>
      </c>
      <c r="H1780" s="28">
        <f>SUMIF(半成品入库明细!$D$2:$D$650,$B1780,半成品入库明细!$G$2:$G$650)</f>
        <v>0</v>
      </c>
      <c r="I1780" s="28">
        <f ca="1">SUMIF(半成品出库明细!$D$2:$D$558,$B1780,半成品出库明细!$G$2:$G$2)</f>
        <v>0</v>
      </c>
      <c r="J1780" s="28">
        <f ca="1" t="shared" si="38"/>
        <v>0</v>
      </c>
      <c r="K1780" s="30">
        <v>1</v>
      </c>
      <c r="L1780" s="19"/>
      <c r="M1780" s="3"/>
    </row>
    <row r="1781" s="1" customFormat="1" spans="1:13">
      <c r="A1781" s="22"/>
      <c r="B1781" s="143" t="s">
        <v>2919</v>
      </c>
      <c r="C1781" s="162" t="s">
        <v>2917</v>
      </c>
      <c r="D1781" s="143" t="s">
        <v>2918</v>
      </c>
      <c r="E1781" s="19" t="s">
        <v>2920</v>
      </c>
      <c r="F1781" s="26" t="s">
        <v>197</v>
      </c>
      <c r="G1781" s="27">
        <f>SUMIF(物料月初库存!$C$3:$C$303,$B1781,物料月初库存!$F$3:$F$303)</f>
        <v>0</v>
      </c>
      <c r="H1781" s="28">
        <f>SUMIF(半成品入库明细!$D$2:$D$650,$B1781,半成品入库明细!$G$2:$G$650)</f>
        <v>0</v>
      </c>
      <c r="I1781" s="28">
        <f ca="1">SUMIF(半成品出库明细!$D$2:$D$558,$B1781,半成品出库明细!$G$2:$G$2)</f>
        <v>0</v>
      </c>
      <c r="J1781" s="28">
        <f ca="1" t="shared" si="38"/>
        <v>0</v>
      </c>
      <c r="K1781" s="51" t="s">
        <v>2921</v>
      </c>
      <c r="L1781" s="19"/>
      <c r="M1781" s="3"/>
    </row>
    <row r="1782" s="1" customFormat="1" spans="1:13">
      <c r="A1782" s="22"/>
      <c r="B1782" s="143" t="s">
        <v>2922</v>
      </c>
      <c r="C1782" s="143" t="s">
        <v>2917</v>
      </c>
      <c r="D1782" s="143" t="s">
        <v>2918</v>
      </c>
      <c r="E1782" s="19" t="s">
        <v>316</v>
      </c>
      <c r="F1782" s="26" t="s">
        <v>197</v>
      </c>
      <c r="G1782" s="27">
        <f>SUMIF(物料月初库存!$C$3:$C$303,$B1782,物料月初库存!$F$3:$F$303)</f>
        <v>0</v>
      </c>
      <c r="H1782" s="28">
        <f>SUMIF(半成品入库明细!$D$2:$D$650,$B1782,半成品入库明细!$G$2:$G$650)</f>
        <v>0</v>
      </c>
      <c r="I1782" s="28">
        <f ca="1">SUMIF(半成品出库明细!$D$2:$D$558,$B1782,半成品出库明细!$G$2:$G$2)</f>
        <v>0</v>
      </c>
      <c r="J1782" s="28">
        <f ca="1" t="shared" si="38"/>
        <v>0</v>
      </c>
      <c r="K1782" s="51" t="s">
        <v>2923</v>
      </c>
      <c r="L1782" s="19"/>
      <c r="M1782" s="3"/>
    </row>
    <row r="1783" s="1" customFormat="1" spans="1:13">
      <c r="A1783" s="22"/>
      <c r="B1783" s="143" t="s">
        <v>2924</v>
      </c>
      <c r="C1783" s="143" t="s">
        <v>2917</v>
      </c>
      <c r="D1783" s="143" t="s">
        <v>2918</v>
      </c>
      <c r="E1783" s="19" t="s">
        <v>256</v>
      </c>
      <c r="F1783" s="26" t="s">
        <v>197</v>
      </c>
      <c r="G1783" s="27">
        <f>SUMIF(物料月初库存!$C$3:$C$303,$B1783,物料月初库存!$F$3:$F$303)</f>
        <v>0</v>
      </c>
      <c r="H1783" s="28">
        <f>SUMIF(半成品入库明细!$D$2:$D$650,$B1783,半成品入库明细!$G$2:$G$650)</f>
        <v>0</v>
      </c>
      <c r="I1783" s="28">
        <f ca="1">SUMIF(半成品出库明细!$D$2:$D$558,$B1783,半成品出库明细!$G$2:$G$2)</f>
        <v>0</v>
      </c>
      <c r="J1783" s="28">
        <f ca="1" t="shared" si="38"/>
        <v>0</v>
      </c>
      <c r="K1783" s="30" t="s">
        <v>2925</v>
      </c>
      <c r="L1783" s="19"/>
      <c r="M1783" s="3"/>
    </row>
    <row r="1784" s="1" customFormat="1" spans="1:13">
      <c r="A1784" s="22"/>
      <c r="B1784" s="143" t="s">
        <v>2926</v>
      </c>
      <c r="C1784" s="162" t="s">
        <v>2927</v>
      </c>
      <c r="D1784" s="143" t="s">
        <v>2918</v>
      </c>
      <c r="E1784" s="19" t="s">
        <v>76</v>
      </c>
      <c r="F1784" s="26" t="s">
        <v>197</v>
      </c>
      <c r="G1784" s="27">
        <f>SUMIF(物料月初库存!$C$3:$C$303,$B1784,物料月初库存!$F$3:$F$303)</f>
        <v>0</v>
      </c>
      <c r="H1784" s="28">
        <f>SUMIF(半成品入库明细!$D$2:$D$650,$B1784,半成品入库明细!$G$2:$G$650)</f>
        <v>0</v>
      </c>
      <c r="I1784" s="28">
        <f ca="1">SUMIF(半成品出库明细!$D$2:$D$558,$B1784,半成品出库明细!$G$2:$G$2)</f>
        <v>0</v>
      </c>
      <c r="J1784" s="28">
        <f ca="1" t="shared" si="38"/>
        <v>0</v>
      </c>
      <c r="K1784" s="30"/>
      <c r="L1784" s="19"/>
      <c r="M1784" s="3"/>
    </row>
    <row r="1785" s="1" customFormat="1" spans="1:13">
      <c r="A1785" s="22"/>
      <c r="B1785" s="143" t="s">
        <v>2928</v>
      </c>
      <c r="C1785" s="162" t="s">
        <v>2927</v>
      </c>
      <c r="D1785" s="143" t="s">
        <v>2918</v>
      </c>
      <c r="E1785" s="19" t="s">
        <v>2920</v>
      </c>
      <c r="F1785" s="26" t="s">
        <v>197</v>
      </c>
      <c r="G1785" s="27">
        <f>SUMIF(物料月初库存!$C$3:$C$303,$B1785,物料月初库存!$F$3:$F$303)</f>
        <v>0</v>
      </c>
      <c r="H1785" s="28">
        <f>SUMIF(半成品入库明细!$D$2:$D$650,$B1785,半成品入库明细!$G$2:$G$650)</f>
        <v>0</v>
      </c>
      <c r="I1785" s="28">
        <f ca="1">SUMIF(半成品出库明细!$D$2:$D$558,$B1785,半成品出库明细!$G$2:$G$2)</f>
        <v>0</v>
      </c>
      <c r="J1785" s="28">
        <f ca="1" t="shared" si="38"/>
        <v>0</v>
      </c>
      <c r="K1785" s="51" t="s">
        <v>2921</v>
      </c>
      <c r="L1785" s="19"/>
      <c r="M1785" s="3"/>
    </row>
    <row r="1786" s="1" customFormat="1" spans="1:13">
      <c r="A1786" s="22"/>
      <c r="B1786" s="143" t="s">
        <v>2929</v>
      </c>
      <c r="C1786" s="162" t="s">
        <v>2927</v>
      </c>
      <c r="D1786" s="143" t="s">
        <v>2918</v>
      </c>
      <c r="E1786" s="19" t="s">
        <v>316</v>
      </c>
      <c r="F1786" s="26" t="s">
        <v>197</v>
      </c>
      <c r="G1786" s="27">
        <f>SUMIF(物料月初库存!$C$3:$C$303,$B1786,物料月初库存!$F$3:$F$303)</f>
        <v>0</v>
      </c>
      <c r="H1786" s="28">
        <f>SUMIF(半成品入库明细!$D$2:$D$650,$B1786,半成品入库明细!$G$2:$G$650)</f>
        <v>0</v>
      </c>
      <c r="I1786" s="28">
        <f ca="1">SUMIF(半成品出库明细!$D$2:$D$558,$B1786,半成品出库明细!$G$2:$G$2)</f>
        <v>0</v>
      </c>
      <c r="J1786" s="28">
        <f ca="1" t="shared" si="38"/>
        <v>0</v>
      </c>
      <c r="K1786" s="51" t="s">
        <v>2923</v>
      </c>
      <c r="L1786" s="19"/>
      <c r="M1786" s="3"/>
    </row>
    <row r="1787" s="1" customFormat="1" spans="1:13">
      <c r="A1787" s="22"/>
      <c r="B1787" s="143" t="s">
        <v>2930</v>
      </c>
      <c r="C1787" s="162" t="s">
        <v>2927</v>
      </c>
      <c r="D1787" s="143" t="s">
        <v>2918</v>
      </c>
      <c r="E1787" s="19" t="s">
        <v>256</v>
      </c>
      <c r="F1787" s="26" t="s">
        <v>197</v>
      </c>
      <c r="G1787" s="27">
        <f>SUMIF(物料月初库存!$C$3:$C$303,$B1787,物料月初库存!$F$3:$F$303)</f>
        <v>0</v>
      </c>
      <c r="H1787" s="28">
        <f>SUMIF(半成品入库明细!$D$2:$D$650,$B1787,半成品入库明细!$G$2:$G$650)</f>
        <v>0</v>
      </c>
      <c r="I1787" s="28">
        <f ca="1">SUMIF(半成品出库明细!$D$2:$D$558,$B1787,半成品出库明细!$G$2:$G$2)</f>
        <v>0</v>
      </c>
      <c r="J1787" s="28">
        <f ca="1" t="shared" si="38"/>
        <v>0</v>
      </c>
      <c r="K1787" s="30" t="s">
        <v>2925</v>
      </c>
      <c r="L1787" s="19"/>
      <c r="M1787" s="3"/>
    </row>
    <row r="1788" s="1" customFormat="1" spans="1:13">
      <c r="A1788" s="22"/>
      <c r="B1788" s="143" t="s">
        <v>2931</v>
      </c>
      <c r="C1788" s="162" t="s">
        <v>2932</v>
      </c>
      <c r="D1788" s="143" t="s">
        <v>2918</v>
      </c>
      <c r="E1788" s="19" t="s">
        <v>76</v>
      </c>
      <c r="F1788" s="26" t="s">
        <v>197</v>
      </c>
      <c r="G1788" s="27">
        <f>SUMIF(物料月初库存!$C$3:$C$303,$B1788,物料月初库存!$F$3:$F$303)</f>
        <v>0</v>
      </c>
      <c r="H1788" s="28">
        <f>SUMIF(半成品入库明细!$D$2:$D$650,$B1788,半成品入库明细!$G$2:$G$650)</f>
        <v>0</v>
      </c>
      <c r="I1788" s="28">
        <f ca="1">SUMIF(半成品出库明细!$D$2:$D$558,$B1788,半成品出库明细!$G$2:$G$2)</f>
        <v>0</v>
      </c>
      <c r="J1788" s="28">
        <f ca="1" t="shared" si="38"/>
        <v>0</v>
      </c>
      <c r="K1788" s="30">
        <v>1</v>
      </c>
      <c r="L1788" s="19"/>
      <c r="M1788" s="3"/>
    </row>
    <row r="1789" s="1" customFormat="1" spans="1:13">
      <c r="A1789" s="22"/>
      <c r="B1789" s="143" t="s">
        <v>2933</v>
      </c>
      <c r="C1789" s="162" t="s">
        <v>2932</v>
      </c>
      <c r="D1789" s="143" t="s">
        <v>2918</v>
      </c>
      <c r="E1789" s="19" t="s">
        <v>2920</v>
      </c>
      <c r="F1789" s="26" t="s">
        <v>197</v>
      </c>
      <c r="G1789" s="27">
        <f>SUMIF(物料月初库存!$C$3:$C$303,$B1789,物料月初库存!$F$3:$F$303)</f>
        <v>0</v>
      </c>
      <c r="H1789" s="28">
        <f>SUMIF(半成品入库明细!$D$2:$D$650,$B1789,半成品入库明细!$G$2:$G$650)</f>
        <v>0</v>
      </c>
      <c r="I1789" s="28">
        <f ca="1">SUMIF(半成品出库明细!$D$2:$D$558,$B1789,半成品出库明细!$G$2:$G$2)</f>
        <v>0</v>
      </c>
      <c r="J1789" s="28">
        <f ca="1" t="shared" si="38"/>
        <v>0</v>
      </c>
      <c r="K1789" s="51" t="s">
        <v>2921</v>
      </c>
      <c r="L1789" s="19"/>
      <c r="M1789" s="3"/>
    </row>
    <row r="1790" s="1" customFormat="1" spans="1:13">
      <c r="A1790" s="22"/>
      <c r="B1790" s="143" t="s">
        <v>2934</v>
      </c>
      <c r="C1790" s="162" t="s">
        <v>2932</v>
      </c>
      <c r="D1790" s="143" t="s">
        <v>2918</v>
      </c>
      <c r="E1790" s="19" t="s">
        <v>316</v>
      </c>
      <c r="F1790" s="26" t="s">
        <v>197</v>
      </c>
      <c r="G1790" s="27">
        <f>SUMIF(物料月初库存!$C$3:$C$303,$B1790,物料月初库存!$F$3:$F$303)</f>
        <v>0</v>
      </c>
      <c r="H1790" s="28">
        <f>SUMIF(半成品入库明细!$D$2:$D$650,$B1790,半成品入库明细!$G$2:$G$650)</f>
        <v>0</v>
      </c>
      <c r="I1790" s="28">
        <f ca="1">SUMIF(半成品出库明细!$D$2:$D$558,$B1790,半成品出库明细!$G$2:$G$2)</f>
        <v>0</v>
      </c>
      <c r="J1790" s="28">
        <f ca="1" t="shared" si="38"/>
        <v>0</v>
      </c>
      <c r="K1790" s="51" t="s">
        <v>2923</v>
      </c>
      <c r="L1790" s="19"/>
      <c r="M1790" s="3"/>
    </row>
    <row r="1791" s="1" customFormat="1" spans="1:13">
      <c r="A1791" s="22"/>
      <c r="B1791" s="143" t="s">
        <v>2935</v>
      </c>
      <c r="C1791" s="162" t="s">
        <v>2932</v>
      </c>
      <c r="D1791" s="143" t="s">
        <v>2918</v>
      </c>
      <c r="E1791" s="19" t="s">
        <v>256</v>
      </c>
      <c r="F1791" s="26" t="s">
        <v>197</v>
      </c>
      <c r="G1791" s="27">
        <f>SUMIF(物料月初库存!$C$3:$C$303,$B1791,物料月初库存!$F$3:$F$303)</f>
        <v>0</v>
      </c>
      <c r="H1791" s="28">
        <f>SUMIF(半成品入库明细!$D$2:$D$650,$B1791,半成品入库明细!$G$2:$G$650)</f>
        <v>0</v>
      </c>
      <c r="I1791" s="28">
        <f ca="1">SUMIF(半成品出库明细!$D$2:$D$558,$B1791,半成品出库明细!$G$2:$G$2)</f>
        <v>0</v>
      </c>
      <c r="J1791" s="28">
        <f ca="1" t="shared" si="38"/>
        <v>0</v>
      </c>
      <c r="K1791" s="30" t="s">
        <v>2925</v>
      </c>
      <c r="L1791" s="19"/>
      <c r="M1791" s="3"/>
    </row>
    <row r="1792" s="1" customFormat="1" spans="1:13">
      <c r="A1792" s="22"/>
      <c r="B1792" s="143" t="s">
        <v>52</v>
      </c>
      <c r="C1792" s="143" t="s">
        <v>2936</v>
      </c>
      <c r="D1792" s="143" t="s">
        <v>2918</v>
      </c>
      <c r="E1792" s="19" t="s">
        <v>76</v>
      </c>
      <c r="F1792" s="26" t="s">
        <v>197</v>
      </c>
      <c r="G1792" s="27">
        <f>SUMIF(物料月初库存!$C$3:$C$303,$B1792,物料月初库存!$F$3:$F$303)</f>
        <v>140</v>
      </c>
      <c r="H1792" s="28">
        <f>SUMIF(半成品入库明细!$D$2:$D$650,$B1792,半成品入库明细!$G$2:$G$650)</f>
        <v>0</v>
      </c>
      <c r="I1792" s="28">
        <f ca="1">SUMIF(半成品出库明细!$D$2:$D$558,$B1792,半成品出库明细!$G$2:$G$2)</f>
        <v>0</v>
      </c>
      <c r="J1792" s="28">
        <f ca="1" t="shared" si="38"/>
        <v>140</v>
      </c>
      <c r="K1792" s="30"/>
      <c r="L1792" s="19"/>
      <c r="M1792" s="3"/>
    </row>
    <row r="1793" s="1" customFormat="1" spans="1:13">
      <c r="A1793" s="22"/>
      <c r="B1793" s="143" t="s">
        <v>2937</v>
      </c>
      <c r="C1793" s="143" t="s">
        <v>2936</v>
      </c>
      <c r="D1793" s="143" t="s">
        <v>2918</v>
      </c>
      <c r="E1793" s="19" t="s">
        <v>316</v>
      </c>
      <c r="F1793" s="26" t="s">
        <v>197</v>
      </c>
      <c r="G1793" s="27">
        <f>SUMIF(物料月初库存!$C$3:$C$303,$B1793,物料月初库存!$F$3:$F$303)</f>
        <v>0</v>
      </c>
      <c r="H1793" s="28">
        <f>SUMIF(半成品入库明细!$D$2:$D$650,$B1793,半成品入库明细!$G$2:$G$650)</f>
        <v>0</v>
      </c>
      <c r="I1793" s="28">
        <f ca="1">SUMIF(半成品出库明细!$D$2:$D$558,$B1793,半成品出库明细!$G$2:$G$2)</f>
        <v>0</v>
      </c>
      <c r="J1793" s="28">
        <f ca="1" t="shared" si="38"/>
        <v>0</v>
      </c>
      <c r="K1793" s="30" t="s">
        <v>140</v>
      </c>
      <c r="L1793" s="19"/>
      <c r="M1793" s="3"/>
    </row>
    <row r="1794" s="1" customFormat="1" spans="1:13">
      <c r="A1794" s="22"/>
      <c r="B1794" s="143" t="s">
        <v>2938</v>
      </c>
      <c r="C1794" s="143" t="s">
        <v>2936</v>
      </c>
      <c r="D1794" s="143" t="s">
        <v>2918</v>
      </c>
      <c r="E1794" s="19" t="s">
        <v>2920</v>
      </c>
      <c r="F1794" s="26" t="s">
        <v>197</v>
      </c>
      <c r="G1794" s="27">
        <f>SUMIF(物料月初库存!$C$3:$C$303,$B1794,物料月初库存!$F$3:$F$303)</f>
        <v>0</v>
      </c>
      <c r="H1794" s="28">
        <f>SUMIF(半成品入库明细!$D$2:$D$650,$B1794,半成品入库明细!$G$2:$G$650)</f>
        <v>0</v>
      </c>
      <c r="I1794" s="28">
        <f ca="1">SUMIF(半成品出库明细!$D$2:$D$558,$B1794,半成品出库明细!$G$2:$G$2)</f>
        <v>0</v>
      </c>
      <c r="J1794" s="28">
        <f ca="1" t="shared" si="38"/>
        <v>0</v>
      </c>
      <c r="K1794" s="30" t="s">
        <v>107</v>
      </c>
      <c r="L1794" s="19"/>
      <c r="M1794" s="3"/>
    </row>
    <row r="1795" s="1" customFormat="1" spans="1:13">
      <c r="A1795" s="22"/>
      <c r="B1795" s="143" t="s">
        <v>2939</v>
      </c>
      <c r="C1795" s="143" t="s">
        <v>2936</v>
      </c>
      <c r="D1795" s="143" t="s">
        <v>2918</v>
      </c>
      <c r="E1795" s="19" t="s">
        <v>256</v>
      </c>
      <c r="F1795" s="26" t="s">
        <v>197</v>
      </c>
      <c r="G1795" s="27">
        <f>SUMIF(物料月初库存!$C$3:$C$303,$B1795,物料月初库存!$F$3:$F$303)</f>
        <v>0</v>
      </c>
      <c r="H1795" s="28">
        <f>SUMIF(半成品入库明细!$D$2:$D$650,$B1795,半成品入库明细!$G$2:$G$650)</f>
        <v>0</v>
      </c>
      <c r="I1795" s="28">
        <f ca="1">SUMIF(半成品出库明细!$D$2:$D$558,$B1795,半成品出库明细!$G$2:$G$2)</f>
        <v>0</v>
      </c>
      <c r="J1795" s="28">
        <f ca="1" t="shared" si="38"/>
        <v>0</v>
      </c>
      <c r="K1795" s="30" t="s">
        <v>1447</v>
      </c>
      <c r="L1795" s="19"/>
      <c r="M1795" s="3"/>
    </row>
    <row r="1796" s="1" customFormat="1" spans="1:13">
      <c r="A1796" s="22"/>
      <c r="B1796" s="143" t="s">
        <v>2940</v>
      </c>
      <c r="C1796" s="143" t="s">
        <v>2941</v>
      </c>
      <c r="D1796" s="143" t="s">
        <v>2918</v>
      </c>
      <c r="E1796" s="19" t="s">
        <v>76</v>
      </c>
      <c r="F1796" s="26" t="s">
        <v>197</v>
      </c>
      <c r="G1796" s="27">
        <f>SUMIF(物料月初库存!$C$3:$C$303,$B1796,物料月初库存!$F$3:$F$303)</f>
        <v>0</v>
      </c>
      <c r="H1796" s="28">
        <f>SUMIF(半成品入库明细!$D$2:$D$650,$B1796,半成品入库明细!$G$2:$G$650)</f>
        <v>0</v>
      </c>
      <c r="I1796" s="28">
        <f ca="1">SUMIF(半成品出库明细!$D$2:$D$558,$B1796,半成品出库明细!$G$2:$G$2)</f>
        <v>0</v>
      </c>
      <c r="J1796" s="28">
        <f ca="1" t="shared" si="38"/>
        <v>0</v>
      </c>
      <c r="K1796" s="30"/>
      <c r="L1796" s="19"/>
      <c r="M1796" s="3"/>
    </row>
    <row r="1797" s="1" customFormat="1" spans="1:13">
      <c r="A1797" s="22"/>
      <c r="B1797" s="143" t="s">
        <v>2942</v>
      </c>
      <c r="C1797" s="143" t="s">
        <v>2941</v>
      </c>
      <c r="D1797" s="143" t="s">
        <v>2918</v>
      </c>
      <c r="E1797" s="19" t="s">
        <v>199</v>
      </c>
      <c r="F1797" s="26" t="s">
        <v>197</v>
      </c>
      <c r="G1797" s="27">
        <f>SUMIF(物料月初库存!$C$3:$C$303,$B1797,物料月初库存!$F$3:$F$303)</f>
        <v>0</v>
      </c>
      <c r="H1797" s="28">
        <f>SUMIF(半成品入库明细!$D$2:$D$650,$B1797,半成品入库明细!$G$2:$G$650)</f>
        <v>0</v>
      </c>
      <c r="I1797" s="28">
        <f ca="1">SUMIF(半成品出库明细!$D$2:$D$558,$B1797,半成品出库明细!$G$2:$G$2)</f>
        <v>0</v>
      </c>
      <c r="J1797" s="28">
        <f ca="1" t="shared" si="38"/>
        <v>0</v>
      </c>
      <c r="K1797" s="30" t="s">
        <v>173</v>
      </c>
      <c r="L1797" s="19"/>
      <c r="M1797" s="3"/>
    </row>
    <row r="1798" s="1" customFormat="1" spans="1:13">
      <c r="A1798" s="22"/>
      <c r="B1798" s="143" t="s">
        <v>2943</v>
      </c>
      <c r="C1798" s="143" t="s">
        <v>2944</v>
      </c>
      <c r="D1798" s="143" t="s">
        <v>2945</v>
      </c>
      <c r="E1798" s="19" t="s">
        <v>76</v>
      </c>
      <c r="F1798" s="26" t="s">
        <v>197</v>
      </c>
      <c r="G1798" s="27">
        <f>SUMIF(物料月初库存!$C$3:$C$303,$B1798,物料月初库存!$F$3:$F$303)</f>
        <v>0</v>
      </c>
      <c r="H1798" s="28">
        <f>SUMIF(半成品入库明细!$D$2:$D$650,$B1798,半成品入库明细!$G$2:$G$650)</f>
        <v>0</v>
      </c>
      <c r="I1798" s="28">
        <f ca="1">SUMIF(半成品出库明细!$D$2:$D$558,$B1798,半成品出库明细!$G$2:$G$2)</f>
        <v>0</v>
      </c>
      <c r="J1798" s="28">
        <f ca="1" t="shared" si="38"/>
        <v>0</v>
      </c>
      <c r="K1798" s="30"/>
      <c r="L1798" s="19"/>
      <c r="M1798" s="3"/>
    </row>
    <row r="1799" s="1" customFormat="1" spans="1:13">
      <c r="A1799" s="22"/>
      <c r="B1799" s="143" t="s">
        <v>2946</v>
      </c>
      <c r="C1799" s="143" t="s">
        <v>2944</v>
      </c>
      <c r="D1799" s="143" t="s">
        <v>2945</v>
      </c>
      <c r="E1799" s="19" t="s">
        <v>316</v>
      </c>
      <c r="F1799" s="26" t="s">
        <v>197</v>
      </c>
      <c r="G1799" s="27">
        <f>SUMIF(物料月初库存!$C$3:$C$303,$B1799,物料月初库存!$F$3:$F$303)</f>
        <v>0</v>
      </c>
      <c r="H1799" s="28">
        <f>SUMIF(半成品入库明细!$D$2:$D$650,$B1799,半成品入库明细!$G$2:$G$650)</f>
        <v>0</v>
      </c>
      <c r="I1799" s="28">
        <f ca="1">SUMIF(半成品出库明细!$D$2:$D$558,$B1799,半成品出库明细!$G$2:$G$2)</f>
        <v>0</v>
      </c>
      <c r="J1799" s="28">
        <f ca="1" t="shared" si="38"/>
        <v>0</v>
      </c>
      <c r="K1799" s="30" t="s">
        <v>140</v>
      </c>
      <c r="L1799" s="19"/>
      <c r="M1799" s="3"/>
    </row>
    <row r="1800" s="1" customFormat="1" spans="1:13">
      <c r="A1800" s="22"/>
      <c r="B1800" s="143" t="s">
        <v>2947</v>
      </c>
      <c r="C1800" s="143" t="s">
        <v>2944</v>
      </c>
      <c r="D1800" s="143" t="s">
        <v>2945</v>
      </c>
      <c r="E1800" s="19" t="s">
        <v>2948</v>
      </c>
      <c r="F1800" s="26" t="s">
        <v>197</v>
      </c>
      <c r="G1800" s="27">
        <f>SUMIF(物料月初库存!$C$3:$C$303,$B1800,物料月初库存!$F$3:$F$303)</f>
        <v>0</v>
      </c>
      <c r="H1800" s="28">
        <f>SUMIF(半成品入库明细!$D$2:$D$650,$B1800,半成品入库明细!$G$2:$G$650)</f>
        <v>0</v>
      </c>
      <c r="I1800" s="28">
        <f ca="1">SUMIF(半成品出库明细!$D$2:$D$558,$B1800,半成品出库明细!$G$2:$G$2)</f>
        <v>0</v>
      </c>
      <c r="J1800" s="28">
        <f ca="1" t="shared" si="38"/>
        <v>0</v>
      </c>
      <c r="K1800" s="30" t="s">
        <v>107</v>
      </c>
      <c r="L1800" s="19"/>
      <c r="M1800" s="3"/>
    </row>
    <row r="1801" s="1" customFormat="1" spans="1:13">
      <c r="A1801" s="22"/>
      <c r="B1801" s="143" t="s">
        <v>2949</v>
      </c>
      <c r="C1801" s="143" t="s">
        <v>2944</v>
      </c>
      <c r="D1801" s="143" t="s">
        <v>2945</v>
      </c>
      <c r="E1801" s="19" t="s">
        <v>256</v>
      </c>
      <c r="F1801" s="26" t="s">
        <v>197</v>
      </c>
      <c r="G1801" s="27">
        <f>SUMIF(物料月初库存!$C$3:$C$303,$B1801,物料月初库存!$F$3:$F$303)</f>
        <v>0</v>
      </c>
      <c r="H1801" s="28">
        <f>SUMIF(半成品入库明细!$D$2:$D$650,$B1801,半成品入库明细!$G$2:$G$650)</f>
        <v>0</v>
      </c>
      <c r="I1801" s="28">
        <f ca="1">SUMIF(半成品出库明细!$D$2:$D$558,$B1801,半成品出库明细!$G$2:$G$2)</f>
        <v>0</v>
      </c>
      <c r="J1801" s="28">
        <f ca="1" t="shared" si="38"/>
        <v>0</v>
      </c>
      <c r="K1801" s="30" t="s">
        <v>1447</v>
      </c>
      <c r="L1801" s="19"/>
      <c r="M1801" s="3"/>
    </row>
    <row r="1802" s="1" customFormat="1" spans="1:13">
      <c r="A1802" s="22"/>
      <c r="B1802" s="143"/>
      <c r="C1802" s="143" t="s">
        <v>2944</v>
      </c>
      <c r="D1802" s="143" t="s">
        <v>2945</v>
      </c>
      <c r="E1802" s="19" t="s">
        <v>2950</v>
      </c>
      <c r="F1802" s="26" t="s">
        <v>197</v>
      </c>
      <c r="G1802" s="27">
        <f>SUMIF(物料月初库存!$C$3:$C$303,$B1802,物料月初库存!$F$3:$F$303)</f>
        <v>0</v>
      </c>
      <c r="H1802" s="28">
        <f>SUMIF(半成品入库明细!$D$2:$D$650,$B1802,半成品入库明细!$G$2:$G$650)</f>
        <v>0</v>
      </c>
      <c r="I1802" s="28">
        <f ca="1">SUMIF(半成品出库明细!$D$2:$D$558,$B1802,半成品出库明细!$G$2:$G$2)</f>
        <v>0</v>
      </c>
      <c r="J1802" s="28">
        <f ca="1" t="shared" si="38"/>
        <v>0</v>
      </c>
      <c r="K1802" s="30" t="s">
        <v>2334</v>
      </c>
      <c r="L1802" s="19"/>
      <c r="M1802" s="3"/>
    </row>
    <row r="1803" s="1" customFormat="1" spans="1:13">
      <c r="A1803" s="22"/>
      <c r="B1803" s="143" t="s">
        <v>2951</v>
      </c>
      <c r="C1803" s="143" t="s">
        <v>2952</v>
      </c>
      <c r="D1803" s="143" t="s">
        <v>2953</v>
      </c>
      <c r="E1803" s="19" t="s">
        <v>76</v>
      </c>
      <c r="F1803" s="26" t="s">
        <v>197</v>
      </c>
      <c r="G1803" s="27">
        <f>SUMIF(物料月初库存!$C$3:$C$303,$B1803,物料月初库存!$F$3:$F$303)</f>
        <v>0</v>
      </c>
      <c r="H1803" s="28">
        <f>SUMIF(半成品入库明细!$D$2:$D$650,$B1803,半成品入库明细!$G$2:$G$650)</f>
        <v>0</v>
      </c>
      <c r="I1803" s="28">
        <f ca="1">SUMIF(半成品出库明细!$D$2:$D$558,$B1803,半成品出库明细!$G$2:$G$2)</f>
        <v>0</v>
      </c>
      <c r="J1803" s="28">
        <f ca="1" t="shared" si="38"/>
        <v>0</v>
      </c>
      <c r="K1803" s="30"/>
      <c r="L1803" s="19"/>
      <c r="M1803" s="3"/>
    </row>
    <row r="1804" s="1" customFormat="1" spans="1:13">
      <c r="A1804" s="22"/>
      <c r="B1804" s="143" t="s">
        <v>2954</v>
      </c>
      <c r="C1804" s="143" t="s">
        <v>2952</v>
      </c>
      <c r="D1804" s="143" t="s">
        <v>2953</v>
      </c>
      <c r="E1804" s="19" t="s">
        <v>225</v>
      </c>
      <c r="F1804" s="26" t="s">
        <v>197</v>
      </c>
      <c r="G1804" s="27">
        <f>SUMIF(物料月初库存!$C$3:$C$303,$B1804,物料月初库存!$F$3:$F$303)</f>
        <v>0</v>
      </c>
      <c r="H1804" s="28">
        <f>SUMIF(半成品入库明细!$D$2:$D$650,$B1804,半成品入库明细!$G$2:$G$650)</f>
        <v>0</v>
      </c>
      <c r="I1804" s="28">
        <f ca="1">SUMIF(半成品出库明细!$D$2:$D$558,$B1804,半成品出库明细!$G$2:$G$2)</f>
        <v>0</v>
      </c>
      <c r="J1804" s="28">
        <f ca="1" t="shared" si="38"/>
        <v>0</v>
      </c>
      <c r="K1804" s="30" t="s">
        <v>92</v>
      </c>
      <c r="L1804" s="19"/>
      <c r="M1804" s="3"/>
    </row>
    <row r="1805" s="1" customFormat="1" spans="1:13">
      <c r="A1805" s="22"/>
      <c r="B1805" s="143" t="s">
        <v>53</v>
      </c>
      <c r="C1805" s="143" t="s">
        <v>2952</v>
      </c>
      <c r="D1805" s="143" t="s">
        <v>2953</v>
      </c>
      <c r="E1805" s="19" t="s">
        <v>353</v>
      </c>
      <c r="F1805" s="26" t="s">
        <v>197</v>
      </c>
      <c r="G1805" s="27">
        <f>SUMIF(物料月初库存!$C$3:$C$303,$B1805,物料月初库存!$F$3:$F$303)</f>
        <v>65</v>
      </c>
      <c r="H1805" s="28">
        <f>SUMIF(半成品入库明细!$D$2:$D$650,$B1805,半成品入库明细!$G$2:$G$650)</f>
        <v>0</v>
      </c>
      <c r="I1805" s="28">
        <f ca="1">SUMIF(半成品出库明细!$D$2:$D$558,$B1805,半成品出库明细!$G$2:$G$2)</f>
        <v>0</v>
      </c>
      <c r="J1805" s="28">
        <f ca="1" t="shared" ref="J1805:J1859" si="39">G1805+H1805-I1805</f>
        <v>65</v>
      </c>
      <c r="K1805" s="30" t="s">
        <v>133</v>
      </c>
      <c r="L1805" s="19"/>
      <c r="M1805" s="3"/>
    </row>
    <row r="1806" s="1" customFormat="1" spans="1:13">
      <c r="A1806" s="22"/>
      <c r="B1806" s="143" t="s">
        <v>2955</v>
      </c>
      <c r="C1806" s="143" t="s">
        <v>2952</v>
      </c>
      <c r="D1806" s="143" t="s">
        <v>2953</v>
      </c>
      <c r="E1806" s="19" t="s">
        <v>2155</v>
      </c>
      <c r="F1806" s="26" t="s">
        <v>197</v>
      </c>
      <c r="G1806" s="27">
        <f>SUMIF(物料月初库存!$C$3:$C$303,$B1806,物料月初库存!$F$3:$F$303)</f>
        <v>0</v>
      </c>
      <c r="H1806" s="28">
        <f>SUMIF(半成品入库明细!$D$2:$D$650,$B1806,半成品入库明细!$G$2:$G$650)</f>
        <v>0</v>
      </c>
      <c r="I1806" s="28">
        <f ca="1">SUMIF(半成品出库明细!$D$2:$D$558,$B1806,半成品出库明细!$G$2:$G$2)</f>
        <v>0</v>
      </c>
      <c r="J1806" s="28">
        <f ca="1" t="shared" si="39"/>
        <v>0</v>
      </c>
      <c r="K1806" s="51" t="s">
        <v>2956</v>
      </c>
      <c r="L1806" s="19"/>
      <c r="M1806" s="3"/>
    </row>
    <row r="1807" s="1" customFormat="1" spans="1:13">
      <c r="A1807" s="22"/>
      <c r="B1807" s="143" t="s">
        <v>2957</v>
      </c>
      <c r="C1807" s="143" t="s">
        <v>2952</v>
      </c>
      <c r="D1807" s="143" t="s">
        <v>2953</v>
      </c>
      <c r="E1807" s="19" t="s">
        <v>235</v>
      </c>
      <c r="F1807" s="26" t="s">
        <v>197</v>
      </c>
      <c r="G1807" s="27">
        <f>SUMIF(物料月初库存!$C$3:$C$303,$B1807,物料月初库存!$F$3:$F$303)</f>
        <v>0</v>
      </c>
      <c r="H1807" s="28">
        <f>SUMIF(半成品入库明细!$D$2:$D$650,$B1807,半成品入库明细!$G$2:$G$650)</f>
        <v>0</v>
      </c>
      <c r="I1807" s="28">
        <f ca="1">SUMIF(半成品出库明细!$D$2:$D$558,$B1807,半成品出库明细!$G$2:$G$2)</f>
        <v>0</v>
      </c>
      <c r="J1807" s="28">
        <f ca="1" t="shared" si="39"/>
        <v>0</v>
      </c>
      <c r="K1807" s="30" t="s">
        <v>602</v>
      </c>
      <c r="L1807" s="19"/>
      <c r="M1807" s="3"/>
    </row>
    <row r="1808" s="1" customFormat="1" spans="1:13">
      <c r="A1808" s="22"/>
      <c r="B1808" s="143" t="s">
        <v>2958</v>
      </c>
      <c r="C1808" s="143" t="s">
        <v>2959</v>
      </c>
      <c r="D1808" s="143" t="s">
        <v>2953</v>
      </c>
      <c r="E1808" s="19" t="s">
        <v>76</v>
      </c>
      <c r="F1808" s="26" t="s">
        <v>197</v>
      </c>
      <c r="G1808" s="27">
        <f>SUMIF(物料月初库存!$C$3:$C$303,$B1808,物料月初库存!$F$3:$F$303)</f>
        <v>0</v>
      </c>
      <c r="H1808" s="28">
        <f>SUMIF(半成品入库明细!$D$2:$D$650,$B1808,半成品入库明细!$G$2:$G$650)</f>
        <v>0</v>
      </c>
      <c r="I1808" s="28">
        <f ca="1">SUMIF(半成品出库明细!$D$2:$D$558,$B1808,半成品出库明细!$G$2:$G$2)</f>
        <v>0</v>
      </c>
      <c r="J1808" s="28">
        <f ca="1" t="shared" si="39"/>
        <v>0</v>
      </c>
      <c r="K1808" s="30"/>
      <c r="L1808" s="19"/>
      <c r="M1808" s="3"/>
    </row>
    <row r="1809" s="1" customFormat="1" spans="1:13">
      <c r="A1809" s="22"/>
      <c r="B1809" s="143" t="s">
        <v>2960</v>
      </c>
      <c r="C1809" s="143" t="s">
        <v>2959</v>
      </c>
      <c r="D1809" s="143" t="s">
        <v>2953</v>
      </c>
      <c r="E1809" s="19" t="s">
        <v>225</v>
      </c>
      <c r="F1809" s="26" t="s">
        <v>197</v>
      </c>
      <c r="G1809" s="27">
        <f>SUMIF(物料月初库存!$C$3:$C$303,$B1809,物料月初库存!$F$3:$F$303)</f>
        <v>0</v>
      </c>
      <c r="H1809" s="28">
        <f>SUMIF(半成品入库明细!$D$2:$D$650,$B1809,半成品入库明细!$G$2:$G$650)</f>
        <v>0</v>
      </c>
      <c r="I1809" s="28">
        <f ca="1">SUMIF(半成品出库明细!$D$2:$D$558,$B1809,半成品出库明细!$G$2:$G$2)</f>
        <v>0</v>
      </c>
      <c r="J1809" s="28">
        <f ca="1" t="shared" si="39"/>
        <v>0</v>
      </c>
      <c r="K1809" s="30" t="s">
        <v>92</v>
      </c>
      <c r="L1809" s="19"/>
      <c r="M1809" s="3"/>
    </row>
    <row r="1810" s="1" customFormat="1" spans="1:13">
      <c r="A1810" s="22"/>
      <c r="B1810" s="143" t="s">
        <v>2961</v>
      </c>
      <c r="C1810" s="143" t="s">
        <v>2959</v>
      </c>
      <c r="D1810" s="143" t="s">
        <v>2953</v>
      </c>
      <c r="E1810" s="19" t="s">
        <v>2155</v>
      </c>
      <c r="F1810" s="26" t="s">
        <v>197</v>
      </c>
      <c r="G1810" s="27">
        <f>SUMIF(物料月初库存!$C$3:$C$303,$B1810,物料月初库存!$F$3:$F$303)</f>
        <v>0</v>
      </c>
      <c r="H1810" s="28">
        <f>SUMIF(半成品入库明细!$D$2:$D$650,$B1810,半成品入库明细!$G$2:$G$650)</f>
        <v>0</v>
      </c>
      <c r="I1810" s="28">
        <f ca="1">SUMIF(半成品出库明细!$D$2:$D$558,$B1810,半成品出库明细!$G$2:$G$2)</f>
        <v>0</v>
      </c>
      <c r="J1810" s="28">
        <f ca="1" t="shared" si="39"/>
        <v>0</v>
      </c>
      <c r="K1810" s="30"/>
      <c r="L1810" s="19"/>
      <c r="M1810" s="3"/>
    </row>
    <row r="1811" s="1" customFormat="1" spans="1:13">
      <c r="A1811" s="22"/>
      <c r="B1811" s="143" t="s">
        <v>2962</v>
      </c>
      <c r="C1811" s="143" t="s">
        <v>2963</v>
      </c>
      <c r="D1811" s="143" t="s">
        <v>2953</v>
      </c>
      <c r="E1811" s="19" t="s">
        <v>76</v>
      </c>
      <c r="F1811" s="26" t="s">
        <v>197</v>
      </c>
      <c r="G1811" s="27">
        <f>SUMIF(物料月初库存!$C$3:$C$303,$B1811,物料月初库存!$F$3:$F$303)</f>
        <v>0</v>
      </c>
      <c r="H1811" s="28">
        <f>SUMIF(半成品入库明细!$D$2:$D$650,$B1811,半成品入库明细!$G$2:$G$650)</f>
        <v>0</v>
      </c>
      <c r="I1811" s="28">
        <f ca="1">SUMIF(半成品出库明细!$D$2:$D$558,$B1811,半成品出库明细!$G$2:$G$2)</f>
        <v>0</v>
      </c>
      <c r="J1811" s="28">
        <f ca="1" t="shared" si="39"/>
        <v>0</v>
      </c>
      <c r="K1811" s="30"/>
      <c r="L1811" s="19"/>
      <c r="M1811" s="3"/>
    </row>
    <row r="1812" s="1" customFormat="1" spans="1:13">
      <c r="A1812" s="22"/>
      <c r="B1812" s="143" t="s">
        <v>2964</v>
      </c>
      <c r="C1812" s="143" t="s">
        <v>2965</v>
      </c>
      <c r="D1812" s="143" t="s">
        <v>2953</v>
      </c>
      <c r="E1812" s="19" t="s">
        <v>76</v>
      </c>
      <c r="F1812" s="26" t="s">
        <v>197</v>
      </c>
      <c r="G1812" s="27">
        <f>SUMIF(物料月初库存!$C$3:$C$303,$B1812,物料月初库存!$F$3:$F$303)</f>
        <v>0</v>
      </c>
      <c r="H1812" s="28">
        <f>SUMIF(半成品入库明细!$D$2:$D$650,$B1812,半成品入库明细!$G$2:$G$650)</f>
        <v>0</v>
      </c>
      <c r="I1812" s="28">
        <f ca="1">SUMIF(半成品出库明细!$D$2:$D$558,$B1812,半成品出库明细!$G$2:$G$2)</f>
        <v>0</v>
      </c>
      <c r="J1812" s="28">
        <f ca="1" t="shared" si="39"/>
        <v>0</v>
      </c>
      <c r="K1812" s="30"/>
      <c r="L1812" s="19"/>
      <c r="M1812" s="3"/>
    </row>
    <row r="1813" s="1" customFormat="1" spans="1:13">
      <c r="A1813" s="22"/>
      <c r="B1813" s="143" t="s">
        <v>2966</v>
      </c>
      <c r="C1813" s="143" t="s">
        <v>2965</v>
      </c>
      <c r="D1813" s="143" t="s">
        <v>2953</v>
      </c>
      <c r="E1813" s="19" t="s">
        <v>225</v>
      </c>
      <c r="F1813" s="26" t="s">
        <v>197</v>
      </c>
      <c r="G1813" s="27">
        <f>SUMIF(物料月初库存!$C$3:$C$303,$B1813,物料月初库存!$F$3:$F$303)</f>
        <v>0</v>
      </c>
      <c r="H1813" s="28">
        <f>SUMIF(半成品入库明细!$D$2:$D$650,$B1813,半成品入库明细!$G$2:$G$650)</f>
        <v>0</v>
      </c>
      <c r="I1813" s="28">
        <f ca="1">SUMIF(半成品出库明细!$D$2:$D$558,$B1813,半成品出库明细!$G$2:$G$2)</f>
        <v>0</v>
      </c>
      <c r="J1813" s="28">
        <f ca="1" t="shared" si="39"/>
        <v>0</v>
      </c>
      <c r="K1813" s="30" t="s">
        <v>92</v>
      </c>
      <c r="L1813" s="19"/>
      <c r="M1813" s="3"/>
    </row>
    <row r="1814" s="1" customFormat="1" spans="1:13">
      <c r="A1814" s="22"/>
      <c r="B1814" s="143" t="s">
        <v>2967</v>
      </c>
      <c r="C1814" s="143" t="s">
        <v>2965</v>
      </c>
      <c r="D1814" s="143" t="s">
        <v>2953</v>
      </c>
      <c r="E1814" s="19" t="s">
        <v>2155</v>
      </c>
      <c r="F1814" s="26" t="s">
        <v>197</v>
      </c>
      <c r="G1814" s="27">
        <f>SUMIF(物料月初库存!$C$3:$C$303,$B1814,物料月初库存!$F$3:$F$303)</f>
        <v>0</v>
      </c>
      <c r="H1814" s="28">
        <f>SUMIF(半成品入库明细!$D$2:$D$650,$B1814,半成品入库明细!$G$2:$G$650)</f>
        <v>0</v>
      </c>
      <c r="I1814" s="28">
        <f ca="1">SUMIF(半成品出库明细!$D$2:$D$558,$B1814,半成品出库明细!$G$2:$G$2)</f>
        <v>0</v>
      </c>
      <c r="J1814" s="28">
        <f ca="1" t="shared" si="39"/>
        <v>0</v>
      </c>
      <c r="K1814" s="30"/>
      <c r="L1814" s="19"/>
      <c r="M1814" s="3"/>
    </row>
    <row r="1815" s="1" customFormat="1" spans="1:13">
      <c r="A1815" s="22"/>
      <c r="B1815" s="143" t="s">
        <v>2968</v>
      </c>
      <c r="C1815" s="143" t="s">
        <v>2969</v>
      </c>
      <c r="D1815" s="143" t="s">
        <v>2953</v>
      </c>
      <c r="E1815" s="19" t="s">
        <v>76</v>
      </c>
      <c r="F1815" s="26" t="s">
        <v>197</v>
      </c>
      <c r="G1815" s="27">
        <f>SUMIF(物料月初库存!$C$3:$C$303,$B1815,物料月初库存!$F$3:$F$303)</f>
        <v>0</v>
      </c>
      <c r="H1815" s="28">
        <f>SUMIF(半成品入库明细!$D$2:$D$650,$B1815,半成品入库明细!$G$2:$G$650)</f>
        <v>0</v>
      </c>
      <c r="I1815" s="28">
        <f ca="1">SUMIF(半成品出库明细!$D$2:$D$558,$B1815,半成品出库明细!$G$2:$G$2)</f>
        <v>0</v>
      </c>
      <c r="J1815" s="28">
        <f ca="1" t="shared" si="39"/>
        <v>0</v>
      </c>
      <c r="K1815" s="30"/>
      <c r="L1815" s="19"/>
      <c r="M1815" s="3"/>
    </row>
    <row r="1816" s="1" customFormat="1" spans="1:13">
      <c r="A1816" s="22"/>
      <c r="B1816" s="143" t="s">
        <v>2970</v>
      </c>
      <c r="C1816" s="143" t="s">
        <v>2969</v>
      </c>
      <c r="D1816" s="143" t="s">
        <v>2953</v>
      </c>
      <c r="E1816" s="19" t="s">
        <v>316</v>
      </c>
      <c r="F1816" s="26" t="s">
        <v>197</v>
      </c>
      <c r="G1816" s="27">
        <f>SUMIF(物料月初库存!$C$3:$C$303,$B1816,物料月初库存!$F$3:$F$303)</f>
        <v>0</v>
      </c>
      <c r="H1816" s="28">
        <f>SUMIF(半成品入库明细!$D$2:$D$650,$B1816,半成品入库明细!$G$2:$G$650)</f>
        <v>0</v>
      </c>
      <c r="I1816" s="28">
        <f ca="1">SUMIF(半成品出库明细!$D$2:$D$558,$B1816,半成品出库明细!$G$2:$G$2)</f>
        <v>0</v>
      </c>
      <c r="J1816" s="28">
        <f ca="1" t="shared" si="39"/>
        <v>0</v>
      </c>
      <c r="K1816" s="30" t="s">
        <v>133</v>
      </c>
      <c r="L1816" s="19"/>
      <c r="M1816" s="3"/>
    </row>
    <row r="1817" s="1" customFormat="1" spans="1:13">
      <c r="A1817" s="22"/>
      <c r="B1817" s="143" t="s">
        <v>2971</v>
      </c>
      <c r="C1817" s="143" t="s">
        <v>2969</v>
      </c>
      <c r="D1817" s="143" t="s">
        <v>2953</v>
      </c>
      <c r="E1817" s="19" t="s">
        <v>239</v>
      </c>
      <c r="F1817" s="26" t="s">
        <v>197</v>
      </c>
      <c r="G1817" s="27">
        <f>SUMIF(物料月初库存!$C$3:$C$303,$B1817,物料月初库存!$F$3:$F$303)</f>
        <v>0</v>
      </c>
      <c r="H1817" s="28">
        <f>SUMIF(半成品入库明细!$D$2:$D$650,$B1817,半成品入库明细!$G$2:$G$650)</f>
        <v>0</v>
      </c>
      <c r="I1817" s="28">
        <f ca="1">SUMIF(半成品出库明细!$D$2:$D$558,$B1817,半成品出库明细!$G$2:$G$2)</f>
        <v>0</v>
      </c>
      <c r="J1817" s="28">
        <f ca="1" t="shared" si="39"/>
        <v>0</v>
      </c>
      <c r="K1817" s="30"/>
      <c r="L1817" s="19"/>
      <c r="M1817" s="3"/>
    </row>
    <row r="1818" s="1" customFormat="1" spans="1:13">
      <c r="A1818" s="22"/>
      <c r="B1818" s="143" t="s">
        <v>2972</v>
      </c>
      <c r="C1818" s="143" t="s">
        <v>1538</v>
      </c>
      <c r="D1818" s="143" t="s">
        <v>2953</v>
      </c>
      <c r="E1818" s="19" t="s">
        <v>76</v>
      </c>
      <c r="F1818" s="26" t="s">
        <v>197</v>
      </c>
      <c r="G1818" s="27">
        <f>SUMIF(物料月初库存!$C$3:$C$303,$B1818,物料月初库存!$F$3:$F$303)</f>
        <v>0</v>
      </c>
      <c r="H1818" s="28">
        <f>SUMIF(半成品入库明细!$D$2:$D$650,$B1818,半成品入库明细!$G$2:$G$650)</f>
        <v>0</v>
      </c>
      <c r="I1818" s="28">
        <f ca="1">SUMIF(半成品出库明细!$D$2:$D$558,$B1818,半成品出库明细!$G$2:$G$2)</f>
        <v>0</v>
      </c>
      <c r="J1818" s="28">
        <f ca="1" t="shared" si="39"/>
        <v>0</v>
      </c>
      <c r="K1818" s="30"/>
      <c r="L1818" s="19"/>
      <c r="M1818" s="3"/>
    </row>
    <row r="1819" s="1" customFormat="1" spans="1:13">
      <c r="A1819" s="22"/>
      <c r="B1819" s="143" t="s">
        <v>2973</v>
      </c>
      <c r="C1819" s="143" t="s">
        <v>1538</v>
      </c>
      <c r="D1819" s="143" t="s">
        <v>2953</v>
      </c>
      <c r="E1819" s="19" t="s">
        <v>353</v>
      </c>
      <c r="F1819" s="26" t="s">
        <v>197</v>
      </c>
      <c r="G1819" s="27">
        <f>SUMIF(物料月初库存!$C$3:$C$303,$B1819,物料月初库存!$F$3:$F$303)</f>
        <v>0</v>
      </c>
      <c r="H1819" s="28">
        <f>SUMIF(半成品入库明细!$D$2:$D$650,$B1819,半成品入库明细!$G$2:$G$650)</f>
        <v>0</v>
      </c>
      <c r="I1819" s="28">
        <f ca="1">SUMIF(半成品出库明细!$D$2:$D$558,$B1819,半成品出库明细!$G$2:$G$2)</f>
        <v>0</v>
      </c>
      <c r="J1819" s="28">
        <f ca="1" t="shared" si="39"/>
        <v>0</v>
      </c>
      <c r="K1819" s="30"/>
      <c r="L1819" s="19"/>
      <c r="M1819" s="3"/>
    </row>
    <row r="1820" s="1" customFormat="1" spans="1:13">
      <c r="A1820" s="22"/>
      <c r="B1820" s="143" t="s">
        <v>2974</v>
      </c>
      <c r="C1820" s="143" t="s">
        <v>1538</v>
      </c>
      <c r="D1820" s="143" t="s">
        <v>2953</v>
      </c>
      <c r="E1820" s="19" t="s">
        <v>239</v>
      </c>
      <c r="F1820" s="26" t="s">
        <v>197</v>
      </c>
      <c r="G1820" s="27">
        <f>SUMIF(物料月初库存!$C$3:$C$303,$B1820,物料月初库存!$F$3:$F$303)</f>
        <v>0</v>
      </c>
      <c r="H1820" s="28">
        <f>SUMIF(半成品入库明细!$D$2:$D$650,$B1820,半成品入库明细!$G$2:$G$650)</f>
        <v>0</v>
      </c>
      <c r="I1820" s="28">
        <f ca="1">SUMIF(半成品出库明细!$D$2:$D$558,$B1820,半成品出库明细!$G$2:$G$2)</f>
        <v>0</v>
      </c>
      <c r="J1820" s="28">
        <f ca="1" t="shared" si="39"/>
        <v>0</v>
      </c>
      <c r="K1820" s="30"/>
      <c r="L1820" s="19"/>
      <c r="M1820" s="3"/>
    </row>
    <row r="1821" s="1" customFormat="1" spans="1:13">
      <c r="A1821" s="22"/>
      <c r="B1821" s="143" t="s">
        <v>2975</v>
      </c>
      <c r="C1821" s="143" t="s">
        <v>2976</v>
      </c>
      <c r="D1821" s="143" t="s">
        <v>2953</v>
      </c>
      <c r="E1821" s="19" t="s">
        <v>76</v>
      </c>
      <c r="F1821" s="26" t="s">
        <v>197</v>
      </c>
      <c r="G1821" s="27">
        <f>SUMIF(物料月初库存!$C$3:$C$303,$B1821,物料月初库存!$F$3:$F$303)</f>
        <v>0</v>
      </c>
      <c r="H1821" s="28">
        <f>SUMIF(半成品入库明细!$D$2:$D$650,$B1821,半成品入库明细!$G$2:$G$650)</f>
        <v>0</v>
      </c>
      <c r="I1821" s="28">
        <f ca="1">SUMIF(半成品出库明细!$D$2:$D$558,$B1821,半成品出库明细!$G$2:$G$2)</f>
        <v>0</v>
      </c>
      <c r="J1821" s="28">
        <f ca="1" t="shared" si="39"/>
        <v>0</v>
      </c>
      <c r="K1821" s="30"/>
      <c r="L1821" s="19"/>
      <c r="M1821" s="3"/>
    </row>
    <row r="1822" s="1" customFormat="1" spans="1:13">
      <c r="A1822" s="22"/>
      <c r="B1822" s="143" t="s">
        <v>2977</v>
      </c>
      <c r="C1822" s="143" t="s">
        <v>2976</v>
      </c>
      <c r="D1822" s="143" t="s">
        <v>2953</v>
      </c>
      <c r="E1822" s="19" t="s">
        <v>225</v>
      </c>
      <c r="F1822" s="26" t="s">
        <v>197</v>
      </c>
      <c r="G1822" s="27">
        <f>SUMIF(物料月初库存!$C$3:$C$303,$B1822,物料月初库存!$F$3:$F$303)</f>
        <v>0</v>
      </c>
      <c r="H1822" s="28">
        <f>SUMIF(半成品入库明细!$D$2:$D$650,$B1822,半成品入库明细!$G$2:$G$650)</f>
        <v>0</v>
      </c>
      <c r="I1822" s="28">
        <f ca="1">SUMIF(半成品出库明细!$D$2:$D$558,$B1822,半成品出库明细!$G$2:$G$2)</f>
        <v>0</v>
      </c>
      <c r="J1822" s="28">
        <f ca="1" t="shared" si="39"/>
        <v>0</v>
      </c>
      <c r="K1822" s="30" t="s">
        <v>92</v>
      </c>
      <c r="L1822" s="19"/>
      <c r="M1822" s="3"/>
    </row>
    <row r="1823" s="1" customFormat="1" spans="1:13">
      <c r="A1823" s="22"/>
      <c r="B1823" s="143" t="s">
        <v>2978</v>
      </c>
      <c r="C1823" s="143" t="s">
        <v>2976</v>
      </c>
      <c r="D1823" s="143" t="s">
        <v>2953</v>
      </c>
      <c r="E1823" s="19" t="s">
        <v>316</v>
      </c>
      <c r="F1823" s="26" t="s">
        <v>197</v>
      </c>
      <c r="G1823" s="27">
        <f>SUMIF(物料月初库存!$C$3:$C$303,$B1823,物料月初库存!$F$3:$F$303)</f>
        <v>0</v>
      </c>
      <c r="H1823" s="28">
        <f>SUMIF(半成品入库明细!$D$2:$D$650,$B1823,半成品入库明细!$G$2:$G$650)</f>
        <v>0</v>
      </c>
      <c r="I1823" s="28">
        <f ca="1">SUMIF(半成品出库明细!$D$2:$D$558,$B1823,半成品出库明细!$G$2:$G$2)</f>
        <v>0</v>
      </c>
      <c r="J1823" s="28">
        <f ca="1" t="shared" si="39"/>
        <v>0</v>
      </c>
      <c r="K1823" s="30" t="s">
        <v>133</v>
      </c>
      <c r="L1823" s="19"/>
      <c r="M1823" s="3"/>
    </row>
    <row r="1824" s="1" customFormat="1" spans="1:13">
      <c r="A1824" s="22"/>
      <c r="B1824" s="143" t="s">
        <v>2979</v>
      </c>
      <c r="C1824" s="143" t="s">
        <v>2976</v>
      </c>
      <c r="D1824" s="143" t="s">
        <v>2953</v>
      </c>
      <c r="E1824" s="19" t="s">
        <v>2155</v>
      </c>
      <c r="F1824" s="26" t="s">
        <v>197</v>
      </c>
      <c r="G1824" s="27">
        <f>SUMIF(物料月初库存!$C$3:$C$303,$B1824,物料月初库存!$F$3:$F$303)</f>
        <v>0</v>
      </c>
      <c r="H1824" s="28">
        <f>SUMIF(半成品入库明细!$D$2:$D$650,$B1824,半成品入库明细!$G$2:$G$650)</f>
        <v>0</v>
      </c>
      <c r="I1824" s="28">
        <f ca="1">SUMIF(半成品出库明细!$D$2:$D$558,$B1824,半成品出库明细!$G$2:$G$2)</f>
        <v>0</v>
      </c>
      <c r="J1824" s="28">
        <f ca="1" t="shared" si="39"/>
        <v>0</v>
      </c>
      <c r="K1824" s="30"/>
      <c r="L1824" s="19"/>
      <c r="M1824" s="3"/>
    </row>
    <row r="1825" s="1" customFormat="1" spans="1:13">
      <c r="A1825" s="22"/>
      <c r="B1825" s="143" t="s">
        <v>2980</v>
      </c>
      <c r="C1825" s="143" t="s">
        <v>2981</v>
      </c>
      <c r="D1825" s="143" t="s">
        <v>2953</v>
      </c>
      <c r="E1825" s="19" t="s">
        <v>76</v>
      </c>
      <c r="F1825" s="26" t="s">
        <v>197</v>
      </c>
      <c r="G1825" s="27">
        <f>SUMIF(物料月初库存!$C$3:$C$303,$B1825,物料月初库存!$F$3:$F$303)</f>
        <v>0</v>
      </c>
      <c r="H1825" s="28">
        <f>SUMIF(半成品入库明细!$D$2:$D$650,$B1825,半成品入库明细!$G$2:$G$650)</f>
        <v>0</v>
      </c>
      <c r="I1825" s="28">
        <f ca="1">SUMIF(半成品出库明细!$D$2:$D$558,$B1825,半成品出库明细!$G$2:$G$2)</f>
        <v>0</v>
      </c>
      <c r="J1825" s="28">
        <f ca="1" t="shared" si="39"/>
        <v>0</v>
      </c>
      <c r="K1825" s="30"/>
      <c r="L1825" s="19"/>
      <c r="M1825" s="3"/>
    </row>
    <row r="1826" s="1" customFormat="1" spans="1:13">
      <c r="A1826" s="22"/>
      <c r="B1826" s="143" t="s">
        <v>2982</v>
      </c>
      <c r="C1826" s="143" t="s">
        <v>2981</v>
      </c>
      <c r="D1826" s="143" t="s">
        <v>2953</v>
      </c>
      <c r="E1826" s="19" t="s">
        <v>235</v>
      </c>
      <c r="F1826" s="26" t="s">
        <v>197</v>
      </c>
      <c r="G1826" s="27">
        <f>SUMIF(物料月初库存!$C$3:$C$303,$B1826,物料月初库存!$F$3:$F$303)</f>
        <v>0</v>
      </c>
      <c r="H1826" s="28">
        <f>SUMIF(半成品入库明细!$D$2:$D$650,$B1826,半成品入库明细!$G$2:$G$650)</f>
        <v>0</v>
      </c>
      <c r="I1826" s="28">
        <f ca="1">SUMIF(半成品出库明细!$D$2:$D$558,$B1826,半成品出库明细!$G$2:$G$2)</f>
        <v>0</v>
      </c>
      <c r="J1826" s="28">
        <f ca="1" t="shared" si="39"/>
        <v>0</v>
      </c>
      <c r="K1826" s="30"/>
      <c r="L1826" s="19"/>
      <c r="M1826" s="3"/>
    </row>
    <row r="1827" s="1" customFormat="1" spans="1:13">
      <c r="A1827" s="22"/>
      <c r="B1827" s="143" t="s">
        <v>2983</v>
      </c>
      <c r="C1827" s="143" t="s">
        <v>2981</v>
      </c>
      <c r="D1827" s="143" t="s">
        <v>2953</v>
      </c>
      <c r="E1827" s="19" t="s">
        <v>670</v>
      </c>
      <c r="F1827" s="26" t="s">
        <v>197</v>
      </c>
      <c r="G1827" s="27">
        <f>SUMIF(物料月初库存!$C$3:$C$303,$B1827,物料月初库存!$F$3:$F$303)</f>
        <v>0</v>
      </c>
      <c r="H1827" s="28">
        <f>SUMIF(半成品入库明细!$D$2:$D$650,$B1827,半成品入库明细!$G$2:$G$650)</f>
        <v>0</v>
      </c>
      <c r="I1827" s="28">
        <f ca="1">SUMIF(半成品出库明细!$D$2:$D$558,$B1827,半成品出库明细!$G$2:$G$2)</f>
        <v>0</v>
      </c>
      <c r="J1827" s="28">
        <f ca="1" t="shared" si="39"/>
        <v>0</v>
      </c>
      <c r="K1827" s="30"/>
      <c r="L1827" s="19"/>
      <c r="M1827" s="3"/>
    </row>
    <row r="1828" s="1" customFormat="1" spans="1:13">
      <c r="A1828" s="22"/>
      <c r="B1828" s="143" t="s">
        <v>2984</v>
      </c>
      <c r="C1828" s="143" t="s">
        <v>2981</v>
      </c>
      <c r="D1828" s="143" t="s">
        <v>2953</v>
      </c>
      <c r="E1828" s="19" t="s">
        <v>199</v>
      </c>
      <c r="F1828" s="26" t="s">
        <v>197</v>
      </c>
      <c r="G1828" s="27">
        <f>SUMIF(物料月初库存!$C$3:$C$303,$B1828,物料月初库存!$F$3:$F$303)</f>
        <v>0</v>
      </c>
      <c r="H1828" s="28">
        <f>SUMIF(半成品入库明细!$D$2:$D$650,$B1828,半成品入库明细!$G$2:$G$650)</f>
        <v>0</v>
      </c>
      <c r="I1828" s="28">
        <f ca="1">SUMIF(半成品出库明细!$D$2:$D$558,$B1828,半成品出库明细!$G$2:$G$2)</f>
        <v>0</v>
      </c>
      <c r="J1828" s="28">
        <f ca="1" t="shared" si="39"/>
        <v>0</v>
      </c>
      <c r="K1828" s="30"/>
      <c r="L1828" s="19"/>
      <c r="M1828" s="3"/>
    </row>
    <row r="1829" s="1" customFormat="1" spans="1:13">
      <c r="A1829" s="22"/>
      <c r="B1829" s="143" t="s">
        <v>2985</v>
      </c>
      <c r="C1829" s="143" t="s">
        <v>2986</v>
      </c>
      <c r="D1829" s="143" t="s">
        <v>2953</v>
      </c>
      <c r="E1829" s="19" t="s">
        <v>76</v>
      </c>
      <c r="F1829" s="26" t="s">
        <v>197</v>
      </c>
      <c r="G1829" s="27">
        <f>SUMIF(物料月初库存!$C$3:$C$303,$B1829,物料月初库存!$F$3:$F$303)</f>
        <v>0</v>
      </c>
      <c r="H1829" s="28">
        <f>SUMIF(半成品入库明细!$D$2:$D$650,$B1829,半成品入库明细!$G$2:$G$650)</f>
        <v>0</v>
      </c>
      <c r="I1829" s="28">
        <f ca="1">SUMIF(半成品出库明细!$D$2:$D$558,$B1829,半成品出库明细!$G$2:$G$2)</f>
        <v>0</v>
      </c>
      <c r="J1829" s="28">
        <f ca="1" t="shared" si="39"/>
        <v>0</v>
      </c>
      <c r="K1829" s="30"/>
      <c r="L1829" s="19"/>
      <c r="M1829" s="3"/>
    </row>
    <row r="1830" s="1" customFormat="1" spans="1:13">
      <c r="A1830" s="22"/>
      <c r="B1830" s="143" t="s">
        <v>2987</v>
      </c>
      <c r="C1830" s="143" t="s">
        <v>2986</v>
      </c>
      <c r="D1830" s="143" t="s">
        <v>2953</v>
      </c>
      <c r="E1830" s="19" t="s">
        <v>235</v>
      </c>
      <c r="F1830" s="26" t="s">
        <v>197</v>
      </c>
      <c r="G1830" s="27">
        <f>SUMIF(物料月初库存!$C$3:$C$303,$B1830,物料月初库存!$F$3:$F$303)</f>
        <v>0</v>
      </c>
      <c r="H1830" s="28">
        <f>SUMIF(半成品入库明细!$D$2:$D$650,$B1830,半成品入库明细!$G$2:$G$650)</f>
        <v>0</v>
      </c>
      <c r="I1830" s="28">
        <f ca="1">SUMIF(半成品出库明细!$D$2:$D$558,$B1830,半成品出库明细!$G$2:$G$2)</f>
        <v>0</v>
      </c>
      <c r="J1830" s="28">
        <f ca="1" t="shared" si="39"/>
        <v>0</v>
      </c>
      <c r="K1830" s="51" t="s">
        <v>2988</v>
      </c>
      <c r="L1830" s="19"/>
      <c r="M1830" s="3"/>
    </row>
    <row r="1831" s="1" customFormat="1" spans="1:13">
      <c r="A1831" s="22"/>
      <c r="B1831" s="143" t="s">
        <v>135</v>
      </c>
      <c r="C1831" s="143" t="s">
        <v>2986</v>
      </c>
      <c r="D1831" s="143" t="s">
        <v>2953</v>
      </c>
      <c r="E1831" s="19" t="s">
        <v>316</v>
      </c>
      <c r="F1831" s="26" t="s">
        <v>197</v>
      </c>
      <c r="G1831" s="27">
        <f>SUMIF(物料月初库存!$C$3:$C$303,$B1831,物料月初库存!$F$3:$F$303)</f>
        <v>0</v>
      </c>
      <c r="H1831" s="28">
        <f>SUMIF(半成品入库明细!$D$2:$D$650,$B1831,半成品入库明细!$G$2:$G$650)</f>
        <v>640</v>
      </c>
      <c r="I1831" s="28">
        <f ca="1">SUMIF(半成品出库明细!$D$2:$D$558,$B1831,半成品出库明细!$G$2:$G$2)</f>
        <v>640</v>
      </c>
      <c r="J1831" s="28">
        <f ca="1" t="shared" si="39"/>
        <v>0</v>
      </c>
      <c r="K1831" s="30" t="s">
        <v>133</v>
      </c>
      <c r="L1831" s="19"/>
      <c r="M1831" s="3"/>
    </row>
    <row r="1832" s="1" customFormat="1" spans="1:13">
      <c r="A1832" s="22"/>
      <c r="B1832" s="143" t="s">
        <v>2989</v>
      </c>
      <c r="C1832" s="143" t="s">
        <v>2986</v>
      </c>
      <c r="D1832" s="143" t="s">
        <v>2953</v>
      </c>
      <c r="E1832" s="19" t="s">
        <v>239</v>
      </c>
      <c r="F1832" s="26" t="s">
        <v>197</v>
      </c>
      <c r="G1832" s="27">
        <f>SUMIF(物料月初库存!$C$3:$C$303,$B1832,物料月初库存!$F$3:$F$303)</f>
        <v>0</v>
      </c>
      <c r="H1832" s="28">
        <f>SUMIF(半成品入库明细!$D$2:$D$650,$B1832,半成品入库明细!$G$2:$G$650)</f>
        <v>0</v>
      </c>
      <c r="I1832" s="28">
        <f ca="1">SUMIF(半成品出库明细!$D$2:$D$558,$B1832,半成品出库明细!$G$2:$G$2)</f>
        <v>0</v>
      </c>
      <c r="J1832" s="28">
        <f ca="1" t="shared" si="39"/>
        <v>0</v>
      </c>
      <c r="K1832" s="30" t="s">
        <v>183</v>
      </c>
      <c r="L1832" s="19"/>
      <c r="M1832" s="3"/>
    </row>
    <row r="1833" s="1" customFormat="1" spans="1:13">
      <c r="A1833" s="22"/>
      <c r="B1833" s="143" t="s">
        <v>2990</v>
      </c>
      <c r="C1833" s="143" t="s">
        <v>2991</v>
      </c>
      <c r="D1833" s="143" t="s">
        <v>2953</v>
      </c>
      <c r="E1833" s="19" t="s">
        <v>76</v>
      </c>
      <c r="F1833" s="26" t="s">
        <v>197</v>
      </c>
      <c r="G1833" s="27">
        <f>SUMIF(物料月初库存!$C$3:$C$303,$B1833,物料月初库存!$F$3:$F$303)</f>
        <v>0</v>
      </c>
      <c r="H1833" s="28">
        <f>SUMIF(半成品入库明细!$D$2:$D$650,$B1833,半成品入库明细!$G$2:$G$650)</f>
        <v>0</v>
      </c>
      <c r="I1833" s="28">
        <f ca="1">SUMIF(半成品出库明细!$D$2:$D$558,$B1833,半成品出库明细!$G$2:$G$2)</f>
        <v>0</v>
      </c>
      <c r="J1833" s="28">
        <f ca="1" t="shared" si="39"/>
        <v>0</v>
      </c>
      <c r="K1833" s="30"/>
      <c r="L1833" s="19"/>
      <c r="M1833" s="3"/>
    </row>
    <row r="1834" s="1" customFormat="1" spans="1:13">
      <c r="A1834" s="22"/>
      <c r="B1834" s="159" t="s">
        <v>2992</v>
      </c>
      <c r="C1834" s="143" t="s">
        <v>2991</v>
      </c>
      <c r="D1834" s="143" t="s">
        <v>2953</v>
      </c>
      <c r="E1834" s="19" t="s">
        <v>326</v>
      </c>
      <c r="F1834" s="26" t="s">
        <v>197</v>
      </c>
      <c r="G1834" s="27">
        <f>SUMIF(物料月初库存!$C$3:$C$303,$B1834,物料月初库存!$F$3:$F$303)</f>
        <v>0</v>
      </c>
      <c r="H1834" s="28">
        <f>SUMIF(半成品入库明细!$D$2:$D$650,$B1834,半成品入库明细!$G$2:$G$650)</f>
        <v>0</v>
      </c>
      <c r="I1834" s="28">
        <f ca="1">SUMIF(半成品出库明细!$D$2:$D$558,$B1834,半成品出库明细!$G$2:$G$2)</f>
        <v>0</v>
      </c>
      <c r="J1834" s="28">
        <f ca="1" t="shared" si="39"/>
        <v>0</v>
      </c>
      <c r="K1834" s="163" t="s">
        <v>2993</v>
      </c>
      <c r="L1834" s="19"/>
      <c r="M1834" s="3"/>
    </row>
    <row r="1835" s="1" customFormat="1" spans="1:13">
      <c r="A1835" s="22"/>
      <c r="B1835" s="143" t="s">
        <v>2994</v>
      </c>
      <c r="C1835" s="143" t="s">
        <v>2991</v>
      </c>
      <c r="D1835" s="143" t="s">
        <v>2953</v>
      </c>
      <c r="E1835" s="19" t="s">
        <v>353</v>
      </c>
      <c r="F1835" s="26" t="s">
        <v>197</v>
      </c>
      <c r="G1835" s="27">
        <f>SUMIF(物料月初库存!$C$3:$C$303,$B1835,物料月初库存!$F$3:$F$303)</f>
        <v>0</v>
      </c>
      <c r="H1835" s="28">
        <f>SUMIF(半成品入库明细!$D$2:$D$650,$B1835,半成品入库明细!$G$2:$G$650)</f>
        <v>0</v>
      </c>
      <c r="I1835" s="28">
        <f ca="1">SUMIF(半成品出库明细!$D$2:$D$558,$B1835,半成品出库明细!$G$2:$G$2)</f>
        <v>0</v>
      </c>
      <c r="J1835" s="28">
        <f ca="1" t="shared" si="39"/>
        <v>0</v>
      </c>
      <c r="K1835" s="163" t="s">
        <v>2995</v>
      </c>
      <c r="L1835" s="19"/>
      <c r="M1835" s="3"/>
    </row>
    <row r="1836" s="1" customFormat="1" spans="1:13">
      <c r="A1836" s="22"/>
      <c r="B1836" s="159" t="s">
        <v>2996</v>
      </c>
      <c r="C1836" s="143" t="s">
        <v>2991</v>
      </c>
      <c r="D1836" s="143" t="s">
        <v>2953</v>
      </c>
      <c r="E1836" s="19" t="s">
        <v>239</v>
      </c>
      <c r="F1836" s="26" t="s">
        <v>197</v>
      </c>
      <c r="G1836" s="27">
        <f>SUMIF(物料月初库存!$C$3:$C$303,$B1836,物料月初库存!$F$3:$F$303)</f>
        <v>0</v>
      </c>
      <c r="H1836" s="28">
        <f>SUMIF(半成品入库明细!$D$2:$D$650,$B1836,半成品入库明细!$G$2:$G$650)</f>
        <v>0</v>
      </c>
      <c r="I1836" s="28">
        <f ca="1">SUMIF(半成品出库明细!$D$2:$D$558,$B1836,半成品出库明细!$G$2:$G$2)</f>
        <v>0</v>
      </c>
      <c r="J1836" s="28">
        <f ca="1" t="shared" si="39"/>
        <v>0</v>
      </c>
      <c r="K1836" s="163">
        <v>3</v>
      </c>
      <c r="L1836" s="19"/>
      <c r="M1836" s="3"/>
    </row>
    <row r="1837" s="1" customFormat="1" spans="1:13">
      <c r="A1837" s="22"/>
      <c r="B1837" s="159" t="s">
        <v>2997</v>
      </c>
      <c r="C1837" s="143" t="s">
        <v>2991</v>
      </c>
      <c r="D1837" s="143" t="s">
        <v>2953</v>
      </c>
      <c r="E1837" s="19" t="s">
        <v>235</v>
      </c>
      <c r="F1837" s="26" t="s">
        <v>197</v>
      </c>
      <c r="G1837" s="27">
        <f>SUMIF(物料月初库存!$C$3:$C$303,$B1837,物料月初库存!$F$3:$F$303)</f>
        <v>0</v>
      </c>
      <c r="H1837" s="28">
        <f>SUMIF(半成品入库明细!$D$2:$D$650,$B1837,半成品入库明细!$G$2:$G$650)</f>
        <v>0</v>
      </c>
      <c r="I1837" s="28">
        <f ca="1">SUMIF(半成品出库明细!$D$2:$D$558,$B1837,半成品出库明细!$G$2:$G$2)</f>
        <v>0</v>
      </c>
      <c r="J1837" s="28">
        <f ca="1" t="shared" si="39"/>
        <v>0</v>
      </c>
      <c r="K1837" s="51" t="s">
        <v>244</v>
      </c>
      <c r="L1837" s="19"/>
      <c r="M1837" s="3"/>
    </row>
    <row r="1838" s="1" customFormat="1" spans="1:13">
      <c r="A1838" s="22"/>
      <c r="B1838" s="159" t="s">
        <v>2998</v>
      </c>
      <c r="C1838" s="143" t="s">
        <v>2999</v>
      </c>
      <c r="D1838" s="143" t="s">
        <v>2953</v>
      </c>
      <c r="E1838" s="19" t="s">
        <v>76</v>
      </c>
      <c r="F1838" s="26" t="s">
        <v>197</v>
      </c>
      <c r="G1838" s="27">
        <f>SUMIF(物料月初库存!$C$3:$C$303,$B1838,物料月初库存!$F$3:$F$303)</f>
        <v>0</v>
      </c>
      <c r="H1838" s="28">
        <f>SUMIF(半成品入库明细!$D$2:$D$650,$B1838,半成品入库明细!$G$2:$G$650)</f>
        <v>0</v>
      </c>
      <c r="I1838" s="28">
        <f ca="1">SUMIF(半成品出库明细!$D$2:$D$558,$B1838,半成品出库明细!$G$2:$G$2)</f>
        <v>0</v>
      </c>
      <c r="J1838" s="28">
        <f ca="1" t="shared" si="39"/>
        <v>0</v>
      </c>
      <c r="K1838" s="30"/>
      <c r="L1838" s="19"/>
      <c r="M1838" s="3"/>
    </row>
    <row r="1839" s="1" customFormat="1" spans="1:13">
      <c r="A1839" s="22"/>
      <c r="B1839" s="159" t="s">
        <v>3000</v>
      </c>
      <c r="C1839" s="143" t="s">
        <v>2999</v>
      </c>
      <c r="D1839" s="143" t="s">
        <v>2953</v>
      </c>
      <c r="E1839" s="19" t="s">
        <v>235</v>
      </c>
      <c r="F1839" s="26" t="s">
        <v>197</v>
      </c>
      <c r="G1839" s="27">
        <f>SUMIF(物料月初库存!$C$3:$C$303,$B1839,物料月初库存!$F$3:$F$303)</f>
        <v>0</v>
      </c>
      <c r="H1839" s="28">
        <f>SUMIF(半成品入库明细!$D$2:$D$650,$B1839,半成品入库明细!$G$2:$G$650)</f>
        <v>0</v>
      </c>
      <c r="I1839" s="28">
        <f ca="1">SUMIF(半成品出库明细!$D$2:$D$558,$B1839,半成品出库明细!$G$2:$G$2)</f>
        <v>0</v>
      </c>
      <c r="J1839" s="28">
        <f ca="1" t="shared" si="39"/>
        <v>0</v>
      </c>
      <c r="K1839" s="51" t="s">
        <v>2988</v>
      </c>
      <c r="L1839" s="19"/>
      <c r="M1839" s="3"/>
    </row>
    <row r="1840" s="1" customFormat="1" spans="1:13">
      <c r="A1840" s="22"/>
      <c r="B1840" s="159" t="s">
        <v>3001</v>
      </c>
      <c r="C1840" s="143" t="s">
        <v>2999</v>
      </c>
      <c r="D1840" s="143" t="s">
        <v>2953</v>
      </c>
      <c r="E1840" s="22" t="s">
        <v>225</v>
      </c>
      <c r="F1840" s="26" t="s">
        <v>197</v>
      </c>
      <c r="G1840" s="27">
        <f>SUMIF(物料月初库存!$C$3:$C$303,$B1840,物料月初库存!$F$3:$F$303)</f>
        <v>0</v>
      </c>
      <c r="H1840" s="28">
        <f>SUMIF(半成品入库明细!$D$2:$D$650,$B1840,半成品入库明细!$G$2:$G$650)</f>
        <v>0</v>
      </c>
      <c r="I1840" s="28">
        <f ca="1">SUMIF(半成品出库明细!$D$2:$D$558,$B1840,半成品出库明细!$G$2:$G$2)</f>
        <v>0</v>
      </c>
      <c r="J1840" s="28">
        <f ca="1" t="shared" si="39"/>
        <v>0</v>
      </c>
      <c r="K1840" s="30" t="s">
        <v>92</v>
      </c>
      <c r="L1840" s="19"/>
      <c r="M1840" s="3"/>
    </row>
    <row r="1841" s="1" customFormat="1" spans="1:13">
      <c r="A1841" s="22"/>
      <c r="B1841" s="159" t="s">
        <v>3002</v>
      </c>
      <c r="C1841" s="143" t="s">
        <v>2999</v>
      </c>
      <c r="D1841" s="143" t="s">
        <v>2953</v>
      </c>
      <c r="E1841" s="22" t="s">
        <v>267</v>
      </c>
      <c r="F1841" s="26" t="s">
        <v>197</v>
      </c>
      <c r="G1841" s="27">
        <f>SUMIF(物料月初库存!$C$3:$C$303,$B1841,物料月初库存!$F$3:$F$303)</f>
        <v>0</v>
      </c>
      <c r="H1841" s="28">
        <f>SUMIF(半成品入库明细!$D$2:$D$650,$B1841,半成品入库明细!$G$2:$G$650)</f>
        <v>0</v>
      </c>
      <c r="I1841" s="28">
        <f ca="1">SUMIF(半成品出库明细!$D$2:$D$558,$B1841,半成品出库明细!$G$2:$G$2)</f>
        <v>0</v>
      </c>
      <c r="J1841" s="28">
        <f ca="1" t="shared" si="39"/>
        <v>0</v>
      </c>
      <c r="K1841" s="30" t="s">
        <v>146</v>
      </c>
      <c r="L1841" s="19"/>
      <c r="M1841" s="3"/>
    </row>
    <row r="1842" s="1" customFormat="1" spans="1:13">
      <c r="A1842" s="22"/>
      <c r="B1842" s="159" t="s">
        <v>3003</v>
      </c>
      <c r="C1842" s="143" t="s">
        <v>2999</v>
      </c>
      <c r="D1842" s="143" t="s">
        <v>2953</v>
      </c>
      <c r="E1842" s="19" t="s">
        <v>316</v>
      </c>
      <c r="F1842" s="26" t="s">
        <v>197</v>
      </c>
      <c r="G1842" s="27">
        <f>SUMIF(物料月初库存!$C$3:$C$303,$B1842,物料月初库存!$F$3:$F$303)</f>
        <v>0</v>
      </c>
      <c r="H1842" s="28">
        <f>SUMIF(半成品入库明细!$D$2:$D$650,$B1842,半成品入库明细!$G$2:$G$650)</f>
        <v>0</v>
      </c>
      <c r="I1842" s="28">
        <f ca="1">SUMIF(半成品出库明细!$D$2:$D$558,$B1842,半成品出库明细!$G$2:$G$2)</f>
        <v>0</v>
      </c>
      <c r="J1842" s="28">
        <f ca="1" t="shared" si="39"/>
        <v>0</v>
      </c>
      <c r="K1842" s="30" t="s">
        <v>133</v>
      </c>
      <c r="L1842" s="19"/>
      <c r="M1842" s="3"/>
    </row>
    <row r="1843" s="1" customFormat="1" spans="1:13">
      <c r="A1843" s="22"/>
      <c r="B1843" s="159" t="s">
        <v>3004</v>
      </c>
      <c r="C1843" s="143" t="s">
        <v>2999</v>
      </c>
      <c r="D1843" s="143" t="s">
        <v>2953</v>
      </c>
      <c r="E1843" s="19" t="s">
        <v>2155</v>
      </c>
      <c r="F1843" s="26" t="s">
        <v>197</v>
      </c>
      <c r="G1843" s="27">
        <f>SUMIF(物料月初库存!$C$3:$C$303,$B1843,物料月初库存!$F$3:$F$303)</f>
        <v>0</v>
      </c>
      <c r="H1843" s="28">
        <f>SUMIF(半成品入库明细!$D$2:$D$650,$B1843,半成品入库明细!$G$2:$G$650)</f>
        <v>0</v>
      </c>
      <c r="I1843" s="28">
        <f ca="1">SUMIF(半成品出库明细!$D$2:$D$558,$B1843,半成品出库明细!$G$2:$G$2)</f>
        <v>0</v>
      </c>
      <c r="J1843" s="28">
        <f ca="1" t="shared" si="39"/>
        <v>0</v>
      </c>
      <c r="K1843" s="30" t="s">
        <v>2676</v>
      </c>
      <c r="L1843" s="19"/>
      <c r="M1843" s="3"/>
    </row>
    <row r="1844" s="1" customFormat="1" spans="1:13">
      <c r="A1844" s="22"/>
      <c r="B1844" s="159" t="s">
        <v>3005</v>
      </c>
      <c r="C1844" s="143" t="s">
        <v>3006</v>
      </c>
      <c r="D1844" s="143" t="s">
        <v>3007</v>
      </c>
      <c r="E1844" s="19" t="s">
        <v>76</v>
      </c>
      <c r="F1844" s="26" t="s">
        <v>197</v>
      </c>
      <c r="G1844" s="27">
        <f>SUMIF(物料月初库存!$C$3:$C$303,$B1844,物料月初库存!$F$3:$F$303)</f>
        <v>0</v>
      </c>
      <c r="H1844" s="28">
        <f>SUMIF(半成品入库明细!$D$2:$D$650,$B1844,半成品入库明细!$G$2:$G$650)</f>
        <v>0</v>
      </c>
      <c r="I1844" s="28">
        <f ca="1">SUMIF(半成品出库明细!$D$2:$D$558,$B1844,半成品出库明细!$G$2:$G$2)</f>
        <v>0</v>
      </c>
      <c r="J1844" s="28">
        <f ca="1" t="shared" si="39"/>
        <v>0</v>
      </c>
      <c r="K1844" s="30"/>
      <c r="L1844" s="19"/>
      <c r="M1844" s="3"/>
    </row>
    <row r="1845" s="1" customFormat="1" spans="1:13">
      <c r="A1845" s="22"/>
      <c r="B1845" s="159" t="s">
        <v>3008</v>
      </c>
      <c r="C1845" s="143" t="s">
        <v>3006</v>
      </c>
      <c r="D1845" s="143" t="s">
        <v>3007</v>
      </c>
      <c r="E1845" s="19" t="s">
        <v>356</v>
      </c>
      <c r="F1845" s="26" t="s">
        <v>197</v>
      </c>
      <c r="G1845" s="27">
        <f>SUMIF(物料月初库存!$C$3:$C$303,$B1845,物料月初库存!$F$3:$F$303)</f>
        <v>0</v>
      </c>
      <c r="H1845" s="28">
        <f>SUMIF(半成品入库明细!$D$2:$D$650,$B1845,半成品入库明细!$G$2:$G$650)</f>
        <v>0</v>
      </c>
      <c r="I1845" s="28">
        <f ca="1">SUMIF(半成品出库明细!$D$2:$D$558,$B1845,半成品出库明细!$G$2:$G$2)</f>
        <v>0</v>
      </c>
      <c r="J1845" s="28">
        <f ca="1" t="shared" si="39"/>
        <v>0</v>
      </c>
      <c r="K1845" s="30" t="s">
        <v>113</v>
      </c>
      <c r="L1845" s="19"/>
      <c r="M1845" s="3"/>
    </row>
    <row r="1846" s="1" customFormat="1" spans="1:13">
      <c r="A1846" s="22"/>
      <c r="B1846" s="159" t="s">
        <v>3009</v>
      </c>
      <c r="C1846" s="143" t="s">
        <v>3006</v>
      </c>
      <c r="D1846" s="143" t="s">
        <v>3007</v>
      </c>
      <c r="E1846" s="19" t="s">
        <v>199</v>
      </c>
      <c r="F1846" s="26" t="s">
        <v>197</v>
      </c>
      <c r="G1846" s="27">
        <f>SUMIF(物料月初库存!$C$3:$C$303,$B1846,物料月初库存!$F$3:$F$303)</f>
        <v>0</v>
      </c>
      <c r="H1846" s="28">
        <f>SUMIF(半成品入库明细!$D$2:$D$650,$B1846,半成品入库明细!$G$2:$G$650)</f>
        <v>0</v>
      </c>
      <c r="I1846" s="28">
        <f ca="1">SUMIF(半成品出库明细!$D$2:$D$558,$B1846,半成品出库明细!$G$2:$G$2)</f>
        <v>0</v>
      </c>
      <c r="J1846" s="28">
        <f ca="1" t="shared" si="39"/>
        <v>0</v>
      </c>
      <c r="K1846" s="30" t="s">
        <v>173</v>
      </c>
      <c r="L1846" s="19"/>
      <c r="M1846" s="3"/>
    </row>
    <row r="1847" s="1" customFormat="1" spans="1:13">
      <c r="A1847" s="22"/>
      <c r="B1847" s="159" t="s">
        <v>3010</v>
      </c>
      <c r="C1847" s="143" t="s">
        <v>3006</v>
      </c>
      <c r="D1847" s="143" t="s">
        <v>3007</v>
      </c>
      <c r="E1847" s="19" t="s">
        <v>316</v>
      </c>
      <c r="F1847" s="26" t="s">
        <v>197</v>
      </c>
      <c r="G1847" s="27">
        <f>SUMIF(物料月初库存!$C$3:$C$303,$B1847,物料月初库存!$F$3:$F$303)</f>
        <v>0</v>
      </c>
      <c r="H1847" s="28">
        <f>SUMIF(半成品入库明细!$D$2:$D$650,$B1847,半成品入库明细!$G$2:$G$650)</f>
        <v>0</v>
      </c>
      <c r="I1847" s="28">
        <f ca="1">SUMIF(半成品出库明细!$D$2:$D$558,$B1847,半成品出库明细!$G$2:$G$2)</f>
        <v>0</v>
      </c>
      <c r="J1847" s="28">
        <f ca="1" t="shared" si="39"/>
        <v>0</v>
      </c>
      <c r="K1847" s="30" t="s">
        <v>140</v>
      </c>
      <c r="L1847" s="19"/>
      <c r="M1847" s="3"/>
    </row>
    <row r="1848" s="1" customFormat="1" spans="1:13">
      <c r="A1848" s="22"/>
      <c r="B1848" s="159" t="s">
        <v>3011</v>
      </c>
      <c r="C1848" s="143" t="s">
        <v>3012</v>
      </c>
      <c r="D1848" s="143" t="s">
        <v>3007</v>
      </c>
      <c r="E1848" s="19" t="s">
        <v>76</v>
      </c>
      <c r="F1848" s="26" t="s">
        <v>197</v>
      </c>
      <c r="G1848" s="27">
        <f>SUMIF(物料月初库存!$C$3:$C$303,$B1848,物料月初库存!$F$3:$F$303)</f>
        <v>0</v>
      </c>
      <c r="H1848" s="28">
        <f>SUMIF(半成品入库明细!$D$2:$D$650,$B1848,半成品入库明细!$G$2:$G$650)</f>
        <v>0</v>
      </c>
      <c r="I1848" s="28">
        <f ca="1">SUMIF(半成品出库明细!$D$2:$D$558,$B1848,半成品出库明细!$G$2:$G$2)</f>
        <v>0</v>
      </c>
      <c r="J1848" s="28">
        <f ca="1" t="shared" si="39"/>
        <v>0</v>
      </c>
      <c r="K1848" s="30"/>
      <c r="L1848" s="19"/>
      <c r="M1848" s="3"/>
    </row>
    <row r="1849" s="1" customFormat="1" spans="1:13">
      <c r="A1849" s="22"/>
      <c r="B1849" s="159" t="s">
        <v>3013</v>
      </c>
      <c r="C1849" s="143" t="s">
        <v>3012</v>
      </c>
      <c r="D1849" s="143" t="s">
        <v>3007</v>
      </c>
      <c r="E1849" s="19" t="s">
        <v>356</v>
      </c>
      <c r="F1849" s="26" t="s">
        <v>197</v>
      </c>
      <c r="G1849" s="27">
        <f>SUMIF(物料月初库存!$C$3:$C$303,$B1849,物料月初库存!$F$3:$F$303)</f>
        <v>0</v>
      </c>
      <c r="H1849" s="28">
        <f>SUMIF(半成品入库明细!$D$2:$D$650,$B1849,半成品入库明细!$G$2:$G$650)</f>
        <v>0</v>
      </c>
      <c r="I1849" s="28">
        <f ca="1">SUMIF(半成品出库明细!$D$2:$D$558,$B1849,半成品出库明细!$G$2:$G$2)</f>
        <v>0</v>
      </c>
      <c r="J1849" s="28">
        <f ca="1" t="shared" si="39"/>
        <v>0</v>
      </c>
      <c r="K1849" s="30" t="s">
        <v>113</v>
      </c>
      <c r="L1849" s="19"/>
      <c r="M1849" s="3"/>
    </row>
    <row r="1850" s="1" customFormat="1" spans="1:13">
      <c r="A1850" s="22"/>
      <c r="B1850" s="159" t="s">
        <v>3014</v>
      </c>
      <c r="C1850" s="143" t="s">
        <v>3012</v>
      </c>
      <c r="D1850" s="143" t="s">
        <v>3007</v>
      </c>
      <c r="E1850" s="19" t="s">
        <v>199</v>
      </c>
      <c r="F1850" s="26" t="s">
        <v>197</v>
      </c>
      <c r="G1850" s="27">
        <f>SUMIF(物料月初库存!$C$3:$C$303,$B1850,物料月初库存!$F$3:$F$303)</f>
        <v>0</v>
      </c>
      <c r="H1850" s="28">
        <f>SUMIF(半成品入库明细!$D$2:$D$650,$B1850,半成品入库明细!$G$2:$G$650)</f>
        <v>0</v>
      </c>
      <c r="I1850" s="28">
        <f ca="1">SUMIF(半成品出库明细!$D$2:$D$558,$B1850,半成品出库明细!$G$2:$G$2)</f>
        <v>0</v>
      </c>
      <c r="J1850" s="28">
        <f ca="1" t="shared" si="39"/>
        <v>0</v>
      </c>
      <c r="K1850" s="30" t="s">
        <v>173</v>
      </c>
      <c r="L1850" s="19"/>
      <c r="M1850" s="3"/>
    </row>
    <row r="1851" s="1" customFormat="1" spans="1:13">
      <c r="A1851" s="22"/>
      <c r="B1851" s="159" t="s">
        <v>3015</v>
      </c>
      <c r="C1851" s="143" t="s">
        <v>3012</v>
      </c>
      <c r="D1851" s="143" t="s">
        <v>3007</v>
      </c>
      <c r="E1851" s="19" t="s">
        <v>316</v>
      </c>
      <c r="F1851" s="26" t="s">
        <v>197</v>
      </c>
      <c r="G1851" s="27">
        <f>SUMIF(物料月初库存!$C$3:$C$303,$B1851,物料月初库存!$F$3:$F$303)</f>
        <v>0</v>
      </c>
      <c r="H1851" s="28">
        <f>SUMIF(半成品入库明细!$D$2:$D$650,$B1851,半成品入库明细!$G$2:$G$650)</f>
        <v>0</v>
      </c>
      <c r="I1851" s="28">
        <f ca="1">SUMIF(半成品出库明细!$D$2:$D$558,$B1851,半成品出库明细!$G$2:$G$2)</f>
        <v>0</v>
      </c>
      <c r="J1851" s="28">
        <f ca="1" t="shared" si="39"/>
        <v>0</v>
      </c>
      <c r="K1851" s="30" t="s">
        <v>140</v>
      </c>
      <c r="L1851" s="19"/>
      <c r="M1851" s="3"/>
    </row>
    <row r="1852" s="1" customFormat="1" spans="1:13">
      <c r="A1852" s="22"/>
      <c r="B1852" s="159" t="s">
        <v>79</v>
      </c>
      <c r="C1852" s="143" t="s">
        <v>3016</v>
      </c>
      <c r="D1852" s="143" t="s">
        <v>3017</v>
      </c>
      <c r="E1852" s="19" t="s">
        <v>76</v>
      </c>
      <c r="F1852" s="26" t="s">
        <v>197</v>
      </c>
      <c r="G1852" s="27">
        <f>SUMIF(物料月初库存!$C$3:$C$303,$B1852,物料月初库存!$F$3:$F$303)</f>
        <v>0</v>
      </c>
      <c r="H1852" s="28">
        <f>SUMIF(半成品入库明细!$D$2:$D$650,$B1852,半成品入库明细!$G$2:$G$650)</f>
        <v>1239</v>
      </c>
      <c r="I1852" s="28">
        <f ca="1">SUMIF(半成品出库明细!$D$2:$D$558,$B1852,半成品出库明细!$G$2:$G$2)</f>
        <v>0</v>
      </c>
      <c r="J1852" s="28">
        <f ca="1" t="shared" ref="J1852:J1859" si="40">G1852+H1852-I1852</f>
        <v>1239</v>
      </c>
      <c r="K1852" s="30"/>
      <c r="L1852" s="19"/>
      <c r="M1852" s="3"/>
    </row>
    <row r="1853" s="1" customFormat="1" spans="1:13">
      <c r="A1853" s="22"/>
      <c r="B1853" s="159" t="s">
        <v>3018</v>
      </c>
      <c r="C1853" s="143" t="s">
        <v>3016</v>
      </c>
      <c r="D1853" s="143" t="s">
        <v>3017</v>
      </c>
      <c r="E1853" s="19" t="s">
        <v>2042</v>
      </c>
      <c r="F1853" s="26" t="s">
        <v>197</v>
      </c>
      <c r="G1853" s="27">
        <f>SUMIF(物料月初库存!$C$3:$C$303,$B1853,物料月初库存!$F$3:$F$303)</f>
        <v>0</v>
      </c>
      <c r="H1853" s="28">
        <f>SUMIF(半成品入库明细!$D$2:$D$650,$B1853,半成品入库明细!$G$2:$G$650)</f>
        <v>0</v>
      </c>
      <c r="I1853" s="28">
        <f ca="1">SUMIF(半成品出库明细!$D$2:$D$558,$B1853,半成品出库明细!$G$2:$G$2)</f>
        <v>0</v>
      </c>
      <c r="J1853" s="28">
        <f ca="1" t="shared" si="40"/>
        <v>0</v>
      </c>
      <c r="K1853" s="30" t="s">
        <v>133</v>
      </c>
      <c r="L1853" s="19"/>
      <c r="M1853" s="3"/>
    </row>
    <row r="1854" s="1" customFormat="1" spans="1:13">
      <c r="A1854" s="22"/>
      <c r="B1854" s="159" t="s">
        <v>3019</v>
      </c>
      <c r="C1854" s="143" t="s">
        <v>3016</v>
      </c>
      <c r="D1854" s="143" t="s">
        <v>3017</v>
      </c>
      <c r="E1854" s="19" t="s">
        <v>2651</v>
      </c>
      <c r="F1854" s="26" t="s">
        <v>197</v>
      </c>
      <c r="G1854" s="27">
        <f>SUMIF(物料月初库存!$C$3:$C$303,$B1854,物料月初库存!$F$3:$F$303)</f>
        <v>0</v>
      </c>
      <c r="H1854" s="28">
        <f>SUMIF(半成品入库明细!$D$2:$D$650,$B1854,半成品入库明细!$G$2:$G$650)</f>
        <v>0</v>
      </c>
      <c r="I1854" s="28">
        <f ca="1">SUMIF(半成品出库明细!$D$2:$D$558,$B1854,半成品出库明细!$G$2:$G$2)</f>
        <v>0</v>
      </c>
      <c r="J1854" s="28">
        <f ca="1" t="shared" si="40"/>
        <v>0</v>
      </c>
      <c r="K1854" s="30"/>
      <c r="L1854" s="19"/>
      <c r="M1854" s="3"/>
    </row>
    <row r="1855" s="1" customFormat="1" spans="1:13">
      <c r="A1855" s="22"/>
      <c r="B1855" s="159" t="s">
        <v>3020</v>
      </c>
      <c r="C1855" s="143" t="s">
        <v>3016</v>
      </c>
      <c r="D1855" s="143" t="s">
        <v>3017</v>
      </c>
      <c r="E1855" s="19" t="s">
        <v>839</v>
      </c>
      <c r="F1855" s="26" t="s">
        <v>197</v>
      </c>
      <c r="G1855" s="27">
        <f>SUMIF(物料月初库存!$C$3:$C$303,$B1855,物料月初库存!$F$3:$F$303)</f>
        <v>0</v>
      </c>
      <c r="H1855" s="28">
        <f>SUMIF(半成品入库明细!$D$2:$D$650,$B1855,半成品入库明细!$G$2:$G$650)</f>
        <v>0</v>
      </c>
      <c r="I1855" s="28">
        <f ca="1">SUMIF(半成品出库明细!$D$2:$D$558,$B1855,半成品出库明细!$G$2:$G$2)</f>
        <v>0</v>
      </c>
      <c r="J1855" s="28">
        <f ca="1" t="shared" si="40"/>
        <v>0</v>
      </c>
      <c r="K1855" s="30"/>
      <c r="L1855" s="19"/>
      <c r="M1855" s="3"/>
    </row>
    <row r="1856" s="1" customFormat="1" spans="1:13">
      <c r="A1856" s="22"/>
      <c r="B1856" s="159" t="s">
        <v>80</v>
      </c>
      <c r="C1856" s="143" t="s">
        <v>3021</v>
      </c>
      <c r="D1856" s="143" t="s">
        <v>3017</v>
      </c>
      <c r="E1856" s="19" t="s">
        <v>76</v>
      </c>
      <c r="F1856" s="26" t="s">
        <v>197</v>
      </c>
      <c r="G1856" s="27">
        <f>SUMIF(物料月初库存!$C$3:$C$303,$B1856,物料月初库存!$F$3:$F$303)</f>
        <v>0</v>
      </c>
      <c r="H1856" s="28">
        <f>SUMIF(半成品入库明细!$D$2:$D$650,$B1856,半成品入库明细!$G$2:$G$650)</f>
        <v>4350</v>
      </c>
      <c r="I1856" s="28">
        <f ca="1">SUMIF(半成品出库明细!$D$2:$D$558,$B1856,半成品出库明细!$G$2:$G$2)</f>
        <v>0</v>
      </c>
      <c r="J1856" s="28">
        <f ca="1" t="shared" si="40"/>
        <v>4350</v>
      </c>
      <c r="K1856" s="30"/>
      <c r="L1856" s="19"/>
      <c r="M1856" s="3"/>
    </row>
    <row r="1857" s="1" customFormat="1" spans="1:13">
      <c r="A1857" s="22"/>
      <c r="B1857" s="159" t="s">
        <v>3022</v>
      </c>
      <c r="C1857" s="143" t="s">
        <v>3021</v>
      </c>
      <c r="D1857" s="143" t="s">
        <v>3017</v>
      </c>
      <c r="E1857" s="19" t="s">
        <v>2042</v>
      </c>
      <c r="F1857" s="26" t="s">
        <v>197</v>
      </c>
      <c r="G1857" s="27">
        <f>SUMIF(物料月初库存!$C$3:$C$303,$B1857,物料月初库存!$F$3:$F$303)</f>
        <v>0</v>
      </c>
      <c r="H1857" s="28">
        <f>SUMIF(半成品入库明细!$D$2:$D$650,$B1857,半成品入库明细!$G$2:$G$650)</f>
        <v>0</v>
      </c>
      <c r="I1857" s="28">
        <f ca="1">SUMIF(半成品出库明细!$D$2:$D$558,$B1857,半成品出库明细!$G$2:$G$2)</f>
        <v>0</v>
      </c>
      <c r="J1857" s="28">
        <f ca="1" t="shared" si="40"/>
        <v>0</v>
      </c>
      <c r="K1857" s="30" t="s">
        <v>133</v>
      </c>
      <c r="L1857" s="19"/>
      <c r="M1857" s="3"/>
    </row>
    <row r="1858" s="1" customFormat="1" spans="1:13">
      <c r="A1858" s="22"/>
      <c r="B1858" s="159" t="s">
        <v>3023</v>
      </c>
      <c r="C1858" s="143" t="s">
        <v>3021</v>
      </c>
      <c r="D1858" s="143" t="s">
        <v>3017</v>
      </c>
      <c r="E1858" s="19" t="s">
        <v>691</v>
      </c>
      <c r="F1858" s="26" t="s">
        <v>197</v>
      </c>
      <c r="G1858" s="27">
        <f>SUMIF(物料月初库存!$C$3:$C$303,$B1858,物料月初库存!$F$3:$F$303)</f>
        <v>0</v>
      </c>
      <c r="H1858" s="28">
        <f>SUMIF(半成品入库明细!$D$2:$D$650,$B1858,半成品入库明细!$G$2:$G$650)</f>
        <v>0</v>
      </c>
      <c r="I1858" s="28">
        <f ca="1">SUMIF(半成品出库明细!$D$2:$D$558,$B1858,半成品出库明细!$G$2:$G$2)</f>
        <v>0</v>
      </c>
      <c r="J1858" s="28">
        <f ca="1" t="shared" si="40"/>
        <v>0</v>
      </c>
      <c r="K1858" s="30" t="s">
        <v>92</v>
      </c>
      <c r="L1858" s="19"/>
      <c r="M1858" s="3"/>
    </row>
    <row r="1859" s="1" customFormat="1" spans="1:13">
      <c r="A1859" s="22"/>
      <c r="B1859" s="159" t="s">
        <v>3024</v>
      </c>
      <c r="C1859" s="143" t="s">
        <v>3021</v>
      </c>
      <c r="D1859" s="143" t="s">
        <v>3017</v>
      </c>
      <c r="E1859" s="19" t="s">
        <v>256</v>
      </c>
      <c r="F1859" s="26" t="s">
        <v>197</v>
      </c>
      <c r="G1859" s="27">
        <f>SUMIF(物料月初库存!$C$3:$C$303,$B1859,物料月初库存!$F$3:$F$303)</f>
        <v>0</v>
      </c>
      <c r="H1859" s="28">
        <f>SUMIF(半成品入库明细!$D$2:$D$650,$B1859,半成品入库明细!$G$2:$G$650)</f>
        <v>0</v>
      </c>
      <c r="I1859" s="28">
        <f ca="1">SUMIF(半成品出库明细!$D$2:$D$558,$B1859,半成品出库明细!$G$2:$G$2)</f>
        <v>0</v>
      </c>
      <c r="J1859" s="28">
        <f ca="1" t="shared" si="40"/>
        <v>0</v>
      </c>
      <c r="K1859" s="30"/>
      <c r="L1859" s="19"/>
      <c r="M1859" s="3"/>
    </row>
    <row r="1860" s="1" customFormat="1" spans="1:13">
      <c r="A1860" s="22"/>
      <c r="B1860" s="128" t="s">
        <v>54</v>
      </c>
      <c r="C1860" s="128" t="s">
        <v>3025</v>
      </c>
      <c r="D1860" s="52"/>
      <c r="E1860" s="28"/>
      <c r="F1860" s="26" t="s">
        <v>3026</v>
      </c>
      <c r="G1860" s="27">
        <f>SUMIF(物料月初库存!$C$3:$C$303,$B1860,物料月初库存!$F$3:$F$303)</f>
        <v>13306</v>
      </c>
      <c r="H1860" s="28">
        <f>SUMIF(半成品入库明细!$D$2:$D$650,$B1860,半成品入库明细!$G$2:$G$650)</f>
        <v>0</v>
      </c>
      <c r="I1860" s="28">
        <f ca="1">SUMIF(半成品出库明细!$D$2:$D$558,$B1860,半成品出库明细!$G$2:$G$2)</f>
        <v>7485.5</v>
      </c>
      <c r="J1860" s="28">
        <f ca="1" t="shared" ref="J1860:J1878" si="41">G1860+H1860-I1860</f>
        <v>5820.5</v>
      </c>
      <c r="K1860" s="29"/>
      <c r="L1860" s="19"/>
      <c r="M1860" s="3"/>
    </row>
    <row r="1861" s="1" customFormat="1" spans="1:13">
      <c r="A1861" s="22"/>
      <c r="B1861" s="128" t="s">
        <v>55</v>
      </c>
      <c r="C1861" s="128" t="s">
        <v>3027</v>
      </c>
      <c r="D1861" s="52"/>
      <c r="E1861" s="28"/>
      <c r="F1861" s="26" t="s">
        <v>3026</v>
      </c>
      <c r="G1861" s="27">
        <f>SUMIF(物料月初库存!$C$3:$C$303,$B1861,物料月初库存!$F$3:$F$303)</f>
        <v>979</v>
      </c>
      <c r="H1861" s="28">
        <f>SUMIF(半成品入库明细!$D$2:$D$650,$B1861,半成品入库明细!$G$2:$G$650)</f>
        <v>0</v>
      </c>
      <c r="I1861" s="28">
        <f ca="1">SUMIF(半成品出库明细!$D$2:$D$558,$B1861,半成品出库明细!$G$2:$G$2)</f>
        <v>0</v>
      </c>
      <c r="J1861" s="28">
        <f ca="1" t="shared" si="41"/>
        <v>979</v>
      </c>
      <c r="K1861" s="29"/>
      <c r="L1861" s="19"/>
      <c r="M1861" s="3"/>
    </row>
    <row r="1862" s="1" customFormat="1" spans="1:13">
      <c r="A1862" s="22"/>
      <c r="B1862" s="136" t="s">
        <v>3028</v>
      </c>
      <c r="C1862" s="128" t="s">
        <v>3029</v>
      </c>
      <c r="D1862" s="52"/>
      <c r="E1862" s="28"/>
      <c r="F1862" s="26" t="s">
        <v>3026</v>
      </c>
      <c r="G1862" s="27">
        <f>SUMIF(物料月初库存!$C$3:$C$303,$B1862,物料月初库存!$F$3:$F$303)</f>
        <v>0</v>
      </c>
      <c r="H1862" s="28">
        <f>SUMIF(半成品入库明细!$D$2:$D$650,$B1862,半成品入库明细!$G$2:$G$650)</f>
        <v>0</v>
      </c>
      <c r="I1862" s="28">
        <f ca="1">SUMIF(半成品出库明细!$D$2:$D$558,$B1862,半成品出库明细!$G$2:$G$2)</f>
        <v>0</v>
      </c>
      <c r="J1862" s="28">
        <f ca="1" t="shared" si="41"/>
        <v>0</v>
      </c>
      <c r="K1862" s="29"/>
      <c r="L1862" s="19"/>
      <c r="M1862" s="3"/>
    </row>
    <row r="1863" s="1" customFormat="1" spans="1:13">
      <c r="A1863" s="22"/>
      <c r="B1863" s="136" t="s">
        <v>3030</v>
      </c>
      <c r="C1863" s="128" t="s">
        <v>3031</v>
      </c>
      <c r="D1863" s="52"/>
      <c r="E1863" s="28"/>
      <c r="F1863" s="26" t="s">
        <v>3026</v>
      </c>
      <c r="G1863" s="27">
        <f>SUMIF(物料月初库存!$C$3:$C$303,$B1863,物料月初库存!$F$3:$F$303)</f>
        <v>0</v>
      </c>
      <c r="H1863" s="28">
        <f>SUMIF(半成品入库明细!$D$2:$D$650,$B1863,半成品入库明细!$G$2:$G$650)</f>
        <v>0</v>
      </c>
      <c r="I1863" s="28">
        <f ca="1">SUMIF(半成品出库明细!$D$2:$D$558,$B1863,半成品出库明细!$G$2:$G$2)</f>
        <v>0</v>
      </c>
      <c r="J1863" s="28">
        <f ca="1" t="shared" si="41"/>
        <v>0</v>
      </c>
      <c r="K1863" s="29"/>
      <c r="L1863" s="19"/>
      <c r="M1863" s="3"/>
    </row>
    <row r="1864" s="1" customFormat="1" spans="1:13">
      <c r="A1864" s="22"/>
      <c r="B1864" s="136" t="s">
        <v>3032</v>
      </c>
      <c r="C1864" s="128" t="s">
        <v>3033</v>
      </c>
      <c r="D1864" s="52"/>
      <c r="E1864" s="28"/>
      <c r="F1864" s="26" t="s">
        <v>3026</v>
      </c>
      <c r="G1864" s="27">
        <f>SUMIF(物料月初库存!$C$3:$C$303,$B1864,物料月初库存!$F$3:$F$303)</f>
        <v>0</v>
      </c>
      <c r="H1864" s="28">
        <f>SUMIF(半成品入库明细!$D$2:$D$650,$B1864,半成品入库明细!$G$2:$G$650)</f>
        <v>0</v>
      </c>
      <c r="I1864" s="28">
        <f ca="1">SUMIF(半成品出库明细!$D$2:$D$558,$B1864,半成品出库明细!$G$2:$G$2)</f>
        <v>0</v>
      </c>
      <c r="J1864" s="28">
        <f ca="1" t="shared" si="41"/>
        <v>0</v>
      </c>
      <c r="K1864" s="29"/>
      <c r="L1864" s="19"/>
      <c r="M1864" s="3"/>
    </row>
    <row r="1865" s="1" customFormat="1" spans="1:13">
      <c r="A1865" s="22"/>
      <c r="B1865" s="136" t="s">
        <v>56</v>
      </c>
      <c r="C1865" s="128" t="s">
        <v>3034</v>
      </c>
      <c r="D1865" s="52"/>
      <c r="E1865" s="28"/>
      <c r="F1865" s="26" t="s">
        <v>3026</v>
      </c>
      <c r="G1865" s="27">
        <f>SUMIF(物料月初库存!$C$3:$C$303,$B1865,物料月初库存!$F$3:$F$303)</f>
        <v>137</v>
      </c>
      <c r="H1865" s="28">
        <f>SUMIF(半成品入库明细!$D$2:$D$650,$B1865,半成品入库明细!$G$2:$G$650)</f>
        <v>0</v>
      </c>
      <c r="I1865" s="28">
        <f ca="1">SUMIF(半成品出库明细!$D$2:$D$558,$B1865,半成品出库明细!$G$2:$G$2)</f>
        <v>0</v>
      </c>
      <c r="J1865" s="28">
        <f ca="1" t="shared" si="41"/>
        <v>137</v>
      </c>
      <c r="K1865" s="29"/>
      <c r="L1865" s="19"/>
      <c r="M1865" s="3"/>
    </row>
    <row r="1866" s="1" customFormat="1" spans="1:13">
      <c r="A1866" s="22"/>
      <c r="B1866" s="136" t="s">
        <v>3035</v>
      </c>
      <c r="C1866" s="128" t="s">
        <v>3036</v>
      </c>
      <c r="D1866" s="52"/>
      <c r="E1866" s="28"/>
      <c r="F1866" s="26" t="s">
        <v>3026</v>
      </c>
      <c r="G1866" s="27">
        <f>SUMIF(物料月初库存!$C$3:$C$303,$B1866,物料月初库存!$F$3:$F$303)</f>
        <v>0</v>
      </c>
      <c r="H1866" s="28">
        <f>SUMIF(半成品入库明细!$D$2:$D$650,$B1866,半成品入库明细!$G$2:$G$650)</f>
        <v>0</v>
      </c>
      <c r="I1866" s="28">
        <f ca="1">SUMIF(半成品出库明细!$D$2:$D$558,$B1866,半成品出库明细!$G$2:$G$2)</f>
        <v>0</v>
      </c>
      <c r="J1866" s="28">
        <f ca="1" t="shared" si="41"/>
        <v>0</v>
      </c>
      <c r="K1866" s="29"/>
      <c r="L1866" s="19"/>
      <c r="M1866" s="3"/>
    </row>
    <row r="1867" s="1" customFormat="1" spans="1:13">
      <c r="A1867" s="22"/>
      <c r="B1867" s="136" t="s">
        <v>57</v>
      </c>
      <c r="C1867" s="128" t="s">
        <v>3037</v>
      </c>
      <c r="D1867" s="52"/>
      <c r="E1867" s="28"/>
      <c r="F1867" s="26" t="s">
        <v>3026</v>
      </c>
      <c r="G1867" s="27">
        <f>SUMIF(物料月初库存!$C$3:$C$303,$B1867,物料月初库存!$F$3:$F$303)</f>
        <v>1624</v>
      </c>
      <c r="H1867" s="28">
        <f>SUMIF(半成品入库明细!$D$2:$D$650,$B1867,半成品入库明细!$G$2:$G$650)</f>
        <v>0</v>
      </c>
      <c r="I1867" s="28">
        <f ca="1">SUMIF(半成品出库明细!$D$2:$D$558,$B1867,半成品出库明细!$G$2:$G$2)</f>
        <v>0</v>
      </c>
      <c r="J1867" s="28">
        <f ca="1" t="shared" si="41"/>
        <v>1624</v>
      </c>
      <c r="K1867" s="29"/>
      <c r="L1867" s="19"/>
      <c r="M1867" s="3"/>
    </row>
    <row r="1868" s="1" customFormat="1" spans="1:13">
      <c r="A1868" s="22"/>
      <c r="B1868" s="23" t="s">
        <v>3038</v>
      </c>
      <c r="C1868" s="24" t="s">
        <v>3039</v>
      </c>
      <c r="D1868" s="25"/>
      <c r="E1868" s="28"/>
      <c r="F1868" s="26" t="s">
        <v>3026</v>
      </c>
      <c r="G1868" s="27">
        <f>SUMIF(物料月初库存!$C$3:$C$303,$B1868,物料月初库存!$F$3:$F$303)</f>
        <v>0</v>
      </c>
      <c r="H1868" s="28">
        <f>SUMIF(半成品入库明细!$D$2:$D$650,$B1868,半成品入库明细!$G$2:$G$650)</f>
        <v>0</v>
      </c>
      <c r="I1868" s="28">
        <f ca="1">SUMIF(半成品出库明细!$D$2:$D$558,$B1868,半成品出库明细!$G$2:$G$2)</f>
        <v>0</v>
      </c>
      <c r="J1868" s="28">
        <f ca="1" t="shared" si="41"/>
        <v>0</v>
      </c>
      <c r="K1868" s="29"/>
      <c r="L1868" s="19"/>
      <c r="M1868" s="3"/>
    </row>
    <row r="1869" s="1" customFormat="1" spans="1:13">
      <c r="A1869" s="22"/>
      <c r="B1869" s="23" t="s">
        <v>58</v>
      </c>
      <c r="C1869" s="24" t="s">
        <v>3040</v>
      </c>
      <c r="D1869" s="25"/>
      <c r="E1869" s="28"/>
      <c r="F1869" s="26" t="s">
        <v>3026</v>
      </c>
      <c r="G1869" s="27">
        <f>SUMIF(物料月初库存!$C$3:$C$303,$B1869,物料月初库存!$F$3:$F$303)</f>
        <v>800</v>
      </c>
      <c r="H1869" s="28">
        <f>SUMIF(半成品入库明细!$D$2:$D$650,$B1869,半成品入库明细!$G$2:$G$650)</f>
        <v>0</v>
      </c>
      <c r="I1869" s="28">
        <f ca="1">SUMIF(半成品出库明细!$D$2:$D$558,$B1869,半成品出库明细!$G$2:$G$2)</f>
        <v>0</v>
      </c>
      <c r="J1869" s="28">
        <f ca="1" t="shared" si="41"/>
        <v>800</v>
      </c>
      <c r="K1869" s="164"/>
      <c r="L1869" s="19"/>
      <c r="M1869" s="3"/>
    </row>
    <row r="1870" spans="1:13">
      <c r="A1870" s="165"/>
      <c r="B1870" s="165" t="s">
        <v>3041</v>
      </c>
      <c r="C1870" s="166" t="s">
        <v>3042</v>
      </c>
      <c r="D1870" s="143" t="s">
        <v>3043</v>
      </c>
      <c r="E1870" s="130" t="s">
        <v>76</v>
      </c>
      <c r="F1870" s="26" t="s">
        <v>3026</v>
      </c>
      <c r="G1870" s="27">
        <f>SUMIF(物料月初库存!$C$3:$C$303,$B1870,物料月初库存!$F$3:$F$303)</f>
        <v>0</v>
      </c>
      <c r="H1870" s="28">
        <f>SUMIF(半成品入库明细!$D$2:$D$650,$B1870,半成品入库明细!$G$2:$G$650)</f>
        <v>0</v>
      </c>
      <c r="I1870" s="28">
        <f ca="1">SUMIF(半成品出库明细!$D$2:$D$558,$B1870,半成品出库明细!$G$2:$G$2)</f>
        <v>0</v>
      </c>
      <c r="J1870" s="28">
        <f ca="1" t="shared" si="41"/>
        <v>0</v>
      </c>
      <c r="K1870" s="167"/>
      <c r="L1870" s="165"/>
    </row>
    <row r="1871" spans="1:13">
      <c r="B1871" s="6" t="s">
        <v>3044</v>
      </c>
      <c r="C1871" s="166" t="s">
        <v>3042</v>
      </c>
      <c r="D1871" s="143" t="s">
        <v>3043</v>
      </c>
      <c r="E1871" s="168" t="s">
        <v>733</v>
      </c>
      <c r="F1871" s="26" t="s">
        <v>3026</v>
      </c>
      <c r="G1871" s="27">
        <f>SUMIF(物料月初库存!$C$3:$C$303,$B1871,物料月初库存!$F$3:$F$303)</f>
        <v>0</v>
      </c>
      <c r="H1871" s="28">
        <f>SUMIF(半成品入库明细!$D$2:$D$650,$B1871,半成品入库明细!$G$2:$G$650)</f>
        <v>0</v>
      </c>
      <c r="I1871" s="28">
        <f ca="1">SUMIF(半成品出库明细!$D$2:$D$558,$B1871,半成品出库明细!$G$2:$G$2)</f>
        <v>0</v>
      </c>
      <c r="J1871" s="28">
        <f ca="1" t="shared" si="41"/>
        <v>0</v>
      </c>
      <c r="K1871" s="169" t="s">
        <v>99</v>
      </c>
    </row>
    <row r="1872" spans="1:13">
      <c r="B1872" s="6" t="s">
        <v>3045</v>
      </c>
      <c r="C1872" s="166" t="s">
        <v>3042</v>
      </c>
      <c r="D1872" s="143" t="s">
        <v>3043</v>
      </c>
      <c r="E1872" s="168" t="s">
        <v>443</v>
      </c>
      <c r="F1872" s="26" t="s">
        <v>3026</v>
      </c>
      <c r="G1872" s="27">
        <f>SUMIF(物料月初库存!$C$3:$C$303,$B1872,物料月初库存!$F$3:$F$303)</f>
        <v>0</v>
      </c>
      <c r="H1872" s="28">
        <f>SUMIF(半成品入库明细!$D$2:$D$650,$B1872,半成品入库明细!$G$2:$G$650)</f>
        <v>0</v>
      </c>
      <c r="I1872" s="28">
        <f ca="1">SUMIF(半成品出库明细!$D$2:$D$558,$B1872,半成品出库明细!$G$2:$G$2)</f>
        <v>0</v>
      </c>
      <c r="J1872" s="28">
        <f ca="1" t="shared" si="41"/>
        <v>0</v>
      </c>
      <c r="K1872" s="169" t="s">
        <v>168</v>
      </c>
    </row>
    <row r="1873" spans="2:11">
      <c r="B1873" s="6" t="s">
        <v>3046</v>
      </c>
      <c r="C1873" s="166" t="s">
        <v>3042</v>
      </c>
      <c r="D1873" s="143" t="s">
        <v>3043</v>
      </c>
      <c r="E1873" s="168" t="s">
        <v>353</v>
      </c>
      <c r="F1873" s="26" t="s">
        <v>3026</v>
      </c>
      <c r="G1873" s="27">
        <f>SUMIF(物料月初库存!$C$3:$C$303,$B1873,物料月初库存!$F$3:$F$303)</f>
        <v>0</v>
      </c>
      <c r="H1873" s="28">
        <f>SUMIF(半成品入库明细!$D$2:$D$650,$B1873,半成品入库明细!$G$2:$G$650)</f>
        <v>0</v>
      </c>
      <c r="I1873" s="28">
        <f ca="1">SUMIF(半成品出库明细!$D$2:$D$558,$B1873,半成品出库明细!$G$2:$G$2)</f>
        <v>0</v>
      </c>
      <c r="J1873" s="28">
        <f ca="1" t="shared" si="41"/>
        <v>0</v>
      </c>
      <c r="K1873" s="169" t="s">
        <v>1271</v>
      </c>
    </row>
    <row r="1874" spans="2:11">
      <c r="B1874" s="6" t="s">
        <v>3047</v>
      </c>
      <c r="C1874" s="170" t="s">
        <v>3048</v>
      </c>
      <c r="D1874" s="143" t="s">
        <v>3043</v>
      </c>
      <c r="E1874" s="130" t="s">
        <v>76</v>
      </c>
      <c r="F1874" s="26" t="s">
        <v>3026</v>
      </c>
      <c r="G1874" s="27">
        <f>SUMIF(物料月初库存!$C$3:$C$303,$B1874,物料月初库存!$F$3:$F$303)</f>
        <v>0</v>
      </c>
      <c r="H1874" s="28">
        <f>SUMIF(半成品入库明细!$D$2:$D$650,$B1874,半成品入库明细!$G$2:$G$650)</f>
        <v>0</v>
      </c>
      <c r="I1874" s="28">
        <f ca="1">SUMIF(半成品出库明细!$D$2:$D$558,$B1874,半成品出库明细!$G$2:$G$2)</f>
        <v>0</v>
      </c>
      <c r="J1874" s="28">
        <f ca="1" t="shared" si="41"/>
        <v>0</v>
      </c>
    </row>
    <row r="1875" spans="2:11">
      <c r="B1875" s="6" t="s">
        <v>3049</v>
      </c>
      <c r="C1875" s="170" t="s">
        <v>3048</v>
      </c>
      <c r="D1875" s="143" t="s">
        <v>3043</v>
      </c>
      <c r="E1875" s="168" t="s">
        <v>733</v>
      </c>
      <c r="F1875" s="26" t="s">
        <v>3026</v>
      </c>
      <c r="G1875" s="27">
        <f>SUMIF(物料月初库存!$C$3:$C$303,$B1875,物料月初库存!$F$3:$F$303)</f>
        <v>0</v>
      </c>
      <c r="H1875" s="28">
        <f>SUMIF(半成品入库明细!$D$2:$D$650,$B1875,半成品入库明细!$G$2:$G$650)</f>
        <v>0</v>
      </c>
      <c r="I1875" s="28">
        <f ca="1">SUMIF(半成品出库明细!$D$2:$D$558,$B1875,半成品出库明细!$G$2:$G$2)</f>
        <v>0</v>
      </c>
      <c r="J1875" s="28">
        <f ca="1" t="shared" si="41"/>
        <v>0</v>
      </c>
      <c r="K1875" s="169" t="s">
        <v>99</v>
      </c>
    </row>
    <row r="1876" spans="2:11">
      <c r="B1876" s="6" t="s">
        <v>3050</v>
      </c>
      <c r="C1876" s="170" t="s">
        <v>3048</v>
      </c>
      <c r="D1876" s="143" t="s">
        <v>3043</v>
      </c>
      <c r="E1876" s="168" t="s">
        <v>443</v>
      </c>
      <c r="F1876" s="26" t="s">
        <v>3026</v>
      </c>
      <c r="G1876" s="27">
        <f>SUMIF(物料月初库存!$C$3:$C$303,$B1876,物料月初库存!$F$3:$F$303)</f>
        <v>0</v>
      </c>
      <c r="H1876" s="28">
        <f>SUMIF(半成品入库明细!$D$2:$D$650,$B1876,半成品入库明细!$G$2:$G$650)</f>
        <v>0</v>
      </c>
      <c r="I1876" s="28">
        <f ca="1">SUMIF(半成品出库明细!$D$2:$D$558,$B1876,半成品出库明细!$G$2:$G$2)</f>
        <v>0</v>
      </c>
      <c r="J1876" s="28">
        <f ca="1" t="shared" si="41"/>
        <v>0</v>
      </c>
      <c r="K1876" s="169" t="s">
        <v>168</v>
      </c>
    </row>
    <row r="1877" spans="2:11">
      <c r="B1877" s="6" t="s">
        <v>3051</v>
      </c>
      <c r="C1877" s="170" t="s">
        <v>3048</v>
      </c>
      <c r="D1877" s="143" t="s">
        <v>3043</v>
      </c>
      <c r="E1877" s="168" t="s">
        <v>353</v>
      </c>
      <c r="F1877" s="26" t="s">
        <v>3026</v>
      </c>
      <c r="G1877" s="27">
        <f>SUMIF(物料月初库存!$C$3:$C$303,$B1877,物料月初库存!$F$3:$F$303)</f>
        <v>0</v>
      </c>
      <c r="H1877" s="28">
        <f>SUMIF(半成品入库明细!$D$2:$D$650,$B1877,半成品入库明细!$G$2:$G$650)</f>
        <v>0</v>
      </c>
      <c r="I1877" s="28">
        <f ca="1">SUMIF(半成品出库明细!$D$2:$D$558,$B1877,半成品出库明细!$G$2:$G$2)</f>
        <v>0</v>
      </c>
      <c r="J1877" s="28">
        <f ca="1" t="shared" si="41"/>
        <v>0</v>
      </c>
      <c r="K1877" s="169" t="s">
        <v>1271</v>
      </c>
    </row>
    <row r="1878" spans="2:11">
      <c r="B1878" s="6" t="s">
        <v>59</v>
      </c>
      <c r="C1878" s="170" t="s">
        <v>3052</v>
      </c>
      <c r="D1878" s="143" t="s">
        <v>3043</v>
      </c>
      <c r="E1878" s="8" t="s">
        <v>76</v>
      </c>
      <c r="F1878" s="26" t="s">
        <v>3026</v>
      </c>
      <c r="G1878" s="27">
        <f>SUMIF(物料月初库存!$C$3:$C$303,$B1878,物料月初库存!$F$3:$F$303)</f>
        <v>1122</v>
      </c>
      <c r="H1878" s="28">
        <f>SUMIF(半成品入库明细!$D$2:$D$650,$B1878,半成品入库明细!$G$2:$G$650)</f>
        <v>0</v>
      </c>
      <c r="I1878" s="28">
        <f ca="1">SUMIF(半成品出库明细!$D$2:$D$558,$B1878,半成品出库明细!$G$2:$G$2)</f>
        <v>0</v>
      </c>
      <c r="J1878" s="28">
        <f ca="1" t="shared" si="41"/>
        <v>1122</v>
      </c>
    </row>
    <row r="1879" spans="2:11">
      <c r="B1879" s="6" t="s">
        <v>3053</v>
      </c>
      <c r="C1879" s="170" t="s">
        <v>3052</v>
      </c>
      <c r="D1879" s="143" t="s">
        <v>3043</v>
      </c>
      <c r="E1879" s="168" t="s">
        <v>267</v>
      </c>
      <c r="F1879" s="26" t="s">
        <v>3026</v>
      </c>
      <c r="G1879" s="27">
        <f>SUMIF(物料月初库存!$C$3:$C$303,$B1879,物料月初库存!$F$3:$F$303)</f>
        <v>0</v>
      </c>
      <c r="H1879" s="28">
        <f>SUMIF(半成品入库明细!$D$2:$D$650,$B1879,半成品入库明细!$G$2:$G$650)</f>
        <v>0</v>
      </c>
      <c r="I1879" s="28">
        <f ca="1">SUMIF(半成品出库明细!$D$2:$D$558,$B1879,半成品出库明细!$G$2:$G$2)</f>
        <v>0</v>
      </c>
      <c r="J1879" s="28">
        <f ca="1" t="shared" ref="J1879:J1887" si="42">G1879+H1879-I1879</f>
        <v>0</v>
      </c>
      <c r="K1879" s="169" t="s">
        <v>146</v>
      </c>
    </row>
    <row r="1880" ht="17" customHeight="1" spans="2:11">
      <c r="B1880" s="6" t="s">
        <v>102</v>
      </c>
      <c r="C1880" s="170" t="s">
        <v>3052</v>
      </c>
      <c r="D1880" s="143" t="s">
        <v>3043</v>
      </c>
      <c r="E1880" s="168" t="s">
        <v>733</v>
      </c>
      <c r="F1880" s="26" t="s">
        <v>3026</v>
      </c>
      <c r="G1880" s="27">
        <f>SUMIF(物料月初库存!$C$3:$C$303,$B1880,物料月初库存!$F$3:$F$303)</f>
        <v>0</v>
      </c>
      <c r="H1880" s="28">
        <f>SUMIF(半成品入库明细!$D$2:$D$650,$B1880,半成品入库明细!$G$2:$G$650)</f>
        <v>50</v>
      </c>
      <c r="I1880" s="28">
        <f ca="1">SUMIF(半成品出库明细!$D$2:$D$558,$B1880,半成品出库明细!$G$2:$G$2)</f>
        <v>50</v>
      </c>
      <c r="J1880" s="28">
        <f ca="1" t="shared" si="42"/>
        <v>0</v>
      </c>
      <c r="K1880" s="11" t="s">
        <v>99</v>
      </c>
    </row>
    <row r="1881" spans="2:11">
      <c r="B1881" s="6" t="s">
        <v>60</v>
      </c>
      <c r="C1881" s="170" t="s">
        <v>3052</v>
      </c>
      <c r="D1881" s="143" t="s">
        <v>3043</v>
      </c>
      <c r="E1881" s="168" t="s">
        <v>443</v>
      </c>
      <c r="F1881" s="26" t="s">
        <v>3026</v>
      </c>
      <c r="G1881" s="27">
        <f>SUMIF(物料月初库存!$C$3:$C$303,$B1881,物料月初库存!$F$3:$F$303)</f>
        <v>10</v>
      </c>
      <c r="H1881" s="28">
        <f>SUMIF(半成品入库明细!$D$2:$D$650,$B1881,半成品入库明细!$G$2:$G$650)</f>
        <v>0</v>
      </c>
      <c r="I1881" s="28">
        <f ca="1">SUMIF(半成品出库明细!$D$2:$D$558,$B1881,半成品出库明细!$G$2:$G$2)</f>
        <v>0</v>
      </c>
      <c r="J1881" s="28">
        <f ca="1" t="shared" si="42"/>
        <v>10</v>
      </c>
      <c r="K1881" s="169" t="s">
        <v>168</v>
      </c>
    </row>
    <row r="1882" spans="2:11">
      <c r="B1882" s="6" t="s">
        <v>3054</v>
      </c>
      <c r="C1882" s="170" t="s">
        <v>3052</v>
      </c>
      <c r="D1882" s="143" t="s">
        <v>3043</v>
      </c>
      <c r="E1882" s="168" t="s">
        <v>353</v>
      </c>
      <c r="F1882" s="26" t="s">
        <v>3026</v>
      </c>
      <c r="G1882" s="27">
        <f>SUMIF(物料月初库存!$C$3:$C$303,$B1882,物料月初库存!$F$3:$F$303)</f>
        <v>0</v>
      </c>
      <c r="H1882" s="28">
        <f>SUMIF(半成品入库明细!$D$2:$D$650,$B1882,半成品入库明细!$G$2:$G$650)</f>
        <v>0</v>
      </c>
      <c r="I1882" s="28">
        <f ca="1">SUMIF(半成品出库明细!$D$2:$D$558,$B1882,半成品出库明细!$G$2:$G$2)</f>
        <v>0</v>
      </c>
      <c r="J1882" s="28">
        <f ca="1" t="shared" si="42"/>
        <v>0</v>
      </c>
      <c r="K1882" s="169" t="s">
        <v>1271</v>
      </c>
    </row>
    <row r="1883" spans="2:11">
      <c r="B1883" s="6" t="s">
        <v>61</v>
      </c>
      <c r="C1883" s="170" t="s">
        <v>3055</v>
      </c>
      <c r="D1883" s="143" t="s">
        <v>3043</v>
      </c>
      <c r="E1883" s="130" t="s">
        <v>76</v>
      </c>
      <c r="F1883" s="26" t="s">
        <v>3026</v>
      </c>
      <c r="G1883" s="27">
        <f>SUMIF(物料月初库存!$C$3:$C$303,$B1883,物料月初库存!$F$3:$F$303)</f>
        <v>3060</v>
      </c>
      <c r="H1883" s="28">
        <f>SUMIF(半成品入库明细!$D$2:$D$650,$B1883,半成品入库明细!$G$2:$G$650)</f>
        <v>0</v>
      </c>
      <c r="I1883" s="28">
        <f ca="1">SUMIF(半成品出库明细!$D$2:$D$558,$B1883,半成品出库明细!$G$2:$G$2)</f>
        <v>0</v>
      </c>
      <c r="J1883" s="28">
        <f ca="1" t="shared" si="42"/>
        <v>3060</v>
      </c>
    </row>
    <row r="1884" spans="2:11">
      <c r="B1884" s="6" t="s">
        <v>103</v>
      </c>
      <c r="C1884" s="170" t="s">
        <v>3055</v>
      </c>
      <c r="D1884" s="143" t="s">
        <v>3043</v>
      </c>
      <c r="E1884" s="168" t="s">
        <v>733</v>
      </c>
      <c r="F1884" s="26" t="s">
        <v>3026</v>
      </c>
      <c r="G1884" s="27">
        <f>SUMIF(物料月初库存!$C$3:$C$303,$B1884,物料月初库存!$F$3:$F$303)</f>
        <v>0</v>
      </c>
      <c r="H1884" s="28">
        <f>SUMIF(半成品入库明细!$D$2:$D$650,$B1884,半成品入库明细!$G$2:$G$650)</f>
        <v>50</v>
      </c>
      <c r="I1884" s="28">
        <f ca="1">SUMIF(半成品出库明细!$D$2:$D$558,$B1884,半成品出库明细!$G$2:$G$2)</f>
        <v>50</v>
      </c>
      <c r="J1884" s="28">
        <f ca="1" t="shared" si="42"/>
        <v>0</v>
      </c>
      <c r="K1884" s="169" t="s">
        <v>99</v>
      </c>
    </row>
    <row r="1885" spans="2:11">
      <c r="B1885" s="6" t="s">
        <v>62</v>
      </c>
      <c r="C1885" s="170" t="s">
        <v>3055</v>
      </c>
      <c r="D1885" s="143" t="s">
        <v>3043</v>
      </c>
      <c r="E1885" s="168" t="s">
        <v>443</v>
      </c>
      <c r="F1885" s="26" t="s">
        <v>3026</v>
      </c>
      <c r="G1885" s="27">
        <f>SUMIF(物料月初库存!$C$3:$C$303,$B1885,物料月初库存!$F$3:$F$303)</f>
        <v>10</v>
      </c>
      <c r="H1885" s="28">
        <f>SUMIF(半成品入库明细!$D$2:$D$650,$B1885,半成品入库明细!$G$2:$G$650)</f>
        <v>0</v>
      </c>
      <c r="I1885" s="28">
        <f ca="1">SUMIF(半成品出库明细!$D$2:$D$558,$B1885,半成品出库明细!$G$2:$G$2)</f>
        <v>0</v>
      </c>
      <c r="J1885" s="28">
        <f ca="1" t="shared" si="42"/>
        <v>10</v>
      </c>
      <c r="K1885" s="169" t="s">
        <v>168</v>
      </c>
    </row>
    <row r="1886" spans="2:11">
      <c r="B1886" s="6" t="s">
        <v>3056</v>
      </c>
      <c r="C1886" s="170" t="s">
        <v>3055</v>
      </c>
      <c r="D1886" s="143" t="s">
        <v>3043</v>
      </c>
      <c r="E1886" s="168" t="s">
        <v>353</v>
      </c>
      <c r="F1886" s="26" t="s">
        <v>3026</v>
      </c>
      <c r="G1886" s="27">
        <f>SUMIF(物料月初库存!$C$3:$C$303,$B1886,物料月初库存!$F$3:$F$303)</f>
        <v>0</v>
      </c>
      <c r="H1886" s="28">
        <f>SUMIF(半成品入库明细!$D$2:$D$650,$B1886,半成品入库明细!$G$2:$G$650)</f>
        <v>0</v>
      </c>
      <c r="I1886" s="28">
        <f ca="1">SUMIF(半成品出库明细!$D$2:$D$558,$B1886,半成品出库明细!$G$2:$G$2)</f>
        <v>0</v>
      </c>
      <c r="J1886" s="28">
        <f ca="1" t="shared" si="42"/>
        <v>0</v>
      </c>
      <c r="K1886" s="169" t="s">
        <v>1271</v>
      </c>
    </row>
    <row r="1887" spans="2:11">
      <c r="B1887" s="6" t="s">
        <v>3057</v>
      </c>
      <c r="C1887" s="170" t="s">
        <v>3058</v>
      </c>
      <c r="D1887" s="143" t="s">
        <v>3043</v>
      </c>
      <c r="E1887" s="130" t="s">
        <v>76</v>
      </c>
      <c r="F1887" s="26" t="s">
        <v>3026</v>
      </c>
      <c r="G1887" s="27">
        <f>SUMIF(物料月初库存!$C$3:$C$303,$B1887,物料月初库存!$F$3:$F$303)</f>
        <v>0</v>
      </c>
      <c r="H1887" s="28">
        <f>SUMIF(半成品入库明细!$D$2:$D$650,$B1887,半成品入库明细!$G$2:$G$650)</f>
        <v>0</v>
      </c>
      <c r="I1887" s="28">
        <f ca="1">SUMIF(半成品出库明细!$D$2:$D$558,$B1887,半成品出库明细!$G$2:$G$2)</f>
        <v>0</v>
      </c>
      <c r="J1887" s="28">
        <f ca="1" t="shared" si="42"/>
        <v>0</v>
      </c>
    </row>
    <row r="1888" spans="2:11">
      <c r="B1888" s="6" t="s">
        <v>3059</v>
      </c>
      <c r="C1888" s="170" t="s">
        <v>3058</v>
      </c>
      <c r="D1888" s="143" t="s">
        <v>3043</v>
      </c>
      <c r="E1888" s="168" t="s">
        <v>733</v>
      </c>
      <c r="F1888" s="26" t="s">
        <v>3026</v>
      </c>
      <c r="G1888" s="27">
        <f>SUMIF(物料月初库存!$C$3:$C$303,$B1888,物料月初库存!$F$3:$F$303)</f>
        <v>0</v>
      </c>
      <c r="H1888" s="28">
        <f>SUMIF(半成品入库明细!$D$2:$D$650,$B1888,半成品入库明细!$G$2:$G$650)</f>
        <v>0</v>
      </c>
      <c r="I1888" s="28">
        <f ca="1">SUMIF(半成品出库明细!$D$2:$D$558,$B1888,半成品出库明细!$G$2:$G$2)</f>
        <v>0</v>
      </c>
      <c r="J1888" s="28">
        <f ca="1" t="shared" ref="J1888:J1900" si="43">G1888+H1888-I1888</f>
        <v>0</v>
      </c>
      <c r="K1888" s="11" t="s">
        <v>99</v>
      </c>
    </row>
    <row r="1889" spans="2:11">
      <c r="B1889" s="6" t="s">
        <v>3060</v>
      </c>
      <c r="C1889" s="170" t="s">
        <v>3058</v>
      </c>
      <c r="D1889" s="143" t="s">
        <v>3043</v>
      </c>
      <c r="E1889" s="168" t="s">
        <v>443</v>
      </c>
      <c r="F1889" s="26" t="s">
        <v>3026</v>
      </c>
      <c r="G1889" s="27">
        <f>SUMIF(物料月初库存!$C$3:$C$303,$B1889,物料月初库存!$F$3:$F$303)</f>
        <v>0</v>
      </c>
      <c r="H1889" s="28">
        <f>SUMIF(半成品入库明细!$D$2:$D$650,$B1889,半成品入库明细!$G$2:$G$650)</f>
        <v>0</v>
      </c>
      <c r="I1889" s="28">
        <f ca="1">SUMIF(半成品出库明细!$D$2:$D$558,$B1889,半成品出库明细!$G$2:$G$2)</f>
        <v>0</v>
      </c>
      <c r="J1889" s="28">
        <f ca="1" t="shared" si="43"/>
        <v>0</v>
      </c>
      <c r="K1889" s="169" t="s">
        <v>168</v>
      </c>
    </row>
    <row r="1890" spans="2:11">
      <c r="B1890" s="6" t="s">
        <v>3061</v>
      </c>
      <c r="C1890" s="170" t="s">
        <v>3058</v>
      </c>
      <c r="D1890" s="143" t="s">
        <v>3043</v>
      </c>
      <c r="E1890" s="168" t="s">
        <v>353</v>
      </c>
      <c r="F1890" s="26" t="s">
        <v>3026</v>
      </c>
      <c r="G1890" s="27">
        <f>SUMIF(物料月初库存!$C$3:$C$303,$B1890,物料月初库存!$F$3:$F$303)</f>
        <v>0</v>
      </c>
      <c r="H1890" s="28">
        <f>SUMIF(半成品入库明细!$D$2:$D$650,$B1890,半成品入库明细!$G$2:$G$650)</f>
        <v>0</v>
      </c>
      <c r="I1890" s="28">
        <f ca="1">SUMIF(半成品出库明细!$D$2:$D$558,$B1890,半成品出库明细!$G$2:$G$2)</f>
        <v>0</v>
      </c>
      <c r="J1890" s="28">
        <f ca="1" t="shared" si="43"/>
        <v>0</v>
      </c>
      <c r="K1890" s="11" t="s">
        <v>1271</v>
      </c>
    </row>
    <row r="1891" spans="2:11">
      <c r="B1891" s="6" t="s">
        <v>3062</v>
      </c>
      <c r="C1891" s="170" t="s">
        <v>3063</v>
      </c>
      <c r="D1891" s="143" t="s">
        <v>3043</v>
      </c>
      <c r="E1891" s="168" t="s">
        <v>76</v>
      </c>
      <c r="F1891" s="26" t="s">
        <v>3026</v>
      </c>
      <c r="G1891" s="27">
        <f>SUMIF(物料月初库存!$C$3:$C$303,$B1891,物料月初库存!$F$3:$F$303)</f>
        <v>0</v>
      </c>
      <c r="H1891" s="28">
        <f>SUMIF(半成品入库明细!$D$2:$D$650,$B1891,半成品入库明细!$G$2:$G$650)</f>
        <v>0</v>
      </c>
      <c r="I1891" s="28">
        <f ca="1">SUMIF(半成品出库明细!$D$2:$D$558,$B1891,半成品出库明细!$G$2:$G$2)</f>
        <v>0</v>
      </c>
      <c r="J1891" s="28">
        <f ca="1" t="shared" si="43"/>
        <v>0</v>
      </c>
    </row>
    <row r="1892" spans="2:11">
      <c r="B1892" s="6" t="s">
        <v>63</v>
      </c>
      <c r="C1892" s="170" t="s">
        <v>3063</v>
      </c>
      <c r="D1892" s="143" t="s">
        <v>3043</v>
      </c>
      <c r="E1892" s="168" t="s">
        <v>225</v>
      </c>
      <c r="F1892" s="26" t="s">
        <v>3026</v>
      </c>
      <c r="G1892" s="27">
        <f>SUMIF(物料月初库存!$C$3:$C$303,$B1892,物料月初库存!$F$3:$F$303)</f>
        <v>1201</v>
      </c>
      <c r="H1892" s="28">
        <f>SUMIF(半成品入库明细!$D$2:$D$650,$B1892,半成品入库明细!$G$2:$G$650)</f>
        <v>0</v>
      </c>
      <c r="I1892" s="28">
        <f ca="1">SUMIF(半成品出库明细!$D$2:$D$558,$B1892,半成品出库明细!$G$2:$G$2)</f>
        <v>0</v>
      </c>
      <c r="J1892" s="28">
        <f ca="1" t="shared" si="43"/>
        <v>1201</v>
      </c>
      <c r="K1892" s="169" t="s">
        <v>92</v>
      </c>
    </row>
    <row r="1893" spans="2:11">
      <c r="B1893" s="6" t="s">
        <v>3064</v>
      </c>
      <c r="C1893" s="170" t="s">
        <v>3063</v>
      </c>
      <c r="D1893" s="143" t="s">
        <v>3043</v>
      </c>
      <c r="E1893" s="168" t="s">
        <v>353</v>
      </c>
      <c r="F1893" s="26" t="s">
        <v>3026</v>
      </c>
      <c r="G1893" s="27">
        <f>SUMIF(物料月初库存!$C$3:$C$303,$B1893,物料月初库存!$F$3:$F$303)</f>
        <v>0</v>
      </c>
      <c r="H1893" s="28">
        <f>SUMIF(半成品入库明细!$D$2:$D$650,$B1893,半成品入库明细!$G$2:$G$650)</f>
        <v>0</v>
      </c>
      <c r="I1893" s="28">
        <f ca="1">SUMIF(半成品出库明细!$D$2:$D$558,$B1893,半成品出库明细!$G$2:$G$2)</f>
        <v>0</v>
      </c>
      <c r="J1893" s="28">
        <f ca="1" t="shared" si="43"/>
        <v>0</v>
      </c>
      <c r="K1893" s="169" t="s">
        <v>1271</v>
      </c>
    </row>
    <row r="1894" spans="2:11">
      <c r="B1894" s="6" t="s">
        <v>64</v>
      </c>
      <c r="C1894" s="170" t="s">
        <v>3065</v>
      </c>
      <c r="D1894" s="143" t="s">
        <v>3043</v>
      </c>
      <c r="E1894" s="168" t="s">
        <v>76</v>
      </c>
      <c r="F1894" s="26" t="s">
        <v>3026</v>
      </c>
      <c r="G1894" s="27">
        <f>SUMIF(物料月初库存!$C$3:$C$303,$B1894,物料月初库存!$F$3:$F$303)</f>
        <v>3810</v>
      </c>
      <c r="H1894" s="28">
        <f>SUMIF(半成品入库明细!$D$2:$D$650,$B1894,半成品入库明细!$G$2:$G$650)</f>
        <v>0</v>
      </c>
      <c r="I1894" s="28">
        <f ca="1">SUMIF(半成品出库明细!$D$2:$D$558,$B1894,半成品出库明细!$G$2:$G$2)</f>
        <v>1200</v>
      </c>
      <c r="J1894" s="28">
        <f ca="1" t="shared" si="43"/>
        <v>2610</v>
      </c>
    </row>
    <row r="1895" spans="2:11">
      <c r="B1895" s="6" t="s">
        <v>3066</v>
      </c>
      <c r="C1895" s="170" t="s">
        <v>3065</v>
      </c>
      <c r="D1895" s="143" t="s">
        <v>3043</v>
      </c>
      <c r="E1895" s="168" t="s">
        <v>733</v>
      </c>
      <c r="F1895" s="26" t="s">
        <v>3026</v>
      </c>
      <c r="G1895" s="27">
        <f>SUMIF(物料月初库存!$C$3:$C$303,$B1895,物料月初库存!$F$3:$F$303)</f>
        <v>0</v>
      </c>
      <c r="H1895" s="28">
        <f>SUMIF(半成品入库明细!$D$2:$D$650,$B1895,半成品入库明细!$G$2:$G$650)</f>
        <v>0</v>
      </c>
      <c r="I1895" s="28">
        <f ca="1">SUMIF(半成品出库明细!$D$2:$D$558,$B1895,半成品出库明细!$G$2:$G$2)</f>
        <v>0</v>
      </c>
      <c r="J1895" s="28">
        <f ca="1" t="shared" si="43"/>
        <v>0</v>
      </c>
      <c r="K1895" s="169" t="s">
        <v>99</v>
      </c>
    </row>
    <row r="1896" spans="2:11">
      <c r="B1896" s="6" t="s">
        <v>65</v>
      </c>
      <c r="C1896" s="170" t="s">
        <v>3065</v>
      </c>
      <c r="D1896" s="143" t="s">
        <v>3043</v>
      </c>
      <c r="E1896" s="168" t="s">
        <v>443</v>
      </c>
      <c r="F1896" s="26" t="s">
        <v>3026</v>
      </c>
      <c r="G1896" s="27">
        <f>SUMIF(物料月初库存!$C$3:$C$303,$B1896,物料月初库存!$F$3:$F$303)</f>
        <v>10</v>
      </c>
      <c r="H1896" s="28">
        <f>SUMIF(半成品入库明细!$D$2:$D$650,$B1896,半成品入库明细!$G$2:$G$650)</f>
        <v>0</v>
      </c>
      <c r="I1896" s="28">
        <f ca="1">SUMIF(半成品出库明细!$D$2:$D$558,$B1896,半成品出库明细!$G$2:$G$2)</f>
        <v>0</v>
      </c>
      <c r="J1896" s="28">
        <f ca="1" t="shared" si="43"/>
        <v>10</v>
      </c>
      <c r="K1896" s="169" t="s">
        <v>168</v>
      </c>
    </row>
    <row r="1897" spans="2:11">
      <c r="B1897" s="6" t="s">
        <v>3067</v>
      </c>
      <c r="C1897" s="170" t="s">
        <v>3065</v>
      </c>
      <c r="D1897" s="143" t="s">
        <v>3043</v>
      </c>
      <c r="E1897" s="168" t="s">
        <v>353</v>
      </c>
      <c r="F1897" s="26" t="s">
        <v>3026</v>
      </c>
      <c r="G1897" s="27">
        <f>SUMIF(物料月初库存!$C$3:$C$303,$B1897,物料月初库存!$F$3:$F$303)</f>
        <v>0</v>
      </c>
      <c r="H1897" s="28">
        <f>SUMIF(半成品入库明细!$D$2:$D$650,$B1897,半成品入库明细!$G$2:$G$650)</f>
        <v>0</v>
      </c>
      <c r="I1897" s="28">
        <f ca="1">SUMIF(半成品出库明细!$D$2:$D$558,$B1897,半成品出库明细!$G$2:$G$2)</f>
        <v>0</v>
      </c>
      <c r="J1897" s="28">
        <f ca="1" t="shared" si="43"/>
        <v>0</v>
      </c>
      <c r="K1897" s="169" t="s">
        <v>1271</v>
      </c>
    </row>
    <row r="1898" spans="2:11">
      <c r="B1898" s="6" t="s">
        <v>3068</v>
      </c>
      <c r="C1898" s="170" t="s">
        <v>3069</v>
      </c>
      <c r="D1898" s="143" t="s">
        <v>3043</v>
      </c>
      <c r="E1898" s="168" t="s">
        <v>76</v>
      </c>
      <c r="F1898" s="26" t="s">
        <v>3026</v>
      </c>
      <c r="G1898" s="27">
        <f>SUMIF(物料月初库存!$C$3:$C$303,$B1898,物料月初库存!$F$3:$F$303)</f>
        <v>0</v>
      </c>
      <c r="H1898" s="28">
        <f>SUMIF(半成品入库明细!$D$2:$D$650,$B1898,半成品入库明细!$G$2:$G$650)</f>
        <v>0</v>
      </c>
      <c r="I1898" s="28">
        <f ca="1">SUMIF(半成品出库明细!$D$2:$D$558,$B1898,半成品出库明细!$G$2:$G$2)</f>
        <v>0</v>
      </c>
      <c r="J1898" s="28">
        <f ca="1" t="shared" si="43"/>
        <v>0</v>
      </c>
    </row>
    <row r="1899" spans="2:11">
      <c r="B1899" s="6" t="s">
        <v>101</v>
      </c>
      <c r="C1899" s="170" t="s">
        <v>3069</v>
      </c>
      <c r="D1899" s="143" t="s">
        <v>3043</v>
      </c>
      <c r="E1899" s="168" t="s">
        <v>733</v>
      </c>
      <c r="F1899" s="26" t="s">
        <v>3026</v>
      </c>
      <c r="G1899" s="27">
        <f>SUMIF(物料月初库存!$C$3:$C$303,$B1899,物料月初库存!$F$3:$F$303)</f>
        <v>0</v>
      </c>
      <c r="H1899" s="28">
        <f>SUMIF(半成品入库明细!$D$2:$D$650,$B1899,半成品入库明细!$G$2:$G$650)</f>
        <v>2780</v>
      </c>
      <c r="I1899" s="28">
        <f ca="1">SUMIF(半成品出库明细!$D$2:$D$558,$B1899,半成品出库明细!$G$2:$G$2)</f>
        <v>0</v>
      </c>
      <c r="J1899" s="28">
        <f ca="1" t="shared" si="43"/>
        <v>2780</v>
      </c>
      <c r="K1899" s="169" t="s">
        <v>99</v>
      </c>
    </row>
    <row r="1900" spans="2:11">
      <c r="B1900" s="6" t="s">
        <v>3070</v>
      </c>
      <c r="C1900" s="170" t="s">
        <v>3069</v>
      </c>
      <c r="D1900" s="143" t="s">
        <v>3043</v>
      </c>
      <c r="E1900" s="168" t="s">
        <v>443</v>
      </c>
      <c r="F1900" s="26" t="s">
        <v>3026</v>
      </c>
      <c r="G1900" s="27">
        <f>SUMIF(物料月初库存!$C$3:$C$303,$B1900,物料月初库存!$F$3:$F$303)</f>
        <v>0</v>
      </c>
      <c r="H1900" s="28">
        <f>SUMIF(半成品入库明细!$D$2:$D$650,$B1900,半成品入库明细!$G$2:$G$650)</f>
        <v>0</v>
      </c>
      <c r="I1900" s="28">
        <f ca="1">SUMIF(半成品出库明细!$D$2:$D$558,$B1900,半成品出库明细!$G$2:$G$2)</f>
        <v>0</v>
      </c>
      <c r="J1900" s="28">
        <f ca="1" t="shared" si="43"/>
        <v>0</v>
      </c>
      <c r="K1900" s="169" t="s">
        <v>168</v>
      </c>
    </row>
    <row r="1901" spans="2:11">
      <c r="B1901" s="6" t="s">
        <v>3071</v>
      </c>
      <c r="C1901" s="170" t="s">
        <v>3072</v>
      </c>
      <c r="D1901" s="143" t="s">
        <v>3043</v>
      </c>
      <c r="E1901" s="168" t="s">
        <v>76</v>
      </c>
      <c r="F1901" s="26" t="s">
        <v>3026</v>
      </c>
      <c r="G1901" s="27">
        <f>SUMIF(物料月初库存!$C$3:$C$303,$B1901,物料月初库存!$F$3:$F$303)</f>
        <v>0</v>
      </c>
      <c r="H1901" s="28">
        <f>SUMIF(半成品入库明细!$D$2:$D$650,$B1901,半成品入库明细!$G$2:$G$650)</f>
        <v>0</v>
      </c>
      <c r="I1901" s="28">
        <f ca="1">SUMIF(半成品出库明细!$D$2:$D$558,$B1901,半成品出库明细!$G$2:$G$2)</f>
        <v>0</v>
      </c>
      <c r="J1901" s="28">
        <f ca="1" t="shared" ref="J1901:J1920" si="44">G1901+H1901-I1901</f>
        <v>0</v>
      </c>
    </row>
    <row r="1902" spans="2:11">
      <c r="B1902" s="6" t="s">
        <v>3073</v>
      </c>
      <c r="C1902" s="170" t="s">
        <v>3072</v>
      </c>
      <c r="D1902" s="143" t="s">
        <v>3043</v>
      </c>
      <c r="E1902" s="168" t="s">
        <v>267</v>
      </c>
      <c r="F1902" s="26" t="s">
        <v>3026</v>
      </c>
      <c r="G1902" s="27">
        <f>SUMIF(物料月初库存!$C$3:$C$303,$B1902,物料月初库存!$F$3:$F$303)</f>
        <v>0</v>
      </c>
      <c r="H1902" s="28">
        <f>SUMIF(半成品入库明细!$D$2:$D$650,$B1902,半成品入库明细!$G$2:$G$650)</f>
        <v>0</v>
      </c>
      <c r="I1902" s="28">
        <f ca="1">SUMIF(半成品出库明细!$D$2:$D$558,$B1902,半成品出库明细!$G$2:$G$2)</f>
        <v>0</v>
      </c>
      <c r="J1902" s="28">
        <f ca="1" t="shared" si="44"/>
        <v>0</v>
      </c>
      <c r="K1902" s="169" t="s">
        <v>146</v>
      </c>
    </row>
    <row r="1903" spans="2:11">
      <c r="B1903" s="6" t="s">
        <v>3074</v>
      </c>
      <c r="C1903" s="170" t="s">
        <v>3072</v>
      </c>
      <c r="D1903" s="143" t="s">
        <v>3043</v>
      </c>
      <c r="E1903" s="168" t="s">
        <v>733</v>
      </c>
      <c r="F1903" s="26" t="s">
        <v>3026</v>
      </c>
      <c r="G1903" s="27">
        <f>SUMIF(物料月初库存!$C$3:$C$303,$B1903,物料月初库存!$F$3:$F$303)</f>
        <v>0</v>
      </c>
      <c r="H1903" s="28">
        <f>SUMIF(半成品入库明细!$D$2:$D$650,$B1903,半成品入库明细!$G$2:$G$650)</f>
        <v>0</v>
      </c>
      <c r="I1903" s="28">
        <f ca="1">SUMIF(半成品出库明细!$D$2:$D$558,$B1903,半成品出库明细!$G$2:$G$2)</f>
        <v>0</v>
      </c>
      <c r="J1903" s="28">
        <f ca="1" t="shared" si="44"/>
        <v>0</v>
      </c>
      <c r="K1903" s="169" t="s">
        <v>99</v>
      </c>
    </row>
    <row r="1904" spans="2:11">
      <c r="B1904" s="6" t="s">
        <v>66</v>
      </c>
      <c r="C1904" s="170" t="s">
        <v>3072</v>
      </c>
      <c r="D1904" s="143" t="s">
        <v>3043</v>
      </c>
      <c r="E1904" s="168" t="s">
        <v>443</v>
      </c>
      <c r="F1904" s="26" t="s">
        <v>3026</v>
      </c>
      <c r="G1904" s="27">
        <f>SUMIF(物料月初库存!$C$3:$C$303,$B1904,物料月初库存!$F$3:$F$303)</f>
        <v>408</v>
      </c>
      <c r="H1904" s="28">
        <f>SUMIF(半成品入库明细!$D$2:$D$650,$B1904,半成品入库明细!$G$2:$G$650)</f>
        <v>0</v>
      </c>
      <c r="I1904" s="28">
        <f ca="1">SUMIF(半成品出库明细!$D$2:$D$558,$B1904,半成品出库明细!$G$2:$G$2)</f>
        <v>0</v>
      </c>
      <c r="J1904" s="28">
        <f ca="1" t="shared" si="44"/>
        <v>408</v>
      </c>
      <c r="K1904" s="169" t="s">
        <v>168</v>
      </c>
    </row>
    <row r="1905" spans="2:11">
      <c r="B1905" s="6" t="s">
        <v>3075</v>
      </c>
      <c r="C1905" s="170" t="s">
        <v>3072</v>
      </c>
      <c r="D1905" s="143" t="s">
        <v>3043</v>
      </c>
      <c r="E1905" s="168" t="s">
        <v>353</v>
      </c>
      <c r="F1905" s="26" t="s">
        <v>3026</v>
      </c>
      <c r="G1905" s="27">
        <f>SUMIF(物料月初库存!$C$3:$C$303,$B1905,物料月初库存!$F$3:$F$303)</f>
        <v>0</v>
      </c>
      <c r="H1905" s="28">
        <f>SUMIF(半成品入库明细!$D$2:$D$650,$B1905,半成品入库明细!$G$2:$G$650)</f>
        <v>0</v>
      </c>
      <c r="I1905" s="28">
        <f ca="1">SUMIF(半成品出库明细!$D$2:$D$558,$B1905,半成品出库明细!$G$2:$G$2)</f>
        <v>0</v>
      </c>
      <c r="J1905" s="28">
        <f ca="1" t="shared" si="44"/>
        <v>0</v>
      </c>
      <c r="K1905" s="169" t="s">
        <v>1271</v>
      </c>
    </row>
    <row r="1906" spans="2:11">
      <c r="B1906" s="6" t="s">
        <v>3076</v>
      </c>
      <c r="C1906" s="170" t="s">
        <v>3077</v>
      </c>
      <c r="D1906" s="143" t="s">
        <v>3043</v>
      </c>
      <c r="E1906" s="168" t="s">
        <v>76</v>
      </c>
      <c r="F1906" s="26" t="s">
        <v>3026</v>
      </c>
      <c r="G1906" s="27">
        <f>SUMIF(物料月初库存!$C$3:$C$303,$B1906,物料月初库存!$F$3:$F$303)</f>
        <v>0</v>
      </c>
      <c r="H1906" s="28">
        <f>SUMIF(半成品入库明细!$D$2:$D$650,$B1906,半成品入库明细!$G$2:$G$650)</f>
        <v>0</v>
      </c>
      <c r="I1906" s="28">
        <f ca="1">SUMIF(半成品出库明细!$D$2:$D$558,$B1906,半成品出库明细!$G$2:$G$2)</f>
        <v>0</v>
      </c>
      <c r="J1906" s="28">
        <f ca="1" t="shared" si="44"/>
        <v>0</v>
      </c>
    </row>
    <row r="1907" spans="2:11">
      <c r="B1907" s="6" t="s">
        <v>3078</v>
      </c>
      <c r="C1907" s="170" t="s">
        <v>3077</v>
      </c>
      <c r="D1907" s="143" t="s">
        <v>3043</v>
      </c>
      <c r="E1907" s="168" t="s">
        <v>267</v>
      </c>
      <c r="F1907" s="26" t="s">
        <v>3026</v>
      </c>
      <c r="G1907" s="27">
        <f>SUMIF(物料月初库存!$C$3:$C$303,$B1907,物料月初库存!$F$3:$F$303)</f>
        <v>0</v>
      </c>
      <c r="H1907" s="28">
        <f>SUMIF(半成品入库明细!$D$2:$D$650,$B1907,半成品入库明细!$G$2:$G$650)</f>
        <v>0</v>
      </c>
      <c r="I1907" s="28">
        <f ca="1">SUMIF(半成品出库明细!$D$2:$D$558,$B1907,半成品出库明细!$G$2:$G$2)</f>
        <v>0</v>
      </c>
      <c r="J1907" s="28">
        <f ca="1" t="shared" si="44"/>
        <v>0</v>
      </c>
      <c r="K1907" s="169" t="s">
        <v>146</v>
      </c>
    </row>
    <row r="1908" spans="2:11">
      <c r="B1908" s="6" t="s">
        <v>3079</v>
      </c>
      <c r="C1908" s="170" t="s">
        <v>3077</v>
      </c>
      <c r="D1908" s="143" t="s">
        <v>3043</v>
      </c>
      <c r="E1908" s="168" t="s">
        <v>733</v>
      </c>
      <c r="F1908" s="26" t="s">
        <v>3026</v>
      </c>
      <c r="G1908" s="27">
        <f>SUMIF(物料月初库存!$C$3:$C$303,$B1908,物料月初库存!$F$3:$F$303)</f>
        <v>0</v>
      </c>
      <c r="H1908" s="28">
        <f>SUMIF(半成品入库明细!$D$2:$D$650,$B1908,半成品入库明细!$G$2:$G$650)</f>
        <v>0</v>
      </c>
      <c r="I1908" s="28">
        <f ca="1">SUMIF(半成品出库明细!$D$2:$D$558,$B1908,半成品出库明细!$G$2:$G$2)</f>
        <v>0</v>
      </c>
      <c r="J1908" s="28">
        <f ca="1" t="shared" si="44"/>
        <v>0</v>
      </c>
      <c r="K1908" s="169" t="s">
        <v>99</v>
      </c>
    </row>
    <row r="1909" spans="2:11">
      <c r="B1909" s="6" t="s">
        <v>3080</v>
      </c>
      <c r="C1909" s="170" t="s">
        <v>3077</v>
      </c>
      <c r="D1909" s="143" t="s">
        <v>3043</v>
      </c>
      <c r="E1909" s="168" t="s">
        <v>443</v>
      </c>
      <c r="F1909" s="26" t="s">
        <v>3026</v>
      </c>
      <c r="G1909" s="27">
        <f>SUMIF(物料月初库存!$C$3:$C$303,$B1909,物料月初库存!$F$3:$F$303)</f>
        <v>0</v>
      </c>
      <c r="H1909" s="28">
        <f>SUMIF(半成品入库明细!$D$2:$D$650,$B1909,半成品入库明细!$G$2:$G$650)</f>
        <v>0</v>
      </c>
      <c r="I1909" s="28">
        <f ca="1">SUMIF(半成品出库明细!$D$2:$D$558,$B1909,半成品出库明细!$G$2:$G$2)</f>
        <v>0</v>
      </c>
      <c r="J1909" s="28">
        <f ca="1" t="shared" si="44"/>
        <v>0</v>
      </c>
      <c r="K1909" s="169" t="s">
        <v>168</v>
      </c>
    </row>
    <row r="1910" spans="2:11">
      <c r="B1910" s="6" t="s">
        <v>3081</v>
      </c>
      <c r="C1910" s="170" t="s">
        <v>3077</v>
      </c>
      <c r="D1910" s="143" t="s">
        <v>3043</v>
      </c>
      <c r="E1910" s="168" t="s">
        <v>353</v>
      </c>
      <c r="F1910" s="26" t="s">
        <v>3026</v>
      </c>
      <c r="G1910" s="27">
        <f>SUMIF(物料月初库存!$C$3:$C$303,$B1910,物料月初库存!$F$3:$F$303)</f>
        <v>0</v>
      </c>
      <c r="H1910" s="28">
        <f>SUMIF(半成品入库明细!$D$2:$D$650,$B1910,半成品入库明细!$G$2:$G$650)</f>
        <v>0</v>
      </c>
      <c r="I1910" s="28">
        <f ca="1">SUMIF(半成品出库明细!$D$2:$D$558,$B1910,半成品出库明细!$G$2:$G$2)</f>
        <v>0</v>
      </c>
      <c r="J1910" s="28">
        <f ca="1" t="shared" si="44"/>
        <v>0</v>
      </c>
      <c r="K1910" s="169" t="s">
        <v>1271</v>
      </c>
    </row>
    <row r="1911" spans="2:11">
      <c r="B1911" s="6" t="s">
        <v>3082</v>
      </c>
      <c r="C1911" s="7" t="s">
        <v>3083</v>
      </c>
      <c r="D1911" s="143" t="s">
        <v>3043</v>
      </c>
      <c r="E1911" s="171" t="s">
        <v>3084</v>
      </c>
      <c r="F1911" s="26" t="s">
        <v>3026</v>
      </c>
      <c r="G1911" s="27">
        <f>SUMIF(物料月初库存!$C$3:$C$303,$B1911,物料月初库存!$F$3:$F$303)</f>
        <v>0</v>
      </c>
      <c r="H1911" s="28">
        <f>SUMIF(半成品入库明细!$D$2:$D$650,$B1911,半成品入库明细!$G$2:$G$650)</f>
        <v>0</v>
      </c>
      <c r="I1911" s="28">
        <f ca="1">SUMIF(半成品出库明细!$D$2:$D$558,$B1911,半成品出库明细!$G$2:$G$2)</f>
        <v>0</v>
      </c>
      <c r="J1911" s="28">
        <f ca="1" t="shared" si="44"/>
        <v>0</v>
      </c>
    </row>
    <row r="1912" spans="2:11">
      <c r="B1912" s="6" t="s">
        <v>3085</v>
      </c>
      <c r="C1912" s="170" t="s">
        <v>3086</v>
      </c>
      <c r="D1912" s="143" t="s">
        <v>3043</v>
      </c>
      <c r="E1912" s="171" t="s">
        <v>3084</v>
      </c>
      <c r="F1912" s="26" t="s">
        <v>3026</v>
      </c>
      <c r="G1912" s="27">
        <f>SUMIF(物料月初库存!$C$3:$C$303,$B1912,物料月初库存!$F$3:$F$303)</f>
        <v>0</v>
      </c>
      <c r="H1912" s="28">
        <f>SUMIF(半成品入库明细!$D$2:$D$650,$B1912,半成品入库明细!$G$2:$G$650)</f>
        <v>0</v>
      </c>
      <c r="I1912" s="28">
        <f ca="1">SUMIF(半成品出库明细!$D$2:$D$558,$B1912,半成品出库明细!$G$2:$G$2)</f>
        <v>0</v>
      </c>
      <c r="J1912" s="28">
        <f ca="1" t="shared" si="44"/>
        <v>0</v>
      </c>
    </row>
    <row r="1913" spans="2:11">
      <c r="B1913" s="6" t="s">
        <v>3087</v>
      </c>
      <c r="C1913" s="170" t="s">
        <v>3088</v>
      </c>
      <c r="D1913" s="143" t="s">
        <v>3043</v>
      </c>
      <c r="E1913" s="171" t="s">
        <v>3084</v>
      </c>
      <c r="F1913" s="26" t="s">
        <v>3026</v>
      </c>
      <c r="G1913" s="27">
        <f>SUMIF(物料月初库存!$C$3:$C$303,$B1913,物料月初库存!$F$3:$F$303)</f>
        <v>0</v>
      </c>
      <c r="H1913" s="28">
        <f>SUMIF(半成品入库明细!$D$2:$D$650,$B1913,半成品入库明细!$G$2:$G$650)</f>
        <v>0</v>
      </c>
      <c r="I1913" s="28">
        <f ca="1">SUMIF(半成品出库明细!$D$2:$D$558,$B1913,半成品出库明细!$G$2:$G$2)</f>
        <v>0</v>
      </c>
      <c r="J1913" s="28">
        <f ca="1" t="shared" si="44"/>
        <v>0</v>
      </c>
    </row>
    <row r="1914" spans="2:11">
      <c r="B1914" s="6" t="s">
        <v>3089</v>
      </c>
      <c r="C1914" s="170" t="s">
        <v>3090</v>
      </c>
      <c r="D1914" s="143" t="s">
        <v>3043</v>
      </c>
      <c r="E1914" s="171" t="s">
        <v>3084</v>
      </c>
      <c r="F1914" s="26" t="s">
        <v>3026</v>
      </c>
      <c r="G1914" s="27">
        <f>SUMIF(物料月初库存!$C$3:$C$303,$B1914,物料月初库存!$F$3:$F$303)</f>
        <v>0</v>
      </c>
      <c r="H1914" s="28">
        <f>SUMIF(半成品入库明细!$D$2:$D$650,$B1914,半成品入库明细!$G$2:$G$650)</f>
        <v>0</v>
      </c>
      <c r="I1914" s="28">
        <f ca="1">SUMIF(半成品出库明细!$D$2:$D$558,$B1914,半成品出库明细!$G$2:$G$2)</f>
        <v>0</v>
      </c>
      <c r="J1914" s="28">
        <f ca="1" t="shared" si="44"/>
        <v>0</v>
      </c>
    </row>
    <row r="1915" spans="2:11">
      <c r="B1915" s="6" t="s">
        <v>67</v>
      </c>
      <c r="C1915" s="170" t="s">
        <v>3091</v>
      </c>
      <c r="D1915" s="143" t="s">
        <v>3043</v>
      </c>
      <c r="E1915" s="171" t="s">
        <v>3084</v>
      </c>
      <c r="F1915" s="26" t="s">
        <v>3026</v>
      </c>
      <c r="G1915" s="27">
        <f>SUMIF(物料月初库存!$C$3:$C$303,$B1915,物料月初库存!$F$3:$F$303)</f>
        <v>1200</v>
      </c>
      <c r="H1915" s="28">
        <f>SUMIF(半成品入库明细!$D$2:$D$650,$B1915,半成品入库明细!$G$2:$G$650)</f>
        <v>0</v>
      </c>
      <c r="I1915" s="28">
        <f ca="1">SUMIF(半成品出库明细!$D$2:$D$558,$B1915,半成品出库明细!$G$2:$G$2)</f>
        <v>0</v>
      </c>
      <c r="J1915" s="28">
        <f ca="1" t="shared" si="44"/>
        <v>1200</v>
      </c>
    </row>
    <row r="1916" spans="2:11">
      <c r="B1916" s="6" t="s">
        <v>3092</v>
      </c>
      <c r="C1916" s="170" t="s">
        <v>3093</v>
      </c>
      <c r="D1916" s="143" t="s">
        <v>3043</v>
      </c>
      <c r="E1916" s="171" t="s">
        <v>3084</v>
      </c>
      <c r="F1916" s="26" t="s">
        <v>3026</v>
      </c>
      <c r="G1916" s="27">
        <f>SUMIF(物料月初库存!$C$3:$C$303,$B1916,物料月初库存!$F$3:$F$303)</f>
        <v>0</v>
      </c>
      <c r="H1916" s="28">
        <f>SUMIF(半成品入库明细!$D$2:$D$650,$B1916,半成品入库明细!$G$2:$G$650)</f>
        <v>0</v>
      </c>
      <c r="I1916" s="28">
        <f ca="1">SUMIF(半成品出库明细!$D$2:$D$558,$B1916,半成品出库明细!$G$2:$G$2)</f>
        <v>0</v>
      </c>
      <c r="J1916" s="28">
        <f ca="1" t="shared" si="44"/>
        <v>0</v>
      </c>
    </row>
    <row r="1917" spans="2:11">
      <c r="B1917" s="6" t="s">
        <v>3094</v>
      </c>
      <c r="C1917" s="170" t="s">
        <v>3095</v>
      </c>
      <c r="D1917" s="143" t="s">
        <v>3043</v>
      </c>
      <c r="E1917" s="171" t="s">
        <v>3084</v>
      </c>
      <c r="F1917" s="26" t="s">
        <v>3026</v>
      </c>
      <c r="G1917" s="27">
        <f>SUMIF(物料月初库存!$C$3:$C$303,$B1917,物料月初库存!$F$3:$F$303)</f>
        <v>0</v>
      </c>
      <c r="H1917" s="28">
        <f>SUMIF(半成品入库明细!$D$2:$D$650,$B1917,半成品入库明细!$G$2:$G$650)</f>
        <v>0</v>
      </c>
      <c r="I1917" s="28">
        <f ca="1">SUMIF(半成品出库明细!$D$2:$D$558,$B1917,半成品出库明细!$G$2:$G$2)</f>
        <v>0</v>
      </c>
      <c r="J1917" s="28">
        <f ca="1" t="shared" si="44"/>
        <v>0</v>
      </c>
    </row>
    <row r="1918" spans="2:11">
      <c r="B1918" s="6" t="s">
        <v>3096</v>
      </c>
      <c r="C1918" s="7" t="s">
        <v>3097</v>
      </c>
      <c r="D1918" s="8" t="s">
        <v>3098</v>
      </c>
      <c r="E1918" s="168" t="s">
        <v>76</v>
      </c>
      <c r="F1918" s="26" t="s">
        <v>3026</v>
      </c>
      <c r="G1918" s="27">
        <f>SUMIF(物料月初库存!$C$3:$C$303,$B1918,物料月初库存!$F$3:$F$303)</f>
        <v>0</v>
      </c>
      <c r="H1918" s="28">
        <f>SUMIF(半成品入库明细!$D$2:$D$650,$B1918,半成品入库明细!$G$2:$G$650)</f>
        <v>0</v>
      </c>
      <c r="I1918" s="28">
        <f ca="1">SUMIF(半成品出库明细!$D$2:$D$558,$B1918,半成品出库明细!$G$2:$G$2)</f>
        <v>0</v>
      </c>
      <c r="J1918" s="28">
        <f ca="1" t="shared" si="44"/>
        <v>0</v>
      </c>
    </row>
    <row r="1919" spans="2:11">
      <c r="B1919" s="6" t="s">
        <v>3099</v>
      </c>
      <c r="C1919" s="7" t="s">
        <v>3097</v>
      </c>
      <c r="D1919" s="8" t="s">
        <v>3098</v>
      </c>
      <c r="E1919" s="8" t="s">
        <v>316</v>
      </c>
      <c r="F1919" s="26" t="s">
        <v>3026</v>
      </c>
      <c r="G1919" s="27">
        <f>SUMIF(物料月初库存!$C$3:$C$303,$B1919,物料月初库存!$F$3:$F$303)</f>
        <v>0</v>
      </c>
      <c r="H1919" s="28">
        <f>SUMIF(半成品入库明细!$D$2:$D$650,$B1919,半成品入库明细!$G$2:$G$650)</f>
        <v>0</v>
      </c>
      <c r="I1919" s="28">
        <f ca="1">SUMIF(半成品出库明细!$D$2:$D$558,$B1919,半成品出库明细!$G$2:$G$2)</f>
        <v>0</v>
      </c>
      <c r="J1919" s="28">
        <f ca="1" t="shared" si="44"/>
        <v>0</v>
      </c>
      <c r="K1919" s="169" t="s">
        <v>140</v>
      </c>
    </row>
    <row r="1920" spans="2:11">
      <c r="B1920" s="6" t="s">
        <v>3100</v>
      </c>
      <c r="C1920" s="7" t="s">
        <v>3097</v>
      </c>
      <c r="D1920" s="8" t="s">
        <v>3098</v>
      </c>
      <c r="E1920" s="168" t="s">
        <v>201</v>
      </c>
      <c r="F1920" s="26" t="s">
        <v>3026</v>
      </c>
      <c r="G1920" s="27">
        <f>SUMIF(物料月初库存!$C$3:$C$303,$B1920,物料月初库存!$F$3:$F$303)</f>
        <v>0</v>
      </c>
      <c r="H1920" s="28">
        <f>SUMIF(半成品入库明细!$D$2:$D$650,$B1920,半成品入库明细!$G$2:$G$650)</f>
        <v>0</v>
      </c>
      <c r="I1920" s="28">
        <f ca="1">SUMIF(半成品出库明细!$D$2:$D$558,$B1920,半成品出库明细!$G$2:$G$2)</f>
        <v>0</v>
      </c>
      <c r="J1920" s="28">
        <f ca="1" t="shared" si="44"/>
        <v>0</v>
      </c>
      <c r="K1920" s="169" t="s">
        <v>183</v>
      </c>
    </row>
  </sheetData>
  <dataValidations count="2">
    <dataValidation type="list" allowBlank="1" showInputMessage="1" showErrorMessage="1" sqref="F1921:F65712">
      <formula1>類別</formula1>
    </dataValidation>
    <dataValidation type="list" allowBlank="1" showInputMessage="1" showErrorMessage="1" sqref="G1921:G65712">
      <formula1>單位</formula1>
    </dataValidation>
  </dataValidations>
  <printOptions horizontalCentered="1"/>
  <pageMargins left="0.0388888888888889" right="0.0388888888888889" top="0.432638888888889" bottom="0.0791666666666667" header="0.314583333333333" footer="0.236111111111111"/>
  <pageSetup paperSize="9" scale="73" orientation="portrait"/>
  <headerFooter alignWithMargins="0" scaleWithDoc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ROJWYMJ</vt:lpstr>
      <vt:lpstr>物料月初库存</vt:lpstr>
      <vt:lpstr>半成品入库明细</vt:lpstr>
      <vt:lpstr>半成品出库明细</vt:lpstr>
      <vt:lpstr>物料本月库存明細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wangfengchan</dc:creator>
  <cp:lastModifiedBy>柠.</cp:lastModifiedBy>
  <cp:revision>1</cp:revision>
  <dcterms:created xsi:type="dcterms:W3CDTF">2006-09-11T03:36:00Z</dcterms:created>
  <cp:lastPrinted>2011-10-09T05:37:00Z</cp:lastPrinted>
  <dcterms:modified xsi:type="dcterms:W3CDTF">2026-07-10T05:19:45Z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E3A725DA516C4455A0491DFD46B04C2F_13</vt:lpwstr>
  </property>
  <property fmtid="{D5CDD505-2E9C-101B-9397-08002B2CF9AE}" pid="4" name="CalculationRule">
    <vt:i4>0</vt:i4>
  </property>
</Properties>
</file>