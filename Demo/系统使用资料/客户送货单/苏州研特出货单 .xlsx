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3"/>
  </bookViews>
  <sheets>
    <sheet name="2023.10.24" sheetId="98" r:id="rId1"/>
    <sheet name="2024.5.22" sheetId="99" r:id="rId2"/>
    <sheet name="2024.9.27" sheetId="100" r:id="rId3"/>
    <sheet name="2024.12.21" sheetId="101" r:id="rId4"/>
  </sheets>
  <definedNames>
    <definedName name="_xlnm.Print_Area" localSheetId="0">'2023.10.24'!$A$1:$I$20</definedName>
    <definedName name="_xlnm.Print_Area" localSheetId="1">'2024.5.22'!$A$1:$I$17</definedName>
    <definedName name="_xlnm.Print_Area" localSheetId="2">'2024.9.27'!$A$1:$G$17</definedName>
    <definedName name="_xlnm.Print_Area" localSheetId="3">'2024.12.21'!$A$1:$G$17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<sst xmlns="http://schemas.openxmlformats.org/spreadsheetml/2006/main" count="227" uniqueCount="57">
  <si>
    <t>苏州研特精密五金有限公司</t>
  </si>
  <si>
    <t>送货单</t>
  </si>
  <si>
    <t>送货单号:</t>
  </si>
  <si>
    <t>No:  YT 23102501</t>
  </si>
  <si>
    <t>日期:</t>
  </si>
  <si>
    <t>2023年 10月25日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</si>
  <si>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</si>
  <si>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</si>
  <si>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</si>
  <si>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</si>
  <si>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</si>
  <si>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</si>
  <si>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</si>
  <si>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</si>
  <si>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</si>
  <si>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日期</t>
  </si>
  <si>
    <t>客户物料编码</t>
  </si>
  <si>
    <t>机种名称</t>
  </si>
  <si>
    <t>材质</t>
  </si>
  <si>
    <t>单位</t>
  </si>
  <si>
    <t>数量</t>
  </si>
  <si>
    <t>单价</t>
  </si>
  <si>
    <t>总金额</t>
  </si>
  <si>
    <t>备注</t>
  </si>
  <si>
    <t>2023.10.25</t>
  </si>
  <si>
    <t>msbr-11</t>
  </si>
  <si>
    <t>PCS</t>
  </si>
  <si>
    <t>ring hinge base v-11</t>
  </si>
  <si>
    <t>锌合金</t>
  </si>
  <si>
    <t>ring hinge flange-v-9</t>
  </si>
  <si>
    <t>ring hinge lock-base-v-18</t>
  </si>
  <si>
    <t>ring hinge-upper-v-12</t>
  </si>
  <si>
    <t>ring hinge rotaion-triggre-32</t>
  </si>
  <si>
    <t>以下空白</t>
  </si>
  <si>
    <t>合计：</t>
  </si>
  <si>
    <t>送货人：</t>
  </si>
  <si>
    <t>仓管：屈苏洲</t>
  </si>
  <si>
    <t>收货人</t>
  </si>
  <si>
    <t>一式四联:   厂商白联;仓库红联\蓝联;IQC黄联;</t>
  </si>
  <si>
    <t>No:  YT 24052201</t>
  </si>
  <si>
    <t>2024年 5月22日</t>
  </si>
  <si>
    <t>开模方式</t>
  </si>
  <si>
    <t>单价（含税）</t>
  </si>
  <si>
    <t>总金额（含税）</t>
  </si>
  <si>
    <t>2024.5.22</t>
  </si>
  <si>
    <t>cnc手板</t>
  </si>
  <si>
    <t>No:  YT 24092701</t>
  </si>
  <si>
    <t>2024年 9月27日</t>
  </si>
  <si>
    <t>2024.9.27</t>
  </si>
  <si>
    <t>RING_HINGE_LOCK_B
ASE_V</t>
  </si>
  <si>
    <t>RING_HINGE_ROTATI
ON_TRIGGER</t>
  </si>
  <si>
    <t>RING_HINGE_ROTATI
ON_TRIGGER_42</t>
  </si>
  <si>
    <t>RING_HINGE_FLANGE
_V</t>
  </si>
  <si>
    <t>RING_HINGE_BASE_V</t>
  </si>
  <si>
    <t>No:  YT 24122101</t>
  </si>
  <si>
    <t>2024年 12月21日</t>
  </si>
  <si>
    <t>2024.12.21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</si>
</sst>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0"/>
      <color rgb="FF000000"/>
      <name val="微软雅黑"/>
      <charset val="134"/>
    </font>
    <font>
      <sz val="14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</font>
    <font>
      <b/>
      <sz val="16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8"/>
      <color rgb="FF000000"/>
      <name val="微软雅黑"/>
      <charset val="134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0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6" applyNumberFormat="0" applyAlignment="0" applyProtection="0">
      <alignment vertical="center"/>
    </xf>
    <xf numFmtId="0" fontId="30" fillId="4" borderId="7" applyNumberFormat="0" applyAlignment="0" applyProtection="0">
      <alignment vertical="center"/>
    </xf>
    <xf numFmtId="0" fontId="31" fillId="4" borderId="6" applyNumberFormat="0" applyAlignment="0" applyProtection="0">
      <alignment vertical="center"/>
    </xf>
    <xf numFmtId="0" fontId="32" fillId="5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top" wrapText="1"/>
    </xf>
    <xf numFmtId="0" fontId="1" fillId="0" borderId="0" xfId="0" applyFont="1" applyFill="1" applyAlignment="1">
      <alignment horizontal="left" vertical="center"/>
    </xf>
    <xf numFmtId="31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  <xf numFmtId="0" fontId="6" fillId="0" borderId="2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97155</xdr:colOff>
      <xdr:row>6</xdr:row>
      <xdr:rowOff>419100</xdr:rowOff>
    </xdr:from>
    <xdr:to>
      <xdr:col>1</xdr:col>
      <xdr:colOff>852805</xdr:colOff>
      <xdr:row>8</xdr:row>
      <xdr:rowOff>10160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6675" y="1866900"/>
          <a:ext cx="755650" cy="39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8</xdr:row>
      <xdr:rowOff>0</xdr:rowOff>
    </xdr:from>
    <xdr:to>
      <xdr:col>1</xdr:col>
      <xdr:colOff>876300</xdr:colOff>
      <xdr:row>9</xdr:row>
      <xdr:rowOff>31750</xdr:rowOff>
    </xdr:to>
    <xdr:pic>
      <xdr:nvPicPr>
        <xdr:cNvPr id="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5245" y="2254250"/>
          <a:ext cx="790575" cy="412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9</xdr:row>
      <xdr:rowOff>9525</xdr:rowOff>
    </xdr:from>
    <xdr:to>
      <xdr:col>1</xdr:col>
      <xdr:colOff>854075</xdr:colOff>
      <xdr:row>9</xdr:row>
      <xdr:rowOff>358775</xdr:rowOff>
    </xdr:to>
    <xdr:pic>
      <xdr:nvPicPr>
        <xdr:cNvPr id="4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06195" y="2644775"/>
          <a:ext cx="787400" cy="34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58420</xdr:colOff>
      <xdr:row>10</xdr:row>
      <xdr:rowOff>0</xdr:rowOff>
    </xdr:from>
    <xdr:to>
      <xdr:col>1</xdr:col>
      <xdr:colOff>895350</xdr:colOff>
      <xdr:row>10</xdr:row>
      <xdr:rowOff>372745</xdr:rowOff>
    </xdr:to>
    <xdr:pic>
      <xdr:nvPicPr>
        <xdr:cNvPr id="5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97940" y="3028950"/>
          <a:ext cx="836930" cy="372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57150</xdr:colOff>
      <xdr:row>11</xdr:row>
      <xdr:rowOff>9525</xdr:rowOff>
    </xdr:from>
    <xdr:to>
      <xdr:col>1</xdr:col>
      <xdr:colOff>855980</xdr:colOff>
      <xdr:row>11</xdr:row>
      <xdr:rowOff>349250</xdr:rowOff>
    </xdr:to>
    <xdr:pic>
      <xdr:nvPicPr>
        <xdr:cNvPr id="6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96670" y="3419475"/>
          <a:ext cx="798830" cy="33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48895</xdr:colOff>
      <xdr:row>12</xdr:row>
      <xdr:rowOff>0</xdr:rowOff>
    </xdr:from>
    <xdr:to>
      <xdr:col>1</xdr:col>
      <xdr:colOff>852805</xdr:colOff>
      <xdr:row>12</xdr:row>
      <xdr:rowOff>377825</xdr:rowOff>
    </xdr:to>
    <xdr:pic>
      <xdr:nvPicPr>
        <xdr:cNvPr id="7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88415" y="3803650"/>
          <a:ext cx="803910" cy="377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7</xdr:row>
      <xdr:rowOff>0</xdr:rowOff>
    </xdr:from>
    <xdr:to>
      <xdr:col>6</xdr:col>
      <xdr:colOff>923925</xdr:colOff>
      <xdr:row>8</xdr:row>
      <xdr:rowOff>8890</xdr:rowOff>
    </xdr:to>
    <xdr:pic>
      <xdr:nvPicPr>
        <xdr:cNvPr id="8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58025" y="1666875"/>
          <a:ext cx="923925" cy="453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95250</xdr:colOff>
      <xdr:row>8</xdr:row>
      <xdr:rowOff>0</xdr:rowOff>
    </xdr:from>
    <xdr:to>
      <xdr:col>6</xdr:col>
      <xdr:colOff>934720</xdr:colOff>
      <xdr:row>9</xdr:row>
      <xdr:rowOff>0</xdr:rowOff>
    </xdr:to>
    <xdr:pic>
      <xdr:nvPicPr>
        <xdr:cNvPr id="9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53275" y="2111375"/>
          <a:ext cx="83947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75565</xdr:colOff>
      <xdr:row>9</xdr:row>
      <xdr:rowOff>57150</xdr:rowOff>
    </xdr:from>
    <xdr:to>
      <xdr:col>6</xdr:col>
      <xdr:colOff>958215</xdr:colOff>
      <xdr:row>10</xdr:row>
      <xdr:rowOff>17780</xdr:rowOff>
    </xdr:to>
    <xdr:pic>
      <xdr:nvPicPr>
        <xdr:cNvPr id="10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33590" y="2511425"/>
          <a:ext cx="882650" cy="303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95885</xdr:colOff>
      <xdr:row>10</xdr:row>
      <xdr:rowOff>57150</xdr:rowOff>
    </xdr:from>
    <xdr:to>
      <xdr:col>6</xdr:col>
      <xdr:colOff>913765</xdr:colOff>
      <xdr:row>11</xdr:row>
      <xdr:rowOff>64770</xdr:rowOff>
    </xdr:to>
    <xdr:pic>
      <xdr:nvPicPr>
        <xdr:cNvPr id="11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53910" y="2854325"/>
          <a:ext cx="8178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133350</xdr:colOff>
      <xdr:row>11</xdr:row>
      <xdr:rowOff>76200</xdr:rowOff>
    </xdr:from>
    <xdr:to>
      <xdr:col>6</xdr:col>
      <xdr:colOff>952500</xdr:colOff>
      <xdr:row>12</xdr:row>
      <xdr:rowOff>9525</xdr:rowOff>
    </xdr:to>
    <xdr:pic>
      <xdr:nvPicPr>
        <xdr:cNvPr id="12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91375" y="3216275"/>
          <a:ext cx="8191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85725</xdr:colOff>
      <xdr:row>12</xdr:row>
      <xdr:rowOff>66675</xdr:rowOff>
    </xdr:from>
    <xdr:to>
      <xdr:col>6</xdr:col>
      <xdr:colOff>937260</xdr:colOff>
      <xdr:row>13</xdr:row>
      <xdr:rowOff>5715</xdr:rowOff>
    </xdr:to>
    <xdr:pic>
      <xdr:nvPicPr>
        <xdr:cNvPr id="13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143750" y="3549650"/>
          <a:ext cx="851535" cy="320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7</xdr:row>
      <xdr:rowOff>0</xdr:rowOff>
    </xdr:from>
    <xdr:to>
      <xdr:col>6</xdr:col>
      <xdr:colOff>923925</xdr:colOff>
      <xdr:row>8</xdr:row>
      <xdr:rowOff>8890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58025" y="1666875"/>
          <a:ext cx="923925" cy="453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95250</xdr:colOff>
      <xdr:row>8</xdr:row>
      <xdr:rowOff>0</xdr:rowOff>
    </xdr:from>
    <xdr:to>
      <xdr:col>6</xdr:col>
      <xdr:colOff>934720</xdr:colOff>
      <xdr:row>9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53275" y="2111375"/>
          <a:ext cx="83947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75565</xdr:colOff>
      <xdr:row>9</xdr:row>
      <xdr:rowOff>57150</xdr:rowOff>
    </xdr:from>
    <xdr:to>
      <xdr:col>6</xdr:col>
      <xdr:colOff>958215</xdr:colOff>
      <xdr:row>10</xdr:row>
      <xdr:rowOff>17780</xdr:rowOff>
    </xdr:to>
    <xdr:pic>
      <xdr:nvPicPr>
        <xdr:cNvPr id="4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33590" y="2511425"/>
          <a:ext cx="882650" cy="303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95885</xdr:colOff>
      <xdr:row>10</xdr:row>
      <xdr:rowOff>57150</xdr:rowOff>
    </xdr:from>
    <xdr:to>
      <xdr:col>6</xdr:col>
      <xdr:colOff>913765</xdr:colOff>
      <xdr:row>11</xdr:row>
      <xdr:rowOff>64770</xdr:rowOff>
    </xdr:to>
    <xdr:pic>
      <xdr:nvPicPr>
        <xdr:cNvPr id="5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53910" y="2854325"/>
          <a:ext cx="817880" cy="35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133350</xdr:colOff>
      <xdr:row>11</xdr:row>
      <xdr:rowOff>76200</xdr:rowOff>
    </xdr:from>
    <xdr:to>
      <xdr:col>6</xdr:col>
      <xdr:colOff>952500</xdr:colOff>
      <xdr:row>12</xdr:row>
      <xdr:rowOff>9525</xdr:rowOff>
    </xdr:to>
    <xdr:pic>
      <xdr:nvPicPr>
        <xdr:cNvPr id="6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91375" y="3216275"/>
          <a:ext cx="8191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85725</xdr:colOff>
      <xdr:row>12</xdr:row>
      <xdr:rowOff>66675</xdr:rowOff>
    </xdr:from>
    <xdr:to>
      <xdr:col>6</xdr:col>
      <xdr:colOff>937260</xdr:colOff>
      <xdr:row>13</xdr:row>
      <xdr:rowOff>5715</xdr:rowOff>
    </xdr:to>
    <xdr:pic>
      <xdr:nvPicPr>
        <xdr:cNvPr id="7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143750" y="3549650"/>
          <a:ext cx="851535" cy="320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K12" sqref="K12"/>
    </sheetView>
  </sheetViews>
  <sheetFormatPr defaultColWidth="9" defaultRowHeight="13.5"/>
  <cols>
    <col min="1" max="1" width="16.2666666666667" style="1" customWidth="1"/>
    <col min="2" max="2" width="12.625" style="1" customWidth="1"/>
    <col min="3" max="3" width="32.625" style="1" customWidth="1"/>
    <col min="4" max="4" width="10.625" style="1" customWidth="1"/>
    <col min="5" max="5" width="8" style="1" customWidth="1"/>
    <col min="6" max="6" width="12.0583333333333" style="1" customWidth="1"/>
    <col min="7" max="7" width="6.5" style="1" customWidth="1"/>
    <col min="8" max="8" width="11.5" style="1" customWidth="1"/>
    <col min="9" max="9" width="18.1583333333333" style="1" customWidth="1"/>
    <col min="10" max="16384" width="9" style="1"/>
  </cols>
  <sheetData>
    <row r="1" s="1" customFormat="1" ht="32.25" spans="1:9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="1" customFormat="1" ht="22.5" spans="1:9">
      <c r="A2" s="32" t="s">
        <v>1</v>
      </c>
      <c r="B2" s="32"/>
      <c r="C2" s="32"/>
      <c r="D2" s="32"/>
      <c r="E2" s="32"/>
      <c r="F2" s="32"/>
      <c r="G2" s="32"/>
      <c r="H2" s="32"/>
      <c r="I2" s="32"/>
    </row>
    <row r="3" s="1" customFormat="1" ht="17.25" spans="1:9">
      <c r="A3" s="33" t="s">
        <v>2</v>
      </c>
      <c r="B3" s="34" t="s">
        <v>3</v>
      </c>
      <c r="C3" s="34"/>
      <c r="D3" s="33" t="s">
        <v>4</v>
      </c>
      <c r="E3" s="35" t="s">
        <v>5</v>
      </c>
      <c r="F3" s="34"/>
      <c r="G3" s="34"/>
      <c r="H3" s="34"/>
      <c r="I3" s="34"/>
    </row>
    <row r="4" s="1" customFormat="1" ht="17.25" spans="1:9">
      <c r="A4" s="33" t="s">
        <v>6</v>
      </c>
      <c r="B4" s="36" t="s">
        <v>0</v>
      </c>
      <c r="C4" s="36"/>
      <c r="D4" s="33" t="s">
        <v>7</v>
      </c>
      <c r="E4" s="34" t="s">
        <v>8</v>
      </c>
      <c r="F4" s="34"/>
      <c r="G4" s="34"/>
      <c r="H4" s="34"/>
      <c r="I4" s="34"/>
    </row>
    <row r="5" s="1" customFormat="1" ht="34.5" spans="1:9">
      <c r="A5" s="33" t="s">
        <v>9</v>
      </c>
      <c r="B5" s="6"/>
      <c r="C5" s="6"/>
      <c r="D5" s="33" t="s">
        <v>10</v>
      </c>
      <c r="E5" s="34" t="s">
        <v>11</v>
      </c>
      <c r="F5" s="34"/>
      <c r="G5" s="34"/>
      <c r="H5" s="34"/>
      <c r="I5" s="34"/>
    </row>
    <row r="6" s="1" customFormat="1" ht="34.5" spans="1:9">
      <c r="A6" s="37" t="s">
        <v>12</v>
      </c>
      <c r="B6" s="37"/>
      <c r="C6" s="37"/>
      <c r="D6" s="33" t="s">
        <v>13</v>
      </c>
      <c r="E6" s="34" t="s">
        <v>14</v>
      </c>
      <c r="F6" s="34"/>
      <c r="G6" s="34"/>
      <c r="H6" s="34"/>
      <c r="I6" s="34"/>
    </row>
    <row r="7" s="1" customFormat="1" ht="17.2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1" customHeight="1" spans="1:9">
      <c r="A8" s="11" t="s">
        <v>24</v>
      </c>
      <c r="B8" s="13"/>
      <c r="C8" s="14" t="s">
        <v>25</v>
      </c>
      <c r="D8" s="38">
        <v>6061</v>
      </c>
      <c r="E8" s="15" t="s">
        <v>26</v>
      </c>
      <c r="F8" s="30">
        <v>5</v>
      </c>
      <c r="G8" s="14">
        <v>200</v>
      </c>
      <c r="H8" s="17">
        <f t="shared" ref="H8:H13" si="0">G8*F8</f>
        <v>1000</v>
      </c>
      <c r="I8" s="39"/>
    </row>
    <row r="9" s="1" customFormat="1" ht="21" customHeight="1" spans="1:9">
      <c r="A9" s="11" t="s">
        <v>24</v>
      </c>
      <c r="B9" s="13"/>
      <c r="C9" s="14" t="s">
        <v>27</v>
      </c>
      <c r="D9" s="38" t="s">
        <v>28</v>
      </c>
      <c r="E9" s="15" t="s">
        <v>26</v>
      </c>
      <c r="F9" s="30">
        <v>3</v>
      </c>
      <c r="G9" s="14">
        <v>400</v>
      </c>
      <c r="H9" s="17">
        <f t="shared" si="0"/>
        <v>1200</v>
      </c>
      <c r="I9" s="39"/>
    </row>
    <row r="10" s="1" customFormat="1" ht="21" customHeight="1" spans="1:9">
      <c r="A10" s="11" t="s">
        <v>24</v>
      </c>
      <c r="B10" s="13"/>
      <c r="C10" s="14" t="s">
        <v>29</v>
      </c>
      <c r="D10" s="38" t="s">
        <v>28</v>
      </c>
      <c r="E10" s="15" t="s">
        <v>26</v>
      </c>
      <c r="F10" s="30">
        <v>3</v>
      </c>
      <c r="G10" s="14">
        <v>680</v>
      </c>
      <c r="H10" s="17">
        <f t="shared" si="0"/>
        <v>2040</v>
      </c>
      <c r="I10" s="39"/>
    </row>
    <row r="11" s="1" customFormat="1" ht="21" customHeight="1" spans="1:9">
      <c r="A11" s="11" t="s">
        <v>24</v>
      </c>
      <c r="B11" s="13"/>
      <c r="C11" s="14" t="s">
        <v>30</v>
      </c>
      <c r="D11" s="38" t="s">
        <v>28</v>
      </c>
      <c r="E11" s="15" t="s">
        <v>26</v>
      </c>
      <c r="F11" s="30">
        <v>3</v>
      </c>
      <c r="G11" s="14">
        <v>400</v>
      </c>
      <c r="H11" s="17">
        <f t="shared" si="0"/>
        <v>1200</v>
      </c>
      <c r="I11" s="39"/>
    </row>
    <row r="12" s="1" customFormat="1" ht="21" customHeight="1" spans="1:9">
      <c r="A12" s="11" t="s">
        <v>24</v>
      </c>
      <c r="B12" s="13"/>
      <c r="C12" s="14" t="s">
        <v>31</v>
      </c>
      <c r="D12" s="38" t="s">
        <v>28</v>
      </c>
      <c r="E12" s="15" t="s">
        <v>26</v>
      </c>
      <c r="F12" s="30">
        <v>3</v>
      </c>
      <c r="G12" s="14">
        <v>850</v>
      </c>
      <c r="H12" s="17">
        <f t="shared" si="0"/>
        <v>2550</v>
      </c>
      <c r="I12" s="39"/>
    </row>
    <row r="13" s="1" customFormat="1" ht="21" customHeight="1" spans="1:9">
      <c r="A13" s="11" t="s">
        <v>24</v>
      </c>
      <c r="B13" s="13"/>
      <c r="C13" s="14" t="s">
        <v>32</v>
      </c>
      <c r="D13" s="38" t="s">
        <v>28</v>
      </c>
      <c r="E13" s="15" t="s">
        <v>26</v>
      </c>
      <c r="F13" s="30">
        <v>3</v>
      </c>
      <c r="G13" s="14">
        <v>400</v>
      </c>
      <c r="H13" s="17">
        <f t="shared" si="0"/>
        <v>1200</v>
      </c>
      <c r="I13" s="39"/>
    </row>
    <row r="14" s="1" customFormat="1" ht="21" customHeight="1" spans="1:9">
      <c r="A14" s="18"/>
      <c r="B14" s="19" t="s">
        <v>33</v>
      </c>
      <c r="C14" s="17"/>
      <c r="D14" s="20"/>
      <c r="E14" s="15"/>
      <c r="F14" s="23"/>
      <c r="G14" s="17"/>
      <c r="H14" s="17"/>
      <c r="I14" s="40"/>
    </row>
    <row r="15" s="1" customFormat="1" ht="21" customHeight="1" spans="1:9">
      <c r="A15" s="22"/>
      <c r="B15" s="22"/>
      <c r="C15" s="22"/>
      <c r="D15" s="23"/>
      <c r="E15" s="41"/>
      <c r="F15" s="42"/>
      <c r="G15" s="23"/>
      <c r="H15" s="42"/>
      <c r="I15" s="43"/>
    </row>
    <row r="16" s="1" customFormat="1" ht="21" customHeight="1" spans="1:9">
      <c r="A16" s="21" t="s">
        <v>34</v>
      </c>
      <c r="B16" s="22"/>
      <c r="C16" s="22"/>
      <c r="D16" s="23"/>
      <c r="E16" s="41"/>
      <c r="F16" s="25">
        <f>SUM(F8:F15)</f>
        <v>20</v>
      </c>
      <c r="G16" s="23"/>
      <c r="H16" s="25">
        <f>SUM(H8:H15)</f>
        <v>9190</v>
      </c>
      <c r="I16" s="43"/>
    </row>
    <row r="17" s="1" customFormat="1" ht="24" customHeight="1" spans="1:9">
      <c r="A17" s="26" t="s">
        <v>35</v>
      </c>
      <c r="B17" s="26"/>
      <c r="C17" s="27" t="s">
        <v>36</v>
      </c>
      <c r="D17" s="26"/>
      <c r="E17" s="26"/>
      <c r="F17" s="28"/>
      <c r="H17" s="26" t="s">
        <v>37</v>
      </c>
      <c r="I17" s="28"/>
    </row>
    <row r="18" s="1" customFormat="1" ht="17.25" spans="1:9">
      <c r="A18" s="28" t="s">
        <v>38</v>
      </c>
      <c r="B18" s="28"/>
      <c r="C18" s="28"/>
      <c r="D18" s="29"/>
      <c r="E18" s="29"/>
      <c r="F18" s="29"/>
      <c r="G18" s="29"/>
      <c r="H18" s="29"/>
      <c r="I18" s="29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7:D17"/>
    <mergeCell ref="A18:C18"/>
  </mergeCells>
  <pageMargins left="0.275" right="0.236111111111111" top="0.393055555555556" bottom="1" header="0.275" footer="0.5"/>
  <pageSetup paperSize="9" scale="7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K6" sqref="K6"/>
    </sheetView>
  </sheetViews>
  <sheetFormatPr defaultColWidth="9" defaultRowHeight="13.5"/>
  <cols>
    <col min="1" max="1" width="16.2666666666667" style="1" customWidth="1"/>
    <col min="2" max="2" width="14.375" style="1" customWidth="1"/>
    <col min="3" max="3" width="9.375" style="1" customWidth="1"/>
    <col min="4" max="4" width="12.125" style="1" customWidth="1"/>
    <col min="5" max="5" width="10.625" style="1" customWidth="1"/>
    <col min="6" max="6" width="9.625" style="1" customWidth="1"/>
    <col min="7" max="7" width="11.5" style="1" customWidth="1"/>
    <col min="8" max="8" width="13.625" style="1" customWidth="1"/>
    <col min="9" max="9" width="11.5" style="1" customWidth="1"/>
    <col min="10" max="16384" width="9" style="1"/>
  </cols>
  <sheetData>
    <row r="1" s="1" customFormat="1" ht="27.75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20.25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="2" customFormat="1" ht="16.5" spans="1:9">
      <c r="A3" s="5" t="s">
        <v>2</v>
      </c>
      <c r="B3" s="6" t="s">
        <v>39</v>
      </c>
      <c r="C3" s="6"/>
      <c r="D3" s="6"/>
      <c r="E3" s="5" t="s">
        <v>4</v>
      </c>
      <c r="F3" s="7" t="s">
        <v>40</v>
      </c>
      <c r="G3" s="6"/>
      <c r="H3" s="6"/>
      <c r="I3" s="6"/>
    </row>
    <row r="4" s="2" customFormat="1" ht="16.5" spans="1:9">
      <c r="A4" s="5" t="s">
        <v>6</v>
      </c>
      <c r="B4" s="8" t="s">
        <v>0</v>
      </c>
      <c r="C4" s="8"/>
      <c r="D4" s="8"/>
      <c r="E4" s="5" t="s">
        <v>7</v>
      </c>
      <c r="F4" s="6" t="s">
        <v>8</v>
      </c>
      <c r="G4" s="6"/>
      <c r="H4" s="6"/>
      <c r="I4" s="6"/>
    </row>
    <row r="5" s="2" customFormat="1" ht="16.5" spans="1:9">
      <c r="A5" s="5" t="s">
        <v>9</v>
      </c>
      <c r="B5" s="6"/>
      <c r="C5" s="6"/>
      <c r="D5" s="6"/>
      <c r="E5" s="5" t="s">
        <v>10</v>
      </c>
      <c r="F5" s="6" t="s">
        <v>11</v>
      </c>
      <c r="G5" s="6"/>
      <c r="H5" s="6"/>
      <c r="I5" s="6"/>
    </row>
    <row r="6" s="2" customFormat="1" ht="16.5" spans="1:9">
      <c r="A6" s="9" t="s">
        <v>12</v>
      </c>
      <c r="B6" s="9"/>
      <c r="C6" s="9"/>
      <c r="D6" s="9"/>
      <c r="E6" s="5" t="s">
        <v>13</v>
      </c>
      <c r="F6" s="6" t="s">
        <v>14</v>
      </c>
      <c r="G6" s="6"/>
      <c r="H6" s="6"/>
      <c r="I6" s="6"/>
    </row>
    <row r="7" s="1" customFormat="1" ht="34.5" spans="1:9">
      <c r="A7" s="10" t="s">
        <v>15</v>
      </c>
      <c r="B7" s="10" t="s">
        <v>17</v>
      </c>
      <c r="C7" s="10" t="s">
        <v>18</v>
      </c>
      <c r="D7" s="10" t="s">
        <v>41</v>
      </c>
      <c r="E7" s="10" t="s">
        <v>19</v>
      </c>
      <c r="F7" s="10" t="s">
        <v>20</v>
      </c>
      <c r="G7" s="10" t="s">
        <v>42</v>
      </c>
      <c r="H7" s="10" t="s">
        <v>43</v>
      </c>
      <c r="I7" s="10" t="s">
        <v>23</v>
      </c>
    </row>
    <row r="8" s="1" customFormat="1" ht="29" customHeight="1" spans="1:9">
      <c r="A8" s="11" t="s">
        <v>44</v>
      </c>
      <c r="B8" s="13"/>
      <c r="C8" s="13" t="s">
        <v>28</v>
      </c>
      <c r="D8" s="14" t="s">
        <v>45</v>
      </c>
      <c r="E8" s="15" t="s">
        <v>26</v>
      </c>
      <c r="F8" s="16">
        <v>4</v>
      </c>
      <c r="G8" s="30">
        <v>400</v>
      </c>
      <c r="H8" s="14">
        <f t="shared" ref="H8:H13" si="0">G8*F8</f>
        <v>1600</v>
      </c>
      <c r="I8" s="17"/>
    </row>
    <row r="9" s="1" customFormat="1" ht="30" customHeight="1" spans="1:9">
      <c r="A9" s="11" t="s">
        <v>44</v>
      </c>
      <c r="B9" s="13"/>
      <c r="C9" s="13" t="s">
        <v>28</v>
      </c>
      <c r="D9" s="14" t="s">
        <v>45</v>
      </c>
      <c r="E9" s="15" t="s">
        <v>26</v>
      </c>
      <c r="F9" s="16">
        <v>4</v>
      </c>
      <c r="G9" s="30">
        <v>300</v>
      </c>
      <c r="H9" s="14">
        <f t="shared" si="0"/>
        <v>1200</v>
      </c>
      <c r="I9" s="17"/>
    </row>
    <row r="10" s="1" customFormat="1" ht="31" customHeight="1" spans="1:9">
      <c r="A10" s="11" t="s">
        <v>44</v>
      </c>
      <c r="B10" s="13"/>
      <c r="C10" s="13" t="s">
        <v>28</v>
      </c>
      <c r="D10" s="14" t="s">
        <v>45</v>
      </c>
      <c r="E10" s="15" t="s">
        <v>26</v>
      </c>
      <c r="F10" s="16">
        <v>4</v>
      </c>
      <c r="G10" s="30">
        <v>300</v>
      </c>
      <c r="H10" s="14">
        <f t="shared" si="0"/>
        <v>1200</v>
      </c>
      <c r="I10" s="17"/>
    </row>
    <row r="11" s="1" customFormat="1" ht="30" customHeight="1" spans="1:9">
      <c r="A11" s="11" t="s">
        <v>44</v>
      </c>
      <c r="B11" s="13"/>
      <c r="C11" s="13" t="s">
        <v>28</v>
      </c>
      <c r="D11" s="14" t="s">
        <v>45</v>
      </c>
      <c r="E11" s="15" t="s">
        <v>26</v>
      </c>
      <c r="F11" s="16">
        <v>4</v>
      </c>
      <c r="G11" s="30">
        <v>400</v>
      </c>
      <c r="H11" s="14">
        <f t="shared" si="0"/>
        <v>1600</v>
      </c>
      <c r="I11" s="17"/>
    </row>
    <row r="12" s="1" customFormat="1" ht="31" customHeight="1" spans="1:9">
      <c r="A12" s="11" t="s">
        <v>44</v>
      </c>
      <c r="B12" s="13"/>
      <c r="C12" s="13" t="s">
        <v>28</v>
      </c>
      <c r="D12" s="14" t="s">
        <v>45</v>
      </c>
      <c r="E12" s="15" t="s">
        <v>26</v>
      </c>
      <c r="F12" s="16">
        <v>4</v>
      </c>
      <c r="G12" s="30">
        <v>550</v>
      </c>
      <c r="H12" s="14">
        <f t="shared" si="0"/>
        <v>2200</v>
      </c>
      <c r="I12" s="17"/>
    </row>
    <row r="13" s="1" customFormat="1" ht="30" customHeight="1" spans="1:9">
      <c r="A13" s="11" t="s">
        <v>44</v>
      </c>
      <c r="B13" s="13"/>
      <c r="C13" s="13" t="s">
        <v>28</v>
      </c>
      <c r="D13" s="14" t="s">
        <v>45</v>
      </c>
      <c r="E13" s="15" t="s">
        <v>26</v>
      </c>
      <c r="F13" s="16">
        <v>4</v>
      </c>
      <c r="G13" s="30">
        <v>600</v>
      </c>
      <c r="H13" s="14">
        <f t="shared" si="0"/>
        <v>2400</v>
      </c>
      <c r="I13" s="17"/>
    </row>
    <row r="14" s="1" customFormat="1" ht="21" customHeight="1" spans="1:9">
      <c r="A14" s="18"/>
      <c r="B14" s="19" t="s">
        <v>33</v>
      </c>
      <c r="C14" s="19"/>
      <c r="D14" s="17"/>
      <c r="E14" s="20"/>
      <c r="F14" s="15"/>
      <c r="G14" s="23"/>
      <c r="H14" s="17"/>
      <c r="I14" s="17"/>
    </row>
    <row r="15" s="1" customFormat="1" ht="21" customHeight="1" spans="1:9">
      <c r="A15" s="21" t="s">
        <v>34</v>
      </c>
      <c r="B15" s="22"/>
      <c r="C15" s="22"/>
      <c r="D15" s="22"/>
      <c r="E15" s="23"/>
      <c r="F15" s="24">
        <f>SUM(F8:F14)</f>
        <v>24</v>
      </c>
      <c r="G15" s="25">
        <f>SUM(G8:G14)</f>
        <v>2550</v>
      </c>
      <c r="H15" s="23">
        <f>SUM(H8:H14)</f>
        <v>10200</v>
      </c>
      <c r="I15" s="25"/>
    </row>
    <row r="16" s="1" customFormat="1" ht="24" customHeight="1" spans="1:9">
      <c r="A16" s="26" t="s">
        <v>35</v>
      </c>
      <c r="B16" s="26"/>
      <c r="C16" s="26"/>
      <c r="D16" s="27" t="s">
        <v>36</v>
      </c>
      <c r="E16" s="26"/>
      <c r="F16" s="26"/>
      <c r="G16" s="28"/>
      <c r="I16" s="26" t="s">
        <v>37</v>
      </c>
    </row>
    <row r="17" s="1" customFormat="1" ht="17.25" spans="1:9">
      <c r="A17" s="28" t="s">
        <v>38</v>
      </c>
      <c r="B17" s="28"/>
      <c r="C17" s="28"/>
      <c r="D17" s="28"/>
      <c r="E17" s="29"/>
      <c r="F17" s="29"/>
      <c r="G17" s="29"/>
      <c r="H17" s="29"/>
      <c r="I17" s="29"/>
    </row>
  </sheetData>
  <mergeCells count="12">
    <mergeCell ref="A1:I1"/>
    <mergeCell ref="A2:I2"/>
    <mergeCell ref="B3:D3"/>
    <mergeCell ref="F3:I3"/>
    <mergeCell ref="B4:D4"/>
    <mergeCell ref="F4:I4"/>
    <mergeCell ref="B5:D5"/>
    <mergeCell ref="F5:I5"/>
    <mergeCell ref="A6:D6"/>
    <mergeCell ref="F6:I6"/>
    <mergeCell ref="D16:E16"/>
    <mergeCell ref="A17:D17"/>
  </mergeCells>
  <pageMargins left="0.275" right="0.236111111111111" top="0.393055555555556" bottom="1" header="0.275" footer="0.5"/>
  <pageSetup paperSize="9" scale="9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view="pageBreakPreview" zoomScaleNormal="100" workbookViewId="0">
      <selection activeCell="J11" sqref="J11"/>
    </sheetView>
  </sheetViews>
  <sheetFormatPr defaultColWidth="9" defaultRowHeight="13.5" outlineLevelCol="6"/>
  <cols>
    <col min="1" max="1" width="16.2666666666667" style="1" customWidth="1"/>
    <col min="2" max="2" width="25.2333333333333" style="1" customWidth="1"/>
    <col min="3" max="3" width="11.3083333333333" style="1" customWidth="1"/>
    <col min="4" max="4" width="16.1416666666667" style="1" customWidth="1"/>
    <col min="5" max="5" width="10.625" style="1" customWidth="1"/>
    <col min="6" max="6" width="13.05" style="1" customWidth="1"/>
    <col min="7" max="7" width="14.875" style="1" customWidth="1"/>
    <col min="8" max="16384" width="9" style="1"/>
  </cols>
  <sheetData>
    <row r="1" s="1" customFormat="1" ht="27.75" spans="1:7">
      <c r="A1" s="3" t="s">
        <v>8</v>
      </c>
      <c r="B1" s="3"/>
      <c r="C1" s="3"/>
      <c r="D1" s="3"/>
      <c r="E1" s="3"/>
      <c r="F1" s="3"/>
      <c r="G1" s="3"/>
    </row>
    <row r="2" s="1" customFormat="1" ht="20.25" spans="1:7">
      <c r="A2" s="4" t="s">
        <v>1</v>
      </c>
      <c r="B2" s="4"/>
      <c r="C2" s="4"/>
      <c r="D2" s="4"/>
      <c r="E2" s="4"/>
      <c r="F2" s="4"/>
      <c r="G2" s="4"/>
    </row>
    <row r="3" s="2" customFormat="1" ht="16.5" spans="1:7">
      <c r="A3" s="5" t="s">
        <v>2</v>
      </c>
      <c r="B3" s="6" t="s">
        <v>46</v>
      </c>
      <c r="C3" s="6"/>
      <c r="D3" s="6"/>
      <c r="E3" s="5" t="s">
        <v>4</v>
      </c>
      <c r="F3" s="7" t="s">
        <v>47</v>
      </c>
      <c r="G3" s="6"/>
    </row>
    <row r="4" s="2" customFormat="1" ht="16.5" spans="1:7">
      <c r="A4" s="5" t="s">
        <v>6</v>
      </c>
      <c r="B4" s="8" t="s">
        <v>0</v>
      </c>
      <c r="C4" s="8"/>
      <c r="D4" s="8"/>
      <c r="E4" s="5" t="s">
        <v>7</v>
      </c>
      <c r="F4" s="6" t="s">
        <v>8</v>
      </c>
      <c r="G4" s="6"/>
    </row>
    <row r="5" s="2" customFormat="1" ht="16.5" spans="1:7">
      <c r="A5" s="5" t="s">
        <v>9</v>
      </c>
      <c r="B5" s="6"/>
      <c r="C5" s="6"/>
      <c r="D5" s="6"/>
      <c r="E5" s="5" t="s">
        <v>10</v>
      </c>
      <c r="F5" s="6" t="s">
        <v>11</v>
      </c>
      <c r="G5" s="6"/>
    </row>
    <row r="6" s="2" customFormat="1" ht="16.5" spans="1:7">
      <c r="A6" s="9" t="s">
        <v>12</v>
      </c>
      <c r="B6" s="9"/>
      <c r="C6" s="9"/>
      <c r="D6" s="9"/>
      <c r="E6" s="5" t="s">
        <v>13</v>
      </c>
      <c r="F6" s="6" t="s">
        <v>14</v>
      </c>
      <c r="G6" s="6"/>
    </row>
    <row r="7" s="1" customFormat="1" ht="17.25" spans="1:7">
      <c r="A7" s="10" t="s">
        <v>15</v>
      </c>
      <c r="B7" s="10" t="s">
        <v>17</v>
      </c>
      <c r="C7" s="10" t="s">
        <v>18</v>
      </c>
      <c r="D7" s="10" t="s">
        <v>41</v>
      </c>
      <c r="E7" s="10" t="s">
        <v>19</v>
      </c>
      <c r="F7" s="10" t="s">
        <v>20</v>
      </c>
      <c r="G7" s="10" t="s">
        <v>23</v>
      </c>
    </row>
    <row r="8" s="1" customFormat="1" ht="35" customHeight="1" spans="1:7">
      <c r="A8" s="11" t="s">
        <v>48</v>
      </c>
      <c r="B8" s="12" t="s">
        <v>49</v>
      </c>
      <c r="C8" s="13" t="s">
        <v>28</v>
      </c>
      <c r="D8" s="14" t="s">
        <v>45</v>
      </c>
      <c r="E8" s="15" t="s">
        <v>26</v>
      </c>
      <c r="F8" s="16">
        <v>4</v>
      </c>
      <c r="G8" s="17"/>
    </row>
    <row r="9" s="1" customFormat="1" ht="27" customHeight="1" spans="1:7">
      <c r="A9" s="11" t="s">
        <v>48</v>
      </c>
      <c r="B9" s="12" t="s">
        <v>50</v>
      </c>
      <c r="C9" s="13" t="s">
        <v>28</v>
      </c>
      <c r="D9" s="14" t="s">
        <v>45</v>
      </c>
      <c r="E9" s="15" t="s">
        <v>26</v>
      </c>
      <c r="F9" s="16">
        <v>4</v>
      </c>
      <c r="G9" s="17"/>
    </row>
    <row r="10" s="1" customFormat="1" ht="27" customHeight="1" spans="1:7">
      <c r="A10" s="11" t="s">
        <v>48</v>
      </c>
      <c r="B10" s="12" t="s">
        <v>51</v>
      </c>
      <c r="C10" s="13" t="s">
        <v>28</v>
      </c>
      <c r="D10" s="14" t="s">
        <v>45</v>
      </c>
      <c r="E10" s="15" t="s">
        <v>26</v>
      </c>
      <c r="F10" s="16">
        <v>4</v>
      </c>
      <c r="G10" s="17"/>
    </row>
    <row r="11" s="1" customFormat="1" ht="27" customHeight="1" spans="1:7">
      <c r="A11" s="11" t="s">
        <v>48</v>
      </c>
      <c r="B11" s="12" t="s">
        <v>51</v>
      </c>
      <c r="C11" s="13" t="s">
        <v>28</v>
      </c>
      <c r="D11" s="14" t="s">
        <v>45</v>
      </c>
      <c r="E11" s="15" t="s">
        <v>26</v>
      </c>
      <c r="F11" s="16">
        <v>4</v>
      </c>
      <c r="G11" s="17"/>
    </row>
    <row r="12" s="1" customFormat="1" ht="27" customHeight="1" spans="1:7">
      <c r="A12" s="11" t="s">
        <v>48</v>
      </c>
      <c r="B12" s="12" t="s">
        <v>52</v>
      </c>
      <c r="C12" s="13" t="s">
        <v>28</v>
      </c>
      <c r="D12" s="14" t="s">
        <v>45</v>
      </c>
      <c r="E12" s="15" t="s">
        <v>26</v>
      </c>
      <c r="F12" s="16">
        <v>4</v>
      </c>
      <c r="G12" s="17"/>
    </row>
    <row r="13" s="1" customFormat="1" ht="30" customHeight="1" spans="1:7">
      <c r="A13" s="11" t="s">
        <v>48</v>
      </c>
      <c r="B13" s="12" t="s">
        <v>53</v>
      </c>
      <c r="C13" s="13" t="s">
        <v>28</v>
      </c>
      <c r="D13" s="14" t="s">
        <v>45</v>
      </c>
      <c r="E13" s="15" t="s">
        <v>26</v>
      </c>
      <c r="F13" s="16">
        <v>4</v>
      </c>
      <c r="G13" s="17"/>
    </row>
    <row r="14" s="1" customFormat="1" ht="21" customHeight="1" spans="1:7">
      <c r="A14" s="18"/>
      <c r="B14" s="19" t="s">
        <v>33</v>
      </c>
      <c r="C14" s="19"/>
      <c r="D14" s="17"/>
      <c r="E14" s="20"/>
      <c r="F14" s="15"/>
      <c r="G14" s="17"/>
    </row>
    <row r="15" s="1" customFormat="1" ht="21" customHeight="1" spans="1:7">
      <c r="A15" s="21" t="s">
        <v>34</v>
      </c>
      <c r="B15" s="22"/>
      <c r="C15" s="22"/>
      <c r="D15" s="22"/>
      <c r="E15" s="23"/>
      <c r="F15" s="24">
        <f>SUM(F8:F14)</f>
        <v>24</v>
      </c>
      <c r="G15" s="25"/>
    </row>
    <row r="16" s="1" customFormat="1" ht="24" customHeight="1" spans="1:7">
      <c r="A16" s="26" t="s">
        <v>35</v>
      </c>
      <c r="B16" s="26"/>
      <c r="C16" s="26"/>
      <c r="D16" s="27" t="s">
        <v>36</v>
      </c>
      <c r="E16" s="26"/>
      <c r="F16" s="26"/>
      <c r="G16" s="26" t="s">
        <v>37</v>
      </c>
    </row>
    <row r="17" s="1" customFormat="1" ht="17.25" spans="1:7">
      <c r="A17" s="28" t="s">
        <v>38</v>
      </c>
      <c r="B17" s="28"/>
      <c r="C17" s="28"/>
      <c r="D17" s="28"/>
      <c r="E17" s="29"/>
      <c r="F17" s="29"/>
      <c r="G17" s="29"/>
    </row>
  </sheetData>
  <mergeCells count="12">
    <mergeCell ref="A1:G1"/>
    <mergeCell ref="A2:G2"/>
    <mergeCell ref="B3:D3"/>
    <mergeCell ref="F3:G3"/>
    <mergeCell ref="B4:D4"/>
    <mergeCell ref="F4:G4"/>
    <mergeCell ref="B5:D5"/>
    <mergeCell ref="F5:G5"/>
    <mergeCell ref="A6:D6"/>
    <mergeCell ref="F6:G6"/>
    <mergeCell ref="D16:E16"/>
    <mergeCell ref="A17:D17"/>
  </mergeCells>
  <pageMargins left="0.275" right="0.236111111111111" top="0.393055555555556" bottom="1" header="0.275" footer="0.5"/>
  <pageSetup paperSize="9" scale="90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K12" sqref="K12"/>
    </sheetView>
  </sheetViews>
  <sheetFormatPr defaultColWidth="9" defaultRowHeight="13.5" outlineLevelCol="6"/>
  <cols>
    <col min="1" max="1" width="16.2666666666667" style="1" customWidth="1"/>
    <col min="2" max="2" width="25.2333333333333" style="1" customWidth="1"/>
    <col min="3" max="3" width="11.3083333333333" style="1" customWidth="1"/>
    <col min="4" max="4" width="16.1416666666667" style="1" customWidth="1"/>
    <col min="5" max="5" width="10.625" style="1" customWidth="1"/>
    <col min="6" max="6" width="13.05" style="1" customWidth="1"/>
    <col min="7" max="7" width="14.875" style="1" customWidth="1"/>
    <col min="8" max="16384" width="9" style="1"/>
  </cols>
  <sheetData>
    <row r="1" s="1" customFormat="1" ht="27.75" spans="1:7">
      <c r="A1" s="3" t="s">
        <v>8</v>
      </c>
      <c r="B1" s="3"/>
      <c r="C1" s="3"/>
      <c r="D1" s="3"/>
      <c r="E1" s="3"/>
      <c r="F1" s="3"/>
      <c r="G1" s="3"/>
    </row>
    <row r="2" s="1" customFormat="1" ht="20.25" spans="1:7">
      <c r="A2" s="4" t="s">
        <v>1</v>
      </c>
      <c r="B2" s="4"/>
      <c r="C2" s="4"/>
      <c r="D2" s="4"/>
      <c r="E2" s="4"/>
      <c r="F2" s="4"/>
      <c r="G2" s="4"/>
    </row>
    <row r="3" s="2" customFormat="1" ht="16.5" spans="1:7">
      <c r="A3" s="5" t="s">
        <v>2</v>
      </c>
      <c r="B3" s="6" t="s">
        <v>54</v>
      </c>
      <c r="C3" s="6"/>
      <c r="D3" s="6"/>
      <c r="E3" s="5" t="s">
        <v>4</v>
      </c>
      <c r="F3" s="7" t="s">
        <v>55</v>
      </c>
      <c r="G3" s="6"/>
    </row>
    <row r="4" s="2" customFormat="1" ht="16.5" spans="1:7">
      <c r="A4" s="5" t="s">
        <v>6</v>
      </c>
      <c r="B4" s="8" t="s">
        <v>0</v>
      </c>
      <c r="C4" s="8"/>
      <c r="D4" s="8"/>
      <c r="E4" s="5" t="s">
        <v>7</v>
      </c>
      <c r="F4" s="6" t="s">
        <v>8</v>
      </c>
      <c r="G4" s="6"/>
    </row>
    <row r="5" s="2" customFormat="1" ht="16.5" spans="1:7">
      <c r="A5" s="5" t="s">
        <v>9</v>
      </c>
      <c r="B5" s="6"/>
      <c r="C5" s="6"/>
      <c r="D5" s="6"/>
      <c r="E5" s="5" t="s">
        <v>10</v>
      </c>
      <c r="F5" s="6" t="s">
        <v>11</v>
      </c>
      <c r="G5" s="6"/>
    </row>
    <row r="6" s="2" customFormat="1" ht="16.5" spans="1:7">
      <c r="A6" s="9" t="s">
        <v>12</v>
      </c>
      <c r="B6" s="9"/>
      <c r="C6" s="9"/>
      <c r="D6" s="9"/>
      <c r="E6" s="5" t="s">
        <v>13</v>
      </c>
      <c r="F6" s="6" t="s">
        <v>14</v>
      </c>
      <c r="G6" s="6"/>
    </row>
    <row r="7" s="1" customFormat="1" ht="17.25" spans="1:7">
      <c r="A7" s="10" t="s">
        <v>15</v>
      </c>
      <c r="B7" s="10" t="s">
        <v>17</v>
      </c>
      <c r="C7" s="10" t="s">
        <v>18</v>
      </c>
      <c r="D7" s="10" t="s">
        <v>41</v>
      </c>
      <c r="E7" s="10" t="s">
        <v>19</v>
      </c>
      <c r="F7" s="10" t="s">
        <v>20</v>
      </c>
      <c r="G7" s="10" t="s">
        <v>23</v>
      </c>
    </row>
    <row r="8" s="1" customFormat="1" ht="35" customHeight="1" spans="1:7">
      <c r="A8" s="11" t="s">
        <v>56</v>
      </c>
      <c r="B8" s="12" t="s">
        <v>49</v>
      </c>
      <c r="C8" s="13" t="s">
        <v>28</v>
      </c>
      <c r="D8" s="14" t="s">
        <v>45</v>
      </c>
      <c r="E8" s="15" t="s">
        <v>26</v>
      </c>
      <c r="F8" s="16">
        <v>1</v>
      </c>
      <c r="G8" s="17"/>
    </row>
    <row r="9" s="1" customFormat="1" ht="27" customHeight="1" spans="1:7">
      <c r="A9" s="11" t="s">
        <v>56</v>
      </c>
      <c r="B9" s="12" t="s">
        <v>50</v>
      </c>
      <c r="C9" s="13" t="s">
        <v>28</v>
      </c>
      <c r="D9" s="14" t="s">
        <v>45</v>
      </c>
      <c r="E9" s="15" t="s">
        <v>26</v>
      </c>
      <c r="F9" s="16">
        <v>1</v>
      </c>
      <c r="G9" s="17"/>
    </row>
    <row r="10" s="1" customFormat="1" ht="27" customHeight="1" spans="1:7">
      <c r="A10" s="11" t="s">
        <v>56</v>
      </c>
      <c r="B10" s="12" t="s">
        <v>51</v>
      </c>
      <c r="C10" s="13" t="s">
        <v>28</v>
      </c>
      <c r="D10" s="14" t="s">
        <v>45</v>
      </c>
      <c r="E10" s="15" t="s">
        <v>26</v>
      </c>
      <c r="F10" s="16">
        <v>1</v>
      </c>
      <c r="G10" s="17"/>
    </row>
    <row r="11" s="1" customFormat="1" ht="27" customHeight="1" spans="1:7">
      <c r="A11" s="11" t="s">
        <v>56</v>
      </c>
      <c r="B11" s="12" t="s">
        <v>51</v>
      </c>
      <c r="C11" s="13" t="s">
        <v>28</v>
      </c>
      <c r="D11" s="14" t="s">
        <v>45</v>
      </c>
      <c r="E11" s="15" t="s">
        <v>26</v>
      </c>
      <c r="F11" s="16">
        <v>1</v>
      </c>
      <c r="G11" s="17"/>
    </row>
    <row r="12" s="1" customFormat="1" ht="27" customHeight="1" spans="1:7">
      <c r="A12" s="11" t="s">
        <v>56</v>
      </c>
      <c r="B12" s="12" t="s">
        <v>52</v>
      </c>
      <c r="C12" s="13" t="s">
        <v>28</v>
      </c>
      <c r="D12" s="14" t="s">
        <v>45</v>
      </c>
      <c r="E12" s="15" t="s">
        <v>26</v>
      </c>
      <c r="F12" s="16">
        <v>1</v>
      </c>
      <c r="G12" s="17"/>
    </row>
    <row r="13" s="1" customFormat="1" ht="30" customHeight="1" spans="1:7">
      <c r="A13" s="11" t="s">
        <v>56</v>
      </c>
      <c r="B13" s="12" t="s">
        <v>53</v>
      </c>
      <c r="C13" s="13" t="s">
        <v>28</v>
      </c>
      <c r="D13" s="14" t="s">
        <v>45</v>
      </c>
      <c r="E13" s="15" t="s">
        <v>26</v>
      </c>
      <c r="F13" s="16">
        <v>1</v>
      </c>
      <c r="G13" s="17"/>
    </row>
    <row r="14" s="1" customFormat="1" ht="21" customHeight="1" spans="1:7">
      <c r="A14" s="18"/>
      <c r="B14" s="19" t="s">
        <v>33</v>
      </c>
      <c r="C14" s="19"/>
      <c r="D14" s="17"/>
      <c r="E14" s="20"/>
      <c r="F14" s="15"/>
      <c r="G14" s="17"/>
    </row>
    <row r="15" s="1" customFormat="1" ht="21" customHeight="1" spans="1:7">
      <c r="A15" s="21" t="s">
        <v>34</v>
      </c>
      <c r="B15" s="22"/>
      <c r="C15" s="22"/>
      <c r="D15" s="22"/>
      <c r="E15" s="23"/>
      <c r="F15" s="24">
        <f>SUM(F8:F14)</f>
        <v>6</v>
      </c>
      <c r="G15" s="25"/>
    </row>
    <row r="16" s="1" customFormat="1" ht="24" customHeight="1" spans="1:7">
      <c r="A16" s="26" t="s">
        <v>35</v>
      </c>
      <c r="B16" s="26"/>
      <c r="C16" s="26"/>
      <c r="D16" s="27" t="s">
        <v>36</v>
      </c>
      <c r="E16" s="26"/>
      <c r="F16" s="26"/>
      <c r="G16" s="26" t="s">
        <v>37</v>
      </c>
    </row>
    <row r="17" s="1" customFormat="1" ht="17.25" spans="1:7">
      <c r="A17" s="28" t="s">
        <v>38</v>
      </c>
      <c r="B17" s="28"/>
      <c r="C17" s="28"/>
      <c r="D17" s="28"/>
      <c r="E17" s="29"/>
      <c r="F17" s="29"/>
      <c r="G17" s="29"/>
    </row>
  </sheetData>
  <mergeCells count="12">
    <mergeCell ref="A1:G1"/>
    <mergeCell ref="A2:G2"/>
    <mergeCell ref="B3:D3"/>
    <mergeCell ref="F3:G3"/>
    <mergeCell ref="B4:D4"/>
    <mergeCell ref="F4:G4"/>
    <mergeCell ref="B5:D5"/>
    <mergeCell ref="F5:G5"/>
    <mergeCell ref="A6:D6"/>
    <mergeCell ref="F6:G6"/>
    <mergeCell ref="D16:E16"/>
    <mergeCell ref="A17:D17"/>
  </mergeCells>
  <pageMargins left="0.275" right="0.236111111111111" top="0.393055555555556" bottom="1" header="0.275" footer="0.5"/>
  <pageSetup paperSize="9" scale="9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2023.10.24</vt:lpstr>
      <vt:lpstr>2024.5.22</vt:lpstr>
      <vt:lpstr>2024.9.27</vt:lpstr>
      <vt:lpstr>2024.12.21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