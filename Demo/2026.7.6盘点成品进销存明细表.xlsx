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1"/>
  </bookViews>
  <sheets>
    <sheet name="成品月初库存" sheetId="1" r:id="rId1"/>
    <sheet name="成品入库明细" sheetId="2" r:id="rId2"/>
    <sheet name="成品出库明细" sheetId="4" r:id="rId3"/>
    <sheet name="成品本月库存" sheetId="3" r:id="rId4"/>
  </sheets>
  <externalReferences>
    <externalReference r:id="rId6"/>
  </externalReferences>
  <definedNames>
    <definedName name="_xlnm._FilterDatabase" localSheetId="3" hidden="1">成品本月库存!$1:$657</definedName>
    <definedName name="_xlnm._FilterDatabase" localSheetId="0" hidden="1">成品月初库存!$A$2:$J$332</definedName>
    <definedName name="_xlnm._FilterDatabase" localSheetId="1" hidden="1">成品入库明细!$A$1:$J$502</definedName>
    <definedName name="_xlnm._FilterDatabase" localSheetId="2" hidden="1">成品出库明细!$A$1:$M$1196</definedName>
    <definedName name="料號">[1]保稅物料庫存明細!$B$1:$B$65536</definedName>
    <definedName name="類別">#REF!</definedName>
    <definedName name="單位">#REF!</definedName>
    <definedName name="_xlnm.Print_Titles" localSheetId="3">成品本月库存!$1:$1</definedName>
    <definedName name="_xlnm.Print_Area" localSheetId="0">成品月初库存!$A$1:$I$301</definedName>
    <definedName name="_xlnm.Print_Area" localSheetId="3">成品本月库存!$B$1:$J$648</definedName>
    <definedName name="_xlnm.Print_Area" localSheetId="1">成品入库明细!$A$1:$H$101</definedName>
    <definedName name="_xlnm.Print_Area" localSheetId="2">成品出库明细!$A$1:$H$550</definedName>
    <definedName name="_xlnm.Print_Titles" localSheetId="0">成品月初库存!$1:$2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  <comment ref="C22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铆弹片
</t>
        </r>
      </text>
    </comment>
    <comment ref="C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振研/攻牙
</t>
        </r>
      </text>
    </comment>
    <comment ref="F7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1270个客退品</t>
        </r>
      </text>
    </comment>
    <comment ref="F8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701个补焊</t>
        </r>
      </text>
    </comment>
    <comment ref="C8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C9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C9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F1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设变后
</t>
        </r>
      </text>
    </comment>
    <comment ref="F1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客退品5409
</t>
        </r>
      </text>
    </comment>
    <comment ref="F17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客退品2970
</t>
        </r>
      </text>
    </comment>
    <comment ref="F188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尺寸NG80</t>
        </r>
      </text>
    </comment>
    <comment ref="F1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尺寸NG</t>
        </r>
      </text>
    </comment>
    <comment ref="F2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设变前有166</t>
        </r>
      </text>
    </comment>
    <comment ref="F2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25+3个是设变前</t>
        </r>
      </text>
    </comment>
    <comment ref="F24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素材不良32个
不良田2315个</t>
        </r>
      </text>
    </comment>
    <comment ref="F2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379个有砂孔
</t>
        </r>
      </text>
    </comment>
    <comment ref="F2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未贴棉21个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3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  <comment ref="D45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铆弹片
</t>
        </r>
      </text>
    </comment>
    <comment ref="D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14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铆弹片
</t>
        </r>
      </text>
    </comment>
    <comment ref="D7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79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81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81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84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铆弹片
</t>
        </r>
      </text>
    </comment>
    <comment ref="D90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90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D919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D948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D949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D961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D107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  <comment ref="D11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烤漆</t>
        </r>
      </text>
    </comment>
    <comment ref="B1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去毛刺</t>
        </r>
      </text>
    </comment>
    <comment ref="B3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3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3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3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3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4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4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4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4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B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丝印
</t>
        </r>
      </text>
    </comment>
    <comment ref="C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052
</t>
        </r>
      </text>
    </comment>
    <comment ref="C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051
</t>
        </r>
      </text>
    </comment>
    <comment ref="C6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WKT-MJ-LV-060
</t>
        </r>
      </text>
    </comment>
    <comment ref="B7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
</t>
        </r>
      </text>
    </comment>
    <comment ref="B75" authorId="0">
      <text>
        <r>
          <rPr>
            <b/>
            <sz val="9"/>
            <rFont val="宋体"/>
            <charset val="134"/>
          </rPr>
          <t xml:space="preserve">Administrator:化镍
</t>
        </r>
      </text>
    </comment>
    <comment ref="B7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镭雕</t>
        </r>
      </text>
    </comment>
    <comment ref="B8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铆弹片
</t>
        </r>
      </text>
    </comment>
    <comment ref="B10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烤漆
</t>
        </r>
      </text>
    </comment>
    <comment ref="B10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化镍
</t>
        </r>
      </text>
    </comment>
    <comment ref="B11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化镍
</t>
        </r>
      </text>
    </comment>
    <comment ref="B1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化镍
</t>
        </r>
      </text>
    </comment>
    <comment ref="B11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化镍
</t>
        </r>
      </text>
    </comment>
    <comment ref="B19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拉白</t>
        </r>
      </text>
    </comment>
    <comment ref="B194" authorId="0">
      <text>
        <r>
          <rPr>
            <b/>
            <sz val="9"/>
            <rFont val="宋体"/>
            <charset val="134"/>
          </rPr>
          <t>Administrator:
电镀</t>
        </r>
      </text>
    </comment>
    <comment ref="C2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C8</t>
        </r>
      </text>
    </comment>
    <comment ref="B29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振研/攻牙
</t>
        </r>
      </text>
    </comment>
    <comment ref="B3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3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皮膜/钝化
</t>
        </r>
      </text>
    </comment>
    <comment ref="B32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电镀
</t>
        </r>
      </text>
    </comment>
    <comment ref="B32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36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B36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36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振研
</t>
        </r>
      </text>
    </comment>
    <comment ref="B43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电泳  烤漆</t>
        </r>
      </text>
    </comment>
    <comment ref="B44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B45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  <comment ref="B4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清洗</t>
        </r>
      </text>
    </comment>
  </commentList>
</comments>
</file>

<file path=xl/sharedStrings.xml><?xml version="1.0" encoding="utf-8"?>
<sst xmlns="http://schemas.openxmlformats.org/spreadsheetml/2006/main" count="4479" uniqueCount="1538">
  <si>
    <t>7月成品</t>
  </si>
  <si>
    <t>序号</t>
  </si>
  <si>
    <t>盘点日期</t>
  </si>
  <si>
    <t>料号</t>
  </si>
  <si>
    <r>
      <rPr>
        <b/>
        <sz val="12"/>
        <rFont val="新細明體"/>
        <charset val="134"/>
      </rPr>
      <t>机种名</t>
    </r>
    <r>
      <rPr>
        <b/>
        <sz val="12"/>
        <rFont val="宋体"/>
        <charset val="134"/>
      </rPr>
      <t>称</t>
    </r>
  </si>
  <si>
    <t>单位</t>
  </si>
  <si>
    <t>数量</t>
  </si>
  <si>
    <t>备注</t>
  </si>
  <si>
    <t>本月库存</t>
  </si>
  <si>
    <t>实际数量</t>
  </si>
  <si>
    <r>
      <rPr>
        <b/>
        <sz val="11"/>
        <color theme="1"/>
        <rFont val="Tahoma"/>
        <charset val="134"/>
      </rPr>
      <t>2026.7.6</t>
    </r>
    <r>
      <rPr>
        <b/>
        <sz val="11"/>
        <color theme="1"/>
        <rFont val="宋体"/>
        <charset val="134"/>
      </rPr>
      <t>盘点</t>
    </r>
  </si>
  <si>
    <t>YS002</t>
  </si>
  <si>
    <t>YS001</t>
  </si>
  <si>
    <t>YS003</t>
  </si>
  <si>
    <t>YS004</t>
  </si>
  <si>
    <t>XFT002</t>
  </si>
  <si>
    <t>XFT003</t>
  </si>
  <si>
    <t>0009中框</t>
  </si>
  <si>
    <t>烤漆不良</t>
  </si>
  <si>
    <t>XFT004</t>
  </si>
  <si>
    <t>XFT005</t>
  </si>
  <si>
    <t>XFT007</t>
  </si>
  <si>
    <t>XFT010</t>
  </si>
  <si>
    <t>MHSP-SP-AX</t>
  </si>
  <si>
    <t>洗白不良</t>
  </si>
  <si>
    <t>XFT011</t>
  </si>
  <si>
    <t>XFT012</t>
  </si>
  <si>
    <t>XFT015</t>
  </si>
  <si>
    <t>XFT016</t>
  </si>
  <si>
    <t>XFT017</t>
  </si>
  <si>
    <t>XFT018-1</t>
  </si>
  <si>
    <t>XFT019</t>
  </si>
  <si>
    <t>ATT1LA-THSP</t>
  </si>
  <si>
    <t>电镀不良</t>
  </si>
  <si>
    <t>XFT029</t>
  </si>
  <si>
    <t>XFT031</t>
  </si>
  <si>
    <t>XFT030</t>
  </si>
  <si>
    <t>XFT032</t>
  </si>
  <si>
    <t>XFT033</t>
  </si>
  <si>
    <t>XFT034</t>
  </si>
  <si>
    <t>XFT037</t>
  </si>
  <si>
    <t>XFT040</t>
  </si>
  <si>
    <t>Barca-BHSP（4牙）</t>
  </si>
  <si>
    <t>XFT041</t>
  </si>
  <si>
    <t>Barca-MHSP  （1牙）</t>
  </si>
  <si>
    <t>皮膜不良</t>
  </si>
  <si>
    <t>XFT044</t>
  </si>
  <si>
    <t>XFT046</t>
  </si>
  <si>
    <t>XFT047</t>
  </si>
  <si>
    <t>XFT048</t>
  </si>
  <si>
    <t>XFT049</t>
  </si>
  <si>
    <t>XFT051</t>
  </si>
  <si>
    <t>XFT052</t>
  </si>
  <si>
    <t xml:space="preserve"> </t>
  </si>
  <si>
    <t>XFT053</t>
  </si>
  <si>
    <t>SG001</t>
  </si>
  <si>
    <t>LX0001</t>
  </si>
  <si>
    <t>LX0002</t>
  </si>
  <si>
    <t>LX0003</t>
  </si>
  <si>
    <t>LX0009</t>
  </si>
  <si>
    <t>LX0010</t>
  </si>
  <si>
    <t>T93-20</t>
  </si>
  <si>
    <t>脏污</t>
  </si>
  <si>
    <t>LX0007</t>
  </si>
  <si>
    <t>LX0008</t>
  </si>
  <si>
    <t>LX0011</t>
  </si>
  <si>
    <t>LX0012</t>
  </si>
  <si>
    <t>LX0013</t>
  </si>
  <si>
    <t>LX0014</t>
  </si>
  <si>
    <t>LX0015</t>
  </si>
  <si>
    <t>T46-03</t>
  </si>
  <si>
    <t>尺寸不良</t>
  </si>
  <si>
    <t>LX0017-1</t>
  </si>
  <si>
    <t>LX0019-1</t>
  </si>
  <si>
    <t>LX0020-1</t>
  </si>
  <si>
    <t>LX0021</t>
  </si>
  <si>
    <t>LX0023</t>
  </si>
  <si>
    <t>LX0026</t>
  </si>
  <si>
    <t>LX0027</t>
  </si>
  <si>
    <t>LX0028</t>
  </si>
  <si>
    <t>LX0030</t>
  </si>
  <si>
    <t>LX0031</t>
  </si>
  <si>
    <t>LX0032</t>
  </si>
  <si>
    <t>LX0033</t>
  </si>
  <si>
    <t>T93-62</t>
  </si>
  <si>
    <r>
      <rPr>
        <sz val="11"/>
        <color theme="1"/>
        <rFont val="宋体"/>
        <charset val="134"/>
      </rPr>
      <t>尺寸</t>
    </r>
    <r>
      <rPr>
        <sz val="11"/>
        <color theme="1"/>
        <rFont val="Tahoma"/>
        <charset val="134"/>
      </rPr>
      <t>NG</t>
    </r>
  </si>
  <si>
    <t>SRY003</t>
  </si>
  <si>
    <t>KJL0017A</t>
  </si>
  <si>
    <t>KJL0017B</t>
  </si>
  <si>
    <t>KJL0018</t>
  </si>
  <si>
    <t>KBL001</t>
  </si>
  <si>
    <t>JM0004</t>
  </si>
  <si>
    <t>JM0002</t>
  </si>
  <si>
    <t>JM0003</t>
  </si>
  <si>
    <t>JM0008</t>
  </si>
  <si>
    <t>JM0009</t>
  </si>
  <si>
    <t>JB0004</t>
  </si>
  <si>
    <t>JB0005</t>
  </si>
  <si>
    <t>JB0006</t>
  </si>
  <si>
    <t>JB0007</t>
  </si>
  <si>
    <t>JB0008</t>
  </si>
  <si>
    <t>JB0009</t>
  </si>
  <si>
    <t>JB0010</t>
  </si>
  <si>
    <t>JB0011</t>
  </si>
  <si>
    <t>HH0001</t>
  </si>
  <si>
    <t>HH0002</t>
  </si>
  <si>
    <t>HH0003</t>
  </si>
  <si>
    <t>HH0004</t>
  </si>
  <si>
    <t>HH0006</t>
  </si>
  <si>
    <t>HH0007</t>
  </si>
  <si>
    <t>HH0008</t>
  </si>
  <si>
    <t>HH0009</t>
  </si>
  <si>
    <t>HH0010</t>
  </si>
  <si>
    <t>HH0011</t>
  </si>
  <si>
    <t>HH0012</t>
  </si>
  <si>
    <t>HH0013</t>
  </si>
  <si>
    <t>HH0014</t>
  </si>
  <si>
    <t>HH0015</t>
  </si>
  <si>
    <t>HH0016</t>
  </si>
  <si>
    <t>HH0017</t>
  </si>
  <si>
    <t>HH0018</t>
  </si>
  <si>
    <t>HH0018-1</t>
  </si>
  <si>
    <t>HH0019</t>
  </si>
  <si>
    <t>HH0020</t>
  </si>
  <si>
    <t>HH0021-1</t>
  </si>
  <si>
    <t>HH0022</t>
  </si>
  <si>
    <t>HH0024</t>
  </si>
  <si>
    <t>HH0025</t>
  </si>
  <si>
    <t>HH0027</t>
  </si>
  <si>
    <t>HH0028</t>
  </si>
  <si>
    <t>HH0029</t>
  </si>
  <si>
    <t>HH0030</t>
  </si>
  <si>
    <t>HH0031</t>
  </si>
  <si>
    <t>HH0032</t>
  </si>
  <si>
    <t>HH0034</t>
  </si>
  <si>
    <t>8528滑杆</t>
  </si>
  <si>
    <t>电泳不良</t>
  </si>
  <si>
    <t>HH0035</t>
  </si>
  <si>
    <t>8624滑杆</t>
  </si>
  <si>
    <t>HH0036</t>
  </si>
  <si>
    <t>HH0037</t>
  </si>
  <si>
    <t>HH0038</t>
  </si>
  <si>
    <t>HH0039</t>
  </si>
  <si>
    <t>HH0040</t>
  </si>
  <si>
    <t>CYI0001</t>
  </si>
  <si>
    <t>JH001</t>
  </si>
  <si>
    <t>JH002</t>
  </si>
  <si>
    <t>OFG002</t>
  </si>
  <si>
    <t>OFG003</t>
  </si>
  <si>
    <t>OFG004</t>
  </si>
  <si>
    <t>设变前</t>
  </si>
  <si>
    <t>OFG004-1</t>
  </si>
  <si>
    <t>OFG005</t>
  </si>
  <si>
    <t>OFG006</t>
  </si>
  <si>
    <t>（YC013600303900）/MS11前壳</t>
  </si>
  <si>
    <t>OFG007</t>
  </si>
  <si>
    <t>（YC013600304000）/MS11后壳</t>
  </si>
  <si>
    <t>砂孔</t>
  </si>
  <si>
    <t>OFG008</t>
  </si>
  <si>
    <t>OFG009</t>
  </si>
  <si>
    <t>OFG010</t>
  </si>
  <si>
    <t>OFG011</t>
  </si>
  <si>
    <t>OFG013</t>
  </si>
  <si>
    <t>OFG014</t>
  </si>
  <si>
    <t>OFG015</t>
  </si>
  <si>
    <t>OFG016</t>
  </si>
  <si>
    <t>OFG017</t>
  </si>
  <si>
    <t>OFG018</t>
  </si>
  <si>
    <t>OFG019</t>
  </si>
  <si>
    <t>OFG020</t>
  </si>
  <si>
    <t>YC013600377801</t>
  </si>
  <si>
    <r>
      <rPr>
        <sz val="11"/>
        <color theme="1"/>
        <rFont val="宋体"/>
        <charset val="134"/>
      </rPr>
      <t>素材不良</t>
    </r>
    <r>
      <rPr>
        <sz val="11"/>
        <color theme="1"/>
        <rFont val="Tahoma"/>
        <charset val="134"/>
      </rPr>
      <t xml:space="preserve"> </t>
    </r>
    <r>
      <rPr>
        <sz val="11"/>
        <color theme="1"/>
        <rFont val="宋体"/>
        <charset val="134"/>
      </rPr>
      <t>成品</t>
    </r>
  </si>
  <si>
    <t>RB001</t>
  </si>
  <si>
    <t>RB002</t>
  </si>
  <si>
    <t>RB003</t>
  </si>
  <si>
    <t>RB004</t>
  </si>
  <si>
    <t>RB004-1</t>
  </si>
  <si>
    <t>RB005</t>
  </si>
  <si>
    <t>RB006</t>
  </si>
  <si>
    <t>RB007</t>
  </si>
  <si>
    <t>RB008</t>
  </si>
  <si>
    <t>RB009</t>
  </si>
  <si>
    <t>RB010</t>
  </si>
  <si>
    <t>RB011</t>
  </si>
  <si>
    <t>RB012</t>
  </si>
  <si>
    <t>扳手810端盖</t>
  </si>
  <si>
    <t>RB013</t>
  </si>
  <si>
    <t>RB014</t>
  </si>
  <si>
    <t>RB016</t>
  </si>
  <si>
    <t>RB017</t>
  </si>
  <si>
    <t>826A头壳（含轴套）</t>
  </si>
  <si>
    <t>RB018-1</t>
  </si>
  <si>
    <t>827头壳（含轴套）</t>
  </si>
  <si>
    <t>RB019</t>
  </si>
  <si>
    <t>RB020</t>
  </si>
  <si>
    <t>电钻2118左卡钳</t>
  </si>
  <si>
    <t>RB021</t>
  </si>
  <si>
    <t>电钻2118右卡钳</t>
  </si>
  <si>
    <t>RB022</t>
  </si>
  <si>
    <t>扳手828头壳</t>
  </si>
  <si>
    <t>RB023</t>
  </si>
  <si>
    <t>RB024</t>
  </si>
  <si>
    <t>RB026</t>
  </si>
  <si>
    <t>扳手810STK2头壳</t>
  </si>
  <si>
    <t>RB026-1</t>
  </si>
  <si>
    <t>扳手810STK2头壳-黑色</t>
  </si>
  <si>
    <t>头顶加铣一刀</t>
  </si>
  <si>
    <t>RB027</t>
  </si>
  <si>
    <t>扳手810S 端盖 世达款</t>
  </si>
  <si>
    <t>RB028</t>
  </si>
  <si>
    <t>车加工不良</t>
  </si>
  <si>
    <t>RB029</t>
  </si>
  <si>
    <t>RB030</t>
  </si>
  <si>
    <t>RB031</t>
  </si>
  <si>
    <t>扳手810S头壳 世达款</t>
  </si>
  <si>
    <t>RB032</t>
  </si>
  <si>
    <t>RB035</t>
  </si>
  <si>
    <t>RB036</t>
  </si>
  <si>
    <t>819/826头壳（世达款）</t>
  </si>
  <si>
    <t>RB037</t>
  </si>
  <si>
    <t>RB038</t>
  </si>
  <si>
    <t>RB039</t>
  </si>
  <si>
    <t>RB040</t>
  </si>
  <si>
    <t>RB041</t>
  </si>
  <si>
    <t>RB042</t>
  </si>
  <si>
    <t>RB043</t>
  </si>
  <si>
    <t>起子机2108-L头壳含轴套 （世达款）</t>
  </si>
  <si>
    <t>YL001</t>
  </si>
  <si>
    <t>1A321W1M001-0A(EL-321W-GL04 铝壳）</t>
  </si>
  <si>
    <t>碰伤变形</t>
  </si>
  <si>
    <t>检具NG</t>
  </si>
  <si>
    <t>YL003</t>
  </si>
  <si>
    <t>YL002</t>
  </si>
  <si>
    <t>YL010</t>
  </si>
  <si>
    <t>EL-104D-0003_M5金属转轴A</t>
  </si>
  <si>
    <t>YL011</t>
  </si>
  <si>
    <t>EL-104D-0003_M5金属转轴B</t>
  </si>
  <si>
    <t>KT001</t>
  </si>
  <si>
    <t>KT003</t>
  </si>
  <si>
    <t>KT004</t>
  </si>
  <si>
    <t>KT005</t>
  </si>
  <si>
    <t>双目支架</t>
  </si>
  <si>
    <t>欠铸</t>
  </si>
  <si>
    <t>KT006</t>
  </si>
  <si>
    <t>KT007</t>
  </si>
  <si>
    <t>KT009</t>
  </si>
  <si>
    <t>TZY001</t>
  </si>
  <si>
    <t>TZY002</t>
  </si>
  <si>
    <t>HAPX004</t>
  </si>
  <si>
    <t>HAPX005</t>
  </si>
  <si>
    <t>HAPX012</t>
  </si>
  <si>
    <t>HAPX013</t>
  </si>
  <si>
    <t>TZ001</t>
  </si>
  <si>
    <t>TZ002</t>
  </si>
  <si>
    <t>TST001</t>
  </si>
  <si>
    <t>TST001-1</t>
  </si>
  <si>
    <t>HX001</t>
  </si>
  <si>
    <t>WN001</t>
  </si>
  <si>
    <t>WN003</t>
  </si>
  <si>
    <t>WN004</t>
  </si>
  <si>
    <t>WN006</t>
  </si>
  <si>
    <t>RS001</t>
  </si>
  <si>
    <t>RS002</t>
  </si>
  <si>
    <t>RS003</t>
  </si>
  <si>
    <t>SM001</t>
  </si>
  <si>
    <t>SM002</t>
  </si>
  <si>
    <t>SM004</t>
  </si>
  <si>
    <t>SM005</t>
  </si>
  <si>
    <t>LX001</t>
  </si>
  <si>
    <t>JD0001</t>
  </si>
  <si>
    <t>JD009</t>
  </si>
  <si>
    <t>JD011</t>
  </si>
  <si>
    <t>JD012</t>
  </si>
  <si>
    <t>RYZM001</t>
  </si>
  <si>
    <t>DW001</t>
  </si>
  <si>
    <t>DW003</t>
  </si>
  <si>
    <t>W2808-1850N端盖</t>
  </si>
  <si>
    <t>DW004</t>
  </si>
  <si>
    <t>DW005</t>
  </si>
  <si>
    <t>DW008</t>
  </si>
  <si>
    <t>DW009</t>
  </si>
  <si>
    <t>DW010</t>
  </si>
  <si>
    <t>W2805-850N头壳</t>
  </si>
  <si>
    <t>HPD001</t>
  </si>
  <si>
    <t>RB025</t>
  </si>
  <si>
    <t>RYZM002</t>
  </si>
  <si>
    <t>HH0026</t>
  </si>
  <si>
    <t>SM003</t>
  </si>
  <si>
    <t>XFT035</t>
  </si>
  <si>
    <t>XFT050</t>
  </si>
  <si>
    <t>KT002</t>
  </si>
  <si>
    <t>LX0011-1</t>
  </si>
  <si>
    <t>厂商</t>
  </si>
  <si>
    <t>日 期　</t>
  </si>
  <si>
    <t>单据编号</t>
  </si>
  <si>
    <t>锦宇树</t>
  </si>
  <si>
    <t>0006302</t>
  </si>
  <si>
    <t>RB012-1</t>
  </si>
  <si>
    <t>报废</t>
  </si>
  <si>
    <t>0002114</t>
  </si>
  <si>
    <t>压铸</t>
  </si>
  <si>
    <t>0001252</t>
  </si>
  <si>
    <t>ABL006</t>
  </si>
  <si>
    <t>0006303</t>
  </si>
  <si>
    <t>锦拓</t>
  </si>
  <si>
    <t>0005835</t>
  </si>
  <si>
    <t>佳艺</t>
  </si>
  <si>
    <t>0002455</t>
  </si>
  <si>
    <t>瑞联</t>
  </si>
  <si>
    <t>0005945</t>
  </si>
  <si>
    <t>0006304</t>
  </si>
  <si>
    <t>智嘉迪</t>
  </si>
  <si>
    <t>20260701</t>
  </si>
  <si>
    <t>义恒谱</t>
  </si>
  <si>
    <t>0005901</t>
  </si>
  <si>
    <t>术尔</t>
  </si>
  <si>
    <t>0000018</t>
  </si>
  <si>
    <t>客户</t>
  </si>
  <si>
    <t>红黑</t>
  </si>
  <si>
    <t>退货</t>
  </si>
  <si>
    <t>力硕</t>
  </si>
  <si>
    <t>补不良</t>
  </si>
  <si>
    <t>凯泰</t>
  </si>
  <si>
    <t>朗信</t>
  </si>
  <si>
    <t>金脉</t>
  </si>
  <si>
    <t>0001456</t>
  </si>
  <si>
    <t>0001457</t>
  </si>
  <si>
    <t>晨兴德</t>
  </si>
  <si>
    <t>0000105</t>
  </si>
  <si>
    <t>CXD001</t>
  </si>
  <si>
    <t>CXD002</t>
  </si>
  <si>
    <t>换货</t>
  </si>
  <si>
    <t>爱毕黎</t>
  </si>
  <si>
    <t>锐霸</t>
  </si>
  <si>
    <t>成品</t>
  </si>
  <si>
    <r>
      <rPr>
        <b/>
        <sz val="12"/>
        <rFont val="新細明體"/>
        <charset val="134"/>
      </rPr>
      <t>月初</t>
    </r>
    <r>
      <rPr>
        <b/>
        <sz val="12"/>
        <rFont val="宋体"/>
        <charset val="134"/>
      </rPr>
      <t>库存</t>
    </r>
  </si>
  <si>
    <t>本月入库</t>
  </si>
  <si>
    <t>本月出库</t>
  </si>
  <si>
    <t>本月结存</t>
  </si>
  <si>
    <t>备注最后工艺</t>
  </si>
  <si>
    <t>ZM0001</t>
  </si>
  <si>
    <r>
      <rPr>
        <sz val="11"/>
        <color rgb="FF000000"/>
        <rFont val="新細明體"/>
        <charset val="134"/>
      </rPr>
      <t>H56</t>
    </r>
    <r>
      <rPr>
        <sz val="11"/>
        <color rgb="FF000000"/>
        <rFont val="宋体"/>
        <charset val="134"/>
      </rPr>
      <t>上盖</t>
    </r>
  </si>
  <si>
    <t>纵目</t>
  </si>
  <si>
    <t>PCS</t>
  </si>
  <si>
    <t>皮膜</t>
  </si>
  <si>
    <t>ZM0002</t>
  </si>
  <si>
    <r>
      <rPr>
        <sz val="11"/>
        <color rgb="FF000000"/>
        <rFont val="新細明體"/>
        <charset val="134"/>
      </rPr>
      <t>H56</t>
    </r>
    <r>
      <rPr>
        <sz val="11"/>
        <color rgb="FF000000"/>
        <rFont val="宋体"/>
        <charset val="134"/>
      </rPr>
      <t>下盖</t>
    </r>
  </si>
  <si>
    <t xml:space="preserve">ZM0003 </t>
  </si>
  <si>
    <r>
      <rPr>
        <sz val="11"/>
        <color rgb="FF000000"/>
        <rFont val="宋体"/>
        <charset val="134"/>
      </rPr>
      <t>金康</t>
    </r>
    <r>
      <rPr>
        <sz val="11"/>
        <color rgb="FF000000"/>
        <rFont val="新細明體"/>
        <charset val="134"/>
      </rPr>
      <t>X1</t>
    </r>
    <r>
      <rPr>
        <sz val="11"/>
        <color rgb="FF000000"/>
        <rFont val="宋体"/>
        <charset val="134"/>
      </rPr>
      <t>上盖</t>
    </r>
  </si>
  <si>
    <t>振研</t>
  </si>
  <si>
    <t>ZM0004</t>
  </si>
  <si>
    <r>
      <rPr>
        <sz val="11"/>
        <color rgb="FF000000"/>
        <rFont val="宋体"/>
        <charset val="134"/>
      </rPr>
      <t>金康</t>
    </r>
    <r>
      <rPr>
        <sz val="11"/>
        <color rgb="FF000000"/>
        <rFont val="新細明體"/>
        <charset val="134"/>
      </rPr>
      <t>X1</t>
    </r>
    <r>
      <rPr>
        <sz val="11"/>
        <color rgb="FF000000"/>
        <rFont val="宋体"/>
        <charset val="134"/>
      </rPr>
      <t>下盖</t>
    </r>
  </si>
  <si>
    <t>ZM0003-F1</t>
  </si>
  <si>
    <r>
      <rPr>
        <sz val="11"/>
        <color rgb="FF000000"/>
        <rFont val="宋体"/>
        <charset val="134"/>
      </rPr>
      <t>金康F</t>
    </r>
    <r>
      <rPr>
        <sz val="11"/>
        <color rgb="FF000000"/>
        <rFont val="新細明體"/>
        <charset val="134"/>
      </rPr>
      <t>1</t>
    </r>
    <r>
      <rPr>
        <sz val="11"/>
        <color rgb="FF000000"/>
        <rFont val="宋体"/>
        <charset val="134"/>
      </rPr>
      <t>上盖</t>
    </r>
  </si>
  <si>
    <r>
      <rPr>
        <sz val="11"/>
        <color theme="1"/>
        <rFont val="宋体"/>
        <charset val="134"/>
      </rPr>
      <t>振研（含</t>
    </r>
    <r>
      <rPr>
        <sz val="11"/>
        <color theme="1"/>
        <rFont val="Tahoma"/>
        <charset val="134"/>
      </rPr>
      <t>CNC)</t>
    </r>
  </si>
  <si>
    <t>ZM0005</t>
  </si>
  <si>
    <r>
      <rPr>
        <sz val="11"/>
        <color theme="1"/>
        <rFont val="Tahoma"/>
        <charset val="134"/>
      </rPr>
      <t>C385</t>
    </r>
    <r>
      <rPr>
        <sz val="11"/>
        <color theme="1"/>
        <rFont val="宋体"/>
        <charset val="134"/>
      </rPr>
      <t>上盖</t>
    </r>
  </si>
  <si>
    <t>皮膜（钝化）</t>
  </si>
  <si>
    <t>ZM0005-1</t>
  </si>
  <si>
    <t>成品（临时）</t>
  </si>
  <si>
    <t>ZM0006</t>
  </si>
  <si>
    <r>
      <rPr>
        <sz val="11"/>
        <color theme="1"/>
        <rFont val="Tahoma"/>
        <charset val="134"/>
      </rPr>
      <t>C385</t>
    </r>
    <r>
      <rPr>
        <sz val="11"/>
        <color theme="1"/>
        <rFont val="宋体"/>
        <charset val="134"/>
      </rPr>
      <t>下盖</t>
    </r>
  </si>
  <si>
    <t>ZM0006-1</t>
  </si>
  <si>
    <t>ZM0007</t>
  </si>
  <si>
    <r>
      <rPr>
        <sz val="11"/>
        <color theme="1"/>
        <rFont val="Tahoma"/>
        <charset val="134"/>
      </rPr>
      <t>C001_APA</t>
    </r>
    <r>
      <rPr>
        <sz val="11"/>
        <color theme="1"/>
        <rFont val="宋体"/>
        <charset val="134"/>
      </rPr>
      <t>主机上盖</t>
    </r>
  </si>
  <si>
    <t>ZM0008</t>
  </si>
  <si>
    <r>
      <rPr>
        <sz val="11"/>
        <color theme="1"/>
        <rFont val="Tahoma"/>
        <charset val="134"/>
      </rPr>
      <t>C001_APA</t>
    </r>
    <r>
      <rPr>
        <sz val="11"/>
        <color theme="1"/>
        <rFont val="宋体"/>
        <charset val="134"/>
      </rPr>
      <t>主机下盖</t>
    </r>
  </si>
  <si>
    <t>ZM001</t>
  </si>
  <si>
    <t>P-3</t>
  </si>
  <si>
    <t>卓民</t>
  </si>
  <si>
    <t>烤漆</t>
  </si>
  <si>
    <t>ZM002</t>
  </si>
  <si>
    <t>S-3</t>
  </si>
  <si>
    <t>ZM003</t>
  </si>
  <si>
    <r>
      <rPr>
        <sz val="11"/>
        <color theme="1"/>
        <rFont val="Tahoma"/>
        <charset val="134"/>
      </rPr>
      <t>61-55N05G001(61-55</t>
    </r>
    <r>
      <rPr>
        <sz val="11"/>
        <color theme="1"/>
        <rFont val="宋体"/>
        <charset val="134"/>
      </rPr>
      <t>固定架</t>
    </r>
    <r>
      <rPr>
        <sz val="11"/>
        <color theme="1"/>
        <rFont val="Tahoma"/>
        <charset val="134"/>
      </rPr>
      <t>)</t>
    </r>
  </si>
  <si>
    <t>镭雕</t>
  </si>
  <si>
    <t>ZD001</t>
  </si>
  <si>
    <t>铝合金前壳</t>
  </si>
  <si>
    <t>展东机械</t>
  </si>
  <si>
    <t>毛边</t>
  </si>
  <si>
    <t>YBQ001</t>
  </si>
  <si>
    <r>
      <rPr>
        <sz val="11"/>
        <color rgb="FF000000"/>
        <rFont val="新細明體"/>
        <charset val="134"/>
      </rPr>
      <t>6000</t>
    </r>
    <r>
      <rPr>
        <sz val="11"/>
        <color indexed="8"/>
        <rFont val="宋体"/>
        <charset val="134"/>
      </rPr>
      <t>固定柱</t>
    </r>
  </si>
  <si>
    <t>远邦谦</t>
  </si>
  <si>
    <t>YD001</t>
  </si>
  <si>
    <r>
      <rPr>
        <sz val="11"/>
        <color theme="1"/>
        <rFont val="Tahoma"/>
        <charset val="134"/>
      </rPr>
      <t>DH506</t>
    </r>
    <r>
      <rPr>
        <sz val="11"/>
        <color theme="1"/>
        <rFont val="宋体"/>
        <charset val="134"/>
      </rPr>
      <t>地上型主体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门吸</t>
    </r>
    <r>
      <rPr>
        <sz val="11"/>
        <color theme="1"/>
        <rFont val="Tahoma"/>
        <charset val="134"/>
      </rPr>
      <t>)</t>
    </r>
  </si>
  <si>
    <t>毅达</t>
  </si>
  <si>
    <t>YX001</t>
  </si>
  <si>
    <t>MT012A39</t>
  </si>
  <si>
    <t>奕昕</t>
  </si>
  <si>
    <t>过砂</t>
  </si>
  <si>
    <t>YX002</t>
  </si>
  <si>
    <r>
      <rPr>
        <sz val="11"/>
        <color rgb="FF000000"/>
        <rFont val="新細明體"/>
        <charset val="134"/>
      </rPr>
      <t>马达后</t>
    </r>
    <r>
      <rPr>
        <sz val="11"/>
        <color indexed="8"/>
        <rFont val="宋体"/>
        <charset val="134"/>
      </rPr>
      <t>盖</t>
    </r>
    <r>
      <rPr>
        <sz val="11"/>
        <color indexed="8"/>
        <rFont val="新細明體"/>
        <charset val="134"/>
      </rPr>
      <t>MT012M00</t>
    </r>
  </si>
  <si>
    <t>YX003</t>
  </si>
  <si>
    <r>
      <rPr>
        <sz val="11"/>
        <color rgb="FF000000"/>
        <rFont val="新細明體"/>
        <charset val="134"/>
      </rPr>
      <t>马达</t>
    </r>
    <r>
      <rPr>
        <sz val="11"/>
        <color indexed="8"/>
        <rFont val="宋体"/>
        <charset val="134"/>
      </rPr>
      <t>前盖MT001Q01</t>
    </r>
  </si>
  <si>
    <t>YX004</t>
  </si>
  <si>
    <r>
      <rPr>
        <sz val="11"/>
        <color rgb="FF000000"/>
        <rFont val="新細明體"/>
        <charset val="134"/>
      </rPr>
      <t>MT041A25</t>
    </r>
    <r>
      <rPr>
        <sz val="11"/>
        <color indexed="8"/>
        <rFont val="宋体"/>
        <charset val="134"/>
      </rPr>
      <t>轴承套</t>
    </r>
  </si>
  <si>
    <t>YX005</t>
  </si>
  <si>
    <r>
      <rPr>
        <sz val="11"/>
        <color rgb="FF000000"/>
        <rFont val="新細明體"/>
        <charset val="134"/>
      </rPr>
      <t>MT041A27</t>
    </r>
    <r>
      <rPr>
        <sz val="11"/>
        <color indexed="8"/>
        <rFont val="宋体"/>
        <charset val="134"/>
      </rPr>
      <t>轴承套</t>
    </r>
  </si>
  <si>
    <t>YX006</t>
  </si>
  <si>
    <r>
      <rPr>
        <sz val="11"/>
        <color rgb="FF000000"/>
        <rFont val="新細明體"/>
        <charset val="134"/>
      </rPr>
      <t>MT001A67</t>
    </r>
    <r>
      <rPr>
        <sz val="11"/>
        <color indexed="8"/>
        <rFont val="宋体"/>
        <charset val="134"/>
      </rPr>
      <t>前盖</t>
    </r>
  </si>
  <si>
    <t>YX007</t>
  </si>
  <si>
    <r>
      <rPr>
        <sz val="11"/>
        <color rgb="FF000000"/>
        <rFont val="新細明體"/>
        <charset val="134"/>
      </rPr>
      <t>MT012A73</t>
    </r>
    <r>
      <rPr>
        <sz val="11"/>
        <color indexed="8"/>
        <rFont val="宋体"/>
        <charset val="134"/>
      </rPr>
      <t>后盖</t>
    </r>
  </si>
  <si>
    <t>YX008</t>
  </si>
  <si>
    <t>MT041A26</t>
  </si>
  <si>
    <t>YX009</t>
  </si>
  <si>
    <t>MT041A28</t>
  </si>
  <si>
    <r>
      <rPr>
        <sz val="11"/>
        <color theme="1"/>
        <rFont val="Tahoma"/>
        <charset val="134"/>
      </rPr>
      <t>AP31</t>
    </r>
    <r>
      <rPr>
        <sz val="11"/>
        <color theme="1"/>
        <rFont val="宋体"/>
        <charset val="134"/>
      </rPr>
      <t>主机上盖</t>
    </r>
    <r>
      <rPr>
        <sz val="11"/>
        <color theme="1"/>
        <rFont val="Tahoma"/>
        <charset val="134"/>
      </rPr>
      <t>(360</t>
    </r>
    <r>
      <rPr>
        <sz val="11"/>
        <color theme="1"/>
        <rFont val="宋体"/>
        <charset val="134"/>
      </rPr>
      <t>上盖</t>
    </r>
    <r>
      <rPr>
        <sz val="11"/>
        <color theme="1"/>
        <rFont val="Tahoma"/>
        <charset val="134"/>
      </rPr>
      <t>)</t>
    </r>
  </si>
  <si>
    <t>铱斯</t>
  </si>
  <si>
    <r>
      <rPr>
        <sz val="11"/>
        <color theme="1"/>
        <rFont val="Tahoma"/>
        <charset val="134"/>
      </rPr>
      <t>AP31</t>
    </r>
    <r>
      <rPr>
        <sz val="11"/>
        <color theme="1"/>
        <rFont val="宋体"/>
        <charset val="134"/>
      </rPr>
      <t>主机下盖</t>
    </r>
    <r>
      <rPr>
        <sz val="11"/>
        <color theme="1"/>
        <rFont val="Tahoma"/>
        <charset val="134"/>
      </rPr>
      <t>(360</t>
    </r>
    <r>
      <rPr>
        <sz val="11"/>
        <color theme="1"/>
        <rFont val="宋体"/>
        <charset val="134"/>
      </rPr>
      <t>下盖</t>
    </r>
    <r>
      <rPr>
        <sz val="11"/>
        <color theme="1"/>
        <rFont val="Tahoma"/>
        <charset val="134"/>
      </rPr>
      <t>)</t>
    </r>
  </si>
  <si>
    <r>
      <rPr>
        <sz val="11"/>
        <color theme="1"/>
        <rFont val="Tahoma"/>
        <charset val="134"/>
      </rPr>
      <t>AS23</t>
    </r>
    <r>
      <rPr>
        <sz val="11"/>
        <color theme="1"/>
        <rFont val="宋体"/>
        <charset val="134"/>
      </rPr>
      <t>主机上盖</t>
    </r>
  </si>
  <si>
    <r>
      <rPr>
        <sz val="11"/>
        <color theme="1"/>
        <rFont val="Tahoma"/>
        <charset val="134"/>
      </rPr>
      <t>AS23</t>
    </r>
    <r>
      <rPr>
        <sz val="11"/>
        <color theme="1"/>
        <rFont val="宋体"/>
        <charset val="134"/>
      </rPr>
      <t>主机下盖</t>
    </r>
  </si>
  <si>
    <t>YZH001</t>
  </si>
  <si>
    <t>支架连接座</t>
  </si>
  <si>
    <t>洋之翰</t>
  </si>
  <si>
    <t>XJH001</t>
  </si>
  <si>
    <t>510-00234</t>
  </si>
  <si>
    <t>鑫捷华</t>
  </si>
  <si>
    <t>XFT0019</t>
  </si>
  <si>
    <t>600154202G</t>
  </si>
  <si>
    <t>鑫福泰（将煜）</t>
  </si>
  <si>
    <t>丝印</t>
  </si>
  <si>
    <t>XFT021</t>
  </si>
  <si>
    <t>600152701G</t>
  </si>
  <si>
    <t>XFT022-S1</t>
  </si>
  <si>
    <t>600159500G</t>
  </si>
  <si>
    <t>XFT022-S2</t>
  </si>
  <si>
    <t>600175900G</t>
  </si>
  <si>
    <t>XFT023-S</t>
  </si>
  <si>
    <t>600156700G</t>
  </si>
  <si>
    <t>XFT023-S1</t>
  </si>
  <si>
    <t>600156710G</t>
  </si>
  <si>
    <t>XFT023-S2</t>
  </si>
  <si>
    <t>600156720G</t>
  </si>
  <si>
    <t>XFT023-S3</t>
  </si>
  <si>
    <t>600183300G</t>
  </si>
  <si>
    <t>XFT023-S4</t>
  </si>
  <si>
    <t>600174900G</t>
  </si>
  <si>
    <t>XFT023-S5</t>
  </si>
  <si>
    <t>600156701G</t>
  </si>
  <si>
    <t>XFT024</t>
  </si>
  <si>
    <t>600154301G</t>
  </si>
  <si>
    <t>XFT025</t>
  </si>
  <si>
    <t>600160600G</t>
  </si>
  <si>
    <t>XFT026-K</t>
  </si>
  <si>
    <t>600152800G</t>
  </si>
  <si>
    <t>或成品</t>
  </si>
  <si>
    <t>XFT026-S1</t>
  </si>
  <si>
    <t>XFT026-S</t>
  </si>
  <si>
    <t>600152810G</t>
  </si>
  <si>
    <t>XFT027-S1</t>
  </si>
  <si>
    <t>600173800G</t>
  </si>
  <si>
    <t>XFT027-S2</t>
  </si>
  <si>
    <t>600183400G</t>
  </si>
  <si>
    <t>XFT027-S3</t>
  </si>
  <si>
    <t>600174000G</t>
  </si>
  <si>
    <t>XFT027-S4</t>
  </si>
  <si>
    <t>600160700G</t>
  </si>
  <si>
    <t>XFT027-S5</t>
  </si>
  <si>
    <t>600161000G</t>
  </si>
  <si>
    <t>XFT027-S7</t>
  </si>
  <si>
    <t>600161001G</t>
  </si>
  <si>
    <t>XFT027-S6</t>
  </si>
  <si>
    <t>600181500G</t>
  </si>
  <si>
    <t>XFT001</t>
  </si>
  <si>
    <t>0007</t>
  </si>
  <si>
    <t>鑫福泰</t>
  </si>
  <si>
    <t>电镀</t>
  </si>
  <si>
    <t>0008</t>
  </si>
  <si>
    <r>
      <rPr>
        <sz val="11"/>
        <color rgb="FF000000"/>
        <rFont val="新細明體"/>
        <charset val="134"/>
      </rPr>
      <t>0009</t>
    </r>
    <r>
      <rPr>
        <sz val="11"/>
        <color indexed="8"/>
        <rFont val="宋体"/>
        <charset val="134"/>
      </rPr>
      <t>中框</t>
    </r>
  </si>
  <si>
    <t>71U00145</t>
  </si>
  <si>
    <t>DBC1481L1</t>
  </si>
  <si>
    <t>DBC1480L1</t>
  </si>
  <si>
    <t>XFT006</t>
  </si>
  <si>
    <t>UDU9011</t>
  </si>
  <si>
    <t>DBC15A0</t>
  </si>
  <si>
    <t>XFT008</t>
  </si>
  <si>
    <t>0007-001</t>
  </si>
  <si>
    <t>XFT009</t>
  </si>
  <si>
    <t>70U00162</t>
  </si>
  <si>
    <t>BHSP-SP-AX</t>
  </si>
  <si>
    <t>V3-BHSP-AX</t>
  </si>
  <si>
    <t>XFT013</t>
  </si>
  <si>
    <t>后盖</t>
  </si>
  <si>
    <t>XFT014</t>
  </si>
  <si>
    <t>前盖</t>
  </si>
  <si>
    <t>盖板</t>
  </si>
  <si>
    <t>ATT1LA-BHSP</t>
  </si>
  <si>
    <t>ATT1LA-PHSK</t>
  </si>
  <si>
    <t>拉白</t>
  </si>
  <si>
    <t>XFT018</t>
  </si>
  <si>
    <r>
      <rPr>
        <sz val="11"/>
        <color theme="1"/>
        <rFont val="Tahoma"/>
        <charset val="134"/>
      </rPr>
      <t>ATT1LA-MHSP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个牙）</t>
    </r>
  </si>
  <si>
    <r>
      <rPr>
        <sz val="11"/>
        <color theme="1"/>
        <rFont val="Tahoma"/>
        <charset val="134"/>
      </rPr>
      <t>ATT1LA-MHSP(8</t>
    </r>
    <r>
      <rPr>
        <sz val="11"/>
        <color theme="1"/>
        <rFont val="宋体"/>
        <charset val="134"/>
      </rPr>
      <t>个牙）</t>
    </r>
  </si>
  <si>
    <t>XFT0017</t>
  </si>
  <si>
    <r>
      <rPr>
        <sz val="11"/>
        <color rgb="FF000000"/>
        <rFont val="宋体"/>
        <charset val="134"/>
      </rPr>
      <t>锌合金</t>
    </r>
    <r>
      <rPr>
        <sz val="11"/>
        <color rgb="FF000000"/>
        <rFont val="新細明體"/>
        <charset val="134"/>
      </rPr>
      <t>-1</t>
    </r>
  </si>
  <si>
    <r>
      <rPr>
        <sz val="11"/>
        <color rgb="FF000000"/>
        <rFont val="新細明體"/>
        <charset val="134"/>
      </rPr>
      <t>电</t>
    </r>
    <r>
      <rPr>
        <sz val="11"/>
        <color rgb="FF000000"/>
        <rFont val="宋体"/>
        <charset val="134"/>
      </rPr>
      <t>泳</t>
    </r>
  </si>
  <si>
    <t>XFT0018</t>
  </si>
  <si>
    <r>
      <rPr>
        <sz val="11"/>
        <color rgb="FF000000"/>
        <rFont val="宋体"/>
        <charset val="134"/>
      </rPr>
      <t>锌合金</t>
    </r>
    <r>
      <rPr>
        <sz val="11"/>
        <color rgb="FF000000"/>
        <rFont val="新細明體"/>
        <charset val="134"/>
      </rPr>
      <t>-2</t>
    </r>
  </si>
  <si>
    <t>XFT028</t>
  </si>
  <si>
    <r>
      <rPr>
        <sz val="11"/>
        <color theme="1"/>
        <rFont val="Tahoma"/>
        <charset val="134"/>
      </rPr>
      <t>9012</t>
    </r>
    <r>
      <rPr>
        <sz val="11"/>
        <color theme="1"/>
        <rFont val="宋体"/>
        <charset val="134"/>
      </rPr>
      <t>上盖</t>
    </r>
  </si>
  <si>
    <r>
      <rPr>
        <sz val="11"/>
        <color rgb="FF000000"/>
        <rFont val="新細明體"/>
        <charset val="134"/>
      </rPr>
      <t>镭</t>
    </r>
    <r>
      <rPr>
        <sz val="11"/>
        <color rgb="FF000000"/>
        <rFont val="宋体"/>
        <charset val="134"/>
      </rPr>
      <t>雕</t>
    </r>
  </si>
  <si>
    <t>ZS-THSP</t>
  </si>
  <si>
    <t>ZS-MHSP</t>
  </si>
  <si>
    <t>ZS-BHSP</t>
  </si>
  <si>
    <t>DUD3500D1</t>
  </si>
  <si>
    <t>洗白</t>
  </si>
  <si>
    <t>VSD9007S2</t>
  </si>
  <si>
    <t>(002)Kreka MHSP Tool</t>
  </si>
  <si>
    <t>(001)Kreka Harrier/PHSP</t>
  </si>
  <si>
    <t>XFT036</t>
  </si>
  <si>
    <t>Kreka THSP DOECAV</t>
  </si>
  <si>
    <t>(003)Kreka THSP POR</t>
  </si>
  <si>
    <t>XFT038</t>
  </si>
  <si>
    <r>
      <rPr>
        <sz val="11"/>
        <color rgb="FF000000"/>
        <rFont val="新細明體"/>
        <charset val="134"/>
      </rPr>
      <t>BPFA0303011</t>
    </r>
    <r>
      <rPr>
        <sz val="11"/>
        <color rgb="FF000000"/>
        <rFont val="宋体"/>
        <charset val="134"/>
      </rPr>
      <t>（日本电产</t>
    </r>
    <r>
      <rPr>
        <sz val="11"/>
        <color rgb="FF000000"/>
        <rFont val="新細明體"/>
        <charset val="134"/>
      </rPr>
      <t>/大电产</t>
    </r>
    <r>
      <rPr>
        <sz val="11"/>
        <color rgb="FF000000"/>
        <rFont val="宋体"/>
        <charset val="134"/>
      </rPr>
      <t>）</t>
    </r>
  </si>
  <si>
    <t>鑫福泰（尼得科）</t>
  </si>
  <si>
    <t>CNC</t>
  </si>
  <si>
    <t>XFT039</t>
  </si>
  <si>
    <t>前壳</t>
  </si>
  <si>
    <t>鑫福泰（华目）</t>
  </si>
  <si>
    <r>
      <rPr>
        <sz val="11"/>
        <color rgb="FF000000"/>
        <rFont val="新細明體"/>
        <charset val="134"/>
      </rPr>
      <t>烤</t>
    </r>
    <r>
      <rPr>
        <sz val="11"/>
        <color rgb="FF000000"/>
        <rFont val="宋体"/>
        <charset val="134"/>
      </rPr>
      <t>漆</t>
    </r>
  </si>
  <si>
    <r>
      <rPr>
        <sz val="11"/>
        <color rgb="FF000000"/>
        <rFont val="新細明體"/>
        <charset val="134"/>
      </rPr>
      <t>Barca-BHSP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新細明體"/>
        <charset val="134"/>
      </rPr>
      <t>4</t>
    </r>
    <r>
      <rPr>
        <sz val="11"/>
        <color rgb="FF000000"/>
        <rFont val="宋体"/>
        <charset val="134"/>
      </rPr>
      <t>牙）</t>
    </r>
  </si>
  <si>
    <t>鑫福泰（巨圣）</t>
  </si>
  <si>
    <r>
      <rPr>
        <sz val="11"/>
        <color rgb="FF000000"/>
        <rFont val="新細明體"/>
        <charset val="134"/>
      </rPr>
      <t xml:space="preserve">Barca-MHSP 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新細明體"/>
        <charset val="134"/>
      </rPr>
      <t>1</t>
    </r>
    <r>
      <rPr>
        <sz val="11"/>
        <color rgb="FF000000"/>
        <rFont val="宋体"/>
        <charset val="134"/>
      </rPr>
      <t>牙）</t>
    </r>
  </si>
  <si>
    <t>XFT054</t>
  </si>
  <si>
    <r>
      <rPr>
        <sz val="11"/>
        <color rgb="FF000000"/>
        <rFont val="新細明體"/>
        <charset val="134"/>
      </rPr>
      <t>Barca EU BHSP压铸件</t>
    </r>
    <r>
      <rPr>
        <sz val="11"/>
        <color rgb="FF000000"/>
        <rFont val="宋体"/>
        <charset val="134"/>
      </rPr>
      <t>（白色）</t>
    </r>
  </si>
  <si>
    <t>XFT042</t>
  </si>
  <si>
    <t>BPFA0203011（小电产）</t>
  </si>
  <si>
    <t>XFT043</t>
  </si>
  <si>
    <t>FVRB7802630(630大电产）</t>
  </si>
  <si>
    <r>
      <rPr>
        <sz val="11"/>
        <color rgb="FF000000"/>
        <rFont val="新細明體"/>
        <charset val="134"/>
      </rPr>
      <t>车加</t>
    </r>
    <r>
      <rPr>
        <sz val="11"/>
        <color rgb="FF000000"/>
        <rFont val="宋体"/>
        <charset val="134"/>
      </rPr>
      <t>工</t>
    </r>
  </si>
  <si>
    <t>FVRB7813220（新电产）</t>
  </si>
  <si>
    <t>XFT045</t>
  </si>
  <si>
    <t>FVRB6892490（新款小电产）</t>
  </si>
  <si>
    <r>
      <rPr>
        <sz val="11"/>
        <color rgb="FF000000"/>
        <rFont val="新細明體"/>
        <charset val="134"/>
      </rPr>
      <t>0243B00100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新細明體"/>
        <charset val="134"/>
      </rPr>
      <t>金属外壳</t>
    </r>
    <r>
      <rPr>
        <sz val="11"/>
        <color rgb="FF000000"/>
        <rFont val="宋体"/>
        <charset val="134"/>
      </rPr>
      <t>）</t>
    </r>
  </si>
  <si>
    <t>鑫福泰（町洋）</t>
  </si>
  <si>
    <t>ME-003( THSP)</t>
  </si>
  <si>
    <t>ME-017(BHSP)</t>
  </si>
  <si>
    <t>ME-019(BTB SHELD)</t>
  </si>
  <si>
    <t>CG-00077</t>
  </si>
  <si>
    <t>打磨</t>
  </si>
  <si>
    <t>DBF7505L1 散熱片</t>
  </si>
  <si>
    <t xml:space="preserve">DUG7391V1 </t>
  </si>
  <si>
    <r>
      <rPr>
        <sz val="11"/>
        <color rgb="FF000000"/>
        <rFont val="新細明體"/>
        <charset val="134"/>
      </rPr>
      <t>HVO9142</t>
    </r>
    <r>
      <rPr>
        <sz val="11"/>
        <color rgb="FF000000"/>
        <rFont val="宋体"/>
        <charset val="134"/>
      </rPr>
      <t>散热片</t>
    </r>
  </si>
  <si>
    <t>洗白/巧手</t>
  </si>
  <si>
    <t>XLG001</t>
  </si>
  <si>
    <r>
      <rPr>
        <sz val="11"/>
        <color rgb="FF000000"/>
        <rFont val="新細明體"/>
        <charset val="134"/>
      </rPr>
      <t>P6</t>
    </r>
    <r>
      <rPr>
        <sz val="11"/>
        <color indexed="8"/>
        <rFont val="宋体"/>
        <charset val="134"/>
      </rPr>
      <t>固定架</t>
    </r>
    <r>
      <rPr>
        <sz val="11"/>
        <color indexed="8"/>
        <rFont val="新細明體"/>
        <charset val="134"/>
      </rPr>
      <t>-L</t>
    </r>
  </si>
  <si>
    <t>新连刚</t>
  </si>
  <si>
    <t>XLG002</t>
  </si>
  <si>
    <r>
      <rPr>
        <sz val="11"/>
        <color rgb="FF000000"/>
        <rFont val="新細明體"/>
        <charset val="134"/>
      </rPr>
      <t>P6</t>
    </r>
    <r>
      <rPr>
        <sz val="11"/>
        <color indexed="8"/>
        <rFont val="宋体"/>
        <charset val="134"/>
      </rPr>
      <t>固定架</t>
    </r>
    <r>
      <rPr>
        <sz val="11"/>
        <color indexed="8"/>
        <rFont val="新細明體"/>
        <charset val="134"/>
      </rPr>
      <t>-R</t>
    </r>
  </si>
  <si>
    <t>WKT039</t>
  </si>
  <si>
    <t>锌合金固定架</t>
  </si>
  <si>
    <t>新厂（国城）</t>
  </si>
  <si>
    <t>XC0001</t>
  </si>
  <si>
    <t>J6P</t>
  </si>
  <si>
    <t>新厂</t>
  </si>
  <si>
    <t>XJ001</t>
  </si>
  <si>
    <t>DMG6-35W-SINK1</t>
  </si>
  <si>
    <t>先进电子</t>
  </si>
  <si>
    <t>XJ002</t>
  </si>
  <si>
    <t>DMG6-65W-SINK1</t>
  </si>
  <si>
    <t>XJ003</t>
  </si>
  <si>
    <t>DMG8-35W-SINK1</t>
  </si>
  <si>
    <t>XJ004</t>
  </si>
  <si>
    <t>DMG8-65W-SINK1</t>
  </si>
  <si>
    <t>XKM001</t>
  </si>
  <si>
    <t>A111-0825</t>
  </si>
  <si>
    <t>西克麦</t>
  </si>
  <si>
    <t>XKM002</t>
  </si>
  <si>
    <t>A111-0826</t>
  </si>
  <si>
    <t>XKM003</t>
  </si>
  <si>
    <t>A113-0702</t>
  </si>
  <si>
    <t>XKM004</t>
  </si>
  <si>
    <t>A113-0735</t>
  </si>
  <si>
    <t>XKM005</t>
  </si>
  <si>
    <t>A113-0711</t>
  </si>
  <si>
    <t>XKM006</t>
  </si>
  <si>
    <t>A113-0304</t>
  </si>
  <si>
    <t>XKM007</t>
  </si>
  <si>
    <t>A113-0706</t>
  </si>
  <si>
    <t>XKM008</t>
  </si>
  <si>
    <t>A113-0501</t>
  </si>
  <si>
    <t>XKM009</t>
  </si>
  <si>
    <t>A113-0712</t>
  </si>
  <si>
    <t>XKM010</t>
  </si>
  <si>
    <t>A111-0818</t>
  </si>
  <si>
    <t>XKM011</t>
  </si>
  <si>
    <t>A111-0302</t>
  </si>
  <si>
    <t>XKM012</t>
  </si>
  <si>
    <t>A111-0303</t>
  </si>
  <si>
    <t>XKM013</t>
  </si>
  <si>
    <t>A111-0915</t>
  </si>
  <si>
    <t>XKM014</t>
  </si>
  <si>
    <t>A111-0817</t>
  </si>
  <si>
    <t>XKM015</t>
  </si>
  <si>
    <t>A111-0816</t>
  </si>
  <si>
    <t>XKM016</t>
  </si>
  <si>
    <t>A111-0828</t>
  </si>
  <si>
    <t>XKM017</t>
  </si>
  <si>
    <t>A113-0703</t>
  </si>
  <si>
    <t>XKM018</t>
  </si>
  <si>
    <t>A113-0704</t>
  </si>
  <si>
    <t>XKM019</t>
  </si>
  <si>
    <t>A113-0701</t>
  </si>
  <si>
    <t>XKM020</t>
  </si>
  <si>
    <t>A113-0708</t>
  </si>
  <si>
    <t>WS003</t>
  </si>
  <si>
    <r>
      <rPr>
        <sz val="11"/>
        <color rgb="FF000000"/>
        <rFont val="新細明體"/>
        <charset val="134"/>
      </rPr>
      <t>P6</t>
    </r>
    <r>
      <rPr>
        <sz val="11"/>
        <color rgb="FF000000"/>
        <rFont val="宋体"/>
        <charset val="134"/>
      </rPr>
      <t>固定架</t>
    </r>
    <r>
      <rPr>
        <sz val="11"/>
        <color rgb="FF000000"/>
        <rFont val="新細明體"/>
        <charset val="134"/>
      </rPr>
      <t>-L(VS-P6-L)</t>
    </r>
  </si>
  <si>
    <t>玮硕</t>
  </si>
  <si>
    <t>WS004</t>
  </si>
  <si>
    <r>
      <rPr>
        <sz val="11"/>
        <color rgb="FF000000"/>
        <rFont val="新細明體"/>
        <charset val="134"/>
      </rPr>
      <t>P6</t>
    </r>
    <r>
      <rPr>
        <sz val="11"/>
        <color rgb="FF000000"/>
        <rFont val="宋体"/>
        <charset val="134"/>
      </rPr>
      <t>固定架</t>
    </r>
    <r>
      <rPr>
        <sz val="11"/>
        <color rgb="FF000000"/>
        <rFont val="新細明體"/>
        <charset val="134"/>
      </rPr>
      <t>-R(VS-P6-R)</t>
    </r>
  </si>
  <si>
    <t>WKT001</t>
  </si>
  <si>
    <t>YODA2-L</t>
  </si>
  <si>
    <t>威可特新厂</t>
  </si>
  <si>
    <t>WKT002</t>
  </si>
  <si>
    <t>YODA2-R</t>
  </si>
  <si>
    <t>WKT005</t>
  </si>
  <si>
    <t>ET480-R</t>
  </si>
  <si>
    <t>WKT006</t>
  </si>
  <si>
    <t>ET480-L</t>
  </si>
  <si>
    <t>WKT007</t>
  </si>
  <si>
    <t>LLA-L</t>
  </si>
  <si>
    <t>WKT008</t>
  </si>
  <si>
    <t>LLA-R</t>
  </si>
  <si>
    <t>WKT009</t>
  </si>
  <si>
    <t>EG20-L</t>
  </si>
  <si>
    <t>WKT010</t>
  </si>
  <si>
    <t>EG20-R</t>
  </si>
  <si>
    <t>WKT011</t>
  </si>
  <si>
    <t>EP720-R</t>
  </si>
  <si>
    <t>WKT012</t>
  </si>
  <si>
    <t>EP720-L</t>
  </si>
  <si>
    <t>WKT013</t>
  </si>
  <si>
    <t>EP520-R</t>
  </si>
  <si>
    <t>WKT014</t>
  </si>
  <si>
    <t>EP520-L</t>
  </si>
  <si>
    <t>WKT015</t>
  </si>
  <si>
    <t>FINN-L</t>
  </si>
  <si>
    <t>WKT016</t>
  </si>
  <si>
    <t>FINN-R</t>
  </si>
  <si>
    <t>WKT017</t>
  </si>
  <si>
    <t>LEG0-D03</t>
  </si>
  <si>
    <t>WKT018</t>
  </si>
  <si>
    <t>LEG0-D04</t>
  </si>
  <si>
    <t>WKT019</t>
  </si>
  <si>
    <t>LEG0-D06</t>
  </si>
  <si>
    <t>WKT020</t>
  </si>
  <si>
    <t>LEG0-D07</t>
  </si>
  <si>
    <t>WKT021</t>
  </si>
  <si>
    <t>LEG0-K01-L</t>
  </si>
  <si>
    <t>WKT022</t>
  </si>
  <si>
    <t>LEG0-K01-R</t>
  </si>
  <si>
    <t>WKT023</t>
  </si>
  <si>
    <t>LH-FT491C-L</t>
  </si>
  <si>
    <t>WKT024</t>
  </si>
  <si>
    <t>LH-FT491C-R</t>
  </si>
  <si>
    <t>WKT025</t>
  </si>
  <si>
    <t>LH-EL580-L</t>
  </si>
  <si>
    <t>WKT026</t>
  </si>
  <si>
    <t>LH-EL580-R</t>
  </si>
  <si>
    <t>WKT027</t>
  </si>
  <si>
    <t>LH-V54014CAP-L</t>
  </si>
  <si>
    <t>WKT028</t>
  </si>
  <si>
    <t>LH-V54014CAP-R</t>
  </si>
  <si>
    <t>WKT029</t>
  </si>
  <si>
    <t>SZS-EL480-L</t>
  </si>
  <si>
    <t>WKT030</t>
  </si>
  <si>
    <t>SZS-EL480-R</t>
  </si>
  <si>
    <t>SZS-GP-540-CAP-L</t>
  </si>
  <si>
    <t>WKT040</t>
  </si>
  <si>
    <t>SZS-GP-540-CAP-R</t>
  </si>
  <si>
    <t>WKT041</t>
  </si>
  <si>
    <r>
      <rPr>
        <sz val="11"/>
        <color theme="1"/>
        <rFont val="Tahoma"/>
        <charset val="134"/>
      </rPr>
      <t>SZS-GP-540-</t>
    </r>
    <r>
      <rPr>
        <sz val="11"/>
        <color theme="1"/>
        <rFont val="宋体"/>
        <charset val="134"/>
      </rPr>
      <t>固定架</t>
    </r>
    <r>
      <rPr>
        <sz val="11"/>
        <color theme="1"/>
        <rFont val="Tahoma"/>
        <charset val="134"/>
      </rPr>
      <t>-L</t>
    </r>
  </si>
  <si>
    <t>WKT042</t>
  </si>
  <si>
    <r>
      <rPr>
        <sz val="11"/>
        <color theme="1"/>
        <rFont val="Tahoma"/>
        <charset val="134"/>
      </rPr>
      <t>SZS-GP-540-</t>
    </r>
    <r>
      <rPr>
        <sz val="11"/>
        <color theme="1"/>
        <rFont val="宋体"/>
        <charset val="134"/>
      </rPr>
      <t>固定架</t>
    </r>
    <r>
      <rPr>
        <sz val="11"/>
        <color theme="1"/>
        <rFont val="Tahoma"/>
        <charset val="134"/>
      </rPr>
      <t>-R</t>
    </r>
  </si>
  <si>
    <t>WKT031</t>
  </si>
  <si>
    <t>VS-V54013CAP-L</t>
  </si>
  <si>
    <t>WKT032</t>
  </si>
  <si>
    <t>VS-V54013CAP-R</t>
  </si>
  <si>
    <t>WKT033</t>
  </si>
  <si>
    <t>VS-V54014CAP-L</t>
  </si>
  <si>
    <t>WKT034</t>
  </si>
  <si>
    <t>VS-V54014CAP-R</t>
  </si>
  <si>
    <t>WKT035</t>
  </si>
  <si>
    <t>LH-EY519-L</t>
  </si>
  <si>
    <t>WKT036</t>
  </si>
  <si>
    <t>LH-EY519-R</t>
  </si>
  <si>
    <t>WKT037</t>
  </si>
  <si>
    <t>CJ-GL4A0-PL-L</t>
  </si>
  <si>
    <t>WKT038</t>
  </si>
  <si>
    <t>CJ-GL4A0-PL-R</t>
  </si>
  <si>
    <t>WKT043</t>
  </si>
  <si>
    <r>
      <rPr>
        <sz val="11"/>
        <color theme="1"/>
        <rFont val="Tahoma"/>
        <charset val="134"/>
      </rPr>
      <t>ALC228301000</t>
    </r>
    <r>
      <rPr>
        <sz val="11"/>
        <color theme="1"/>
        <rFont val="宋体"/>
        <charset val="134"/>
      </rPr>
      <t>上盖</t>
    </r>
  </si>
  <si>
    <t>WKT044</t>
  </si>
  <si>
    <r>
      <rPr>
        <sz val="11"/>
        <color theme="1"/>
        <rFont val="Tahoma"/>
        <charset val="134"/>
      </rPr>
      <t>03.03.D00273-415-XTA11-E(XTA11</t>
    </r>
    <r>
      <rPr>
        <sz val="11"/>
        <color theme="1"/>
        <rFont val="宋体"/>
        <charset val="134"/>
      </rPr>
      <t>外壳）</t>
    </r>
  </si>
  <si>
    <t>威可特新厂（思捷）</t>
  </si>
  <si>
    <t>WKT045</t>
  </si>
  <si>
    <t>60-02-DC0000铝壳（小火车）</t>
  </si>
  <si>
    <t>WKT046</t>
  </si>
  <si>
    <t>G4</t>
  </si>
  <si>
    <t>WKT047</t>
  </si>
  <si>
    <r>
      <rPr>
        <sz val="11"/>
        <color theme="1"/>
        <rFont val="Tahoma"/>
        <charset val="134"/>
      </rPr>
      <t>03.03.D00295-525-A1654</t>
    </r>
    <r>
      <rPr>
        <sz val="11"/>
        <color theme="1"/>
        <rFont val="宋体"/>
        <charset val="134"/>
      </rPr>
      <t>铝支架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黑松露</t>
    </r>
  </si>
  <si>
    <t>WKT047-1</t>
  </si>
  <si>
    <r>
      <rPr>
        <sz val="11"/>
        <color theme="1"/>
        <rFont val="Tahoma"/>
        <charset val="134"/>
      </rPr>
      <t>03.03.D00295-525-A1654</t>
    </r>
    <r>
      <rPr>
        <sz val="11"/>
        <color theme="1"/>
        <rFont val="宋体"/>
        <charset val="134"/>
      </rPr>
      <t>铝支架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银色</t>
    </r>
  </si>
  <si>
    <t>WKT048</t>
  </si>
  <si>
    <t>SJ-GP160-CAP-L</t>
  </si>
  <si>
    <t>WKT049</t>
  </si>
  <si>
    <t>SJ-GP160-CAP-R</t>
  </si>
  <si>
    <t>TS001</t>
  </si>
  <si>
    <t>铝壳</t>
  </si>
  <si>
    <t>团盛</t>
  </si>
  <si>
    <t>车加工</t>
  </si>
  <si>
    <t>TXTX001</t>
  </si>
  <si>
    <t>手机边框</t>
  </si>
  <si>
    <t>特兴通讯</t>
  </si>
  <si>
    <t>SY001</t>
  </si>
  <si>
    <t>高频合路器</t>
  </si>
  <si>
    <t>思源</t>
  </si>
  <si>
    <t>喷砂</t>
  </si>
  <si>
    <t>SY002</t>
  </si>
  <si>
    <t>低频合路器</t>
  </si>
  <si>
    <t>SY003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</si>
  <si>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27</t>
    </r>
  </si>
  <si>
    <t>SY004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</si>
  <si>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28</t>
    </r>
  </si>
  <si>
    <t>SY005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</si>
  <si>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30</t>
    </r>
  </si>
  <si>
    <t>SY006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</si>
  <si>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31</t>
    </r>
  </si>
  <si>
    <t>SY007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</si>
  <si>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55</t>
    </r>
  </si>
  <si>
    <t>SY008</t>
  </si>
  <si>
    <r>
      <rPr>
        <sz val="11"/>
        <color theme="1"/>
        <rFont val="宋体"/>
        <charset val="134"/>
      </rPr>
      <t>支撑杆</t>
    </r>
    <r>
      <rPr>
        <sz val="11"/>
        <color theme="1"/>
        <rFont val="Tahoma"/>
        <charset val="134"/>
      </rPr>
      <t>57</t>
    </r>
  </si>
  <si>
    <t>SY009</t>
  </si>
  <si>
    <r>
      <rPr>
        <sz val="11"/>
        <color theme="1"/>
        <rFont val="宋体"/>
        <charset val="134"/>
      </rPr>
      <t>振子（</t>
    </r>
    <r>
      <rPr>
        <sz val="11"/>
        <color theme="1"/>
        <rFont val="Tahoma"/>
        <charset val="134"/>
      </rPr>
      <t>MEC-017768)</t>
    </r>
  </si>
  <si>
    <r>
      <rPr>
        <sz val="11"/>
        <color rgb="FF000000"/>
        <rFont val="新細明體"/>
        <charset val="134"/>
      </rPr>
      <t>拉</t>
    </r>
    <r>
      <rPr>
        <sz val="11"/>
        <color rgb="FF000000"/>
        <rFont val="宋体"/>
        <charset val="134"/>
      </rPr>
      <t>白</t>
    </r>
  </si>
  <si>
    <t>SY010</t>
  </si>
  <si>
    <t>018493</t>
  </si>
  <si>
    <t>SY011</t>
  </si>
  <si>
    <r>
      <rPr>
        <sz val="11"/>
        <color theme="1"/>
        <rFont val="宋体"/>
        <charset val="134"/>
      </rPr>
      <t>线缆低频合路器</t>
    </r>
    <r>
      <rPr>
        <sz val="11"/>
        <color theme="1"/>
        <rFont val="Tahoma"/>
        <charset val="134"/>
      </rPr>
      <t>(JY01.001.0035</t>
    </r>
    <r>
      <rPr>
        <sz val="11"/>
        <color theme="1"/>
        <rFont val="宋体"/>
        <charset val="134"/>
      </rPr>
      <t>腔体</t>
    </r>
    <r>
      <rPr>
        <sz val="11"/>
        <color theme="1"/>
        <rFont val="Tahoma"/>
        <charset val="134"/>
      </rPr>
      <t>)</t>
    </r>
  </si>
  <si>
    <t>SY012</t>
  </si>
  <si>
    <r>
      <rPr>
        <sz val="11"/>
        <color theme="1"/>
        <rFont val="宋体"/>
        <charset val="134"/>
      </rPr>
      <t>低频合路器</t>
    </r>
    <r>
      <rPr>
        <sz val="11"/>
        <color theme="1"/>
        <rFont val="Tahoma"/>
        <charset val="134"/>
      </rPr>
      <t>(JY01.001.0036</t>
    </r>
    <r>
      <rPr>
        <sz val="11"/>
        <color theme="1"/>
        <rFont val="宋体"/>
        <charset val="134"/>
      </rPr>
      <t>腔体</t>
    </r>
    <r>
      <rPr>
        <sz val="11"/>
        <color theme="1"/>
        <rFont val="Tahoma"/>
        <charset val="134"/>
      </rPr>
      <t>)</t>
    </r>
  </si>
  <si>
    <t>SY013</t>
  </si>
  <si>
    <r>
      <rPr>
        <sz val="11"/>
        <color theme="1"/>
        <rFont val="宋体"/>
        <charset val="134"/>
      </rPr>
      <t>低频合路器（</t>
    </r>
    <r>
      <rPr>
        <sz val="11"/>
        <color theme="1"/>
        <rFont val="Tahoma"/>
        <charset val="134"/>
      </rPr>
      <t>0039</t>
    </r>
    <r>
      <rPr>
        <sz val="11"/>
        <color theme="1"/>
        <rFont val="宋体"/>
        <charset val="134"/>
      </rPr>
      <t>腔体）</t>
    </r>
  </si>
  <si>
    <t>SRY001</t>
  </si>
  <si>
    <r>
      <rPr>
        <sz val="11"/>
        <color theme="1"/>
        <rFont val="Tahoma"/>
        <charset val="134"/>
      </rPr>
      <t>WL52-bottom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charset val="134"/>
      </rPr>
      <t>WL92)</t>
    </r>
  </si>
  <si>
    <t>思瑞奕</t>
  </si>
  <si>
    <t>振研毛边</t>
  </si>
  <si>
    <r>
      <rPr>
        <sz val="11"/>
        <color theme="1"/>
        <rFont val="Tahoma"/>
        <charset val="134"/>
      </rPr>
      <t>7/13</t>
    </r>
    <r>
      <rPr>
        <sz val="11"/>
        <color theme="1"/>
        <rFont val="宋体"/>
        <charset val="134"/>
      </rPr>
      <t>改为</t>
    </r>
    <r>
      <rPr>
        <sz val="11"/>
        <color theme="1"/>
        <rFont val="Tahoma"/>
        <charset val="134"/>
      </rPr>
      <t>WL92</t>
    </r>
  </si>
  <si>
    <t>SRY0002</t>
  </si>
  <si>
    <t>AD-F5</t>
  </si>
  <si>
    <t>SRY0003</t>
  </si>
  <si>
    <t>39076-0001</t>
  </si>
  <si>
    <t>攻牙</t>
  </si>
  <si>
    <t>SRY0004</t>
  </si>
  <si>
    <r>
      <rPr>
        <sz val="11"/>
        <color theme="1"/>
        <rFont val="Tahoma"/>
        <charset val="134"/>
      </rPr>
      <t>36017-00001</t>
    </r>
    <r>
      <rPr>
        <sz val="11"/>
        <color theme="1"/>
        <rFont val="宋体"/>
        <charset val="134"/>
      </rPr>
      <t>屏蔽外壳</t>
    </r>
    <r>
      <rPr>
        <sz val="11"/>
        <color theme="1"/>
        <rFont val="Tahoma"/>
        <charset val="134"/>
      </rPr>
      <t>1</t>
    </r>
  </si>
  <si>
    <t>SRY0005</t>
  </si>
  <si>
    <r>
      <rPr>
        <sz val="11"/>
        <color theme="1"/>
        <rFont val="Tahoma"/>
        <charset val="134"/>
      </rPr>
      <t>36018-00001</t>
    </r>
    <r>
      <rPr>
        <sz val="11"/>
        <color theme="1"/>
        <rFont val="宋体"/>
        <charset val="134"/>
      </rPr>
      <t>屏蔽外壳</t>
    </r>
    <r>
      <rPr>
        <sz val="11"/>
        <color theme="1"/>
        <rFont val="Tahoma"/>
        <charset val="134"/>
      </rPr>
      <t>2</t>
    </r>
  </si>
  <si>
    <t>SRY0006</t>
  </si>
  <si>
    <r>
      <rPr>
        <sz val="11"/>
        <color theme="1"/>
        <rFont val="Tahoma"/>
        <charset val="134"/>
      </rPr>
      <t>36020-00001</t>
    </r>
    <r>
      <rPr>
        <sz val="11"/>
        <color theme="1"/>
        <rFont val="宋体"/>
        <charset val="134"/>
      </rPr>
      <t>外壳</t>
    </r>
    <r>
      <rPr>
        <sz val="11"/>
        <color theme="1"/>
        <rFont val="Tahoma"/>
        <charset val="134"/>
      </rPr>
      <t>2</t>
    </r>
  </si>
  <si>
    <t>SRY0007</t>
  </si>
  <si>
    <r>
      <rPr>
        <sz val="11"/>
        <color theme="1"/>
        <rFont val="Tahoma"/>
        <charset val="134"/>
      </rPr>
      <t>36019-00001</t>
    </r>
    <r>
      <rPr>
        <sz val="11"/>
        <color theme="1"/>
        <rFont val="宋体"/>
        <charset val="134"/>
      </rPr>
      <t>外壳</t>
    </r>
    <r>
      <rPr>
        <sz val="11"/>
        <color theme="1"/>
        <rFont val="Tahoma"/>
        <charset val="134"/>
      </rPr>
      <t>1</t>
    </r>
  </si>
  <si>
    <r>
      <rPr>
        <sz val="11"/>
        <color rgb="FF000000"/>
        <rFont val="新細明體"/>
        <charset val="134"/>
      </rPr>
      <t>8</t>
    </r>
    <r>
      <rPr>
        <sz val="11"/>
        <color rgb="FF000000"/>
        <rFont val="宋体"/>
        <charset val="134"/>
      </rPr>
      <t>系列隐藏式接头</t>
    </r>
    <r>
      <rPr>
        <sz val="11"/>
        <color rgb="FF000000"/>
        <rFont val="Tahoma"/>
        <charset val="134"/>
      </rPr>
      <t>(8</t>
    </r>
    <r>
      <rPr>
        <sz val="11"/>
        <color rgb="FF000000"/>
        <rFont val="宋体"/>
        <charset val="134"/>
      </rPr>
      <t>系接头）</t>
    </r>
  </si>
  <si>
    <t>顺广</t>
  </si>
  <si>
    <t>研磨</t>
  </si>
  <si>
    <t>SK001</t>
  </si>
  <si>
    <r>
      <rPr>
        <sz val="11"/>
        <color rgb="FF000000"/>
        <rFont val="新細明體"/>
        <charset val="134"/>
      </rPr>
      <t>D021007</t>
    </r>
    <r>
      <rPr>
        <sz val="11"/>
        <color indexed="8"/>
        <rFont val="宋体"/>
        <charset val="134"/>
      </rPr>
      <t>罩盖</t>
    </r>
  </si>
  <si>
    <t>舒康</t>
  </si>
  <si>
    <t>SK002</t>
  </si>
  <si>
    <r>
      <rPr>
        <sz val="11"/>
        <color theme="1"/>
        <rFont val="Tahoma"/>
        <charset val="134"/>
      </rPr>
      <t xml:space="preserve">CP10DCT028 </t>
    </r>
    <r>
      <rPr>
        <sz val="11"/>
        <color theme="1"/>
        <rFont val="宋体"/>
        <charset val="134"/>
      </rPr>
      <t>法兰</t>
    </r>
  </si>
  <si>
    <t>SK003</t>
  </si>
  <si>
    <t>D016040</t>
  </si>
  <si>
    <t>电泳</t>
  </si>
  <si>
    <t>SK004</t>
  </si>
  <si>
    <r>
      <rPr>
        <sz val="11"/>
        <color theme="1"/>
        <rFont val="Tahoma"/>
        <charset val="134"/>
      </rPr>
      <t>J-box</t>
    </r>
    <r>
      <rPr>
        <sz val="11"/>
        <color theme="1"/>
        <rFont val="宋体"/>
        <charset val="134"/>
      </rPr>
      <t>基座主体</t>
    </r>
  </si>
  <si>
    <t>SK005</t>
  </si>
  <si>
    <r>
      <rPr>
        <sz val="11"/>
        <color theme="1"/>
        <rFont val="Tahoma"/>
        <charset val="134"/>
      </rPr>
      <t>#1-04</t>
    </r>
    <r>
      <rPr>
        <sz val="11"/>
        <color theme="1"/>
        <rFont val="宋体"/>
        <charset val="134"/>
      </rPr>
      <t>螺旋堵头</t>
    </r>
  </si>
  <si>
    <t>SK006</t>
  </si>
  <si>
    <r>
      <rPr>
        <sz val="11"/>
        <color rgb="FF000000"/>
        <rFont val="新細明體"/>
        <charset val="134"/>
      </rPr>
      <t xml:space="preserve">D017057 </t>
    </r>
    <r>
      <rPr>
        <sz val="11"/>
        <color indexed="8"/>
        <rFont val="宋体"/>
        <charset val="134"/>
      </rPr>
      <t>支架</t>
    </r>
  </si>
  <si>
    <t>SK007</t>
  </si>
  <si>
    <t>D016004</t>
  </si>
  <si>
    <t>SK008</t>
  </si>
  <si>
    <t>D016041</t>
  </si>
  <si>
    <t>SK009</t>
  </si>
  <si>
    <r>
      <rPr>
        <sz val="11"/>
        <color rgb="FF000000"/>
        <rFont val="新細明體"/>
        <charset val="134"/>
      </rPr>
      <t xml:space="preserve">D017059 </t>
    </r>
    <r>
      <rPr>
        <sz val="11"/>
        <color indexed="8"/>
        <rFont val="宋体"/>
        <charset val="134"/>
      </rPr>
      <t>支架</t>
    </r>
  </si>
  <si>
    <t>SK010</t>
  </si>
  <si>
    <t>D019035</t>
  </si>
  <si>
    <t>SK011</t>
  </si>
  <si>
    <t>D019048</t>
  </si>
  <si>
    <t>SK012</t>
  </si>
  <si>
    <t>D016007</t>
  </si>
  <si>
    <t>SK013</t>
  </si>
  <si>
    <t>D016008</t>
  </si>
  <si>
    <t>SK014</t>
  </si>
  <si>
    <t>D011026</t>
  </si>
  <si>
    <t>SK015</t>
  </si>
  <si>
    <t>D019007</t>
  </si>
  <si>
    <t>SK016</t>
  </si>
  <si>
    <t>GD017048</t>
  </si>
  <si>
    <t>SK017</t>
  </si>
  <si>
    <t>D016010</t>
  </si>
  <si>
    <t>SK018</t>
  </si>
  <si>
    <t>D016019</t>
  </si>
  <si>
    <t>SK019</t>
  </si>
  <si>
    <t>D016027</t>
  </si>
  <si>
    <t>SK020</t>
  </si>
  <si>
    <t>D022008</t>
  </si>
  <si>
    <t>SK021</t>
  </si>
  <si>
    <t>D017060</t>
  </si>
  <si>
    <t>SK022</t>
  </si>
  <si>
    <t>D019041</t>
  </si>
  <si>
    <t>SL0001</t>
  </si>
  <si>
    <t>H81</t>
  </si>
  <si>
    <t>胜利</t>
  </si>
  <si>
    <t>SH001</t>
  </si>
  <si>
    <t>3HRNAQ007A3</t>
  </si>
  <si>
    <t>上达</t>
  </si>
  <si>
    <t>RTK001</t>
  </si>
  <si>
    <t>HK3210</t>
  </si>
  <si>
    <t>睿腾科</t>
  </si>
  <si>
    <t>RTK002</t>
  </si>
  <si>
    <t>CCB-3L-2</t>
  </si>
  <si>
    <t>RTK003</t>
  </si>
  <si>
    <r>
      <rPr>
        <sz val="11"/>
        <color theme="1"/>
        <rFont val="Tahoma"/>
        <charset val="134"/>
      </rPr>
      <t>5034699</t>
    </r>
    <r>
      <rPr>
        <sz val="11"/>
        <color theme="1"/>
        <rFont val="宋体"/>
        <charset val="134"/>
      </rPr>
      <t>（</t>
    </r>
    <r>
      <rPr>
        <sz val="11"/>
        <color theme="1"/>
        <rFont val="Tahoma"/>
        <charset val="134"/>
      </rPr>
      <t>MKY-2</t>
    </r>
    <r>
      <rPr>
        <sz val="11"/>
        <color theme="1"/>
        <rFont val="宋体"/>
        <charset val="134"/>
      </rPr>
      <t>）</t>
    </r>
  </si>
  <si>
    <t>RXT001</t>
  </si>
  <si>
    <t>锁壳上盖</t>
  </si>
  <si>
    <t>瑞希泰</t>
  </si>
  <si>
    <t>QL001</t>
  </si>
  <si>
    <t>限位铝盖帽</t>
  </si>
  <si>
    <t>奇朗</t>
  </si>
  <si>
    <t>钻孔</t>
  </si>
  <si>
    <t>QL002</t>
  </si>
  <si>
    <t>前侧铝盖</t>
  </si>
  <si>
    <t>QL003</t>
  </si>
  <si>
    <t>后侧固定盖</t>
  </si>
  <si>
    <t>QL003-1</t>
  </si>
  <si>
    <r>
      <rPr>
        <sz val="11"/>
        <color theme="1"/>
        <rFont val="宋体"/>
        <charset val="134"/>
      </rPr>
      <t>后侧固定盖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设变前）</t>
    </r>
  </si>
  <si>
    <t>QL004</t>
  </si>
  <si>
    <r>
      <rPr>
        <sz val="11"/>
        <color rgb="FF000000"/>
        <rFont val="新細明體"/>
        <charset val="134"/>
      </rPr>
      <t>后侧</t>
    </r>
    <r>
      <rPr>
        <sz val="11"/>
        <color indexed="8"/>
        <rFont val="宋体"/>
        <charset val="134"/>
      </rPr>
      <t>调节盖</t>
    </r>
  </si>
  <si>
    <t>MC001</t>
  </si>
  <si>
    <r>
      <rPr>
        <sz val="11"/>
        <color theme="1"/>
        <rFont val="宋体"/>
        <charset val="134"/>
      </rPr>
      <t>左合页</t>
    </r>
    <r>
      <rPr>
        <sz val="11"/>
        <color theme="1"/>
        <rFont val="Tahoma"/>
        <charset val="134"/>
      </rPr>
      <t>-L</t>
    </r>
  </si>
  <si>
    <t>木琛</t>
  </si>
  <si>
    <t>MC002</t>
  </si>
  <si>
    <r>
      <rPr>
        <sz val="11"/>
        <color theme="1"/>
        <rFont val="宋体"/>
        <charset val="134"/>
      </rPr>
      <t>右合页</t>
    </r>
    <r>
      <rPr>
        <sz val="11"/>
        <color theme="1"/>
        <rFont val="Tahoma"/>
        <charset val="134"/>
      </rPr>
      <t>-R</t>
    </r>
  </si>
  <si>
    <t>MJ002</t>
  </si>
  <si>
    <t>曲柄销套</t>
  </si>
  <si>
    <t>铭捷</t>
  </si>
  <si>
    <t>ML001</t>
  </si>
  <si>
    <t>壳体</t>
  </si>
  <si>
    <t>明立铸业</t>
  </si>
  <si>
    <t>LSD001</t>
  </si>
  <si>
    <r>
      <rPr>
        <sz val="11"/>
        <color rgb="FF000000"/>
        <rFont val="新細明體"/>
        <charset val="134"/>
      </rPr>
      <t>AGL80</t>
    </r>
    <r>
      <rPr>
        <sz val="11"/>
        <color rgb="FF000000"/>
        <rFont val="宋体"/>
        <charset val="134"/>
      </rPr>
      <t>散热器</t>
    </r>
  </si>
  <si>
    <t>龙胜达</t>
  </si>
  <si>
    <t>T93-03B</t>
  </si>
  <si>
    <t>T93-02A</t>
  </si>
  <si>
    <t>T93-13</t>
  </si>
  <si>
    <t>LX0004</t>
  </si>
  <si>
    <r>
      <rPr>
        <sz val="11"/>
        <color theme="1"/>
        <rFont val="Tahoma"/>
        <charset val="134"/>
      </rPr>
      <t>JK111-01</t>
    </r>
    <r>
      <rPr>
        <sz val="11"/>
        <color theme="1"/>
        <rFont val="宋体"/>
        <charset val="134"/>
      </rPr>
      <t>机壳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有牙）</t>
    </r>
  </si>
  <si>
    <t>LX0005</t>
  </si>
  <si>
    <t>T93-04</t>
  </si>
  <si>
    <t>T93-06.01</t>
  </si>
  <si>
    <t>LX0006</t>
  </si>
  <si>
    <t>T93-17</t>
  </si>
  <si>
    <t>T93-22</t>
  </si>
  <si>
    <t>T93-23</t>
  </si>
  <si>
    <t>T93-25</t>
  </si>
  <si>
    <t>T93-43</t>
  </si>
  <si>
    <r>
      <rPr>
        <sz val="11"/>
        <color theme="1"/>
        <rFont val="Tahoma"/>
        <charset val="134"/>
      </rPr>
      <t>T93-25</t>
    </r>
    <r>
      <rPr>
        <sz val="11"/>
        <color theme="1"/>
        <rFont val="宋体"/>
        <charset val="134"/>
      </rPr>
      <t>改的</t>
    </r>
  </si>
  <si>
    <t>T93-27</t>
  </si>
  <si>
    <t>T93-31</t>
  </si>
  <si>
    <t>T93-32</t>
  </si>
  <si>
    <r>
      <rPr>
        <sz val="11"/>
        <color theme="1"/>
        <rFont val="Tahoma"/>
        <charset val="134"/>
      </rPr>
      <t>JK111-04</t>
    </r>
    <r>
      <rPr>
        <sz val="11"/>
        <color theme="1"/>
        <rFont val="宋体"/>
        <charset val="134"/>
      </rPr>
      <t>机壳（无牙）</t>
    </r>
  </si>
  <si>
    <t>LX0018</t>
  </si>
  <si>
    <r>
      <rPr>
        <sz val="11"/>
        <color theme="1"/>
        <rFont val="Tahoma"/>
        <charset val="134"/>
      </rPr>
      <t>JK111-02</t>
    </r>
    <r>
      <rPr>
        <sz val="11"/>
        <color theme="1"/>
        <rFont val="宋体"/>
        <charset val="134"/>
      </rPr>
      <t>机壳</t>
    </r>
  </si>
  <si>
    <t>电泳品</t>
  </si>
  <si>
    <r>
      <rPr>
        <sz val="11"/>
        <color theme="1"/>
        <rFont val="Tahoma"/>
        <charset val="134"/>
      </rPr>
      <t>T93-29</t>
    </r>
    <r>
      <rPr>
        <sz val="11"/>
        <color theme="1"/>
        <rFont val="宋体"/>
        <charset val="134"/>
      </rPr>
      <t>镭雕</t>
    </r>
  </si>
  <si>
    <r>
      <rPr>
        <sz val="11"/>
        <color theme="1"/>
        <rFont val="Tahoma"/>
        <charset val="134"/>
      </rPr>
      <t>T93-33</t>
    </r>
    <r>
      <rPr>
        <sz val="11"/>
        <color theme="1"/>
        <rFont val="宋体"/>
        <charset val="134"/>
      </rPr>
      <t>镭雕（</t>
    </r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孔）</t>
    </r>
  </si>
  <si>
    <t>LX0020-2</t>
  </si>
  <si>
    <r>
      <rPr>
        <sz val="11"/>
        <color theme="1"/>
        <rFont val="Tahoma"/>
        <charset val="134"/>
      </rPr>
      <t>T93-33L</t>
    </r>
    <r>
      <rPr>
        <sz val="11"/>
        <color theme="1"/>
        <rFont val="宋体"/>
        <charset val="134"/>
      </rPr>
      <t>镭雕</t>
    </r>
  </si>
  <si>
    <t>镭雕的位置不同</t>
  </si>
  <si>
    <t>T93-SUE</t>
  </si>
  <si>
    <t>LX0022</t>
  </si>
  <si>
    <r>
      <rPr>
        <sz val="11"/>
        <color theme="1"/>
        <rFont val="Tahoma"/>
        <charset val="134"/>
      </rPr>
      <t>JK111-01</t>
    </r>
    <r>
      <rPr>
        <sz val="11"/>
        <color theme="1"/>
        <rFont val="宋体"/>
        <charset val="134"/>
      </rPr>
      <t>机壳（设变品）</t>
    </r>
  </si>
  <si>
    <r>
      <rPr>
        <sz val="11"/>
        <color theme="1"/>
        <rFont val="Tahoma"/>
        <charset val="134"/>
      </rPr>
      <t>JK111-03</t>
    </r>
    <r>
      <rPr>
        <sz val="11"/>
        <color theme="1"/>
        <rFont val="宋体"/>
        <charset val="134"/>
      </rPr>
      <t>机壳（无牙）</t>
    </r>
  </si>
  <si>
    <t>LX0025</t>
  </si>
  <si>
    <r>
      <rPr>
        <sz val="11"/>
        <color theme="1"/>
        <rFont val="Tahoma"/>
        <charset val="134"/>
      </rPr>
      <t>JK111-05</t>
    </r>
    <r>
      <rPr>
        <sz val="11"/>
        <color theme="1"/>
        <rFont val="宋体"/>
        <charset val="134"/>
      </rPr>
      <t>机壳（无牙）</t>
    </r>
  </si>
  <si>
    <r>
      <rPr>
        <sz val="11"/>
        <color theme="1"/>
        <rFont val="Tahoma"/>
        <charset val="134"/>
      </rPr>
      <t>JK111-06</t>
    </r>
    <r>
      <rPr>
        <sz val="11"/>
        <color theme="1"/>
        <rFont val="宋体"/>
        <charset val="134"/>
      </rPr>
      <t>机壳（无牙）</t>
    </r>
  </si>
  <si>
    <t>T93-53</t>
  </si>
  <si>
    <r>
      <rPr>
        <sz val="11"/>
        <color theme="1"/>
        <rFont val="Tahoma"/>
        <charset val="134"/>
      </rPr>
      <t>T93-54</t>
    </r>
    <r>
      <rPr>
        <sz val="11"/>
        <color theme="1"/>
        <rFont val="宋体"/>
        <charset val="134"/>
      </rPr>
      <t>（镭雕）</t>
    </r>
  </si>
  <si>
    <t>LX0029</t>
  </si>
  <si>
    <r>
      <rPr>
        <sz val="11"/>
        <color theme="1"/>
        <rFont val="Tahoma"/>
        <charset val="134"/>
      </rPr>
      <t>T93-56</t>
    </r>
    <r>
      <rPr>
        <sz val="11"/>
        <color theme="1"/>
        <rFont val="宋体"/>
        <charset val="134"/>
      </rPr>
      <t>镭雕</t>
    </r>
  </si>
  <si>
    <t>T93-58</t>
  </si>
  <si>
    <t>T93-59</t>
  </si>
  <si>
    <t>T93-60</t>
  </si>
  <si>
    <t>LM0001</t>
  </si>
  <si>
    <r>
      <rPr>
        <sz val="11"/>
        <color rgb="FF000000"/>
        <rFont val="新細明體"/>
        <charset val="134"/>
      </rPr>
      <t>SHELL</t>
    </r>
    <r>
      <rPr>
        <sz val="11"/>
        <color rgb="FF000000"/>
        <rFont val="宋体"/>
        <charset val="134"/>
      </rPr>
      <t>中框（铝铸中框）</t>
    </r>
  </si>
  <si>
    <t>徕木</t>
  </si>
  <si>
    <t>LM0002</t>
  </si>
  <si>
    <r>
      <rPr>
        <sz val="11"/>
        <color rgb="FF000000"/>
        <rFont val="新細明體"/>
        <charset val="134"/>
      </rPr>
      <t>SHELL</t>
    </r>
    <r>
      <rPr>
        <sz val="11"/>
        <color rgb="FF000000"/>
        <rFont val="宋体"/>
        <charset val="134"/>
      </rPr>
      <t>底盖（铝铸底盖）</t>
    </r>
  </si>
  <si>
    <t>LM0003</t>
  </si>
  <si>
    <r>
      <rPr>
        <sz val="10"/>
        <color theme="1"/>
        <rFont val="宋体"/>
        <charset val="134"/>
      </rPr>
      <t>铝挤材（</t>
    </r>
    <r>
      <rPr>
        <sz val="10"/>
        <color theme="1"/>
        <rFont val="Tahoma"/>
        <charset val="134"/>
      </rPr>
      <t>QH-G-3351)/</t>
    </r>
    <r>
      <rPr>
        <sz val="10"/>
        <color theme="1"/>
        <rFont val="宋体"/>
        <charset val="134"/>
      </rPr>
      <t>铝挤板端（1403-00013-01）</t>
    </r>
  </si>
  <si>
    <t>SRY002</t>
  </si>
  <si>
    <t>托架</t>
  </si>
  <si>
    <t>昆山刚毅</t>
  </si>
  <si>
    <t>背盖</t>
  </si>
  <si>
    <t>KJL0001</t>
  </si>
  <si>
    <t>F51999169</t>
  </si>
  <si>
    <t>昆甲林</t>
  </si>
  <si>
    <t>KJL0002</t>
  </si>
  <si>
    <t>F51999170</t>
  </si>
  <si>
    <t>KJL0003</t>
  </si>
  <si>
    <t>F51999171</t>
  </si>
  <si>
    <t>KJL0004</t>
  </si>
  <si>
    <t>F51999172</t>
  </si>
  <si>
    <t>KJL0005</t>
  </si>
  <si>
    <t>F51999173</t>
  </si>
  <si>
    <t>KJL0006</t>
  </si>
  <si>
    <t>F40999311</t>
  </si>
  <si>
    <t>KJL0007</t>
  </si>
  <si>
    <t>F40999312</t>
  </si>
  <si>
    <t>KJL0008</t>
  </si>
  <si>
    <t>F40999313</t>
  </si>
  <si>
    <t>KJL0009</t>
  </si>
  <si>
    <t>F40999314</t>
  </si>
  <si>
    <t>KJL0010</t>
  </si>
  <si>
    <t>F40999315</t>
  </si>
  <si>
    <t>KJL0011</t>
  </si>
  <si>
    <t>F40999316</t>
  </si>
  <si>
    <t>KJL0012</t>
  </si>
  <si>
    <t>F40999317</t>
  </si>
  <si>
    <t>KJL0013</t>
  </si>
  <si>
    <t>F40999318</t>
  </si>
  <si>
    <t>KJL0014</t>
  </si>
  <si>
    <t>铝波轮</t>
  </si>
  <si>
    <t>KJL0015</t>
  </si>
  <si>
    <r>
      <rPr>
        <sz val="11"/>
        <color theme="1"/>
        <rFont val="宋体"/>
        <charset val="134"/>
      </rPr>
      <t>固定块</t>
    </r>
    <r>
      <rPr>
        <sz val="11"/>
        <color theme="1"/>
        <rFont val="Tahoma"/>
        <charset val="134"/>
      </rPr>
      <t>-01</t>
    </r>
  </si>
  <si>
    <t>KJL0016</t>
  </si>
  <si>
    <r>
      <rPr>
        <sz val="11"/>
        <color theme="1"/>
        <rFont val="宋体"/>
        <charset val="134"/>
      </rPr>
      <t>固定块</t>
    </r>
    <r>
      <rPr>
        <sz val="11"/>
        <color theme="1"/>
        <rFont val="Tahoma"/>
        <charset val="134"/>
      </rPr>
      <t>-02</t>
    </r>
  </si>
  <si>
    <r>
      <rPr>
        <sz val="11"/>
        <color theme="1"/>
        <rFont val="宋体"/>
        <charset val="134"/>
      </rPr>
      <t>伞齿固定座</t>
    </r>
    <r>
      <rPr>
        <sz val="11"/>
        <color theme="1"/>
        <rFont val="Tahoma"/>
        <charset val="134"/>
      </rPr>
      <t>L</t>
    </r>
  </si>
  <si>
    <t>振研攻牙</t>
  </si>
  <si>
    <r>
      <rPr>
        <sz val="11"/>
        <color theme="1"/>
        <rFont val="宋体"/>
        <charset val="134"/>
      </rPr>
      <t>伞齿固定座</t>
    </r>
    <r>
      <rPr>
        <sz val="11"/>
        <color theme="1"/>
        <rFont val="Tahoma"/>
        <charset val="134"/>
      </rPr>
      <t>R</t>
    </r>
  </si>
  <si>
    <t>连接座</t>
  </si>
  <si>
    <t>KEX001</t>
  </si>
  <si>
    <t>41-1007</t>
  </si>
  <si>
    <t>康尔学</t>
  </si>
  <si>
    <t>外壳</t>
  </si>
  <si>
    <t>康比利（宇称）</t>
  </si>
  <si>
    <t>KBL002</t>
  </si>
  <si>
    <t>压盖</t>
  </si>
  <si>
    <t>KBL003</t>
  </si>
  <si>
    <t>涨紧圈（方）</t>
  </si>
  <si>
    <t>KBL004</t>
  </si>
  <si>
    <r>
      <rPr>
        <sz val="11"/>
        <color theme="1"/>
        <rFont val="宋体"/>
        <charset val="134"/>
      </rPr>
      <t>涨紧圈（圆无</t>
    </r>
    <r>
      <rPr>
        <sz val="11"/>
        <color theme="1"/>
        <rFont val="Tahoma"/>
        <charset val="134"/>
      </rPr>
      <t>LOGO</t>
    </r>
    <r>
      <rPr>
        <sz val="11"/>
        <color theme="1"/>
        <rFont val="宋体"/>
        <charset val="134"/>
      </rPr>
      <t>）</t>
    </r>
  </si>
  <si>
    <t>KBL005</t>
  </si>
  <si>
    <r>
      <rPr>
        <sz val="11"/>
        <color theme="1"/>
        <rFont val="Tahoma"/>
        <charset val="134"/>
      </rPr>
      <t>48-</t>
    </r>
    <r>
      <rPr>
        <sz val="11"/>
        <color theme="1"/>
        <rFont val="宋体"/>
        <charset val="134"/>
      </rPr>
      <t>基座</t>
    </r>
  </si>
  <si>
    <t>KBL006</t>
  </si>
  <si>
    <t>紧固件</t>
  </si>
  <si>
    <t>KBL007</t>
  </si>
  <si>
    <r>
      <rPr>
        <sz val="11"/>
        <color theme="1"/>
        <rFont val="宋体"/>
        <charset val="134"/>
      </rPr>
      <t>涨紧圈（圆有</t>
    </r>
    <r>
      <rPr>
        <sz val="11"/>
        <color theme="1"/>
        <rFont val="Tahoma"/>
        <charset val="134"/>
      </rPr>
      <t>LOGO</t>
    </r>
    <r>
      <rPr>
        <sz val="11"/>
        <color theme="1"/>
        <rFont val="宋体"/>
        <charset val="134"/>
      </rPr>
      <t>）</t>
    </r>
  </si>
  <si>
    <t>KBL008</t>
  </si>
  <si>
    <r>
      <rPr>
        <sz val="11"/>
        <color theme="1"/>
        <rFont val="Tahoma"/>
        <charset val="134"/>
      </rPr>
      <t>100-</t>
    </r>
    <r>
      <rPr>
        <sz val="11"/>
        <color theme="1"/>
        <rFont val="宋体"/>
        <charset val="134"/>
      </rPr>
      <t>机壳</t>
    </r>
  </si>
  <si>
    <t>KBL009</t>
  </si>
  <si>
    <r>
      <rPr>
        <sz val="11"/>
        <color theme="1"/>
        <rFont val="Tahoma"/>
        <charset val="134"/>
      </rPr>
      <t>100-</t>
    </r>
    <r>
      <rPr>
        <sz val="11"/>
        <color theme="1"/>
        <rFont val="宋体"/>
        <charset val="134"/>
      </rPr>
      <t>基座</t>
    </r>
  </si>
  <si>
    <t>KBL010</t>
  </si>
  <si>
    <r>
      <rPr>
        <sz val="11"/>
        <color theme="1"/>
        <rFont val="Tahoma"/>
        <charset val="134"/>
      </rPr>
      <t>5801-</t>
    </r>
    <r>
      <rPr>
        <sz val="11"/>
        <color theme="1"/>
        <rFont val="宋体"/>
        <charset val="134"/>
      </rPr>
      <t>基座</t>
    </r>
  </si>
  <si>
    <t>JY001</t>
  </si>
  <si>
    <t>FT0083A</t>
  </si>
  <si>
    <t>久越</t>
  </si>
  <si>
    <t>JY002</t>
  </si>
  <si>
    <t>FT0868</t>
  </si>
  <si>
    <t>JY003</t>
  </si>
  <si>
    <t>HT0090A</t>
  </si>
  <si>
    <t>JY004</t>
  </si>
  <si>
    <t>FT0936</t>
  </si>
  <si>
    <t>JC001</t>
  </si>
  <si>
    <r>
      <rPr>
        <sz val="11"/>
        <color rgb="FF000000"/>
        <rFont val="新細明體"/>
        <charset val="134"/>
      </rPr>
      <t>1810-001(</t>
    </r>
    <r>
      <rPr>
        <sz val="11"/>
        <color indexed="8"/>
        <rFont val="宋体"/>
        <charset val="134"/>
      </rPr>
      <t>泵座</t>
    </r>
    <r>
      <rPr>
        <sz val="11"/>
        <color indexed="8"/>
        <rFont val="新細明體"/>
        <charset val="134"/>
      </rPr>
      <t>)</t>
    </r>
  </si>
  <si>
    <t>精弛</t>
  </si>
  <si>
    <t>JC002</t>
  </si>
  <si>
    <r>
      <rPr>
        <sz val="11"/>
        <color rgb="FF000000"/>
        <rFont val="新細明體"/>
        <charset val="134"/>
      </rPr>
      <t>1810-002</t>
    </r>
    <r>
      <rPr>
        <sz val="11"/>
        <color indexed="8"/>
        <rFont val="宋体"/>
        <charset val="134"/>
      </rPr>
      <t>（泵盖）</t>
    </r>
  </si>
  <si>
    <t>JC003</t>
  </si>
  <si>
    <t>906680-001.40</t>
  </si>
  <si>
    <t>JM0001</t>
  </si>
  <si>
    <r>
      <rPr>
        <sz val="11"/>
        <color rgb="FF000000"/>
        <rFont val="新細明體"/>
        <charset val="134"/>
      </rPr>
      <t>G2040</t>
    </r>
    <r>
      <rPr>
        <sz val="11"/>
        <color indexed="8"/>
        <rFont val="宋体"/>
        <charset val="134"/>
      </rPr>
      <t>上盖</t>
    </r>
  </si>
  <si>
    <t>G2124DM11B01</t>
  </si>
  <si>
    <r>
      <rPr>
        <sz val="11"/>
        <color rgb="FF000000"/>
        <rFont val="新細明體"/>
        <charset val="134"/>
      </rPr>
      <t>BMS1997</t>
    </r>
    <r>
      <rPr>
        <sz val="11"/>
        <color rgb="FF000000"/>
        <rFont val="宋体"/>
        <charset val="134"/>
      </rPr>
      <t>上盖</t>
    </r>
  </si>
  <si>
    <r>
      <rPr>
        <sz val="11"/>
        <color rgb="FF000000"/>
        <rFont val="新細明體"/>
        <charset val="134"/>
      </rPr>
      <t>BMS1997</t>
    </r>
    <r>
      <rPr>
        <sz val="11"/>
        <color rgb="FF000000"/>
        <rFont val="宋体"/>
        <charset val="134"/>
      </rPr>
      <t>下盖</t>
    </r>
  </si>
  <si>
    <t>JM0005</t>
  </si>
  <si>
    <t>G2184</t>
  </si>
  <si>
    <t>JM0006</t>
  </si>
  <si>
    <r>
      <rPr>
        <sz val="11"/>
        <color theme="1"/>
        <rFont val="Tahoma"/>
        <charset val="134"/>
      </rPr>
      <t>2206</t>
    </r>
    <r>
      <rPr>
        <sz val="11"/>
        <color theme="1"/>
        <rFont val="宋体"/>
        <charset val="134"/>
      </rPr>
      <t>盖板</t>
    </r>
  </si>
  <si>
    <t>清洗</t>
  </si>
  <si>
    <t>JM0007</t>
  </si>
  <si>
    <r>
      <rPr>
        <sz val="11"/>
        <color theme="1"/>
        <rFont val="Tahoma"/>
        <charset val="134"/>
      </rPr>
      <t>2206</t>
    </r>
    <r>
      <rPr>
        <sz val="11"/>
        <color theme="1"/>
        <rFont val="宋体"/>
        <charset val="134"/>
      </rPr>
      <t>底壳</t>
    </r>
  </si>
  <si>
    <r>
      <rPr>
        <sz val="9"/>
        <color rgb="FF000000"/>
        <rFont val="Albany WT J"/>
        <charset val="134"/>
      </rPr>
      <t>G2131</t>
    </r>
    <r>
      <rPr>
        <sz val="9"/>
        <color rgb="FF000000"/>
        <rFont val="宋体"/>
        <charset val="134"/>
      </rPr>
      <t>主控上盖</t>
    </r>
  </si>
  <si>
    <r>
      <rPr>
        <sz val="11"/>
        <color theme="1"/>
        <rFont val="Tahoma"/>
        <charset val="134"/>
      </rPr>
      <t>G2131</t>
    </r>
    <r>
      <rPr>
        <sz val="11"/>
        <color theme="1"/>
        <rFont val="宋体"/>
        <charset val="134"/>
      </rPr>
      <t>底座（下盖）</t>
    </r>
  </si>
  <si>
    <t>JB0001</t>
  </si>
  <si>
    <t>内保险扣</t>
  </si>
  <si>
    <t>金棒</t>
  </si>
  <si>
    <t>JB0002</t>
  </si>
  <si>
    <t>外保险扣</t>
  </si>
  <si>
    <t>JB0003</t>
  </si>
  <si>
    <r>
      <rPr>
        <sz val="11"/>
        <color theme="1"/>
        <rFont val="Tahoma"/>
        <charset val="134"/>
      </rPr>
      <t>JB562/</t>
    </r>
    <r>
      <rPr>
        <sz val="11"/>
        <color theme="1"/>
        <rFont val="宋体"/>
        <charset val="134"/>
      </rPr>
      <t>手机支架夹紧块</t>
    </r>
  </si>
  <si>
    <t>JB527挂钩壳</t>
  </si>
  <si>
    <t>JB527折叠挂钩</t>
  </si>
  <si>
    <r>
      <rPr>
        <sz val="11"/>
        <color theme="1"/>
        <rFont val="Tahoma"/>
        <charset val="134"/>
      </rPr>
      <t>JB297</t>
    </r>
    <r>
      <rPr>
        <sz val="11"/>
        <color theme="1"/>
        <rFont val="宋体"/>
        <charset val="134"/>
      </rPr>
      <t>头壳</t>
    </r>
  </si>
  <si>
    <t>抛丸</t>
  </si>
  <si>
    <r>
      <rPr>
        <sz val="11"/>
        <color theme="1"/>
        <rFont val="Tahoma"/>
        <charset val="134"/>
      </rPr>
      <t>JB297</t>
    </r>
    <r>
      <rPr>
        <sz val="11"/>
        <color theme="1"/>
        <rFont val="宋体"/>
        <charset val="134"/>
      </rPr>
      <t>压块</t>
    </r>
  </si>
  <si>
    <t>麦凯良</t>
  </si>
  <si>
    <r>
      <rPr>
        <sz val="11"/>
        <color theme="1"/>
        <rFont val="Tahoma"/>
        <charset val="134"/>
      </rPr>
      <t>JB297</t>
    </r>
    <r>
      <rPr>
        <sz val="11"/>
        <color theme="1"/>
        <rFont val="宋体"/>
        <charset val="134"/>
      </rPr>
      <t>头壳前盖</t>
    </r>
  </si>
  <si>
    <r>
      <rPr>
        <sz val="11"/>
        <color theme="1"/>
        <rFont val="Tahoma"/>
        <charset val="134"/>
      </rPr>
      <t>JB539</t>
    </r>
    <r>
      <rPr>
        <sz val="11"/>
        <color theme="1"/>
        <rFont val="宋体"/>
        <charset val="134"/>
      </rPr>
      <t>头壳</t>
    </r>
  </si>
  <si>
    <r>
      <rPr>
        <sz val="11"/>
        <color theme="1"/>
        <rFont val="Tahoma"/>
        <charset val="134"/>
      </rPr>
      <t>JB527</t>
    </r>
    <r>
      <rPr>
        <sz val="11"/>
        <color theme="1"/>
        <rFont val="宋体"/>
        <charset val="134"/>
      </rPr>
      <t>头壳</t>
    </r>
  </si>
  <si>
    <r>
      <rPr>
        <sz val="11"/>
        <color rgb="FF000000"/>
        <rFont val="宋体"/>
        <charset val="134"/>
      </rPr>
      <t>清洗</t>
    </r>
    <r>
      <rPr>
        <sz val="11"/>
        <color rgb="FF000000"/>
        <rFont val="新細明體"/>
        <charset val="134"/>
      </rPr>
      <t>+</t>
    </r>
    <r>
      <rPr>
        <sz val="11"/>
        <color rgb="FF000000"/>
        <rFont val="宋体"/>
        <charset val="134"/>
      </rPr>
      <t>补土</t>
    </r>
  </si>
  <si>
    <r>
      <rPr>
        <sz val="11"/>
        <color theme="1"/>
        <rFont val="Tahoma"/>
        <charset val="134"/>
      </rPr>
      <t>JB541A/</t>
    </r>
    <r>
      <rPr>
        <sz val="11"/>
        <color theme="1"/>
        <rFont val="宋体"/>
        <charset val="134"/>
      </rPr>
      <t>头部壳体</t>
    </r>
  </si>
  <si>
    <t>JE001</t>
  </si>
  <si>
    <t>杰尔</t>
  </si>
  <si>
    <t>JE002</t>
  </si>
  <si>
    <t>JWT001</t>
  </si>
  <si>
    <t>底座连接块</t>
  </si>
  <si>
    <t>嘉玮泰</t>
  </si>
  <si>
    <r>
      <rPr>
        <sz val="11"/>
        <color theme="1"/>
        <rFont val="宋体"/>
        <charset val="134"/>
      </rPr>
      <t>钻孔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攻牙</t>
    </r>
  </si>
  <si>
    <t>JWT002</t>
  </si>
  <si>
    <t>(F2)支架滑块</t>
  </si>
  <si>
    <t>JWT003</t>
  </si>
  <si>
    <t>中环压铸件</t>
  </si>
  <si>
    <t>HJT001</t>
  </si>
  <si>
    <r>
      <rPr>
        <sz val="11"/>
        <rFont val="新細明體"/>
        <charset val="134"/>
      </rPr>
      <t>100-</t>
    </r>
    <r>
      <rPr>
        <sz val="11"/>
        <rFont val="宋体"/>
        <charset val="134"/>
      </rPr>
      <t>上盖（控制器）</t>
    </r>
  </si>
  <si>
    <t>华捷腾</t>
  </si>
  <si>
    <t>HJT002</t>
  </si>
  <si>
    <r>
      <rPr>
        <sz val="11"/>
        <rFont val="新細明體"/>
        <charset val="134"/>
      </rPr>
      <t>底</t>
    </r>
    <r>
      <rPr>
        <sz val="11"/>
        <rFont val="宋体"/>
        <charset val="134"/>
      </rPr>
      <t>板</t>
    </r>
  </si>
  <si>
    <t>HJT003</t>
  </si>
  <si>
    <t>侧板</t>
  </si>
  <si>
    <t>HJT004</t>
  </si>
  <si>
    <t>后壳</t>
  </si>
  <si>
    <t>HJT005</t>
  </si>
  <si>
    <t>YHC001</t>
  </si>
  <si>
    <t>15959HC</t>
  </si>
  <si>
    <t>华创</t>
  </si>
  <si>
    <t>HZH001</t>
  </si>
  <si>
    <r>
      <rPr>
        <sz val="11"/>
        <color theme="1"/>
        <rFont val="Tahoma"/>
        <charset val="134"/>
      </rPr>
      <t>HZ150-27</t>
    </r>
    <r>
      <rPr>
        <sz val="11"/>
        <color theme="1"/>
        <rFont val="宋体"/>
        <charset val="134"/>
      </rPr>
      <t>铝轮</t>
    </r>
  </si>
  <si>
    <t>厚泽</t>
  </si>
  <si>
    <t>HZH002</t>
  </si>
  <si>
    <r>
      <rPr>
        <sz val="11"/>
        <color theme="1"/>
        <rFont val="Tahoma"/>
        <charset val="134"/>
      </rPr>
      <t>HZ150-38</t>
    </r>
    <r>
      <rPr>
        <sz val="11"/>
        <color theme="1"/>
        <rFont val="宋体"/>
        <charset val="134"/>
      </rPr>
      <t>铝轮</t>
    </r>
  </si>
  <si>
    <t>HZH003</t>
  </si>
  <si>
    <t>铝支架</t>
  </si>
  <si>
    <t>HZH004</t>
  </si>
  <si>
    <r>
      <rPr>
        <sz val="11"/>
        <color theme="1"/>
        <rFont val="Tahoma"/>
        <charset val="134"/>
      </rPr>
      <t>125</t>
    </r>
    <r>
      <rPr>
        <sz val="11"/>
        <color theme="1"/>
        <rFont val="宋体"/>
        <charset val="134"/>
      </rPr>
      <t>铝轮</t>
    </r>
  </si>
  <si>
    <t>HZH005</t>
  </si>
  <si>
    <r>
      <rPr>
        <sz val="11"/>
        <color theme="1"/>
        <rFont val="Tahoma"/>
        <charset val="134"/>
      </rPr>
      <t>80</t>
    </r>
    <r>
      <rPr>
        <sz val="11"/>
        <color theme="1"/>
        <rFont val="宋体"/>
        <charset val="134"/>
      </rPr>
      <t>铝轮</t>
    </r>
  </si>
  <si>
    <t>HZH006</t>
  </si>
  <si>
    <r>
      <rPr>
        <sz val="11"/>
        <color theme="1"/>
        <rFont val="Tahoma"/>
        <charset val="134"/>
      </rPr>
      <t>150</t>
    </r>
    <r>
      <rPr>
        <sz val="11"/>
        <color theme="1"/>
        <rFont val="宋体"/>
        <charset val="134"/>
      </rPr>
      <t>铝盖</t>
    </r>
  </si>
  <si>
    <t>HZH007</t>
  </si>
  <si>
    <r>
      <rPr>
        <sz val="11"/>
        <color theme="1"/>
        <rFont val="Tahoma"/>
        <charset val="134"/>
      </rPr>
      <t>200</t>
    </r>
    <r>
      <rPr>
        <sz val="11"/>
        <color theme="1"/>
        <rFont val="宋体"/>
        <charset val="134"/>
      </rPr>
      <t>铝盖</t>
    </r>
  </si>
  <si>
    <t>HZH008</t>
  </si>
  <si>
    <r>
      <rPr>
        <sz val="11"/>
        <color theme="1"/>
        <rFont val="Tahoma"/>
        <charset val="134"/>
      </rPr>
      <t>300</t>
    </r>
    <r>
      <rPr>
        <sz val="11"/>
        <color theme="1"/>
        <rFont val="宋体"/>
        <charset val="134"/>
      </rPr>
      <t>铝轮</t>
    </r>
  </si>
  <si>
    <t>HZH009</t>
  </si>
  <si>
    <r>
      <rPr>
        <sz val="11"/>
        <color theme="1"/>
        <rFont val="Tahoma"/>
        <charset val="134"/>
      </rPr>
      <t>200-27</t>
    </r>
    <r>
      <rPr>
        <sz val="11"/>
        <color theme="1"/>
        <rFont val="宋体"/>
        <charset val="134"/>
      </rPr>
      <t>铝轮</t>
    </r>
  </si>
  <si>
    <t>HZH010</t>
  </si>
  <si>
    <r>
      <rPr>
        <sz val="11"/>
        <color theme="1"/>
        <rFont val="Tahoma"/>
        <charset val="134"/>
      </rPr>
      <t>27</t>
    </r>
    <r>
      <rPr>
        <sz val="11"/>
        <color theme="1"/>
        <rFont val="宋体"/>
        <charset val="134"/>
      </rPr>
      <t>铝轮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旧</t>
    </r>
  </si>
  <si>
    <t>HZH011</t>
  </si>
  <si>
    <r>
      <rPr>
        <sz val="11"/>
        <color theme="1"/>
        <rFont val="Tahoma"/>
        <charset val="134"/>
      </rPr>
      <t>200-38</t>
    </r>
    <r>
      <rPr>
        <sz val="11"/>
        <color theme="1"/>
        <rFont val="宋体"/>
        <charset val="134"/>
      </rPr>
      <t>铝轮</t>
    </r>
  </si>
  <si>
    <t>HHZ001</t>
  </si>
  <si>
    <t>530-0005</t>
  </si>
  <si>
    <t>宏汇泽</t>
  </si>
  <si>
    <t>HHZ002</t>
  </si>
  <si>
    <t>下连接臂</t>
  </si>
  <si>
    <t>HHZ003</t>
  </si>
  <si>
    <t>主板支架</t>
  </si>
  <si>
    <t>红孩儿B型铝连杆（红孩儿铝连杆）</t>
  </si>
  <si>
    <t>红黑科技</t>
  </si>
  <si>
    <t>凤友，先攻牙最后清洗不开单</t>
  </si>
  <si>
    <t>红孩儿B型铝压盖（红孩儿铝压盖）</t>
  </si>
  <si>
    <t>红孩儿B型铝底座（红孩儿铝底座）</t>
  </si>
  <si>
    <t>小金童铝连杆</t>
  </si>
  <si>
    <r>
      <rPr>
        <sz val="11"/>
        <color theme="1"/>
        <rFont val="Tahoma"/>
        <charset val="134"/>
      </rPr>
      <t xml:space="preserve">CNC   </t>
    </r>
    <r>
      <rPr>
        <sz val="11"/>
        <color theme="1"/>
        <rFont val="宋体"/>
        <charset val="134"/>
      </rPr>
      <t>同齐力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钛圪佳</t>
    </r>
  </si>
  <si>
    <t>HH8027/散热片（至尊宝散热片）</t>
  </si>
  <si>
    <t>HH8027/充电内圈（至尊宝充电内圈）</t>
  </si>
  <si>
    <t>HH8027/充电外圈（至尊宝充电外圈）</t>
  </si>
  <si>
    <t>HH8027/冷热按摩头传导片（至尊宝传导片）</t>
  </si>
  <si>
    <t>HH8027/连杆（至尊宝铝连杆）</t>
  </si>
  <si>
    <r>
      <rPr>
        <sz val="11"/>
        <color theme="1"/>
        <rFont val="Tahoma"/>
        <charset val="134"/>
      </rPr>
      <t>CNC</t>
    </r>
    <r>
      <rPr>
        <sz val="11"/>
        <color theme="1"/>
        <rFont val="宋体"/>
        <charset val="134"/>
      </rPr>
      <t>钛圪佳</t>
    </r>
  </si>
  <si>
    <t>千里眼铝底座（HH8023)</t>
  </si>
  <si>
    <t>千里眼铝压盖（HH8023)</t>
  </si>
  <si>
    <t>HH8303二郎神旋转卡钮</t>
  </si>
  <si>
    <t>HH8303二郎神铝连杆</t>
  </si>
  <si>
    <t>HH8303二郎神内壳</t>
  </si>
  <si>
    <t>HVG02支架（电机支架）</t>
  </si>
  <si>
    <t>HH8812/冷热按摩头传导片</t>
  </si>
  <si>
    <t>8812散热片</t>
  </si>
  <si>
    <t>8812A散热片</t>
  </si>
  <si>
    <t>HH8038连杆</t>
  </si>
  <si>
    <t>HH8038电机定位版（电机支架）</t>
  </si>
  <si>
    <t>HH0021</t>
  </si>
  <si>
    <t>HH8027A-1散热片</t>
  </si>
  <si>
    <t>HH8027A-1散热片（设变后）</t>
  </si>
  <si>
    <t>HH8318连杆</t>
  </si>
  <si>
    <t>HH0023</t>
  </si>
  <si>
    <t>HH8513冷热按摩传导片（铝合金）</t>
  </si>
  <si>
    <t>HH8513散热片</t>
  </si>
  <si>
    <t>HH8513旋钮</t>
  </si>
  <si>
    <t>华晖远</t>
  </si>
  <si>
    <t>铝底座/8526</t>
  </si>
  <si>
    <t>铝压盖/8526</t>
  </si>
  <si>
    <t>8527旋钮</t>
  </si>
  <si>
    <t>HH8808冷热传导盖</t>
  </si>
  <si>
    <t>HH8808散热片</t>
  </si>
  <si>
    <r>
      <rPr>
        <sz val="11"/>
        <color theme="1"/>
        <rFont val="Tahoma"/>
        <charset val="134"/>
      </rPr>
      <t>8525/8513</t>
    </r>
    <r>
      <rPr>
        <sz val="11"/>
        <color theme="1"/>
        <rFont val="宋体"/>
        <charset val="134"/>
      </rPr>
      <t>滑杆（同</t>
    </r>
    <r>
      <rPr>
        <sz val="11"/>
        <color theme="1"/>
        <rFont val="Tahoma"/>
        <charset val="134"/>
      </rPr>
      <t>8527</t>
    </r>
    <r>
      <rPr>
        <sz val="11"/>
        <color theme="1"/>
        <rFont val="宋体"/>
        <charset val="134"/>
      </rPr>
      <t>滑杆）</t>
    </r>
  </si>
  <si>
    <r>
      <rPr>
        <sz val="11"/>
        <color theme="1"/>
        <rFont val="宋体"/>
        <charset val="134"/>
      </rPr>
      <t>电泳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益地</t>
    </r>
  </si>
  <si>
    <r>
      <rPr>
        <sz val="11"/>
        <color theme="1"/>
        <rFont val="Tahoma"/>
        <charset val="134"/>
      </rPr>
      <t>8527</t>
    </r>
    <r>
      <rPr>
        <sz val="11"/>
        <color theme="1"/>
        <rFont val="宋体"/>
        <charset val="134"/>
      </rPr>
      <t>散热片</t>
    </r>
  </si>
  <si>
    <t>HH0033</t>
  </si>
  <si>
    <r>
      <rPr>
        <sz val="11"/>
        <color theme="1"/>
        <rFont val="Tahoma"/>
        <charset val="134"/>
      </rPr>
      <t>8527</t>
    </r>
    <r>
      <rPr>
        <sz val="11"/>
        <color theme="1"/>
        <rFont val="宋体"/>
        <charset val="134"/>
      </rPr>
      <t>滑杆</t>
    </r>
  </si>
  <si>
    <r>
      <rPr>
        <sz val="11"/>
        <color theme="1"/>
        <rFont val="Tahoma"/>
        <charset val="134"/>
      </rPr>
      <t>8528</t>
    </r>
    <r>
      <rPr>
        <sz val="11"/>
        <color theme="1"/>
        <rFont val="宋体"/>
        <charset val="134"/>
      </rPr>
      <t>滑杆</t>
    </r>
  </si>
  <si>
    <r>
      <rPr>
        <sz val="11"/>
        <color theme="1"/>
        <rFont val="Tahoma"/>
        <charset val="134"/>
      </rPr>
      <t>8624</t>
    </r>
    <r>
      <rPr>
        <sz val="11"/>
        <color theme="1"/>
        <rFont val="宋体"/>
        <charset val="134"/>
      </rPr>
      <t>滑杆</t>
    </r>
  </si>
  <si>
    <r>
      <rPr>
        <sz val="11"/>
        <color theme="1"/>
        <rFont val="Tahoma"/>
        <charset val="134"/>
      </rPr>
      <t>8592</t>
    </r>
    <r>
      <rPr>
        <sz val="11"/>
        <color theme="1"/>
        <rFont val="宋体"/>
        <charset val="134"/>
      </rPr>
      <t>连杆</t>
    </r>
  </si>
  <si>
    <r>
      <rPr>
        <sz val="11"/>
        <color theme="1"/>
        <rFont val="Tahoma"/>
        <charset val="134"/>
      </rPr>
      <t>8015</t>
    </r>
    <r>
      <rPr>
        <sz val="11"/>
        <color theme="1"/>
        <rFont val="宋体"/>
        <charset val="134"/>
      </rPr>
      <t>沙和尚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底座</t>
    </r>
  </si>
  <si>
    <r>
      <rPr>
        <sz val="11"/>
        <color theme="1"/>
        <rFont val="Tahoma"/>
        <charset val="134"/>
      </rPr>
      <t>8015</t>
    </r>
    <r>
      <rPr>
        <sz val="11"/>
        <color theme="1"/>
        <rFont val="宋体"/>
        <charset val="134"/>
      </rPr>
      <t>沙和尚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压盖</t>
    </r>
  </si>
  <si>
    <r>
      <rPr>
        <sz val="11"/>
        <color theme="1"/>
        <rFont val="Tahoma"/>
        <charset val="134"/>
      </rPr>
      <t>8015</t>
    </r>
    <r>
      <rPr>
        <sz val="11"/>
        <color theme="1"/>
        <rFont val="宋体"/>
        <charset val="134"/>
      </rPr>
      <t>沙和尚</t>
    </r>
    <r>
      <rPr>
        <sz val="11"/>
        <color theme="1"/>
        <rFont val="Tahoma"/>
        <charset val="134"/>
      </rPr>
      <t>-</t>
    </r>
    <r>
      <rPr>
        <sz val="11"/>
        <color theme="1"/>
        <rFont val="宋体"/>
        <charset val="134"/>
      </rPr>
      <t>连杆</t>
    </r>
  </si>
  <si>
    <r>
      <rPr>
        <sz val="11"/>
        <color theme="1"/>
        <rFont val="Tahoma"/>
        <charset val="134"/>
      </rPr>
      <t>8040</t>
    </r>
    <r>
      <rPr>
        <sz val="11"/>
        <color theme="1"/>
        <rFont val="宋体"/>
        <charset val="134"/>
      </rPr>
      <t>铝连杆</t>
    </r>
  </si>
  <si>
    <t>SHHZ001</t>
  </si>
  <si>
    <r>
      <rPr>
        <sz val="11"/>
        <color theme="1"/>
        <rFont val="宋体"/>
        <charset val="134"/>
      </rPr>
      <t>前盖</t>
    </r>
    <r>
      <rPr>
        <sz val="11"/>
        <color theme="1"/>
        <rFont val="Tahoma"/>
        <charset val="134"/>
      </rPr>
      <t xml:space="preserve">
UVTC8.004.0444-MP</t>
    </r>
  </si>
  <si>
    <t>和祖</t>
  </si>
  <si>
    <t>SHHZ002</t>
  </si>
  <si>
    <t>SHHZ003</t>
  </si>
  <si>
    <r>
      <rPr>
        <sz val="11"/>
        <color theme="1"/>
        <rFont val="宋体"/>
        <charset val="134"/>
      </rPr>
      <t>定焦前脸</t>
    </r>
    <r>
      <rPr>
        <sz val="11"/>
        <color theme="1"/>
        <rFont val="Tahoma"/>
        <charset val="134"/>
      </rPr>
      <t xml:space="preserve">
(UVTC8.004.0680-MP)</t>
    </r>
  </si>
  <si>
    <t>SHHZ004</t>
  </si>
  <si>
    <r>
      <rPr>
        <sz val="11"/>
        <color theme="1"/>
        <rFont val="Tahoma"/>
        <charset val="134"/>
      </rPr>
      <t>OEM</t>
    </r>
    <r>
      <rPr>
        <sz val="11"/>
        <color theme="1"/>
        <rFont val="宋体"/>
        <charset val="134"/>
      </rPr>
      <t>酒杯筒筒身</t>
    </r>
    <r>
      <rPr>
        <sz val="11"/>
        <color theme="1"/>
        <rFont val="Tahoma"/>
        <charset val="134"/>
      </rPr>
      <t xml:space="preserve">
UVTC8.004.1129-MP</t>
    </r>
  </si>
  <si>
    <t>SHHZ005</t>
  </si>
  <si>
    <r>
      <rPr>
        <sz val="11"/>
        <color theme="1"/>
        <rFont val="宋体"/>
        <charset val="134"/>
      </rPr>
      <t>水晶系列上盖</t>
    </r>
    <r>
      <rPr>
        <sz val="11"/>
        <color theme="1"/>
        <rFont val="Tahoma"/>
        <charset val="134"/>
      </rPr>
      <t xml:space="preserve">
DH3.0020.1001-MP</t>
    </r>
  </si>
  <si>
    <t>SHHZ006</t>
  </si>
  <si>
    <r>
      <rPr>
        <sz val="11"/>
        <color theme="1"/>
        <rFont val="宋体"/>
        <charset val="134"/>
      </rPr>
      <t>球罩</t>
    </r>
    <r>
      <rPr>
        <sz val="11"/>
        <color theme="1"/>
        <rFont val="Tahoma"/>
        <charset val="134"/>
      </rPr>
      <t xml:space="preserve">
DH3.X0878.1001-MP</t>
    </r>
  </si>
  <si>
    <t>SHHZ008</t>
  </si>
  <si>
    <r>
      <rPr>
        <sz val="11"/>
        <color theme="1"/>
        <rFont val="宋体"/>
        <charset val="134"/>
      </rPr>
      <t>腔体</t>
    </r>
    <r>
      <rPr>
        <sz val="11"/>
        <color theme="1"/>
        <rFont val="Tahoma"/>
        <charset val="134"/>
      </rPr>
      <t>3991166701</t>
    </r>
  </si>
  <si>
    <t>SHHZ009</t>
  </si>
  <si>
    <t>UVTC8.004.2109-MP</t>
  </si>
  <si>
    <t>HZ001</t>
  </si>
  <si>
    <r>
      <rPr>
        <sz val="11"/>
        <color rgb="FF000000"/>
        <rFont val="宋体"/>
        <charset val="134"/>
      </rPr>
      <t>骨架</t>
    </r>
    <r>
      <rPr>
        <sz val="11"/>
        <color indexed="8"/>
        <rFont val="新細明體"/>
        <charset val="134"/>
      </rPr>
      <t>A</t>
    </r>
  </si>
  <si>
    <t>禾准</t>
  </si>
  <si>
    <t>HZ002</t>
  </si>
  <si>
    <r>
      <rPr>
        <sz val="11"/>
        <color theme="1"/>
        <rFont val="宋体"/>
        <charset val="134"/>
      </rPr>
      <t>骨架</t>
    </r>
    <r>
      <rPr>
        <sz val="11"/>
        <color theme="1"/>
        <rFont val="Tahoma"/>
        <charset val="134"/>
      </rPr>
      <t>B</t>
    </r>
  </si>
  <si>
    <t>HZ003</t>
  </si>
  <si>
    <t>传感器支架</t>
  </si>
  <si>
    <t>HYS004</t>
  </si>
  <si>
    <t>UFO-Heatsink</t>
  </si>
  <si>
    <t>好岩石</t>
  </si>
  <si>
    <t>HJ0001</t>
  </si>
  <si>
    <t>铝碗</t>
  </si>
  <si>
    <t>海进</t>
  </si>
  <si>
    <r>
      <rPr>
        <sz val="11"/>
        <color theme="1"/>
        <rFont val="Tahoma"/>
        <charset val="134"/>
      </rPr>
      <t>X10A</t>
    </r>
    <r>
      <rPr>
        <sz val="11"/>
        <color theme="1"/>
        <rFont val="宋体"/>
        <charset val="134"/>
      </rPr>
      <t>固定架</t>
    </r>
  </si>
  <si>
    <t>国城</t>
  </si>
  <si>
    <t>GH001</t>
  </si>
  <si>
    <t>FN15012</t>
  </si>
  <si>
    <t>广禾</t>
  </si>
  <si>
    <t>GH002</t>
  </si>
  <si>
    <t>FN15013</t>
  </si>
  <si>
    <t>GH003</t>
  </si>
  <si>
    <t>FN17002</t>
  </si>
  <si>
    <t>GH004</t>
  </si>
  <si>
    <t>FN17003</t>
  </si>
  <si>
    <t>GH005</t>
  </si>
  <si>
    <t>FN13001</t>
  </si>
  <si>
    <t>GH006</t>
  </si>
  <si>
    <t>FN13002</t>
  </si>
  <si>
    <t>GH007</t>
  </si>
  <si>
    <t>FN15014</t>
  </si>
  <si>
    <t>GH008</t>
  </si>
  <si>
    <t>FN15015</t>
  </si>
  <si>
    <t>GH009</t>
  </si>
  <si>
    <t>FN13003</t>
  </si>
  <si>
    <t>GY001</t>
  </si>
  <si>
    <t>GE5KN6-01L</t>
  </si>
  <si>
    <t>刚毅</t>
  </si>
  <si>
    <t>GY002</t>
  </si>
  <si>
    <t>GE5KN6-02R</t>
  </si>
  <si>
    <t>GY003</t>
  </si>
  <si>
    <t>GE5KN6-03</t>
  </si>
  <si>
    <t>GY004</t>
  </si>
  <si>
    <r>
      <rPr>
        <sz val="11"/>
        <color rgb="FF000000"/>
        <rFont val="新細明體"/>
        <charset val="134"/>
      </rPr>
      <t>VR固定</t>
    </r>
    <r>
      <rPr>
        <sz val="11"/>
        <color indexed="8"/>
        <rFont val="宋体"/>
        <charset val="134"/>
      </rPr>
      <t>柱</t>
    </r>
  </si>
  <si>
    <t>DLT001</t>
  </si>
  <si>
    <t>锁舌</t>
  </si>
  <si>
    <t>鼎立通</t>
  </si>
  <si>
    <t>DLT002</t>
  </si>
  <si>
    <t>DLT003</t>
  </si>
  <si>
    <r>
      <rPr>
        <sz val="11"/>
        <color rgb="FF000000"/>
        <rFont val="新細明體"/>
        <charset val="134"/>
      </rPr>
      <t>961</t>
    </r>
    <r>
      <rPr>
        <sz val="11"/>
        <color indexed="8"/>
        <rFont val="宋体"/>
        <charset val="134"/>
      </rPr>
      <t>锁盒</t>
    </r>
  </si>
  <si>
    <t>DLT004</t>
  </si>
  <si>
    <t>螺纹档块</t>
  </si>
  <si>
    <t>DLT005</t>
  </si>
  <si>
    <r>
      <rPr>
        <sz val="11"/>
        <color theme="1"/>
        <rFont val="Tahoma"/>
        <charset val="134"/>
      </rPr>
      <t>3186958</t>
    </r>
    <r>
      <rPr>
        <sz val="11"/>
        <color theme="1"/>
        <rFont val="宋体"/>
        <charset val="134"/>
      </rPr>
      <t>齿轮座</t>
    </r>
  </si>
  <si>
    <t>DLT006</t>
  </si>
  <si>
    <t>阀门支撑板</t>
  </si>
  <si>
    <t>DLT007</t>
  </si>
  <si>
    <t>DLT008</t>
  </si>
  <si>
    <t>灵清格栅</t>
  </si>
  <si>
    <t>DLT009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</si>
  <si>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寸压铸散件</t>
    </r>
  </si>
  <si>
    <t>DLT010</t>
  </si>
  <si>
    <r>
      <rPr>
        <sz val="11"/>
        <color theme="1"/>
        <rFont val="宋体"/>
        <charset val="134"/>
      </rPr>
      <t>灵清</t>
    </r>
    <r>
      <rPr>
        <sz val="11"/>
        <color theme="1"/>
        <rFont val="Tahoma"/>
        <charset val="134"/>
      </rPr>
      <t>2</t>
    </r>
    <r>
      <rPr>
        <sz val="11"/>
        <color theme="1"/>
        <rFont val="宋体"/>
        <charset val="134"/>
      </rPr>
      <t>代</t>
    </r>
  </si>
  <si>
    <t>DLT011</t>
  </si>
  <si>
    <r>
      <rPr>
        <sz val="11"/>
        <color theme="1"/>
        <rFont val="Tahoma"/>
        <charset val="134"/>
      </rPr>
      <t>7040</t>
    </r>
    <r>
      <rPr>
        <sz val="11"/>
        <color theme="1"/>
        <rFont val="宋体"/>
        <charset val="134"/>
      </rPr>
      <t>主基座</t>
    </r>
  </si>
  <si>
    <t>DLT012</t>
  </si>
  <si>
    <r>
      <rPr>
        <sz val="11"/>
        <color theme="1"/>
        <rFont val="Tahoma"/>
        <charset val="134"/>
      </rPr>
      <t>7130</t>
    </r>
    <r>
      <rPr>
        <sz val="11"/>
        <color theme="1"/>
        <rFont val="宋体"/>
        <charset val="134"/>
      </rPr>
      <t>主基座</t>
    </r>
  </si>
  <si>
    <t>DL001</t>
  </si>
  <si>
    <t>散热片</t>
  </si>
  <si>
    <t>鼎力</t>
  </si>
  <si>
    <t>DSD001</t>
  </si>
  <si>
    <r>
      <rPr>
        <sz val="11"/>
        <color rgb="FF000000"/>
        <rFont val="新細明體"/>
        <charset val="134"/>
      </rPr>
      <t>VAIL USB</t>
    </r>
    <r>
      <rPr>
        <sz val="11"/>
        <color rgb="FF000000"/>
        <rFont val="宋体"/>
        <charset val="134"/>
      </rPr>
      <t>金属支架</t>
    </r>
  </si>
  <si>
    <t>丁是丁</t>
  </si>
  <si>
    <t>DT0001</t>
  </si>
  <si>
    <r>
      <rPr>
        <sz val="11"/>
        <color theme="1"/>
        <rFont val="Tahoma"/>
        <charset val="134"/>
      </rPr>
      <t>N082603</t>
    </r>
    <r>
      <rPr>
        <sz val="11"/>
        <color theme="1"/>
        <rFont val="宋体"/>
        <charset val="134"/>
      </rPr>
      <t>壳体</t>
    </r>
  </si>
  <si>
    <t>大唐</t>
  </si>
  <si>
    <t>透明罩盖压环（透明环）</t>
  </si>
  <si>
    <t>川仪</t>
  </si>
  <si>
    <t>CY0001</t>
  </si>
  <si>
    <t>3DB093</t>
  </si>
  <si>
    <t>诚远</t>
  </si>
  <si>
    <r>
      <rPr>
        <sz val="11"/>
        <color rgb="FF000000"/>
        <rFont val="新細明體"/>
        <charset val="134"/>
      </rPr>
      <t xml:space="preserve">M3 Sus TS brt LS </t>
    </r>
    <r>
      <rPr>
        <sz val="11"/>
        <color rgb="FF000000"/>
        <rFont val="宋体"/>
        <charset val="134"/>
      </rPr>
      <t>左摆臂</t>
    </r>
  </si>
  <si>
    <t>晨兴德机械</t>
  </si>
  <si>
    <r>
      <rPr>
        <sz val="11"/>
        <color rgb="FF000000"/>
        <rFont val="新細明體"/>
        <charset val="134"/>
      </rPr>
      <t xml:space="preserve">M3 Sus TS brt RS </t>
    </r>
    <r>
      <rPr>
        <sz val="11"/>
        <color rgb="FF000000"/>
        <rFont val="宋体"/>
        <charset val="134"/>
      </rPr>
      <t>右摆臂</t>
    </r>
  </si>
  <si>
    <t>CXD003</t>
  </si>
  <si>
    <r>
      <rPr>
        <sz val="11"/>
        <color rgb="FF000000"/>
        <rFont val="新細明體"/>
        <charset val="134"/>
      </rPr>
      <t xml:space="preserve">M1 TSemdblock </t>
    </r>
    <r>
      <rPr>
        <sz val="11"/>
        <color rgb="FF000000"/>
        <rFont val="宋体"/>
        <charset val="134"/>
      </rPr>
      <t>支架</t>
    </r>
  </si>
  <si>
    <t>BHC001</t>
  </si>
  <si>
    <r>
      <rPr>
        <sz val="11"/>
        <rFont val="新細明體"/>
        <charset val="134"/>
      </rPr>
      <t>后</t>
    </r>
    <r>
      <rPr>
        <sz val="11"/>
        <rFont val="宋体"/>
        <charset val="134"/>
      </rPr>
      <t>盖</t>
    </r>
    <r>
      <rPr>
        <sz val="11"/>
        <rFont val="新細明體"/>
        <charset val="134"/>
      </rPr>
      <t>-B</t>
    </r>
  </si>
  <si>
    <t>百和晟</t>
  </si>
  <si>
    <t>BHC002</t>
  </si>
  <si>
    <t>马达后壳</t>
  </si>
  <si>
    <t>BHC003</t>
  </si>
  <si>
    <t>变速盘</t>
  </si>
  <si>
    <t>ABL001</t>
  </si>
  <si>
    <r>
      <rPr>
        <sz val="11"/>
        <color theme="1"/>
        <rFont val="Tahoma"/>
        <charset val="134"/>
      </rPr>
      <t>K1</t>
    </r>
    <r>
      <rPr>
        <sz val="11"/>
        <color theme="1"/>
        <rFont val="宋体"/>
        <charset val="134"/>
      </rPr>
      <t>散热片</t>
    </r>
  </si>
  <si>
    <t>ABL002</t>
  </si>
  <si>
    <r>
      <rPr>
        <sz val="11"/>
        <color theme="1"/>
        <rFont val="宋体"/>
        <charset val="134"/>
      </rPr>
      <t>夹爪爪头</t>
    </r>
    <r>
      <rPr>
        <sz val="11"/>
        <color theme="1"/>
        <rFont val="Tahoma"/>
        <charset val="134"/>
      </rPr>
      <t>-1</t>
    </r>
  </si>
  <si>
    <r>
      <rPr>
        <sz val="11"/>
        <color theme="1"/>
        <rFont val="宋体"/>
        <charset val="134"/>
      </rPr>
      <t>阳极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 xml:space="preserve">硬阳 </t>
    </r>
  </si>
  <si>
    <t>ABL003</t>
  </si>
  <si>
    <r>
      <rPr>
        <sz val="11"/>
        <color theme="1"/>
        <rFont val="宋体"/>
        <charset val="134"/>
      </rPr>
      <t>夹爪爪头</t>
    </r>
    <r>
      <rPr>
        <sz val="11"/>
        <color theme="1"/>
        <rFont val="Tahoma"/>
        <charset val="134"/>
      </rPr>
      <t>-2</t>
    </r>
  </si>
  <si>
    <r>
      <rPr>
        <sz val="11"/>
        <color theme="1"/>
        <rFont val="宋体"/>
        <charset val="134"/>
      </rPr>
      <t>阳极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硬阳</t>
    </r>
  </si>
  <si>
    <t>ABL004</t>
  </si>
  <si>
    <t>转轴支架</t>
  </si>
  <si>
    <t>ABL005</t>
  </si>
  <si>
    <r>
      <rPr>
        <sz val="11"/>
        <color theme="1"/>
        <rFont val="Tahoma"/>
        <charset val="134"/>
      </rPr>
      <t>T3H</t>
    </r>
    <r>
      <rPr>
        <sz val="11"/>
        <color theme="1"/>
        <rFont val="宋体"/>
        <charset val="134"/>
      </rPr>
      <t>后壳</t>
    </r>
  </si>
  <si>
    <t>双嘴钳</t>
  </si>
  <si>
    <t>AWE001</t>
  </si>
  <si>
    <t>艾为尔</t>
  </si>
  <si>
    <t>AWE002</t>
  </si>
  <si>
    <r>
      <rPr>
        <sz val="11"/>
        <color theme="1"/>
        <rFont val="Tahoma"/>
        <charset val="134"/>
      </rPr>
      <t>710A-55</t>
    </r>
    <r>
      <rPr>
        <sz val="11"/>
        <color theme="1"/>
        <rFont val="宋体"/>
        <charset val="134"/>
      </rPr>
      <t>上盖</t>
    </r>
  </si>
  <si>
    <t>精华</t>
  </si>
  <si>
    <r>
      <rPr>
        <sz val="11"/>
        <color theme="1"/>
        <rFont val="Tahoma"/>
        <charset val="134"/>
      </rPr>
      <t>710A-55</t>
    </r>
    <r>
      <rPr>
        <sz val="11"/>
        <color theme="1"/>
        <rFont val="宋体"/>
        <charset val="134"/>
      </rPr>
      <t>下盖</t>
    </r>
  </si>
  <si>
    <t>BJM001</t>
  </si>
  <si>
    <t>塞子</t>
  </si>
  <si>
    <t>宝进镁</t>
  </si>
  <si>
    <t>冲压钻孔</t>
  </si>
  <si>
    <t>CB001</t>
  </si>
  <si>
    <t>AP31COVER1(AP31)</t>
  </si>
  <si>
    <t>纯柏</t>
  </si>
  <si>
    <t>OFG001</t>
  </si>
  <si>
    <r>
      <rPr>
        <sz val="11"/>
        <color theme="1"/>
        <rFont val="宋体"/>
        <charset val="134"/>
      </rPr>
      <t>前盖</t>
    </r>
    <r>
      <rPr>
        <sz val="11"/>
        <color theme="1"/>
        <rFont val="Tahoma"/>
        <charset val="134"/>
      </rPr>
      <t>(YC0136002225
00)</t>
    </r>
  </si>
  <si>
    <t>欧菲光</t>
  </si>
  <si>
    <r>
      <rPr>
        <sz val="11"/>
        <color theme="1"/>
        <rFont val="宋体"/>
        <charset val="134"/>
      </rPr>
      <t>后盖</t>
    </r>
    <r>
      <rPr>
        <sz val="11"/>
        <color theme="1"/>
        <rFont val="Tahoma"/>
        <charset val="134"/>
      </rPr>
      <t xml:space="preserve">(YC013600222600)
</t>
    </r>
  </si>
  <si>
    <t>REAR_H
OUSING(YC013600237800)</t>
  </si>
  <si>
    <t>YC013600237900</t>
  </si>
  <si>
    <t>设变为YC013600237901</t>
  </si>
  <si>
    <r>
      <rPr>
        <sz val="11"/>
        <color theme="1"/>
        <rFont val="Tahoma"/>
        <charset val="134"/>
      </rPr>
      <t>YC013600237901</t>
    </r>
    <r>
      <rPr>
        <sz val="11"/>
        <color theme="1"/>
        <rFont val="宋体"/>
        <charset val="134"/>
      </rPr>
      <t>设变后</t>
    </r>
  </si>
  <si>
    <t>(YC013600000210)</t>
  </si>
  <si>
    <r>
      <rPr>
        <sz val="11"/>
        <color theme="1"/>
        <rFont val="宋体"/>
        <charset val="134"/>
      </rPr>
      <t>（</t>
    </r>
    <r>
      <rPr>
        <sz val="11"/>
        <color theme="1"/>
        <rFont val="Tahoma"/>
        <charset val="134"/>
      </rPr>
      <t>YC013600303900</t>
    </r>
    <r>
      <rPr>
        <sz val="11"/>
        <color theme="1"/>
        <rFont val="宋体"/>
        <charset val="134"/>
      </rPr>
      <t>）</t>
    </r>
    <r>
      <rPr>
        <sz val="11"/>
        <color theme="1"/>
        <rFont val="Tahoma"/>
        <charset val="134"/>
      </rPr>
      <t>/MS11</t>
    </r>
    <r>
      <rPr>
        <sz val="11"/>
        <color theme="1"/>
        <rFont val="宋体"/>
        <charset val="134"/>
      </rPr>
      <t>前壳</t>
    </r>
  </si>
  <si>
    <r>
      <rPr>
        <sz val="11"/>
        <color theme="1"/>
        <rFont val="宋体"/>
        <charset val="134"/>
      </rPr>
      <t>（</t>
    </r>
    <r>
      <rPr>
        <sz val="11"/>
        <color theme="1"/>
        <rFont val="Tahoma"/>
        <charset val="134"/>
      </rPr>
      <t>YC013600304000</t>
    </r>
    <r>
      <rPr>
        <sz val="11"/>
        <color theme="1"/>
        <rFont val="宋体"/>
        <charset val="134"/>
      </rPr>
      <t>）</t>
    </r>
    <r>
      <rPr>
        <sz val="11"/>
        <color theme="1"/>
        <rFont val="Tahoma"/>
        <charset val="134"/>
      </rPr>
      <t>/MS11</t>
    </r>
    <r>
      <rPr>
        <sz val="11"/>
        <color theme="1"/>
        <rFont val="宋体"/>
        <charset val="134"/>
      </rPr>
      <t>后壳</t>
    </r>
  </si>
  <si>
    <t>YC013600303400</t>
  </si>
  <si>
    <t>YC013600303500</t>
  </si>
  <si>
    <r>
      <rPr>
        <sz val="11"/>
        <color theme="1"/>
        <rFont val="Tahoma"/>
        <charset val="134"/>
      </rPr>
      <t>YC013600222501</t>
    </r>
    <r>
      <rPr>
        <sz val="11"/>
        <color theme="1"/>
        <rFont val="宋体"/>
        <charset val="134"/>
      </rPr>
      <t>（摄像头前盖）</t>
    </r>
  </si>
  <si>
    <t>YC013600330900</t>
  </si>
  <si>
    <t>OFG012</t>
  </si>
  <si>
    <r>
      <rPr>
        <sz val="11"/>
        <color theme="1"/>
        <rFont val="Tahoma"/>
        <charset val="134"/>
      </rPr>
      <t>YC013600252200</t>
    </r>
    <r>
      <rPr>
        <sz val="11"/>
        <color theme="1"/>
        <rFont val="宋体"/>
        <charset val="134"/>
      </rPr>
      <t>（毛毡）</t>
    </r>
  </si>
  <si>
    <t>外购</t>
  </si>
  <si>
    <t>YC013600351600</t>
  </si>
  <si>
    <r>
      <rPr>
        <sz val="11"/>
        <color theme="1"/>
        <rFont val="Tahoma"/>
        <charset val="134"/>
      </rPr>
      <t>YC013600155100(CAM</t>
    </r>
    <r>
      <rPr>
        <sz val="11"/>
        <color theme="1"/>
        <rFont val="宋体"/>
        <charset val="134"/>
      </rPr>
      <t>前壳）</t>
    </r>
  </si>
  <si>
    <r>
      <rPr>
        <sz val="11"/>
        <color theme="1"/>
        <rFont val="宋体"/>
        <charset val="134"/>
      </rPr>
      <t>攻牙</t>
    </r>
    <r>
      <rPr>
        <sz val="11"/>
        <color theme="1"/>
        <rFont val="Tahoma"/>
        <charset val="134"/>
      </rPr>
      <t>/</t>
    </r>
    <r>
      <rPr>
        <sz val="11"/>
        <color theme="1"/>
        <rFont val="宋体"/>
        <charset val="134"/>
      </rPr>
      <t>清洗</t>
    </r>
  </si>
  <si>
    <r>
      <rPr>
        <sz val="11"/>
        <color theme="1"/>
        <rFont val="Tahoma"/>
        <charset val="134"/>
      </rPr>
      <t>YC013600155200(CAM</t>
    </r>
    <r>
      <rPr>
        <sz val="11"/>
        <color theme="1"/>
        <rFont val="宋体"/>
        <charset val="134"/>
      </rPr>
      <t>后壳）</t>
    </r>
  </si>
  <si>
    <r>
      <rPr>
        <sz val="11"/>
        <color theme="1"/>
        <rFont val="Tahoma"/>
        <charset val="134"/>
      </rPr>
      <t>YC013600149200(DMS</t>
    </r>
    <r>
      <rPr>
        <sz val="11"/>
        <color theme="1"/>
        <rFont val="宋体"/>
        <charset val="134"/>
      </rPr>
      <t>前壳）</t>
    </r>
  </si>
  <si>
    <t>YC013600361200</t>
  </si>
  <si>
    <t>阳极/N61</t>
  </si>
  <si>
    <t>YC013600364900</t>
  </si>
  <si>
    <t>镭雕新加工艺/N60</t>
  </si>
  <si>
    <t>YC013600377500</t>
  </si>
  <si>
    <t>OFG021</t>
  </si>
  <si>
    <t>YC013600441100</t>
  </si>
  <si>
    <t>XL001</t>
  </si>
  <si>
    <t>（铝铸下盖）采集器后盖</t>
  </si>
  <si>
    <t>讯联</t>
  </si>
  <si>
    <t>XL002</t>
  </si>
  <si>
    <r>
      <rPr>
        <sz val="12"/>
        <color theme="1"/>
        <rFont val="宋体"/>
        <charset val="134"/>
      </rPr>
      <t>（铝铸上盖）采集器前壳</t>
    </r>
    <r>
      <rPr>
        <sz val="12"/>
        <color theme="1"/>
        <rFont val="Tahoma"/>
        <charset val="134"/>
      </rPr>
      <t>(</t>
    </r>
    <r>
      <rPr>
        <sz val="12"/>
        <color theme="1"/>
        <rFont val="宋体"/>
        <charset val="134"/>
      </rPr>
      <t>单孔）</t>
    </r>
  </si>
  <si>
    <t>XL003</t>
  </si>
  <si>
    <t>（铝铸上盖）采集器前壳（双孔）</t>
  </si>
  <si>
    <t>CS001</t>
  </si>
  <si>
    <t>半球50-金属藏线盒</t>
  </si>
  <si>
    <t>春盛</t>
  </si>
  <si>
    <t>CS002</t>
  </si>
  <si>
    <r>
      <rPr>
        <sz val="12"/>
        <color theme="1"/>
        <rFont val="宋体"/>
        <charset val="134"/>
      </rPr>
      <t>筒机</t>
    </r>
    <r>
      <rPr>
        <sz val="12"/>
        <color theme="1"/>
        <rFont val="Tahoma"/>
        <charset val="134"/>
      </rPr>
      <t>40-</t>
    </r>
    <r>
      <rPr>
        <sz val="12"/>
        <color theme="1"/>
        <rFont val="宋体"/>
        <charset val="134"/>
      </rPr>
      <t>机身2</t>
    </r>
  </si>
  <si>
    <r>
      <rPr>
        <sz val="12"/>
        <color theme="1"/>
        <rFont val="宋体"/>
        <charset val="134"/>
      </rPr>
      <t>扳手</t>
    </r>
    <r>
      <rPr>
        <sz val="12"/>
        <color theme="1"/>
        <rFont val="Tahoma"/>
        <charset val="134"/>
      </rPr>
      <t>806</t>
    </r>
    <r>
      <rPr>
        <sz val="12"/>
        <color theme="1"/>
        <rFont val="宋体"/>
        <charset val="134"/>
      </rPr>
      <t>头壳</t>
    </r>
    <r>
      <rPr>
        <sz val="12"/>
        <color theme="1"/>
        <rFont val="Tahoma"/>
        <charset val="134"/>
      </rPr>
      <t>(</t>
    </r>
    <r>
      <rPr>
        <sz val="12"/>
        <color theme="1"/>
        <rFont val="宋体"/>
        <charset val="134"/>
      </rPr>
      <t>含轴套</t>
    </r>
    <r>
      <rPr>
        <sz val="12"/>
        <color theme="1"/>
        <rFont val="Tahoma"/>
        <charset val="134"/>
      </rPr>
      <t>)(DTW380</t>
    </r>
    <r>
      <rPr>
        <sz val="12"/>
        <color theme="1"/>
        <rFont val="宋体"/>
        <charset val="134"/>
      </rPr>
      <t>牙箱壳）</t>
    </r>
  </si>
  <si>
    <t>扳手809头壳(含轴套)</t>
  </si>
  <si>
    <t>RB002-1</t>
  </si>
  <si>
    <t>扳手809头壳-黑色（TRU)</t>
  </si>
  <si>
    <t>扳手809端盖</t>
  </si>
  <si>
    <t>起子机2108-W头壳（230N头壳无轴套）</t>
  </si>
  <si>
    <t>起子机2108头壳-锐霸灰色（230N头壳含轴套）</t>
  </si>
  <si>
    <t>RB004-2</t>
  </si>
  <si>
    <t>起子机2108头壳-黑色（无轴套）</t>
  </si>
  <si>
    <t>RB004-3</t>
  </si>
  <si>
    <t>起子机2108头壳（升级款）</t>
  </si>
  <si>
    <t>临时料号，待起子机2108-W头壳出完转正式</t>
  </si>
  <si>
    <t>806-SK头壳(含轴套）</t>
  </si>
  <si>
    <r>
      <rPr>
        <sz val="11"/>
        <color theme="1"/>
        <rFont val="宋体"/>
        <charset val="134"/>
      </rPr>
      <t>扳手</t>
    </r>
    <r>
      <rPr>
        <sz val="11"/>
        <color theme="1"/>
        <rFont val="Tahoma"/>
        <charset val="134"/>
      </rPr>
      <t>806</t>
    </r>
    <r>
      <rPr>
        <sz val="11"/>
        <color theme="1"/>
        <rFont val="宋体"/>
        <charset val="134"/>
      </rPr>
      <t>头壳</t>
    </r>
    <r>
      <rPr>
        <sz val="11"/>
        <color theme="1"/>
        <rFont val="Tahoma"/>
        <charset val="134"/>
      </rPr>
      <t>(SK</t>
    </r>
    <r>
      <rPr>
        <sz val="11"/>
        <color theme="1"/>
        <rFont val="宋体"/>
        <charset val="134"/>
      </rPr>
      <t>含轴套</t>
    </r>
    <r>
      <rPr>
        <sz val="11"/>
        <color theme="1"/>
        <rFont val="Tahoma"/>
        <charset val="134"/>
      </rPr>
      <t>)</t>
    </r>
  </si>
  <si>
    <t>扳手818端盖</t>
  </si>
  <si>
    <t>扳手818头壳（带花纹含轴套）</t>
  </si>
  <si>
    <t>扳手818头壳-不带花纹</t>
  </si>
  <si>
    <t>2109左卡钳</t>
  </si>
  <si>
    <t>2109右卡钳</t>
  </si>
  <si>
    <t>扳手810头壳（无轴套）</t>
  </si>
  <si>
    <t>扳手810端盖--黑色</t>
  </si>
  <si>
    <t>电锤BH24A齿轮箱</t>
  </si>
  <si>
    <t>819头壳（含轴套）</t>
  </si>
  <si>
    <t>RB015</t>
  </si>
  <si>
    <t>826头壳（含轴套）</t>
  </si>
  <si>
    <t>819/826/826A(头壳通用端盖）</t>
  </si>
  <si>
    <t>RB018</t>
  </si>
  <si>
    <t>827头壳</t>
  </si>
  <si>
    <t>827立式副把手旋钮</t>
  </si>
  <si>
    <t>扳手828端盖</t>
  </si>
  <si>
    <t>扳手828把手支架</t>
  </si>
  <si>
    <t>扳手806S头壳 SD</t>
  </si>
  <si>
    <t>扳手809S 头壳 世达款</t>
  </si>
  <si>
    <t>扳手818S 头壳 世达款</t>
  </si>
  <si>
    <t>扳手818S 端盖 世达款</t>
  </si>
  <si>
    <t>起子机2108 头壳 世达款</t>
  </si>
  <si>
    <t>RB033</t>
  </si>
  <si>
    <t>扳手818头壳（不带花纹白色）</t>
  </si>
  <si>
    <t>RB034</t>
  </si>
  <si>
    <t>扳手818端盖（白色）</t>
  </si>
  <si>
    <t>826A头壳（世达款）</t>
  </si>
  <si>
    <t>819/826端盖（世达款）</t>
  </si>
  <si>
    <t>黄油枪HY01A齿轮箱</t>
  </si>
  <si>
    <t>左卡钳（黑色）</t>
  </si>
  <si>
    <t>右卡钳（黑色）</t>
  </si>
  <si>
    <t>819头壳（黑色）</t>
  </si>
  <si>
    <t>819端盖（黑色）</t>
  </si>
  <si>
    <r>
      <rPr>
        <sz val="12"/>
        <rFont val="宋体"/>
        <charset val="134"/>
        <scheme val="minor"/>
      </rPr>
      <t xml:space="preserve">1A321W1M001-0A(EL-321W-GL04 </t>
    </r>
    <r>
      <rPr>
        <sz val="11"/>
        <color rgb="FF000000"/>
        <rFont val="宋体"/>
        <charset val="134"/>
      </rPr>
      <t>铝壳）</t>
    </r>
  </si>
  <si>
    <t>怡利</t>
  </si>
  <si>
    <t>1A321W1N001-0A（EL-321W-GL0L铝挤散热片)</t>
  </si>
  <si>
    <r>
      <rPr>
        <sz val="11"/>
        <color rgb="FF000000"/>
        <rFont val="新細明體"/>
        <charset val="134"/>
      </rPr>
      <t>1A321W1N002-0A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新細明體"/>
        <charset val="134"/>
      </rPr>
      <t>EL-321W-GL0P铝散热片)</t>
    </r>
  </si>
  <si>
    <t>YL004</t>
  </si>
  <si>
    <t>EL-104D-RW01 左转轴</t>
  </si>
  <si>
    <t>配件</t>
  </si>
  <si>
    <t>YL005</t>
  </si>
  <si>
    <t>EL-104D-RW01 右转轴</t>
  </si>
  <si>
    <t>YL006</t>
  </si>
  <si>
    <t>EL-104D-RW01 左转轴支架</t>
  </si>
  <si>
    <t>YL007</t>
  </si>
  <si>
    <t>EL-104D-RW01 右转轴支架</t>
  </si>
  <si>
    <t>YL008</t>
  </si>
  <si>
    <t>EL-104D-RW01 垫片</t>
  </si>
  <si>
    <t>YL009</t>
  </si>
  <si>
    <t>EL-104D-RW01 M8尼帽</t>
  </si>
  <si>
    <t>YL012</t>
  </si>
  <si>
    <r>
      <rPr>
        <sz val="11"/>
        <color rgb="FF000000"/>
        <rFont val="新細明體"/>
        <charset val="134"/>
      </rPr>
      <t>EL-321W-NS01</t>
    </r>
    <r>
      <rPr>
        <sz val="11"/>
        <color rgb="FF000000"/>
        <rFont val="宋体"/>
        <charset val="134"/>
      </rPr>
      <t>铝挤散热片</t>
    </r>
  </si>
  <si>
    <t>YL013</t>
  </si>
  <si>
    <r>
      <rPr>
        <sz val="11"/>
        <color rgb="FF000000"/>
        <rFont val="新細明體"/>
        <charset val="134"/>
      </rPr>
      <t xml:space="preserve">EL-321W-GLOX </t>
    </r>
    <r>
      <rPr>
        <sz val="11"/>
        <color rgb="FF000000"/>
        <rFont val="宋体"/>
        <charset val="134"/>
      </rPr>
      <t>铝挤散热片</t>
    </r>
  </si>
  <si>
    <t>YL014</t>
  </si>
  <si>
    <r>
      <rPr>
        <sz val="11"/>
        <color rgb="FF000000"/>
        <rFont val="新細明體"/>
        <charset val="134"/>
      </rPr>
      <t>1A321W2D001-0A铝挤型</t>
    </r>
    <r>
      <rPr>
        <sz val="11"/>
        <color rgb="FF000000"/>
        <rFont val="宋体"/>
        <charset val="134"/>
      </rPr>
      <t>散热片</t>
    </r>
  </si>
  <si>
    <t>YL015</t>
  </si>
  <si>
    <r>
      <rPr>
        <sz val="11"/>
        <color rgb="FF000000"/>
        <rFont val="新細明體"/>
        <charset val="134"/>
      </rPr>
      <t>1A321W2E001-OA(EL-321W-GL0EF</t>
    </r>
    <r>
      <rPr>
        <sz val="11"/>
        <color rgb="FF000000"/>
        <rFont val="宋体"/>
        <charset val="134"/>
      </rPr>
      <t>铝挤型散热片）</t>
    </r>
  </si>
  <si>
    <t>YL016</t>
  </si>
  <si>
    <t>EL-321W-NS02  (1A321W2F001)</t>
  </si>
  <si>
    <t>JD001</t>
  </si>
  <si>
    <t>嘉都</t>
  </si>
  <si>
    <t>JD002</t>
  </si>
  <si>
    <t>JD003</t>
  </si>
  <si>
    <r>
      <rPr>
        <sz val="11"/>
        <color theme="1"/>
        <rFont val="Tahoma"/>
        <charset val="134"/>
      </rPr>
      <t>231</t>
    </r>
    <r>
      <rPr>
        <sz val="11"/>
        <color theme="1"/>
        <rFont val="宋体"/>
        <charset val="134"/>
      </rPr>
      <t>端盖</t>
    </r>
  </si>
  <si>
    <r>
      <rPr>
        <sz val="11"/>
        <color theme="1"/>
        <rFont val="Tahoma"/>
        <charset val="134"/>
      </rPr>
      <t>01020</t>
    </r>
    <r>
      <rPr>
        <sz val="11"/>
        <color theme="1"/>
        <rFont val="宋体"/>
        <charset val="134"/>
      </rPr>
      <t>前挡板</t>
    </r>
  </si>
  <si>
    <r>
      <rPr>
        <sz val="11"/>
        <color theme="1"/>
        <rFont val="Tahoma"/>
        <charset val="134"/>
      </rPr>
      <t>01030</t>
    </r>
    <r>
      <rPr>
        <sz val="11"/>
        <color theme="1"/>
        <rFont val="宋体"/>
        <charset val="134"/>
      </rPr>
      <t>前挡板</t>
    </r>
  </si>
  <si>
    <r>
      <rPr>
        <sz val="11"/>
        <color theme="1"/>
        <rFont val="Tahoma"/>
        <charset val="134"/>
      </rPr>
      <t>01050</t>
    </r>
    <r>
      <rPr>
        <sz val="11"/>
        <color theme="1"/>
        <rFont val="宋体"/>
        <charset val="134"/>
      </rPr>
      <t>前挡板</t>
    </r>
  </si>
  <si>
    <r>
      <rPr>
        <sz val="12"/>
        <color rgb="FF000000"/>
        <rFont val="新細明體"/>
        <charset val="134"/>
      </rPr>
      <t>PL9-12580-10-0A</t>
    </r>
    <r>
      <rPr>
        <sz val="12"/>
        <color rgb="FF000000"/>
        <rFont val="宋体"/>
        <charset val="134"/>
      </rPr>
      <t>前挡板</t>
    </r>
  </si>
  <si>
    <t>超频主机上盖-1个单芯-PL9-01100-00-0A</t>
  </si>
  <si>
    <t>超频主机上盖-2个单芯-PL9-01100-10-0A</t>
  </si>
  <si>
    <t>KT008</t>
  </si>
  <si>
    <t>M82双目支架</t>
  </si>
  <si>
    <t>PL9-01160-30-0A(双目支架）</t>
  </si>
  <si>
    <t>阳极</t>
  </si>
  <si>
    <t>M23信号母插(短）</t>
  </si>
  <si>
    <t>天之跃</t>
  </si>
  <si>
    <t>M23信号公插（长）（公插头）</t>
  </si>
  <si>
    <t>HAPX001</t>
  </si>
  <si>
    <r>
      <rPr>
        <sz val="11"/>
        <color theme="1"/>
        <rFont val="Tahoma"/>
        <charset val="134"/>
      </rPr>
      <t>040330084</t>
    </r>
    <r>
      <rPr>
        <sz val="11"/>
        <color theme="1"/>
        <rFont val="宋体"/>
        <charset val="134"/>
      </rPr>
      <t>下壳（电池盒底座）</t>
    </r>
  </si>
  <si>
    <t>淮安品向</t>
  </si>
  <si>
    <t>半成品</t>
  </si>
  <si>
    <t>HAPX002</t>
  </si>
  <si>
    <r>
      <rPr>
        <sz val="11"/>
        <color theme="1"/>
        <rFont val="Tahoma"/>
        <charset val="134"/>
      </rPr>
      <t>040330058</t>
    </r>
    <r>
      <rPr>
        <sz val="11"/>
        <color theme="1"/>
        <rFont val="宋体"/>
        <charset val="134"/>
      </rPr>
      <t>前电池公头底座（电池公头底座）</t>
    </r>
  </si>
  <si>
    <t>HAPX003</t>
  </si>
  <si>
    <r>
      <rPr>
        <sz val="11"/>
        <color theme="1"/>
        <rFont val="Tahoma"/>
        <charset val="134"/>
      </rPr>
      <t>040330083</t>
    </r>
    <r>
      <rPr>
        <sz val="11"/>
        <color theme="1"/>
        <rFont val="宋体"/>
        <charset val="134"/>
      </rPr>
      <t>上盖（电池提手）</t>
    </r>
  </si>
  <si>
    <t>电子锁铝外壳上壳</t>
  </si>
  <si>
    <t>电子锁铝外壳下壳</t>
  </si>
  <si>
    <t>HAPX006</t>
  </si>
  <si>
    <t>公头底座</t>
  </si>
  <si>
    <t>HAPX007</t>
  </si>
  <si>
    <t>黑色挂钩（喷粉）</t>
  </si>
  <si>
    <t>HAPX008</t>
  </si>
  <si>
    <t>小黄车控制器上壳</t>
  </si>
  <si>
    <t>HAPX009</t>
  </si>
  <si>
    <t>小黄车压轴板</t>
  </si>
  <si>
    <t>HAPX010</t>
  </si>
  <si>
    <t>小黄车电池后堵头</t>
  </si>
  <si>
    <t>HAPX011</t>
  </si>
  <si>
    <t>前立杆固定支架</t>
  </si>
  <si>
    <t>素材</t>
  </si>
  <si>
    <t>小黄车电池提手</t>
  </si>
  <si>
    <t>挡泥板内衬</t>
  </si>
  <si>
    <t xml:space="preserve"> 八百万-双目Holder(MPL9-01000-00-0A)上盖</t>
  </si>
  <si>
    <t>同致</t>
  </si>
  <si>
    <t>本色阳极氧化</t>
  </si>
  <si>
    <t xml:space="preserve"> 八百万-双目Cover(MPL9-01000-10-0A)下盖</t>
  </si>
  <si>
    <t>FY001</t>
  </si>
  <si>
    <r>
      <rPr>
        <sz val="11"/>
        <color theme="1"/>
        <rFont val="宋体"/>
        <charset val="134"/>
      </rPr>
      <t>电磁锁</t>
    </r>
    <r>
      <rPr>
        <sz val="11"/>
        <color theme="1"/>
        <rFont val="Tahoma"/>
        <charset val="134"/>
      </rPr>
      <t>1</t>
    </r>
  </si>
  <si>
    <t>凤友</t>
  </si>
  <si>
    <t>FY002</t>
  </si>
  <si>
    <r>
      <rPr>
        <sz val="11"/>
        <color theme="1"/>
        <rFont val="宋体"/>
        <charset val="134"/>
      </rPr>
      <t>电磁锁</t>
    </r>
    <r>
      <rPr>
        <sz val="11"/>
        <color theme="1"/>
        <rFont val="Tahoma"/>
        <charset val="134"/>
      </rPr>
      <t>2</t>
    </r>
  </si>
  <si>
    <t>FY003</t>
  </si>
  <si>
    <r>
      <rPr>
        <sz val="11"/>
        <color theme="1"/>
        <rFont val="宋体"/>
        <charset val="134"/>
      </rPr>
      <t>电磁锁</t>
    </r>
    <r>
      <rPr>
        <sz val="11"/>
        <color theme="1"/>
        <rFont val="Tahoma"/>
        <charset val="134"/>
      </rPr>
      <t>3</t>
    </r>
  </si>
  <si>
    <t>FY004</t>
  </si>
  <si>
    <r>
      <rPr>
        <sz val="11"/>
        <color theme="1"/>
        <rFont val="Tahoma"/>
        <charset val="134"/>
      </rPr>
      <t>001</t>
    </r>
    <r>
      <rPr>
        <sz val="11"/>
        <color theme="1"/>
        <rFont val="宋体"/>
        <charset val="134"/>
      </rPr>
      <t>铝材（大）</t>
    </r>
  </si>
  <si>
    <t>压铸，001铝材（大）</t>
  </si>
  <si>
    <t>FY005</t>
  </si>
  <si>
    <r>
      <rPr>
        <sz val="11"/>
        <color theme="1"/>
        <rFont val="Tahoma"/>
        <charset val="134"/>
      </rPr>
      <t>001</t>
    </r>
    <r>
      <rPr>
        <sz val="11"/>
        <color theme="1"/>
        <rFont val="宋体"/>
        <charset val="134"/>
      </rPr>
      <t>铝材（小）</t>
    </r>
  </si>
  <si>
    <t>压铸,009铝材（小）</t>
  </si>
  <si>
    <t>FY006</t>
  </si>
  <si>
    <t>激光后盖</t>
  </si>
  <si>
    <t>FY007</t>
  </si>
  <si>
    <t>激光中框</t>
  </si>
  <si>
    <t>FY008</t>
  </si>
  <si>
    <t>镜光支座</t>
  </si>
  <si>
    <t>FY009</t>
  </si>
  <si>
    <t>悬臂</t>
  </si>
  <si>
    <t>FY010</t>
  </si>
  <si>
    <t>弯头</t>
  </si>
  <si>
    <t>CL001</t>
  </si>
  <si>
    <t>大力夹-云台底座</t>
  </si>
  <si>
    <t>昶乐</t>
  </si>
  <si>
    <t>CL002</t>
  </si>
  <si>
    <t>大力夹-止转盖</t>
  </si>
  <si>
    <t>CL003</t>
  </si>
  <si>
    <t>大力夹-滑块锌合金</t>
  </si>
  <si>
    <t>CL004</t>
  </si>
  <si>
    <t>大力夹-连接块</t>
  </si>
  <si>
    <t>CL005</t>
  </si>
  <si>
    <r>
      <rPr>
        <sz val="11"/>
        <color theme="1"/>
        <rFont val="宋体"/>
        <charset val="134"/>
      </rPr>
      <t>大力夹-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爪</t>
    </r>
  </si>
  <si>
    <t>CL006</t>
  </si>
  <si>
    <t>大力夹-B爪</t>
  </si>
  <si>
    <t>KSL001</t>
  </si>
  <si>
    <t>3Port-ST-Housing</t>
  </si>
  <si>
    <t>克斯勒</t>
  </si>
  <si>
    <r>
      <rPr>
        <sz val="11"/>
        <color theme="1"/>
        <rFont val="Tahoma"/>
        <charset val="134"/>
      </rPr>
      <t>E1S</t>
    </r>
    <r>
      <rPr>
        <sz val="11"/>
        <color theme="1"/>
        <rFont val="宋体"/>
        <charset val="134"/>
      </rPr>
      <t>下盖</t>
    </r>
  </si>
  <si>
    <t>泰仕通</t>
  </si>
  <si>
    <r>
      <rPr>
        <sz val="11"/>
        <color theme="1"/>
        <rFont val="Tahoma"/>
        <charset val="134"/>
      </rPr>
      <t>E1S</t>
    </r>
    <r>
      <rPr>
        <sz val="11"/>
        <color theme="1"/>
        <rFont val="宋体"/>
        <charset val="134"/>
      </rPr>
      <t>下盖</t>
    </r>
    <r>
      <rPr>
        <sz val="11"/>
        <color theme="1"/>
        <rFont val="Tahoma"/>
        <charset val="134"/>
      </rPr>
      <t>(</t>
    </r>
    <r>
      <rPr>
        <sz val="11"/>
        <color theme="1"/>
        <rFont val="宋体"/>
        <charset val="134"/>
      </rPr>
      <t>镭雕）</t>
    </r>
  </si>
  <si>
    <t>TST002</t>
  </si>
  <si>
    <t>E1S-02-B2</t>
  </si>
  <si>
    <t>XZ001</t>
  </si>
  <si>
    <t>XZ-HS-0195</t>
  </si>
  <si>
    <t>星赞</t>
  </si>
  <si>
    <t>SZTS001</t>
  </si>
  <si>
    <t>壳体（MS2000)加铣外部34牙</t>
  </si>
  <si>
    <t>苏州腾圣</t>
  </si>
  <si>
    <t>SZTS001-1</t>
  </si>
  <si>
    <r>
      <rPr>
        <sz val="11"/>
        <color theme="1"/>
        <rFont val="宋体"/>
        <charset val="134"/>
      </rPr>
      <t>壳体（</t>
    </r>
    <r>
      <rPr>
        <sz val="11"/>
        <color theme="1"/>
        <rFont val="Tahoma"/>
        <charset val="134"/>
      </rPr>
      <t>MS2000)</t>
    </r>
    <r>
      <rPr>
        <sz val="11"/>
        <color theme="1"/>
        <rFont val="宋体"/>
        <charset val="134"/>
      </rPr>
      <t>加铣BOSS柱30牙</t>
    </r>
  </si>
  <si>
    <t>手持屏T3（硅胶按键）</t>
  </si>
  <si>
    <t>海鑫</t>
  </si>
  <si>
    <t>FS001</t>
  </si>
  <si>
    <t>2111.12-01-01（油盘）HX6914T-03</t>
  </si>
  <si>
    <t>富山</t>
  </si>
  <si>
    <t>锁-1</t>
  </si>
  <si>
    <t>维诺</t>
  </si>
  <si>
    <t>WN002</t>
  </si>
  <si>
    <t>锁-3</t>
  </si>
  <si>
    <t>锁-5</t>
  </si>
  <si>
    <t>钥匙</t>
  </si>
  <si>
    <t>WN005</t>
  </si>
  <si>
    <t>压条</t>
  </si>
  <si>
    <t>锁-2</t>
  </si>
  <si>
    <t>小米功放散热器</t>
  </si>
  <si>
    <t>瑞声（先锋）</t>
  </si>
  <si>
    <t>CS11-A5功放散热器上盖</t>
  </si>
  <si>
    <t>VF9功放散热器(VF8)</t>
  </si>
  <si>
    <t>HX002</t>
  </si>
  <si>
    <t>子燕电池支撑加固件</t>
  </si>
  <si>
    <t>互协</t>
  </si>
  <si>
    <t>SD04指示灯铝合金支架（LED）</t>
  </si>
  <si>
    <t>商米</t>
  </si>
  <si>
    <t>F3_60W_POE模组中框支架_压铸(POE)</t>
  </si>
  <si>
    <t>SD04摄像头模组金属支架(CAMERA)</t>
  </si>
  <si>
    <t>SD04三合一铝合金支架(3T1)</t>
  </si>
  <si>
    <t>D3mini80旋转摄像头</t>
  </si>
  <si>
    <t>SP03_台式转接背夹组件</t>
  </si>
  <si>
    <t>立讯</t>
  </si>
  <si>
    <t>兆基</t>
  </si>
  <si>
    <t>电机外壳</t>
  </si>
  <si>
    <t>精达</t>
  </si>
  <si>
    <t>JD0002</t>
  </si>
  <si>
    <t>安全阀盖板</t>
  </si>
  <si>
    <t>不详</t>
  </si>
  <si>
    <t>JD0003</t>
  </si>
  <si>
    <t>固定架</t>
  </si>
  <si>
    <t>JD004</t>
  </si>
  <si>
    <t>安全阀盖</t>
  </si>
  <si>
    <t>JD005</t>
  </si>
  <si>
    <t>连杆</t>
  </si>
  <si>
    <t>JD006</t>
  </si>
  <si>
    <t>JD007</t>
  </si>
  <si>
    <t>罩壳</t>
  </si>
  <si>
    <t>JD008</t>
  </si>
  <si>
    <t>电磁阀压盖</t>
  </si>
  <si>
    <t>三孔连杆</t>
  </si>
  <si>
    <t>JD010</t>
  </si>
  <si>
    <t>气缸端盖</t>
  </si>
  <si>
    <t>三孔压盖</t>
  </si>
  <si>
    <t>缓起控制板外壳</t>
  </si>
  <si>
    <t>YR001</t>
  </si>
  <si>
    <t>PV4-K-016(新把手座)</t>
  </si>
  <si>
    <t>允锐（油力）</t>
  </si>
  <si>
    <t>YR002</t>
  </si>
  <si>
    <t>PV4-K-017(暂时无名称)</t>
  </si>
  <si>
    <t>轴承主体支架</t>
  </si>
  <si>
    <t>日月照明</t>
  </si>
  <si>
    <t>相机卡扣</t>
  </si>
  <si>
    <t>W2805-850N端盖</t>
  </si>
  <si>
    <t>大沃</t>
  </si>
  <si>
    <t>DW002</t>
  </si>
  <si>
    <t>W2803-650N端盖</t>
  </si>
  <si>
    <r>
      <rPr>
        <sz val="11"/>
        <color theme="1"/>
        <rFont val="Tahoma"/>
        <charset val="134"/>
      </rPr>
      <t>W2808-1850N</t>
    </r>
    <r>
      <rPr>
        <sz val="11"/>
        <color theme="1"/>
        <rFont val="宋体"/>
        <charset val="134"/>
      </rPr>
      <t>端盖</t>
    </r>
  </si>
  <si>
    <r>
      <rPr>
        <sz val="11"/>
        <color theme="1"/>
        <rFont val="Tahoma"/>
        <charset val="134"/>
      </rPr>
      <t>W2808-1850N</t>
    </r>
    <r>
      <rPr>
        <sz val="11"/>
        <color theme="1"/>
        <rFont val="宋体"/>
        <charset val="134"/>
      </rPr>
      <t>挂钩</t>
    </r>
  </si>
  <si>
    <t>W2803-650N头壳</t>
  </si>
  <si>
    <t>DW006</t>
  </si>
  <si>
    <t>W2808-1850N头壳</t>
  </si>
  <si>
    <t>DW007</t>
  </si>
  <si>
    <t>W2806-1350N头壳</t>
  </si>
  <si>
    <t>W2802-450N头壳</t>
  </si>
  <si>
    <t>W2801-300N起子机SD头壳</t>
  </si>
  <si>
    <t>KP31金属壳体</t>
  </si>
  <si>
    <t>鸿鹏达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</si>
</sst>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0"/>
    <numFmt numFmtId="178" formatCode="000000"/>
    <numFmt numFmtId="179" formatCode="m/d;@"/>
    <numFmt numFmtId="180" formatCode="m&quot;月&quot;d&quot;日&quot;;@"/>
    <numFmt numFmtId="181" formatCode="yyyy/m/d;@"/>
  </numFmts>
  <fonts count="60">
    <font>
      <sz val="11"/>
      <color theme="1"/>
      <name val="Tahoma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Tahoma"/>
      <charset val="134"/>
    </font>
    <font>
      <b/>
      <sz val="12"/>
      <color theme="1"/>
      <name val="宋体"/>
      <charset val="134"/>
    </font>
    <font>
      <b/>
      <sz val="12"/>
      <name val="新細明體"/>
      <charset val="134"/>
    </font>
    <font>
      <sz val="11"/>
      <color rgb="FF000000"/>
      <name val="新細明體"/>
      <charset val="134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indexed="8"/>
      <name val="新細明體"/>
      <charset val="134"/>
    </font>
    <font>
      <sz val="10"/>
      <color theme="1"/>
      <name val="宋体"/>
      <charset val="134"/>
    </font>
    <font>
      <sz val="9"/>
      <color rgb="FF000000"/>
      <name val="Albany WT J"/>
      <charset val="134"/>
    </font>
    <font>
      <sz val="11"/>
      <name val="新細明體"/>
      <charset val="134"/>
    </font>
    <font>
      <sz val="10"/>
      <name val="新細明體"/>
      <charset val="134"/>
    </font>
    <font>
      <sz val="9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  <scheme val="minor"/>
    </font>
    <font>
      <sz val="12"/>
      <color rgb="FF000000"/>
      <name val="新細明體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</font>
    <font>
      <sz val="10"/>
      <color theme="1"/>
      <name val="Tahoma"/>
      <charset val="134"/>
    </font>
    <font>
      <b/>
      <sz val="11"/>
      <color theme="1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color rgb="FF000000"/>
      <name val="宋体"/>
      <charset val="134"/>
    </font>
    <font>
      <sz val="14"/>
      <color theme="1"/>
      <name val="Tahoma"/>
      <charset val="134"/>
    </font>
    <font>
      <b/>
      <sz val="14"/>
      <color theme="1"/>
      <name val="宋体"/>
      <charset val="134"/>
    </font>
    <font>
      <sz val="12"/>
      <name val="新細明體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b/>
      <sz val="10"/>
      <name val="MS Sans Serif"/>
      <charset val="134"/>
    </font>
    <font>
      <sz val="12"/>
      <name val="Times New Roman"/>
      <charset val="134"/>
    </font>
    <font>
      <sz val="10"/>
      <name val="Arial"/>
      <charset val="0"/>
    </font>
    <font>
      <sz val="11"/>
      <color indexed="8"/>
      <name val="宋体"/>
      <charset val="134"/>
    </font>
    <font>
      <sz val="12"/>
      <color theme="1"/>
      <name val="Tahoma"/>
      <charset val="134"/>
    </font>
    <font>
      <sz val="11"/>
      <color rgb="FF000000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5" borderId="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4" applyNumberFormat="0" applyFill="0" applyAlignment="0" applyProtection="0">
      <alignment vertical="center"/>
    </xf>
    <xf numFmtId="0" fontId="38" fillId="0" borderId="4" applyNumberFormat="0" applyFill="0" applyAlignment="0" applyProtection="0">
      <alignment vertical="center"/>
    </xf>
    <xf numFmtId="0" fontId="39" fillId="0" borderId="5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6" borderId="6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2" fillId="7" borderId="6" applyNumberFormat="0" applyAlignment="0" applyProtection="0">
      <alignment vertical="center"/>
    </xf>
    <xf numFmtId="0" fontId="43" fillId="8" borderId="8" applyNumberFormat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5" fillId="0" borderId="10" applyNumberFormat="0" applyFill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51" fillId="0" borderId="0"/>
    <xf numFmtId="0" fontId="52" fillId="0" borderId="0" applyNumberFormat="0" applyFill="0" applyBorder="0" applyAlignment="0" applyProtection="0"/>
    <xf numFmtId="0" fontId="2" fillId="0" borderId="0">
      <alignment vertical="center"/>
    </xf>
    <xf numFmtId="0" fontId="52" fillId="0" borderId="0" applyNumberFormat="0" applyFill="0" applyBorder="0" applyAlignment="0" applyProtection="0"/>
    <xf numFmtId="0" fontId="0" fillId="0" borderId="0"/>
    <xf numFmtId="0" fontId="31" fillId="0" borderId="0"/>
    <xf numFmtId="0" fontId="31" fillId="0" borderId="0"/>
    <xf numFmtId="0" fontId="53" fillId="0" borderId="0"/>
    <xf numFmtId="0" fontId="54" fillId="0" borderId="0"/>
  </cellStyleXfs>
  <cellXfs count="132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 shrinkToFit="1"/>
    </xf>
    <xf numFmtId="0" fontId="7" fillId="0" borderId="0" xfId="0" applyFont="1" applyFill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6" fontId="9" fillId="3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49" fontId="17" fillId="0" borderId="0" xfId="0" applyNumberFormat="1" applyFont="1" applyFill="1" applyBorder="1" applyAlignment="1">
      <alignment horizontal="center" vertical="center"/>
    </xf>
    <xf numFmtId="49" fontId="17" fillId="3" borderId="0" xfId="0" applyNumberFormat="1" applyFont="1" applyFill="1" applyBorder="1" applyAlignment="1">
      <alignment horizontal="center" vertical="center"/>
    </xf>
    <xf numFmtId="177" fontId="18" fillId="0" borderId="0" xfId="0" applyNumberFormat="1" applyFont="1" applyFill="1" applyBorder="1" applyAlignment="1">
      <alignment horizontal="center" vertical="center" shrinkToFit="1"/>
    </xf>
    <xf numFmtId="177" fontId="19" fillId="0" borderId="0" xfId="0" applyNumberFormat="1" applyFont="1" applyFill="1" applyBorder="1" applyAlignment="1">
      <alignment horizontal="center" vertical="center" shrinkToFit="1"/>
    </xf>
    <xf numFmtId="49" fontId="7" fillId="0" borderId="0" xfId="0" applyNumberFormat="1" applyFont="1" applyFill="1" applyBorder="1" applyAlignment="1">
      <alignment horizontal="center" vertical="center"/>
    </xf>
    <xf numFmtId="177" fontId="7" fillId="4" borderId="0" xfId="0" applyNumberFormat="1" applyFont="1" applyFill="1" applyBorder="1" applyAlignment="1">
      <alignment horizontal="center" vertical="center" shrinkToFit="1"/>
    </xf>
    <xf numFmtId="177" fontId="7" fillId="0" borderId="0" xfId="0" applyNumberFormat="1" applyFont="1" applyFill="1" applyBorder="1" applyAlignment="1">
      <alignment horizontal="center" vertical="center" shrinkToFit="1"/>
    </xf>
    <xf numFmtId="178" fontId="18" fillId="0" borderId="0" xfId="0" applyNumberFormat="1" applyFont="1" applyFill="1" applyBorder="1" applyAlignment="1">
      <alignment horizontal="center" vertical="center" shrinkToFit="1"/>
    </xf>
    <xf numFmtId="0" fontId="8" fillId="0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/>
    <xf numFmtId="0" fontId="20" fillId="2" borderId="0" xfId="54" applyNumberFormat="1" applyFont="1" applyFill="1" applyBorder="1" applyAlignment="1" applyProtection="1">
      <alignment horizontal="center" vertical="center"/>
      <protection locked="0"/>
    </xf>
    <xf numFmtId="179" fontId="6" fillId="2" borderId="0" xfId="54" applyNumberFormat="1" applyFont="1" applyFill="1" applyBorder="1" applyAlignment="1" applyProtection="1">
      <alignment horizontal="center" vertical="center"/>
      <protection locked="0"/>
    </xf>
    <xf numFmtId="0" fontId="20" fillId="2" borderId="0" xfId="54" applyNumberFormat="1" applyFont="1" applyFill="1" applyBorder="1" applyAlignment="1" applyProtection="1">
      <alignment horizontal="center" vertical="center" shrinkToFit="1"/>
      <protection locked="0"/>
    </xf>
    <xf numFmtId="0" fontId="6" fillId="2" borderId="0" xfId="54" applyNumberFormat="1" applyFont="1" applyFill="1" applyBorder="1" applyAlignment="1" applyProtection="1">
      <alignment horizontal="center" vertical="center" shrinkToFit="1"/>
      <protection locked="0"/>
    </xf>
    <xf numFmtId="0" fontId="20" fillId="2" borderId="0" xfId="54" applyNumberFormat="1" applyFont="1" applyFill="1" applyBorder="1" applyAlignment="1">
      <alignment horizontal="center" vertical="center"/>
    </xf>
    <xf numFmtId="180" fontId="10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8" fillId="0" borderId="0" xfId="0" applyFont="1" applyFill="1" applyBorder="1"/>
    <xf numFmtId="0" fontId="2" fillId="0" borderId="0" xfId="0" applyFont="1" applyFill="1" applyAlignment="1">
      <alignment horizontal="center" vertic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2" borderId="0" xfId="0" applyFont="1" applyFill="1" applyBorder="1" applyAlignment="1">
      <alignment horizontal="center" vertical="center" shrinkToFit="1"/>
    </xf>
    <xf numFmtId="0" fontId="22" fillId="2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58" fontId="21" fillId="0" borderId="0" xfId="0" applyNumberFormat="1" applyFont="1" applyFill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3" fillId="2" borderId="1" xfId="0" applyFont="1" applyFill="1" applyBorder="1" applyAlignment="1">
      <alignment horizontal="left" vertical="center"/>
    </xf>
    <xf numFmtId="176" fontId="9" fillId="0" borderId="1" xfId="0" applyNumberFormat="1" applyFont="1" applyFill="1" applyBorder="1" applyAlignment="1">
      <alignment horizontal="center" vertical="center"/>
    </xf>
    <xf numFmtId="179" fontId="6" fillId="2" borderId="1" xfId="54" applyNumberFormat="1" applyFont="1" applyFill="1" applyBorder="1" applyAlignment="1" applyProtection="1">
      <alignment horizontal="center" vertical="center"/>
      <protection locked="0"/>
    </xf>
    <xf numFmtId="0" fontId="20" fillId="2" borderId="1" xfId="54" applyNumberFormat="1" applyFont="1" applyFill="1" applyBorder="1" applyAlignment="1" applyProtection="1">
      <alignment horizontal="center" vertical="center" shrinkToFit="1"/>
      <protection locked="0"/>
    </xf>
    <xf numFmtId="0" fontId="20" fillId="2" borderId="1" xfId="54" applyNumberFormat="1" applyFont="1" applyFill="1" applyBorder="1" applyAlignment="1">
      <alignment horizontal="center" vertical="center" shrinkToFit="1"/>
    </xf>
    <xf numFmtId="0" fontId="6" fillId="2" borderId="1" xfId="54" applyNumberFormat="1" applyFont="1" applyFill="1" applyBorder="1" applyAlignment="1" applyProtection="1">
      <alignment horizontal="center" vertical="center" shrinkToFit="1"/>
      <protection locked="0"/>
    </xf>
    <xf numFmtId="0" fontId="20" fillId="2" borderId="1" xfId="54" applyNumberFormat="1" applyFont="1" applyFill="1" applyBorder="1" applyAlignment="1" applyProtection="1">
      <alignment horizontal="center" vertical="center"/>
      <protection locked="0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center" vertical="center" shrinkToFit="1"/>
    </xf>
    <xf numFmtId="180" fontId="9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0" fontId="10" fillId="0" borderId="1" xfId="0" applyNumberFormat="1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/>
    </xf>
    <xf numFmtId="0" fontId="25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center" vertical="center"/>
    </xf>
    <xf numFmtId="0" fontId="26" fillId="2" borderId="0" xfId="0" applyNumberFormat="1" applyFont="1" applyFill="1" applyAlignment="1" applyProtection="1">
      <alignment horizontal="center" vertical="center"/>
      <protection locked="0"/>
    </xf>
    <xf numFmtId="0" fontId="23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left" vertical="center"/>
    </xf>
    <xf numFmtId="176" fontId="28" fillId="0" borderId="1" xfId="0" applyNumberFormat="1" applyFont="1" applyFill="1" applyBorder="1" applyAlignment="1">
      <alignment horizontal="left" vertical="center"/>
    </xf>
    <xf numFmtId="0" fontId="22" fillId="2" borderId="1" xfId="0" applyNumberFormat="1" applyFont="1" applyFill="1" applyBorder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9" fillId="2" borderId="0" xfId="0" applyFont="1" applyFill="1" applyAlignment="1">
      <alignment horizontal="center" vertical="center"/>
    </xf>
    <xf numFmtId="181" fontId="29" fillId="2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0" fillId="2" borderId="1" xfId="55" applyNumberFormat="1" applyFont="1" applyFill="1" applyBorder="1" applyAlignment="1" applyProtection="1">
      <alignment horizontal="center" vertical="center"/>
      <protection locked="0"/>
    </xf>
    <xf numFmtId="181" fontId="20" fillId="2" borderId="1" xfId="55" applyNumberFormat="1" applyFont="1" applyFill="1" applyBorder="1" applyAlignment="1" applyProtection="1">
      <alignment horizontal="center" vertical="center"/>
      <protection locked="0"/>
    </xf>
    <xf numFmtId="0" fontId="20" fillId="2" borderId="1" xfId="55" applyNumberFormat="1" applyFont="1" applyFill="1" applyBorder="1" applyAlignment="1" applyProtection="1">
      <alignment horizontal="center" vertical="center" shrinkToFit="1"/>
      <protection locked="0"/>
    </xf>
    <xf numFmtId="0" fontId="6" fillId="0" borderId="1" xfId="55" applyNumberFormat="1" applyFont="1" applyFill="1" applyBorder="1" applyAlignment="1" applyProtection="1">
      <alignment horizontal="center" vertical="center" shrinkToFit="1"/>
      <protection locked="0"/>
    </xf>
    <xf numFmtId="0" fontId="20" fillId="0" borderId="1" xfId="55" applyNumberFormat="1" applyFont="1" applyFill="1" applyBorder="1" applyAlignment="1" applyProtection="1">
      <alignment horizontal="center" vertical="center"/>
      <protection locked="0"/>
    </xf>
    <xf numFmtId="0" fontId="26" fillId="2" borderId="1" xfId="55" applyNumberFormat="1" applyFont="1" applyFill="1" applyBorder="1" applyAlignment="1" applyProtection="1">
      <alignment horizontal="center" vertical="center"/>
      <protection locked="0"/>
    </xf>
    <xf numFmtId="181" fontId="4" fillId="3" borderId="1" xfId="0" applyNumberFormat="1" applyFont="1" applyFill="1" applyBorder="1" applyAlignment="1">
      <alignment horizontal="center" vertical="center"/>
    </xf>
    <xf numFmtId="0" fontId="31" fillId="0" borderId="1" xfId="55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81" fontId="0" fillId="0" borderId="2" xfId="0" applyNumberFormat="1" applyFont="1" applyFill="1" applyBorder="1" applyAlignment="1">
      <alignment horizontal="center" vertical="center"/>
    </xf>
    <xf numFmtId="0" fontId="31" fillId="0" borderId="2" xfId="55" applyNumberFormat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81" fontId="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/>
    </xf>
    <xf numFmtId="0" fontId="2" fillId="0" borderId="0" xfId="0" applyFont="1" applyFill="1" applyAlignment="1" quotePrefix="1">
      <alignment horizontal="center" vertical="center"/>
    </xf>
    <xf numFmtId="0" fontId="0" fillId="0" borderId="0" xfId="0" applyFont="1" applyBorder="1" applyAlignment="1" quotePrefix="1">
      <alignment horizontal="center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_12月庫存表" xfId="49"/>
    <cellStyle name="ColLevel_1" xfId="50"/>
    <cellStyle name="常规 2" xfId="51"/>
    <cellStyle name="RowLevel_1" xfId="52"/>
    <cellStyle name="常规 3" xfId="53"/>
    <cellStyle name="常规 4" xfId="54"/>
    <cellStyle name="常规 5" xfId="55"/>
    <cellStyle name="样式 1" xfId="56"/>
    <cellStyle name="_ET_STYLE_NoName_00_" xfId="57"/>
  </cellStyles>
  <tableStyles count="0" defaultTableStyle="TableStyleMedium2" defaultPivotStyle="PivotStyleLight16"/>
  <colors>
    <mruColors>
      <color rgb="00FECC2B"/>
      <color rgb="00DD99AC"/>
      <color rgb="00FFE699"/>
      <color rgb="00000000"/>
      <color rgb="0000B050"/>
      <color rgb="00FF0000"/>
      <color rgb="00FFFFFF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2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2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2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2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2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3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3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3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3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3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3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4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4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4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4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4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4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5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5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62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63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64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65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66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6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77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78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79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80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8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8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83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84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85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86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8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8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89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0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91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9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0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0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02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03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04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05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06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0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0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0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1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1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1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1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1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1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2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2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2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2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2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2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3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3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3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3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3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3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4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4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4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4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7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48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4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5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1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52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5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5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5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6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67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68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69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70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71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7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82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3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84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85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6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87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88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89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90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91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92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93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194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95" name="Text Box 264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38100</xdr:colOff>
      <xdr:row>948</xdr:row>
      <xdr:rowOff>9525</xdr:rowOff>
    </xdr:to>
    <xdr:sp>
      <xdr:nvSpPr>
        <xdr:cNvPr id="196" name="Text Box 87"/>
        <xdr:cNvSpPr txBox="1"/>
      </xdr:nvSpPr>
      <xdr:spPr>
        <a:xfrm>
          <a:off x="9208135" y="191646175"/>
          <a:ext cx="381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97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98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199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0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1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2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3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4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5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74295</xdr:colOff>
      <xdr:row>948</xdr:row>
      <xdr:rowOff>9525</xdr:rowOff>
    </xdr:to>
    <xdr:sp>
      <xdr:nvSpPr>
        <xdr:cNvPr id="206" name="Text Box 266"/>
        <xdr:cNvSpPr txBox="1"/>
      </xdr:nvSpPr>
      <xdr:spPr>
        <a:xfrm>
          <a:off x="9208135" y="191646175"/>
          <a:ext cx="74295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207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208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209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210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8</xdr:col>
      <xdr:colOff>0</xdr:colOff>
      <xdr:row>947</xdr:row>
      <xdr:rowOff>0</xdr:rowOff>
    </xdr:from>
    <xdr:to>
      <xdr:col>8</xdr:col>
      <xdr:colOff>76200</xdr:colOff>
      <xdr:row>948</xdr:row>
      <xdr:rowOff>9525</xdr:rowOff>
    </xdr:to>
    <xdr:sp>
      <xdr:nvSpPr>
        <xdr:cNvPr id="211" name="Text Box 264"/>
        <xdr:cNvSpPr txBox="1"/>
      </xdr:nvSpPr>
      <xdr:spPr>
        <a:xfrm>
          <a:off x="9208135" y="191646175"/>
          <a:ext cx="76200" cy="2095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542925</xdr:colOff>
      <xdr:row>649</xdr:row>
      <xdr:rowOff>66675</xdr:rowOff>
    </xdr:from>
    <xdr:to>
      <xdr:col>18</xdr:col>
      <xdr:colOff>409575</xdr:colOff>
      <xdr:row>650</xdr:row>
      <xdr:rowOff>73025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649325" y="119989600"/>
          <a:ext cx="3295650" cy="247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171450</xdr:colOff>
      <xdr:row>650</xdr:row>
      <xdr:rowOff>123825</xdr:rowOff>
    </xdr:from>
    <xdr:to>
      <xdr:col>15</xdr:col>
      <xdr:colOff>381000</xdr:colOff>
      <xdr:row>657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92050" y="120288050"/>
          <a:ext cx="2266950" cy="164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523875</xdr:colOff>
      <xdr:row>472</xdr:row>
      <xdr:rowOff>76200</xdr:rowOff>
    </xdr:from>
    <xdr:to>
      <xdr:col>25</xdr:col>
      <xdr:colOff>247650</xdr:colOff>
      <xdr:row>494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745075" y="87010875"/>
          <a:ext cx="3838575" cy="3933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ky-20170801kaa\&#32593;&#26131;&#38378;&#30005;&#37038;\tmp\&#20445;&#31246;-1&#26376;&#20221;&#25104;&#21697;&#24211;&#23384;%20(29379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OJWYMJ"/>
      <sheetName val="物料入庫明細"/>
      <sheetName val="物料發出明細"/>
      <sheetName val="保稅物料庫存明細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2"/>
  <sheetViews>
    <sheetView workbookViewId="0">
      <pane ySplit="2" topLeftCell="A3" activePane="bottomLeft" state="frozen"/>
      <selection/>
      <selection pane="bottomLeft" activeCell="J8" sqref="J8"/>
    </sheetView>
  </sheetViews>
  <sheetFormatPr defaultColWidth="9" defaultRowHeight="14.25"/>
  <cols>
    <col min="1" max="1" width="6.375" style="102" customWidth="1"/>
    <col min="2" max="2" width="11.25" style="103" customWidth="1"/>
    <col min="3" max="3" width="10.625" style="102" customWidth="1"/>
    <col min="4" max="4" width="38.625" style="102" customWidth="1"/>
    <col min="5" max="5" width="5.625" style="102" customWidth="1"/>
    <col min="6" max="6" width="9.875" style="104" customWidth="1"/>
    <col min="7" max="7" width="15" style="102" customWidth="1"/>
    <col min="8" max="8" width="8.875" style="102" customWidth="1"/>
    <col min="9" max="9" width="11" style="102" customWidth="1"/>
    <col min="10" max="10" width="23.5" style="105" customWidth="1"/>
    <col min="11" max="16384" width="9" style="102"/>
  </cols>
  <sheetData>
    <row r="1" ht="32" customHeight="1" spans="1:10">
      <c r="A1" s="106"/>
      <c r="B1" s="107"/>
      <c r="C1" s="108"/>
      <c r="D1" s="109" t="s">
        <v>0</v>
      </c>
      <c r="E1" s="108"/>
      <c r="F1" s="110"/>
      <c r="G1" s="108"/>
      <c r="H1" s="70"/>
      <c r="I1" s="70"/>
    </row>
    <row r="2" ht="29" customHeight="1" spans="1:10">
      <c r="A2" s="111" t="s">
        <v>1</v>
      </c>
      <c r="B2" s="112" t="s">
        <v>2</v>
      </c>
      <c r="C2" s="113" t="s">
        <v>3</v>
      </c>
      <c r="D2" s="114" t="s">
        <v>4</v>
      </c>
      <c r="E2" s="115" t="s">
        <v>5</v>
      </c>
      <c r="F2" s="115" t="s">
        <v>6</v>
      </c>
      <c r="G2" s="116" t="s">
        <v>7</v>
      </c>
      <c r="H2" s="80" t="s">
        <v>8</v>
      </c>
      <c r="I2" s="80" t="s">
        <v>9</v>
      </c>
    </row>
    <row r="3" ht="16.5" spans="1:10">
      <c r="A3" s="80"/>
      <c r="B3" s="117" t="s">
        <v>10</v>
      </c>
      <c r="C3" s="82"/>
      <c r="D3" s="118" t="e">
        <f>VLOOKUP($C3,成品本月库存!$B:$J,2,0)</f>
        <v>#N/A</v>
      </c>
      <c r="E3" s="118" t="e">
        <f>VLOOKUP($C3,成品本月库存!$B:$J,5,0)</f>
        <v>#N/A</v>
      </c>
      <c r="F3" s="82"/>
      <c r="G3" s="119"/>
      <c r="H3" s="119" t="e">
        <f>VLOOKUP($C3,成品本月库存!$B:$J,9,0)</f>
        <v>#N/A</v>
      </c>
      <c r="I3" s="70"/>
      <c r="J3" s="102"/>
    </row>
    <row r="4" ht="16.5" spans="1:10">
      <c r="A4" s="80"/>
      <c r="B4" s="120"/>
      <c r="C4" s="82" t="s">
        <v>11</v>
      </c>
      <c r="D4" s="118" t="str">
        <f>VLOOKUP($C4,成品本月库存!$B:$J,2,0)</f>
        <v>AP31主机上盖(360上盖)</v>
      </c>
      <c r="E4" s="118" t="str">
        <f>VLOOKUP($C4,成品本月库存!$B:$J,5,0)</f>
        <v>PCS</v>
      </c>
      <c r="F4" s="82">
        <v>2819</v>
      </c>
      <c r="G4" s="119"/>
      <c r="H4" s="119">
        <f>VLOOKUP($C4,成品本月库存!$B:$J,9,0)</f>
        <v>2819</v>
      </c>
      <c r="I4" s="70"/>
      <c r="J4" s="102"/>
    </row>
    <row r="5" ht="16.5" spans="1:10">
      <c r="A5" s="80"/>
      <c r="B5" s="120"/>
      <c r="C5" s="82" t="s">
        <v>12</v>
      </c>
      <c r="D5" s="118" t="str">
        <f>VLOOKUP($C5,成品本月库存!$B:$J,2,0)</f>
        <v>AP31主机下盖(360下盖)</v>
      </c>
      <c r="E5" s="118" t="str">
        <f>VLOOKUP($C5,成品本月库存!$B:$J,5,0)</f>
        <v>PCS</v>
      </c>
      <c r="F5" s="82">
        <v>866</v>
      </c>
      <c r="G5" s="119"/>
      <c r="H5" s="119">
        <f>VLOOKUP($C5,成品本月库存!$B:$J,9,0)</f>
        <v>866</v>
      </c>
      <c r="I5" s="70"/>
      <c r="J5" s="102"/>
    </row>
    <row r="6" ht="16.5" spans="1:10">
      <c r="A6" s="80"/>
      <c r="B6" s="120"/>
      <c r="C6" s="82" t="s">
        <v>13</v>
      </c>
      <c r="D6" s="118" t="str">
        <f>VLOOKUP($C6,成品本月库存!$B:$J,2,0)</f>
        <v>AS23主机上盖</v>
      </c>
      <c r="E6" s="118" t="str">
        <f>VLOOKUP($C6,成品本月库存!$B:$J,5,0)</f>
        <v>PCS</v>
      </c>
      <c r="F6" s="82">
        <v>115</v>
      </c>
      <c r="G6" s="121"/>
      <c r="H6" s="119">
        <f>VLOOKUP($C6,成品本月库存!$B:$J,9,0)</f>
        <v>115</v>
      </c>
      <c r="I6" s="70"/>
      <c r="J6" s="102"/>
    </row>
    <row r="7" ht="16.5" spans="1:10">
      <c r="A7" s="80"/>
      <c r="B7" s="120"/>
      <c r="C7" s="82" t="s">
        <v>14</v>
      </c>
      <c r="D7" s="118" t="str">
        <f>VLOOKUP($C7,成品本月库存!$B:$J,2,0)</f>
        <v>AS23主机下盖</v>
      </c>
      <c r="E7" s="118" t="str">
        <f>VLOOKUP($C7,成品本月库存!$B:$J,5,0)</f>
        <v>PCS</v>
      </c>
      <c r="F7" s="82">
        <v>331</v>
      </c>
      <c r="G7" s="121"/>
      <c r="H7" s="119">
        <f>VLOOKUP($C7,成品本月库存!$B:$J,9,0)</f>
        <v>331</v>
      </c>
      <c r="I7" s="70"/>
      <c r="J7" s="102"/>
    </row>
    <row r="8" ht="16.5" spans="1:10">
      <c r="A8" s="80"/>
      <c r="B8" s="120"/>
      <c r="C8" s="82" t="s">
        <v>15</v>
      </c>
      <c r="D8" s="118" t="str">
        <f>VLOOKUP($C8,成品本月库存!$B:$J,2,0)</f>
        <v>0008</v>
      </c>
      <c r="E8" s="118" t="str">
        <f>VLOOKUP($C8,成品本月库存!$B:$J,5,0)</f>
        <v>PCS</v>
      </c>
      <c r="F8" s="82">
        <v>6097</v>
      </c>
      <c r="G8" s="121"/>
      <c r="H8" s="119">
        <f>VLOOKUP($C8,成品本月库存!$B:$J,9,0)</f>
        <v>6097</v>
      </c>
      <c r="I8" s="70"/>
      <c r="J8" s="102"/>
    </row>
    <row r="9" ht="16.5" spans="1:10">
      <c r="A9" s="80"/>
      <c r="B9" s="120"/>
      <c r="C9" s="82" t="s">
        <v>16</v>
      </c>
      <c r="D9" s="118" t="str">
        <f>VLOOKUP($C9,成品本月库存!$B:$J,2,0)</f>
        <v>0009中框</v>
      </c>
      <c r="E9" s="118" t="str">
        <f>VLOOKUP($C9,成品本月库存!$B:$J,5,0)</f>
        <v>PCS</v>
      </c>
      <c r="F9" s="82">
        <v>21816</v>
      </c>
      <c r="G9" s="121"/>
      <c r="H9" s="119">
        <f>VLOOKUP($C9,成品本月库存!$B:$J,9,0)</f>
        <v>22323</v>
      </c>
      <c r="I9" s="70"/>
      <c r="J9" s="102"/>
    </row>
    <row r="10" ht="16.5" spans="1:10">
      <c r="A10" s="80"/>
      <c r="B10" s="120"/>
      <c r="C10" s="82" t="s">
        <v>16</v>
      </c>
      <c r="D10" s="118" t="s">
        <v>17</v>
      </c>
      <c r="E10" s="118"/>
      <c r="F10" s="82">
        <f>80+427</f>
        <v>507</v>
      </c>
      <c r="G10" s="121" t="s">
        <v>18</v>
      </c>
      <c r="H10" s="119"/>
      <c r="I10" s="70"/>
      <c r="J10" s="102"/>
    </row>
    <row r="11" ht="16.5" spans="1:10">
      <c r="A11" s="80"/>
      <c r="B11" s="120"/>
      <c r="C11" s="82" t="s">
        <v>19</v>
      </c>
      <c r="D11" s="118" t="str">
        <f>VLOOKUP($C11,成品本月库存!$B:$J,2,0)</f>
        <v>DBC1481L1</v>
      </c>
      <c r="E11" s="118" t="str">
        <f>VLOOKUP($C11,成品本月库存!$B:$J,5,0)</f>
        <v>PCS</v>
      </c>
      <c r="F11" s="70">
        <v>2424</v>
      </c>
      <c r="G11" s="121"/>
      <c r="H11" s="119">
        <f>VLOOKUP($C11,成品本月库存!$B:$J,9,0)</f>
        <v>2424</v>
      </c>
      <c r="I11" s="70"/>
      <c r="J11" s="102"/>
    </row>
    <row r="12" ht="16.5" spans="1:10">
      <c r="A12" s="80"/>
      <c r="B12" s="120"/>
      <c r="C12" s="82" t="s">
        <v>20</v>
      </c>
      <c r="D12" s="118" t="str">
        <f>VLOOKUP($C12,成品本月库存!$B:$J,2,0)</f>
        <v>DBC1480L1</v>
      </c>
      <c r="E12" s="118" t="str">
        <f>VLOOKUP($C12,成品本月库存!$B:$J,5,0)</f>
        <v>PCS</v>
      </c>
      <c r="F12" s="70">
        <v>270</v>
      </c>
      <c r="G12" s="121"/>
      <c r="H12" s="119">
        <f>VLOOKUP($C12,成品本月库存!$B:$J,9,0)</f>
        <v>270</v>
      </c>
      <c r="I12" s="70"/>
      <c r="J12" s="102"/>
    </row>
    <row r="13" ht="16.5" spans="1:10">
      <c r="A13" s="80"/>
      <c r="B13" s="120"/>
      <c r="C13" s="82" t="s">
        <v>21</v>
      </c>
      <c r="D13" s="118" t="str">
        <f>VLOOKUP($C13,成品本月库存!$B:$J,2,0)</f>
        <v>DBC15A0</v>
      </c>
      <c r="E13" s="118" t="str">
        <f>VLOOKUP($C13,成品本月库存!$B:$J,5,0)</f>
        <v>PCS</v>
      </c>
      <c r="F13" s="70"/>
      <c r="G13" s="119"/>
      <c r="H13" s="119">
        <f>VLOOKUP($C13,成品本月库存!$B:$J,9,0)</f>
        <v>2352</v>
      </c>
      <c r="I13" s="70"/>
      <c r="J13" s="102"/>
    </row>
    <row r="14" ht="16.5" spans="1:10">
      <c r="A14" s="80"/>
      <c r="B14" s="120"/>
      <c r="C14" s="82" t="s">
        <v>22</v>
      </c>
      <c r="D14" s="118" t="str">
        <f>VLOOKUP($C14,成品本月库存!$B:$J,2,0)</f>
        <v>MHSP-SP-AX</v>
      </c>
      <c r="E14" s="118" t="str">
        <f>VLOOKUP($C14,成品本月库存!$B:$J,5,0)</f>
        <v>PCS</v>
      </c>
      <c r="F14" s="70">
        <v>12703</v>
      </c>
      <c r="G14" s="119"/>
      <c r="H14" s="119">
        <f>VLOOKUP($C14,成品本月库存!$B:$J,9,0)</f>
        <v>12778</v>
      </c>
      <c r="I14" s="70"/>
      <c r="J14" s="102"/>
    </row>
    <row r="15" ht="16.5" spans="1:10">
      <c r="A15" s="80"/>
      <c r="B15" s="120"/>
      <c r="C15" s="82" t="s">
        <v>22</v>
      </c>
      <c r="D15" s="118" t="s">
        <v>23</v>
      </c>
      <c r="E15" s="118"/>
      <c r="F15" s="82">
        <v>75</v>
      </c>
      <c r="G15" s="121" t="s">
        <v>24</v>
      </c>
      <c r="H15" s="119"/>
      <c r="I15" s="70"/>
      <c r="J15" s="102"/>
    </row>
    <row r="16" ht="16.5" spans="1:10">
      <c r="A16" s="80"/>
      <c r="B16" s="120"/>
      <c r="C16" s="82" t="s">
        <v>25</v>
      </c>
      <c r="D16" s="118" t="str">
        <f>VLOOKUP($C16,成品本月库存!$B:$J,2,0)</f>
        <v>BHSP-SP-AX</v>
      </c>
      <c r="E16" s="118" t="str">
        <f>VLOOKUP($C16,成品本月库存!$B:$J,5,0)</f>
        <v>PCS</v>
      </c>
      <c r="F16" s="70">
        <v>136</v>
      </c>
      <c r="G16" s="119"/>
      <c r="H16" s="119">
        <f>VLOOKUP($C16,成品本月库存!$B:$J,9,0)</f>
        <v>136</v>
      </c>
      <c r="I16" s="70"/>
      <c r="J16" s="102"/>
    </row>
    <row r="17" ht="16.5" spans="1:10">
      <c r="A17" s="80"/>
      <c r="B17" s="120"/>
      <c r="C17" s="82" t="s">
        <v>26</v>
      </c>
      <c r="D17" s="118" t="str">
        <f>VLOOKUP($C17,成品本月库存!$B:$J,2,0)</f>
        <v>V3-BHSP-AX</v>
      </c>
      <c r="E17" s="118" t="str">
        <f>VLOOKUP($C17,成品本月库存!$B:$J,5,0)</f>
        <v>PCS</v>
      </c>
      <c r="F17" s="70">
        <v>1060</v>
      </c>
      <c r="G17" s="119"/>
      <c r="H17" s="119">
        <f>VLOOKUP($C17,成品本月库存!$B:$J,9,0)</f>
        <v>1060</v>
      </c>
      <c r="I17" s="70"/>
      <c r="J17" s="102"/>
    </row>
    <row r="18" ht="16.5" spans="1:10">
      <c r="A18" s="80"/>
      <c r="B18" s="120"/>
      <c r="C18" s="82" t="s">
        <v>27</v>
      </c>
      <c r="D18" s="118" t="str">
        <f>VLOOKUP($C18,成品本月库存!$B:$J,2,0)</f>
        <v>盖板</v>
      </c>
      <c r="E18" s="118" t="str">
        <f>VLOOKUP($C18,成品本月库存!$B:$J,5,0)</f>
        <v>PCS</v>
      </c>
      <c r="F18" s="70">
        <v>144</v>
      </c>
      <c r="G18" s="119"/>
      <c r="H18" s="119">
        <f>VLOOKUP($C18,成品本月库存!$B:$J,9,0)</f>
        <v>144</v>
      </c>
      <c r="I18" s="70"/>
      <c r="J18" s="102"/>
    </row>
    <row r="19" ht="16.5" spans="1:10">
      <c r="A19" s="80"/>
      <c r="B19" s="120"/>
      <c r="C19" s="82" t="s">
        <v>28</v>
      </c>
      <c r="D19" s="118" t="str">
        <f>VLOOKUP($C19,成品本月库存!$B:$J,2,0)</f>
        <v>ATT1LA-BHSP</v>
      </c>
      <c r="E19" s="118" t="str">
        <f>VLOOKUP($C19,成品本月库存!$B:$J,5,0)</f>
        <v>PCS</v>
      </c>
      <c r="F19" s="70">
        <v>1453</v>
      </c>
      <c r="G19" s="119"/>
      <c r="H19" s="119">
        <f>VLOOKUP($C19,成品本月库存!$B:$J,9,0)</f>
        <v>1453</v>
      </c>
      <c r="I19" s="70"/>
      <c r="J19" s="102"/>
    </row>
    <row r="20" ht="16.5" spans="1:10">
      <c r="A20" s="80"/>
      <c r="B20" s="120"/>
      <c r="C20" s="82" t="s">
        <v>29</v>
      </c>
      <c r="D20" s="118" t="str">
        <f>VLOOKUP($C20,成品本月库存!$B:$J,2,0)</f>
        <v>ATT1LA-PHSK</v>
      </c>
      <c r="E20" s="118" t="str">
        <f>VLOOKUP($C20,成品本月库存!$B:$J,5,0)</f>
        <v>PCS</v>
      </c>
      <c r="F20" s="70">
        <f>3634</f>
        <v>3634</v>
      </c>
      <c r="G20" s="119"/>
      <c r="H20" s="119">
        <f>VLOOKUP($C20,成品本月库存!$B:$J,9,0)</f>
        <v>3634</v>
      </c>
      <c r="I20" s="70"/>
      <c r="J20" s="102"/>
    </row>
    <row r="21" ht="16.5" spans="1:10">
      <c r="A21" s="80"/>
      <c r="B21" s="120"/>
      <c r="C21" s="82" t="s">
        <v>30</v>
      </c>
      <c r="D21" s="118" t="str">
        <f>VLOOKUP($C21,成品本月库存!$B:$J,2,0)</f>
        <v>ATT1LA-MHSP(8个牙）</v>
      </c>
      <c r="E21" s="118" t="str">
        <f>VLOOKUP($C21,成品本月库存!$B:$J,5,0)</f>
        <v>PCS</v>
      </c>
      <c r="F21" s="70">
        <v>1630</v>
      </c>
      <c r="G21" s="119"/>
      <c r="H21" s="119">
        <f>VLOOKUP($C21,成品本月库存!$B:$J,9,0)</f>
        <v>1630</v>
      </c>
      <c r="I21" s="70"/>
      <c r="J21" s="102"/>
    </row>
    <row r="22" ht="16.5" spans="1:10">
      <c r="A22" s="80"/>
      <c r="B22" s="120"/>
      <c r="C22" s="82" t="s">
        <v>31</v>
      </c>
      <c r="D22" s="118" t="str">
        <f>VLOOKUP($C22,成品本月库存!$B:$J,2,0)</f>
        <v>ATT1LA-THSP</v>
      </c>
      <c r="E22" s="118" t="str">
        <f>VLOOKUP($C22,成品本月库存!$B:$J,5,0)</f>
        <v>PCS</v>
      </c>
      <c r="F22" s="70">
        <v>403</v>
      </c>
      <c r="G22" s="119"/>
      <c r="H22" s="119">
        <f>VLOOKUP($C22,成品本月库存!$B:$J,9,0)</f>
        <v>639</v>
      </c>
      <c r="I22" s="70"/>
      <c r="J22" s="102"/>
    </row>
    <row r="23" ht="16.5" spans="1:10">
      <c r="A23" s="80"/>
      <c r="B23" s="120"/>
      <c r="C23" s="82" t="s">
        <v>31</v>
      </c>
      <c r="D23" s="118" t="s">
        <v>32</v>
      </c>
      <c r="E23" s="118"/>
      <c r="F23" s="82">
        <v>236</v>
      </c>
      <c r="G23" s="119" t="s">
        <v>33</v>
      </c>
      <c r="H23" s="119"/>
      <c r="I23" s="70"/>
      <c r="J23" s="102"/>
    </row>
    <row r="24" ht="16.5" spans="1:10">
      <c r="A24" s="80"/>
      <c r="B24" s="120"/>
      <c r="C24" s="82" t="s">
        <v>34</v>
      </c>
      <c r="D24" s="118" t="str">
        <f>VLOOKUP($C24,成品本月库存!$B:$J,2,0)</f>
        <v>ZS-THSP</v>
      </c>
      <c r="E24" s="118" t="str">
        <f>VLOOKUP($C24,成品本月库存!$B:$J,5,0)</f>
        <v>PCS</v>
      </c>
      <c r="F24" s="70">
        <v>167</v>
      </c>
      <c r="G24" s="119"/>
      <c r="H24" s="119">
        <f>VLOOKUP($C24,成品本月库存!$B:$J,9,0)</f>
        <v>167</v>
      </c>
      <c r="I24" s="70"/>
      <c r="J24" s="102"/>
    </row>
    <row r="25" ht="16.5" spans="1:10">
      <c r="A25" s="80"/>
      <c r="B25" s="120"/>
      <c r="C25" s="82" t="s">
        <v>35</v>
      </c>
      <c r="D25" s="118" t="str">
        <f>VLOOKUP($C25,成品本月库存!$B:$J,2,0)</f>
        <v>ZS-MHSP</v>
      </c>
      <c r="E25" s="118" t="str">
        <f>VLOOKUP($C25,成品本月库存!$B:$J,5,0)</f>
        <v>PCS</v>
      </c>
      <c r="F25" s="70">
        <v>237</v>
      </c>
      <c r="G25" s="119"/>
      <c r="H25" s="119">
        <f>VLOOKUP($C25,成品本月库存!$B:$J,9,0)</f>
        <v>237</v>
      </c>
      <c r="I25" s="70"/>
      <c r="J25" s="102"/>
    </row>
    <row r="26" ht="16.5" spans="1:10">
      <c r="A26" s="80"/>
      <c r="B26" s="120"/>
      <c r="C26" s="82" t="s">
        <v>36</v>
      </c>
      <c r="D26" s="118" t="str">
        <f>VLOOKUP($C26,成品本月库存!$B:$J,2,0)</f>
        <v>ZS-BHSP</v>
      </c>
      <c r="E26" s="118" t="str">
        <f>VLOOKUP($C26,成品本月库存!$B:$J,5,0)</f>
        <v>PCS</v>
      </c>
      <c r="F26" s="70">
        <v>530</v>
      </c>
      <c r="G26" s="119"/>
      <c r="H26" s="119">
        <f>VLOOKUP($C26,成品本月库存!$B:$J,9,0)</f>
        <v>530</v>
      </c>
      <c r="I26" s="70"/>
      <c r="J26" s="102"/>
    </row>
    <row r="27" ht="16.5" spans="1:10">
      <c r="A27" s="80"/>
      <c r="B27" s="120"/>
      <c r="C27" s="82" t="s">
        <v>37</v>
      </c>
      <c r="D27" s="118" t="str">
        <f>VLOOKUP($C27,成品本月库存!$B:$J,2,0)</f>
        <v>DUD3500D1</v>
      </c>
      <c r="E27" s="118" t="str">
        <f>VLOOKUP($C27,成品本月库存!$B:$J,5,0)</f>
        <v>PCS</v>
      </c>
      <c r="F27" s="70">
        <f>89+63</f>
        <v>152</v>
      </c>
      <c r="G27" s="119"/>
      <c r="H27" s="119">
        <f>VLOOKUP($C27,成品本月库存!$B:$J,9,0)</f>
        <v>149</v>
      </c>
      <c r="I27" s="70"/>
      <c r="J27" s="102"/>
    </row>
    <row r="28" ht="16.5" spans="1:10">
      <c r="A28" s="80"/>
      <c r="B28" s="120"/>
      <c r="C28" s="82" t="s">
        <v>38</v>
      </c>
      <c r="D28" s="118" t="str">
        <f>VLOOKUP($C28,成品本月库存!$B:$J,2,0)</f>
        <v>VSD9007S2</v>
      </c>
      <c r="E28" s="118" t="str">
        <f>VLOOKUP($C28,成品本月库存!$B:$J,5,0)</f>
        <v>PCS</v>
      </c>
      <c r="F28" s="70">
        <f>14+1662</f>
        <v>1676</v>
      </c>
      <c r="G28" s="119"/>
      <c r="H28" s="119">
        <f>VLOOKUP($C28,成品本月库存!$B:$J,9,0)</f>
        <v>1676</v>
      </c>
      <c r="I28" s="70"/>
      <c r="J28" s="102"/>
    </row>
    <row r="29" ht="16.5" spans="1:10">
      <c r="A29" s="80"/>
      <c r="B29" s="120"/>
      <c r="C29" s="82" t="s">
        <v>39</v>
      </c>
      <c r="D29" s="118" t="str">
        <f>VLOOKUP($C29,成品本月库存!$B:$J,2,0)</f>
        <v>(002)Kreka MHSP Tool</v>
      </c>
      <c r="E29" s="118" t="str">
        <f>VLOOKUP($C29,成品本月库存!$B:$J,5,0)</f>
        <v>PCS</v>
      </c>
      <c r="F29" s="70">
        <v>194</v>
      </c>
      <c r="G29" s="119"/>
      <c r="H29" s="119">
        <f>VLOOKUP($C29,成品本月库存!$B:$J,9,0)</f>
        <v>194</v>
      </c>
      <c r="I29" s="70"/>
      <c r="J29" s="102"/>
    </row>
    <row r="30" ht="16.5" spans="1:10">
      <c r="A30" s="80"/>
      <c r="B30" s="120"/>
      <c r="C30" s="82" t="s">
        <v>40</v>
      </c>
      <c r="D30" s="118" t="str">
        <f>VLOOKUP($C30,成品本月库存!$B:$J,2,0)</f>
        <v>(003)Kreka THSP POR</v>
      </c>
      <c r="E30" s="118" t="str">
        <f>VLOOKUP($C30,成品本月库存!$B:$J,5,0)</f>
        <v>PCS</v>
      </c>
      <c r="F30" s="70">
        <v>242</v>
      </c>
      <c r="G30" s="119"/>
      <c r="H30" s="119">
        <f>VLOOKUP($C30,成品本月库存!$B:$J,9,0)</f>
        <v>242</v>
      </c>
      <c r="I30" s="70"/>
      <c r="J30" s="102"/>
    </row>
    <row r="31" ht="16.5" spans="1:10">
      <c r="A31" s="80"/>
      <c r="B31" s="120"/>
      <c r="C31" s="82" t="s">
        <v>41</v>
      </c>
      <c r="D31" s="118" t="str">
        <f>VLOOKUP($C31,成品本月库存!$B:$J,2,0)</f>
        <v>Barca-BHSP（4牙）</v>
      </c>
      <c r="E31" s="118" t="str">
        <f>VLOOKUP($C31,成品本月库存!$B:$J,5,0)</f>
        <v>PCS</v>
      </c>
      <c r="F31" s="70">
        <v>1652</v>
      </c>
      <c r="G31" s="119"/>
      <c r="H31" s="119">
        <f>VLOOKUP($C31,成品本月库存!$B:$J,9,0)</f>
        <v>1836</v>
      </c>
      <c r="I31" s="70"/>
      <c r="J31" s="102"/>
    </row>
    <row r="32" ht="16.5" spans="1:10">
      <c r="A32" s="80"/>
      <c r="B32" s="120"/>
      <c r="C32" s="82" t="s">
        <v>41</v>
      </c>
      <c r="D32" s="118" t="s">
        <v>42</v>
      </c>
      <c r="E32" s="118"/>
      <c r="F32" s="82">
        <v>184</v>
      </c>
      <c r="G32" s="119" t="s">
        <v>18</v>
      </c>
      <c r="H32" s="119"/>
      <c r="I32" s="70"/>
      <c r="J32" s="102"/>
    </row>
    <row r="33" ht="16.5" spans="1:10">
      <c r="A33" s="80"/>
      <c r="B33" s="120"/>
      <c r="C33" s="82" t="s">
        <v>43</v>
      </c>
      <c r="D33" s="118" t="str">
        <f>VLOOKUP($C33,成品本月库存!$B:$J,2,0)</f>
        <v>Barca-MHSP  （1牙）</v>
      </c>
      <c r="E33" s="118" t="str">
        <f>VLOOKUP($C33,成品本月库存!$B:$J,5,0)</f>
        <v>PCS</v>
      </c>
      <c r="F33" s="70">
        <v>2624</v>
      </c>
      <c r="G33" s="119"/>
      <c r="H33" s="119">
        <f>VLOOKUP($C33,成品本月库存!$B:$J,9,0)</f>
        <v>3102</v>
      </c>
      <c r="I33" s="70"/>
      <c r="J33" s="102"/>
    </row>
    <row r="34" ht="16.5" spans="1:10">
      <c r="A34" s="80"/>
      <c r="B34" s="120"/>
      <c r="C34" s="82" t="s">
        <v>43</v>
      </c>
      <c r="D34" s="118" t="s">
        <v>44</v>
      </c>
      <c r="E34" s="118"/>
      <c r="F34" s="82">
        <v>478</v>
      </c>
      <c r="G34" s="121" t="s">
        <v>45</v>
      </c>
      <c r="H34" s="119"/>
      <c r="I34" s="70"/>
      <c r="J34" s="102"/>
    </row>
    <row r="35" ht="16.5" spans="1:10">
      <c r="A35" s="80"/>
      <c r="B35" s="120"/>
      <c r="C35" s="82" t="s">
        <v>46</v>
      </c>
      <c r="D35" s="118" t="str">
        <f>VLOOKUP($C35,成品本月库存!$B:$J,2,0)</f>
        <v>FVRB7813220（新电产）</v>
      </c>
      <c r="E35" s="118" t="str">
        <f>VLOOKUP($C35,成品本月库存!$B:$J,5,0)</f>
        <v>PCS</v>
      </c>
      <c r="F35" s="70">
        <v>362</v>
      </c>
      <c r="G35" s="119"/>
      <c r="H35" s="119">
        <f>VLOOKUP($C35,成品本月库存!$B:$J,9,0)</f>
        <v>362</v>
      </c>
      <c r="I35" s="70"/>
      <c r="J35" s="102"/>
    </row>
    <row r="36" ht="16.5" spans="1:10">
      <c r="A36" s="80"/>
      <c r="B36" s="120"/>
      <c r="C36" s="82" t="s">
        <v>47</v>
      </c>
      <c r="D36" s="118" t="str">
        <f>VLOOKUP($C36,成品本月库存!$B:$J,2,0)</f>
        <v>0243B00100（金属外壳）</v>
      </c>
      <c r="E36" s="118" t="str">
        <f>VLOOKUP($C36,成品本月库存!$B:$J,5,0)</f>
        <v>PCS</v>
      </c>
      <c r="F36" s="70">
        <f>113</f>
        <v>113</v>
      </c>
      <c r="G36" s="119"/>
      <c r="H36" s="119">
        <f>VLOOKUP($C36,成品本月库存!$B:$J,9,0)</f>
        <v>113</v>
      </c>
      <c r="I36" s="70"/>
      <c r="J36" s="102"/>
    </row>
    <row r="37" ht="16.5" spans="1:10">
      <c r="A37" s="80"/>
      <c r="B37" s="120"/>
      <c r="C37" s="82" t="s">
        <v>48</v>
      </c>
      <c r="D37" s="118" t="str">
        <f>VLOOKUP($C37,成品本月库存!$B:$J,2,0)</f>
        <v>ME-003( THSP)</v>
      </c>
      <c r="E37" s="118" t="str">
        <f>VLOOKUP($C37,成品本月库存!$B:$J,5,0)</f>
        <v>PCS</v>
      </c>
      <c r="F37" s="70">
        <v>4312</v>
      </c>
      <c r="G37" s="119"/>
      <c r="H37" s="119">
        <f>VLOOKUP($C37,成品本月库存!$B:$J,9,0)</f>
        <v>4312</v>
      </c>
      <c r="I37" s="70"/>
      <c r="J37" s="102"/>
    </row>
    <row r="38" ht="16.5" spans="1:10">
      <c r="A38" s="80"/>
      <c r="B38" s="120"/>
      <c r="C38" s="82" t="s">
        <v>49</v>
      </c>
      <c r="D38" s="118" t="str">
        <f>VLOOKUP($C38,成品本月库存!$B:$J,2,0)</f>
        <v>ME-017(BHSP)</v>
      </c>
      <c r="E38" s="118" t="str">
        <f>VLOOKUP($C38,成品本月库存!$B:$J,5,0)</f>
        <v>PCS</v>
      </c>
      <c r="F38" s="70">
        <v>1768</v>
      </c>
      <c r="G38" s="119"/>
      <c r="H38" s="119">
        <f>VLOOKUP($C38,成品本月库存!$B:$J,9,0)</f>
        <v>1768</v>
      </c>
      <c r="I38" s="70"/>
      <c r="J38" s="102"/>
    </row>
    <row r="39" ht="16.5" spans="1:10">
      <c r="A39" s="80"/>
      <c r="B39" s="120"/>
      <c r="C39" s="82" t="s">
        <v>50</v>
      </c>
      <c r="D39" s="118" t="str">
        <f>VLOOKUP($C39,成品本月库存!$B:$J,2,0)</f>
        <v>ME-019(BTB SHELD)</v>
      </c>
      <c r="E39" s="118" t="str">
        <f>VLOOKUP($C39,成品本月库存!$B:$J,5,0)</f>
        <v>PCS</v>
      </c>
      <c r="F39" s="70">
        <v>1394</v>
      </c>
      <c r="G39" s="119"/>
      <c r="H39" s="119">
        <f>VLOOKUP($C39,成品本月库存!$B:$J,9,0)</f>
        <v>1394</v>
      </c>
      <c r="I39" s="70"/>
      <c r="J39" s="102"/>
    </row>
    <row r="40" ht="16.5" spans="1:10">
      <c r="A40" s="80"/>
      <c r="B40" s="120"/>
      <c r="C40" s="82" t="s">
        <v>51</v>
      </c>
      <c r="D40" s="118" t="str">
        <f>VLOOKUP($C40,成品本月库存!$B:$J,2,0)</f>
        <v>DBF7505L1 散熱片</v>
      </c>
      <c r="E40" s="118" t="str">
        <f>VLOOKUP($C40,成品本月库存!$B:$J,5,0)</f>
        <v>PCS</v>
      </c>
      <c r="F40" s="122">
        <v>376</v>
      </c>
      <c r="G40" s="119"/>
      <c r="H40" s="119">
        <f>VLOOKUP($C40,成品本月库存!$B:$J,9,0)</f>
        <v>376</v>
      </c>
      <c r="I40" s="70"/>
      <c r="J40" s="102"/>
    </row>
    <row r="41" ht="16.5" spans="1:10">
      <c r="A41" s="80"/>
      <c r="B41" s="120"/>
      <c r="C41" s="82" t="s">
        <v>52</v>
      </c>
      <c r="D41" s="118" t="str">
        <f>VLOOKUP($C41,成品本月库存!$B:$J,2,0)</f>
        <v>DUG7391V1 </v>
      </c>
      <c r="E41" s="118" t="str">
        <f>VLOOKUP($C41,成品本月库存!$B:$J,5,0)</f>
        <v>PCS</v>
      </c>
      <c r="F41" s="70">
        <v>4759</v>
      </c>
      <c r="G41" s="119"/>
      <c r="H41" s="119">
        <f>VLOOKUP($C41,成品本月库存!$B:$J,9,0)</f>
        <v>4759</v>
      </c>
      <c r="I41" s="70"/>
      <c r="J41" s="102"/>
    </row>
    <row r="42" ht="16.5" spans="1:10">
      <c r="A42" s="80" t="s">
        <v>53</v>
      </c>
      <c r="B42" s="120"/>
      <c r="C42" s="82" t="s">
        <v>54</v>
      </c>
      <c r="D42" s="118" t="str">
        <f>VLOOKUP($C42,成品本月库存!$B:$J,2,0)</f>
        <v>HVO9142散热片</v>
      </c>
      <c r="E42" s="118" t="str">
        <f>VLOOKUP($C42,成品本月库存!$B:$J,5,0)</f>
        <v>PCS</v>
      </c>
      <c r="F42" s="70">
        <v>5757</v>
      </c>
      <c r="G42" s="119"/>
      <c r="H42" s="119">
        <f>VLOOKUP($C42,成品本月库存!$B:$J,9,0)</f>
        <v>5757</v>
      </c>
      <c r="I42" s="70"/>
      <c r="J42" s="102"/>
    </row>
    <row r="43" ht="16.5" spans="1:10">
      <c r="A43" s="80"/>
      <c r="B43" s="120"/>
      <c r="C43" s="82" t="s">
        <v>55</v>
      </c>
      <c r="D43" s="118" t="str">
        <f>VLOOKUP($C43,成品本月库存!$B:$J,2,0)</f>
        <v>8系列隐藏式接头(8系接头）</v>
      </c>
      <c r="E43" s="118" t="str">
        <f>VLOOKUP($C43,成品本月库存!$B:$J,5,0)</f>
        <v>PCS</v>
      </c>
      <c r="F43" s="70">
        <v>50978</v>
      </c>
      <c r="G43" s="119"/>
      <c r="H43" s="119">
        <f>VLOOKUP($C43,成品本月库存!$B:$J,9,0)</f>
        <v>50978</v>
      </c>
      <c r="I43" s="70"/>
      <c r="J43" s="102"/>
    </row>
    <row r="44" ht="16.5" spans="1:10">
      <c r="A44" s="80"/>
      <c r="B44" s="120"/>
      <c r="C44" s="82" t="s">
        <v>56</v>
      </c>
      <c r="D44" s="118" t="str">
        <f>VLOOKUP($C44,成品本月库存!$B:$J,2,0)</f>
        <v>T93-03B</v>
      </c>
      <c r="E44" s="118" t="str">
        <f>VLOOKUP($C44,成品本月库存!$B:$J,5,0)</f>
        <v>PCS</v>
      </c>
      <c r="F44" s="70">
        <v>12150</v>
      </c>
      <c r="G44" s="119"/>
      <c r="H44" s="119">
        <f>VLOOKUP($C44,成品本月库存!$B:$J,9,0)</f>
        <v>12150</v>
      </c>
      <c r="I44" s="70"/>
      <c r="J44" s="102"/>
    </row>
    <row r="45" ht="16.5" spans="1:10">
      <c r="A45" s="80"/>
      <c r="B45" s="120"/>
      <c r="C45" s="82" t="s">
        <v>57</v>
      </c>
      <c r="D45" s="118" t="str">
        <f>VLOOKUP($C45,成品本月库存!$B:$J,2,0)</f>
        <v>T93-02A</v>
      </c>
      <c r="E45" s="118" t="str">
        <f>VLOOKUP($C45,成品本月库存!$B:$J,5,0)</f>
        <v>PCS</v>
      </c>
      <c r="F45" s="70">
        <v>10015</v>
      </c>
      <c r="G45" s="119"/>
      <c r="H45" s="119">
        <f>VLOOKUP($C45,成品本月库存!$B:$J,9,0)</f>
        <v>10015</v>
      </c>
      <c r="I45" s="70"/>
      <c r="J45" s="102"/>
    </row>
    <row r="46" ht="16.5" spans="1:10">
      <c r="A46" s="80"/>
      <c r="B46" s="120"/>
      <c r="C46" s="82" t="s">
        <v>58</v>
      </c>
      <c r="D46" s="118" t="str">
        <f>VLOOKUP($C46,成品本月库存!$B:$J,2,0)</f>
        <v>T93-13</v>
      </c>
      <c r="E46" s="118" t="str">
        <f>VLOOKUP($C46,成品本月库存!$B:$J,5,0)</f>
        <v>PCS</v>
      </c>
      <c r="F46" s="70">
        <v>2628</v>
      </c>
      <c r="G46" s="119"/>
      <c r="H46" s="119">
        <f>VLOOKUP($C46,成品本月库存!$B:$J,9,0)</f>
        <v>1278</v>
      </c>
      <c r="I46" s="70"/>
      <c r="J46" s="102"/>
    </row>
    <row r="47" ht="16.5" spans="1:10">
      <c r="A47" s="80"/>
      <c r="B47" s="120"/>
      <c r="C47" s="82" t="s">
        <v>59</v>
      </c>
      <c r="D47" s="118" t="str">
        <f>VLOOKUP($C47,成品本月库存!$B:$J,2,0)</f>
        <v>T93-06.01</v>
      </c>
      <c r="E47" s="118" t="str">
        <f>VLOOKUP($C47,成品本月库存!$B:$J,5,0)</f>
        <v>PCS</v>
      </c>
      <c r="F47" s="70">
        <v>78</v>
      </c>
      <c r="G47" s="119"/>
      <c r="H47" s="119">
        <f>VLOOKUP($C47,成品本月库存!$B:$J,9,0)</f>
        <v>78</v>
      </c>
      <c r="I47" s="70"/>
      <c r="J47" s="102"/>
    </row>
    <row r="48" ht="16.5" spans="1:10">
      <c r="A48" s="80"/>
      <c r="B48" s="120"/>
      <c r="C48" s="82" t="s">
        <v>60</v>
      </c>
      <c r="D48" s="118" t="str">
        <f>VLOOKUP($C48,成品本月库存!$B:$J,2,0)</f>
        <v>T93-20</v>
      </c>
      <c r="E48" s="118" t="str">
        <f>VLOOKUP($C48,成品本月库存!$B:$J,5,0)</f>
        <v>PCS</v>
      </c>
      <c r="F48" s="70">
        <v>14838</v>
      </c>
      <c r="G48" s="119"/>
      <c r="H48" s="119">
        <f>VLOOKUP($C48,成品本月库存!$B:$J,9,0)</f>
        <v>3846</v>
      </c>
      <c r="I48" s="70"/>
      <c r="J48" s="102"/>
    </row>
    <row r="49" ht="16.5" spans="1:10">
      <c r="A49" s="80"/>
      <c r="B49" s="120"/>
      <c r="C49" s="82" t="s">
        <v>60</v>
      </c>
      <c r="D49" s="118" t="s">
        <v>61</v>
      </c>
      <c r="E49" s="118"/>
      <c r="F49" s="82">
        <v>98</v>
      </c>
      <c r="G49" s="121" t="s">
        <v>62</v>
      </c>
      <c r="H49" s="119"/>
      <c r="I49" s="70"/>
      <c r="J49" s="102"/>
    </row>
    <row r="50" ht="16.5" spans="1:10">
      <c r="A50" s="80"/>
      <c r="B50" s="120"/>
      <c r="C50" s="82" t="s">
        <v>63</v>
      </c>
      <c r="D50" s="118" t="str">
        <f>VLOOKUP($C50,成品本月库存!$B:$J,2,0)</f>
        <v>T93-22</v>
      </c>
      <c r="E50" s="118" t="str">
        <f>VLOOKUP($C50,成品本月库存!$B:$J,5,0)</f>
        <v>PCS</v>
      </c>
      <c r="F50" s="70">
        <v>1558</v>
      </c>
      <c r="G50" s="119"/>
      <c r="H50" s="119">
        <f>VLOOKUP($C50,成品本月库存!$B:$J,9,0)</f>
        <v>1558</v>
      </c>
      <c r="I50" s="70"/>
      <c r="J50" s="102"/>
    </row>
    <row r="51" ht="16.5" spans="1:10">
      <c r="A51" s="80"/>
      <c r="B51" s="120"/>
      <c r="C51" s="82" t="s">
        <v>64</v>
      </c>
      <c r="D51" s="118" t="str">
        <f>VLOOKUP($C51,成品本月库存!$B:$J,2,0)</f>
        <v>T93-23</v>
      </c>
      <c r="E51" s="118" t="str">
        <f>VLOOKUP($C51,成品本月库存!$B:$J,5,0)</f>
        <v>PCS</v>
      </c>
      <c r="F51" s="70">
        <v>5016</v>
      </c>
      <c r="G51" s="119"/>
      <c r="H51" s="119">
        <f>VLOOKUP($C51,成品本月库存!$B:$J,9,0)</f>
        <v>5016</v>
      </c>
      <c r="I51" s="70"/>
      <c r="J51" s="102"/>
    </row>
    <row r="52" ht="16.5" spans="1:10">
      <c r="A52" s="80"/>
      <c r="B52" s="120"/>
      <c r="C52" s="82" t="s">
        <v>65</v>
      </c>
      <c r="D52" s="118" t="str">
        <f>VLOOKUP($C52,成品本月库存!$B:$J,2,0)</f>
        <v>T93-25</v>
      </c>
      <c r="E52" s="118" t="str">
        <f>VLOOKUP($C52,成品本月库存!$B:$J,5,0)</f>
        <v>PCS</v>
      </c>
      <c r="F52" s="70">
        <v>2477</v>
      </c>
      <c r="G52" s="119"/>
      <c r="H52" s="119">
        <f>VLOOKUP($C52,成品本月库存!$B:$J,9,0)</f>
        <v>2477</v>
      </c>
      <c r="I52" s="70"/>
      <c r="J52" s="102"/>
    </row>
    <row r="53" ht="16.5" spans="1:10">
      <c r="A53" s="80"/>
      <c r="B53" s="120"/>
      <c r="C53" s="82" t="s">
        <v>66</v>
      </c>
      <c r="D53" s="118" t="str">
        <f>VLOOKUP($C53,成品本月库存!$B:$J,2,0)</f>
        <v>T93-27</v>
      </c>
      <c r="E53" s="118" t="str">
        <f>VLOOKUP($C53,成品本月库存!$B:$J,5,0)</f>
        <v>PCS</v>
      </c>
      <c r="F53" s="70">
        <v>833</v>
      </c>
      <c r="G53" s="119"/>
      <c r="H53" s="119">
        <f>VLOOKUP($C53,成品本月库存!$B:$J,9,0)</f>
        <v>833</v>
      </c>
      <c r="I53" s="70"/>
      <c r="J53" s="102"/>
    </row>
    <row r="54" ht="16.5" spans="1:10">
      <c r="A54" s="80"/>
      <c r="B54" s="120"/>
      <c r="C54" s="82" t="s">
        <v>67</v>
      </c>
      <c r="D54" s="118" t="str">
        <f>VLOOKUP($C54,成品本月库存!$B:$J,2,0)</f>
        <v>T93-31</v>
      </c>
      <c r="E54" s="118" t="str">
        <f>VLOOKUP($C54,成品本月库存!$B:$J,5,0)</f>
        <v>PCS</v>
      </c>
      <c r="F54" s="70">
        <v>7218</v>
      </c>
      <c r="G54" s="119"/>
      <c r="H54" s="119">
        <f>VLOOKUP($C54,成品本月库存!$B:$J,9,0)</f>
        <v>7218</v>
      </c>
      <c r="I54" s="70"/>
      <c r="J54" s="102"/>
    </row>
    <row r="55" ht="16.5" spans="1:10">
      <c r="A55" s="80"/>
      <c r="B55" s="120"/>
      <c r="C55" s="82" t="s">
        <v>68</v>
      </c>
      <c r="D55" s="118" t="str">
        <f>VLOOKUP($C55,成品本月库存!$B:$J,2,0)</f>
        <v>T93-32</v>
      </c>
      <c r="E55" s="118" t="str">
        <f>VLOOKUP($C55,成品本月库存!$B:$J,5,0)</f>
        <v>PCS</v>
      </c>
      <c r="F55" s="70">
        <v>3539</v>
      </c>
      <c r="G55" s="119"/>
      <c r="H55" s="119">
        <f>VLOOKUP($C55,成品本月库存!$B:$J,9,0)</f>
        <v>3539</v>
      </c>
      <c r="I55" s="70"/>
      <c r="J55" s="102"/>
    </row>
    <row r="56" ht="16.5" spans="1:10">
      <c r="A56" s="80"/>
      <c r="B56" s="120"/>
      <c r="C56" s="82" t="s">
        <v>69</v>
      </c>
      <c r="D56" s="118" t="str">
        <f>VLOOKUP($C56,成品本月库存!$B:$J,2,0)</f>
        <v>T46-03</v>
      </c>
      <c r="E56" s="118" t="str">
        <f>VLOOKUP($C56,成品本月库存!$B:$J,5,0)</f>
        <v>PCS</v>
      </c>
      <c r="F56" s="70">
        <v>1537</v>
      </c>
      <c r="G56" s="119"/>
      <c r="H56" s="119">
        <f>VLOOKUP($C56,成品本月库存!$B:$J,9,0)</f>
        <v>1599</v>
      </c>
      <c r="I56" s="70"/>
      <c r="J56" s="102"/>
    </row>
    <row r="57" ht="16.5" spans="1:10">
      <c r="A57" s="80"/>
      <c r="B57" s="120"/>
      <c r="C57" s="82" t="s">
        <v>69</v>
      </c>
      <c r="D57" s="118" t="s">
        <v>70</v>
      </c>
      <c r="E57" s="118" t="str">
        <f>VLOOKUP($C57,成品本月库存!$B:$J,5,0)</f>
        <v>PCS</v>
      </c>
      <c r="F57" s="82">
        <v>62</v>
      </c>
      <c r="G57" s="121" t="s">
        <v>71</v>
      </c>
      <c r="H57" s="119"/>
      <c r="I57" s="70"/>
      <c r="J57" s="102"/>
    </row>
    <row r="58" ht="16.5" spans="1:10">
      <c r="A58" s="80"/>
      <c r="B58" s="120"/>
      <c r="C58" s="82" t="s">
        <v>72</v>
      </c>
      <c r="D58" s="118" t="str">
        <f>VLOOKUP($C58,成品本月库存!$B:$J,2,0)</f>
        <v>JK111-04机壳（无牙）</v>
      </c>
      <c r="E58" s="118" t="str">
        <f>VLOOKUP($C58,成品本月库存!$B:$J,5,0)</f>
        <v>PCS</v>
      </c>
      <c r="F58" s="70">
        <v>955</v>
      </c>
      <c r="G58" s="119"/>
      <c r="H58" s="119">
        <f>VLOOKUP($C58,成品本月库存!$B:$J,9,0)</f>
        <v>280</v>
      </c>
      <c r="I58" s="70"/>
      <c r="J58" s="102"/>
    </row>
    <row r="59" ht="16.5" spans="1:10">
      <c r="A59" s="80"/>
      <c r="B59" s="120"/>
      <c r="C59" s="82" t="s">
        <v>73</v>
      </c>
      <c r="D59" s="118" t="str">
        <f>VLOOKUP($C59,成品本月库存!$B:$J,2,0)</f>
        <v>T93-29镭雕</v>
      </c>
      <c r="E59" s="118" t="str">
        <f>VLOOKUP($C59,成品本月库存!$B:$J,5,0)</f>
        <v>PCS</v>
      </c>
      <c r="F59" s="70">
        <v>3612</v>
      </c>
      <c r="G59" s="119"/>
      <c r="H59" s="119">
        <f>VLOOKUP($C59,成品本月库存!$B:$J,9,0)</f>
        <v>877</v>
      </c>
      <c r="I59" s="70"/>
      <c r="J59" s="102"/>
    </row>
    <row r="60" ht="16.5" spans="1:10">
      <c r="A60" s="80"/>
      <c r="B60" s="120"/>
      <c r="C60" s="82" t="s">
        <v>74</v>
      </c>
      <c r="D60" s="118" t="str">
        <f>VLOOKUP($C60,成品本月库存!$B:$J,2,0)</f>
        <v>T93-33镭雕（4孔）</v>
      </c>
      <c r="E60" s="118" t="str">
        <f>VLOOKUP($C60,成品本月库存!$B:$J,5,0)</f>
        <v>PCS</v>
      </c>
      <c r="F60" s="70">
        <v>1182</v>
      </c>
      <c r="G60" s="119"/>
      <c r="H60" s="119">
        <f>VLOOKUP($C60,成品本月库存!$B:$J,9,0)</f>
        <v>887</v>
      </c>
      <c r="I60" s="70"/>
      <c r="J60" s="102"/>
    </row>
    <row r="61" ht="16.5" spans="1:10">
      <c r="A61" s="80"/>
      <c r="B61" s="120"/>
      <c r="C61" s="82" t="s">
        <v>75</v>
      </c>
      <c r="D61" s="118" t="str">
        <f>VLOOKUP($C61,成品本月库存!$B:$J,2,0)</f>
        <v>T93-SUE</v>
      </c>
      <c r="E61" s="118" t="str">
        <f>VLOOKUP($C61,成品本月库存!$B:$J,5,0)</f>
        <v>PCS</v>
      </c>
      <c r="F61" s="70">
        <v>88</v>
      </c>
      <c r="G61" s="119"/>
      <c r="H61" s="119">
        <f>VLOOKUP($C61,成品本月库存!$B:$J,9,0)</f>
        <v>88</v>
      </c>
      <c r="I61" s="70"/>
      <c r="J61" s="102"/>
    </row>
    <row r="62" ht="16.5" spans="1:10">
      <c r="A62" s="80"/>
      <c r="B62" s="120"/>
      <c r="C62" s="82" t="s">
        <v>76</v>
      </c>
      <c r="D62" s="118" t="str">
        <f>VLOOKUP($C62,成品本月库存!$B:$J,2,0)</f>
        <v>JK111-03机壳（无牙）</v>
      </c>
      <c r="E62" s="118" t="str">
        <f>VLOOKUP($C62,成品本月库存!$B:$J,5,0)</f>
        <v>PCS</v>
      </c>
      <c r="F62" s="70">
        <f>900+3*900+121+900+6*45+30*45</f>
        <v>6241</v>
      </c>
      <c r="G62" s="119"/>
      <c r="H62" s="119">
        <f>VLOOKUP($C62,成品本月库存!$B:$J,9,0)</f>
        <v>7933</v>
      </c>
      <c r="I62" s="70"/>
      <c r="J62" s="102"/>
    </row>
    <row r="63" ht="16.5" spans="1:10">
      <c r="A63" s="80"/>
      <c r="B63" s="120"/>
      <c r="C63" s="82" t="s">
        <v>77</v>
      </c>
      <c r="D63" s="118" t="str">
        <f>VLOOKUP($C63,成品本月库存!$B:$J,2,0)</f>
        <v>JK111-06机壳（无牙）</v>
      </c>
      <c r="E63" s="118" t="str">
        <f>VLOOKUP($C63,成品本月库存!$B:$J,5,0)</f>
        <v>PCS</v>
      </c>
      <c r="F63" s="70">
        <v>2580</v>
      </c>
      <c r="G63" s="119"/>
      <c r="H63" s="119">
        <f>VLOOKUP($C63,成品本月库存!$B:$J,9,0)</f>
        <v>2580</v>
      </c>
      <c r="I63" s="70"/>
      <c r="J63" s="102"/>
    </row>
    <row r="64" ht="16.5" spans="1:10">
      <c r="A64" s="80"/>
      <c r="B64" s="120"/>
      <c r="C64" s="82" t="s">
        <v>78</v>
      </c>
      <c r="D64" s="118" t="str">
        <f>VLOOKUP($C64,成品本月库存!$B:$J,2,0)</f>
        <v>T93-53</v>
      </c>
      <c r="E64" s="118" t="str">
        <f>VLOOKUP($C64,成品本月库存!$B:$J,5,0)</f>
        <v>PCS</v>
      </c>
      <c r="F64" s="70">
        <v>36</v>
      </c>
      <c r="G64" s="119"/>
      <c r="H64" s="119">
        <f>VLOOKUP($C64,成品本月库存!$B:$J,9,0)</f>
        <v>36</v>
      </c>
      <c r="I64" s="70"/>
      <c r="J64" s="102"/>
    </row>
    <row r="65" ht="16.5" spans="1:10">
      <c r="A65" s="80"/>
      <c r="B65" s="120"/>
      <c r="C65" s="82" t="s">
        <v>79</v>
      </c>
      <c r="D65" s="118" t="str">
        <f>VLOOKUP($C65,成品本月库存!$B:$J,2,0)</f>
        <v>T93-54（镭雕）</v>
      </c>
      <c r="E65" s="118" t="str">
        <f>VLOOKUP($C65,成品本月库存!$B:$J,5,0)</f>
        <v>PCS</v>
      </c>
      <c r="F65" s="70">
        <v>35</v>
      </c>
      <c r="G65" s="119"/>
      <c r="H65" s="119">
        <f>VLOOKUP($C65,成品本月库存!$B:$J,9,0)</f>
        <v>35</v>
      </c>
      <c r="I65" s="70"/>
      <c r="J65" s="102"/>
    </row>
    <row r="66" ht="16.5" spans="1:10">
      <c r="A66" s="80"/>
      <c r="B66" s="120"/>
      <c r="C66" s="82" t="s">
        <v>80</v>
      </c>
      <c r="D66" s="118" t="str">
        <f>VLOOKUP($C66,成品本月库存!$B:$J,2,0)</f>
        <v>T93-58</v>
      </c>
      <c r="E66" s="118" t="str">
        <f>VLOOKUP($C66,成品本月库存!$B:$J,5,0)</f>
        <v>PCS</v>
      </c>
      <c r="F66" s="70">
        <v>23</v>
      </c>
      <c r="G66" s="119"/>
      <c r="H66" s="119">
        <f>VLOOKUP($C66,成品本月库存!$B:$J,9,0)</f>
        <v>23</v>
      </c>
      <c r="I66" s="70"/>
      <c r="J66" s="102"/>
    </row>
    <row r="67" ht="16.5" spans="1:10">
      <c r="A67" s="80"/>
      <c r="B67" s="120"/>
      <c r="C67" s="82" t="s">
        <v>81</v>
      </c>
      <c r="D67" s="118" t="str">
        <f>VLOOKUP($C67,成品本月库存!$B:$J,2,0)</f>
        <v>T93-59</v>
      </c>
      <c r="E67" s="118" t="str">
        <f>VLOOKUP($C67,成品本月库存!$B:$J,5,0)</f>
        <v>PCS</v>
      </c>
      <c r="F67" s="70">
        <v>19</v>
      </c>
      <c r="G67" s="119"/>
      <c r="H67" s="119">
        <f>VLOOKUP($C67,成品本月库存!$B:$J,9,0)</f>
        <v>19</v>
      </c>
      <c r="I67" s="70"/>
      <c r="J67" s="102"/>
    </row>
    <row r="68" ht="16.5" spans="1:10">
      <c r="A68" s="80"/>
      <c r="B68" s="120"/>
      <c r="C68" s="82" t="s">
        <v>82</v>
      </c>
      <c r="D68" s="118" t="str">
        <f>VLOOKUP($C68,成品本月库存!$B:$J,2,0)</f>
        <v>T93-60</v>
      </c>
      <c r="E68" s="118" t="str">
        <f>VLOOKUP($C68,成品本月库存!$B:$J,5,0)</f>
        <v>PCS</v>
      </c>
      <c r="F68" s="70">
        <v>22</v>
      </c>
      <c r="G68" s="119"/>
      <c r="H68" s="119">
        <f>VLOOKUP($C68,成品本月库存!$B:$J,9,0)</f>
        <v>22</v>
      </c>
      <c r="I68" s="70"/>
      <c r="J68" s="102"/>
    </row>
    <row r="69" ht="16.5" spans="1:10">
      <c r="A69" s="80"/>
      <c r="B69" s="120"/>
      <c r="C69" s="82" t="s">
        <v>83</v>
      </c>
      <c r="D69" s="118" t="str">
        <f>VLOOKUP($C69,成品本月库存!$B:$J,2,0)</f>
        <v>T93-62</v>
      </c>
      <c r="E69" s="118" t="str">
        <f>VLOOKUP($C69,成品本月库存!$B:$J,5,0)</f>
        <v>PCS</v>
      </c>
      <c r="F69" s="70">
        <v>137</v>
      </c>
      <c r="G69" s="119"/>
      <c r="H69" s="119">
        <f>VLOOKUP($C69,成品本月库存!$B:$J,9,0)</f>
        <v>176</v>
      </c>
      <c r="I69" s="70"/>
      <c r="J69" s="102"/>
    </row>
    <row r="70" ht="16.5" spans="1:10">
      <c r="A70" s="80"/>
      <c r="B70" s="120"/>
      <c r="C70" s="82" t="s">
        <v>83</v>
      </c>
      <c r="D70" s="118" t="s">
        <v>84</v>
      </c>
      <c r="E70" s="118"/>
      <c r="F70" s="82">
        <v>39</v>
      </c>
      <c r="G70" s="121" t="s">
        <v>85</v>
      </c>
      <c r="H70" s="119"/>
      <c r="I70" s="70"/>
      <c r="J70" s="102"/>
    </row>
    <row r="71" ht="16.5" spans="1:10">
      <c r="A71" s="80"/>
      <c r="B71" s="120"/>
      <c r="C71" s="82" t="s">
        <v>86</v>
      </c>
      <c r="D71" s="118" t="str">
        <f>VLOOKUP($C71,成品本月库存!$B:$J,2,0)</f>
        <v>背盖</v>
      </c>
      <c r="E71" s="118" t="str">
        <f>VLOOKUP($C71,成品本月库存!$B:$J,5,0)</f>
        <v>PCS</v>
      </c>
      <c r="F71" s="70">
        <v>161</v>
      </c>
      <c r="G71" s="119"/>
      <c r="H71" s="119">
        <f>VLOOKUP($C71,成品本月库存!$B:$J,9,0)</f>
        <v>161</v>
      </c>
      <c r="I71" s="70"/>
      <c r="J71" s="102"/>
    </row>
    <row r="72" ht="16.5" spans="1:10">
      <c r="A72" s="80"/>
      <c r="B72" s="120"/>
      <c r="C72" s="82" t="s">
        <v>87</v>
      </c>
      <c r="D72" s="118" t="str">
        <f>VLOOKUP($C72,成品本月库存!$B:$J,2,0)</f>
        <v>伞齿固定座L</v>
      </c>
      <c r="E72" s="118" t="str">
        <f>VLOOKUP($C72,成品本月库存!$B:$J,5,0)</f>
        <v>PCS</v>
      </c>
      <c r="F72" s="70">
        <v>5594</v>
      </c>
      <c r="G72" s="119"/>
      <c r="H72" s="119">
        <f>VLOOKUP($C72,成品本月库存!$B:$J,9,0)</f>
        <v>5594</v>
      </c>
      <c r="I72" s="70"/>
      <c r="J72" s="102"/>
    </row>
    <row r="73" ht="16.5" spans="1:10">
      <c r="A73" s="80"/>
      <c r="B73" s="120"/>
      <c r="C73" s="82" t="s">
        <v>88</v>
      </c>
      <c r="D73" s="118" t="str">
        <f>VLOOKUP($C73,成品本月库存!$B:$J,2,0)</f>
        <v>伞齿固定座R</v>
      </c>
      <c r="E73" s="118" t="str">
        <f>VLOOKUP($C73,成品本月库存!$B:$J,5,0)</f>
        <v>PCS</v>
      </c>
      <c r="F73" s="70">
        <v>5594</v>
      </c>
      <c r="G73" s="119"/>
      <c r="H73" s="119">
        <f>VLOOKUP($C73,成品本月库存!$B:$J,9,0)</f>
        <v>5594</v>
      </c>
      <c r="I73" s="70"/>
      <c r="J73" s="102"/>
    </row>
    <row r="74" ht="16.5" spans="1:10">
      <c r="A74" s="80"/>
      <c r="B74" s="120"/>
      <c r="C74" s="82" t="s">
        <v>89</v>
      </c>
      <c r="D74" s="118" t="str">
        <f>VLOOKUP($C74,成品本月库存!$B:$J,2,0)</f>
        <v>连接座</v>
      </c>
      <c r="E74" s="118" t="str">
        <f>VLOOKUP($C74,成品本月库存!$B:$J,5,0)</f>
        <v>PCS</v>
      </c>
      <c r="F74" s="70">
        <v>5979</v>
      </c>
      <c r="G74" s="119"/>
      <c r="H74" s="119">
        <f>VLOOKUP($C74,成品本月库存!$B:$J,9,0)</f>
        <v>5979</v>
      </c>
      <c r="I74" s="70"/>
      <c r="J74" s="102"/>
    </row>
    <row r="75" ht="16.5" spans="1:10">
      <c r="A75" s="80"/>
      <c r="B75" s="120"/>
      <c r="C75" s="82" t="s">
        <v>90</v>
      </c>
      <c r="D75" s="118" t="str">
        <f>VLOOKUP($C75,成品本月库存!$B:$J,2,0)</f>
        <v>外壳</v>
      </c>
      <c r="E75" s="118" t="str">
        <f>VLOOKUP($C75,成品本月库存!$B:$J,5,0)</f>
        <v>PCS</v>
      </c>
      <c r="F75" s="70">
        <f>10579+1270</f>
        <v>11849</v>
      </c>
      <c r="G75" s="119"/>
      <c r="H75" s="119">
        <f>VLOOKUP($C75,成品本月库存!$B:$J,9,0)</f>
        <v>11849</v>
      </c>
      <c r="I75" s="70"/>
      <c r="J75" s="102"/>
    </row>
    <row r="76" ht="16.5" spans="1:10">
      <c r="A76" s="80"/>
      <c r="B76" s="120"/>
      <c r="C76" s="82" t="s">
        <v>91</v>
      </c>
      <c r="D76" s="118" t="str">
        <f>VLOOKUP($C76,成品本月库存!$B:$J,2,0)</f>
        <v>G2124DM11B01</v>
      </c>
      <c r="E76" s="118" t="str">
        <f>VLOOKUP($C76,成品本月库存!$B:$J,5,0)</f>
        <v>PCS</v>
      </c>
      <c r="F76" s="70">
        <f>6523+1115</f>
        <v>7638</v>
      </c>
      <c r="G76" s="119"/>
      <c r="H76" s="119">
        <f>VLOOKUP($C76,成品本月库存!$B:$J,9,0)</f>
        <v>6376</v>
      </c>
      <c r="I76" s="70"/>
      <c r="J76" s="102"/>
    </row>
    <row r="77" ht="16.5" spans="1:10">
      <c r="A77" s="80"/>
      <c r="B77" s="120"/>
      <c r="C77" s="82" t="s">
        <v>92</v>
      </c>
      <c r="D77" s="118" t="str">
        <f>VLOOKUP($C77,成品本月库存!$B:$J,2,0)</f>
        <v>BMS1997上盖</v>
      </c>
      <c r="E77" s="118" t="str">
        <f>VLOOKUP($C77,成品本月库存!$B:$J,5,0)</f>
        <v>PCS</v>
      </c>
      <c r="F77" s="70">
        <v>2473</v>
      </c>
      <c r="G77" s="119"/>
      <c r="H77" s="119">
        <f>VLOOKUP($C77,成品本月库存!$B:$J,9,0)</f>
        <v>2473</v>
      </c>
      <c r="I77" s="70"/>
      <c r="J77" s="102"/>
    </row>
    <row r="78" ht="16.5" spans="1:10">
      <c r="A78" s="80"/>
      <c r="B78" s="120"/>
      <c r="C78" s="82" t="s">
        <v>93</v>
      </c>
      <c r="D78" s="118" t="str">
        <f>VLOOKUP($C78,成品本月库存!$B:$J,2,0)</f>
        <v>BMS1997下盖</v>
      </c>
      <c r="E78" s="118" t="str">
        <f>VLOOKUP($C78,成品本月库存!$B:$J,5,0)</f>
        <v>PCS</v>
      </c>
      <c r="F78" s="70">
        <v>2632</v>
      </c>
      <c r="G78" s="119"/>
      <c r="H78" s="119">
        <f>VLOOKUP($C78,成品本月库存!$B:$J,9,0)</f>
        <v>2632</v>
      </c>
      <c r="I78" s="70"/>
      <c r="J78" s="102"/>
    </row>
    <row r="79" ht="16.5" spans="1:10">
      <c r="A79" s="80"/>
      <c r="B79" s="120"/>
      <c r="C79" s="82" t="s">
        <v>94</v>
      </c>
      <c r="D79" s="118" t="str">
        <f>VLOOKUP($C79,成品本月库存!$B:$J,2,0)</f>
        <v>G2131主控上盖</v>
      </c>
      <c r="E79" s="118" t="str">
        <f>VLOOKUP($C79,成品本月库存!$B:$J,5,0)</f>
        <v>PCS</v>
      </c>
      <c r="F79" s="70">
        <v>193</v>
      </c>
      <c r="G79" s="119"/>
      <c r="H79" s="119">
        <f>VLOOKUP($C79,成品本月库存!$B:$J,9,0)</f>
        <v>193</v>
      </c>
      <c r="I79" s="70"/>
      <c r="J79" s="102"/>
    </row>
    <row r="80" ht="16.5" spans="1:10">
      <c r="A80" s="80"/>
      <c r="B80" s="120"/>
      <c r="C80" s="82" t="s">
        <v>95</v>
      </c>
      <c r="D80" s="118" t="str">
        <f>VLOOKUP($C80,成品本月库存!$B:$J,2,0)</f>
        <v>G2131底座（下盖）</v>
      </c>
      <c r="E80" s="118" t="str">
        <f>VLOOKUP($C80,成品本月库存!$B:$J,5,0)</f>
        <v>PCS</v>
      </c>
      <c r="F80" s="70">
        <v>48</v>
      </c>
      <c r="G80" s="119"/>
      <c r="H80" s="119">
        <f>VLOOKUP($C80,成品本月库存!$B:$J,9,0)</f>
        <v>48</v>
      </c>
      <c r="I80" s="70"/>
      <c r="J80" s="102"/>
    </row>
    <row r="81" ht="16.5" spans="1:10">
      <c r="A81" s="80"/>
      <c r="B81" s="120"/>
      <c r="C81" s="82" t="s">
        <v>96</v>
      </c>
      <c r="D81" s="118" t="str">
        <f>VLOOKUP($C81,成品本月库存!$B:$J,2,0)</f>
        <v>JB527挂钩壳</v>
      </c>
      <c r="E81" s="118" t="str">
        <f>VLOOKUP($C81,成品本月库存!$B:$J,5,0)</f>
        <v>PCS</v>
      </c>
      <c r="F81" s="70">
        <v>572</v>
      </c>
      <c r="G81" s="119"/>
      <c r="H81" s="119">
        <f>VLOOKUP($C81,成品本月库存!$B:$J,9,0)</f>
        <v>572</v>
      </c>
      <c r="I81" s="70"/>
      <c r="J81" s="102"/>
    </row>
    <row r="82" ht="16.5" spans="1:10">
      <c r="A82" s="80"/>
      <c r="B82" s="120"/>
      <c r="C82" s="82" t="s">
        <v>97</v>
      </c>
      <c r="D82" s="118" t="str">
        <f>VLOOKUP($C82,成品本月库存!$B:$J,2,0)</f>
        <v>JB527折叠挂钩</v>
      </c>
      <c r="E82" s="118" t="str">
        <f>VLOOKUP($C82,成品本月库存!$B:$J,5,0)</f>
        <v>PCS</v>
      </c>
      <c r="F82" s="70">
        <v>75</v>
      </c>
      <c r="G82" s="119"/>
      <c r="H82" s="119">
        <f>VLOOKUP($C82,成品本月库存!$B:$J,9,0)</f>
        <v>75</v>
      </c>
      <c r="I82" s="70"/>
      <c r="J82" s="102"/>
    </row>
    <row r="83" ht="16.5" spans="1:10">
      <c r="A83" s="80"/>
      <c r="B83" s="120"/>
      <c r="C83" s="82" t="s">
        <v>98</v>
      </c>
      <c r="D83" s="118" t="str">
        <f>VLOOKUP($C83,成品本月库存!$B:$J,2,0)</f>
        <v>JB297头壳</v>
      </c>
      <c r="E83" s="118" t="str">
        <f>VLOOKUP($C83,成品本月库存!$B:$J,5,0)</f>
        <v>PCS</v>
      </c>
      <c r="F83" s="70">
        <v>549</v>
      </c>
      <c r="G83" s="119"/>
      <c r="H83" s="119">
        <f>VLOOKUP($C83,成品本月库存!$B:$J,9,0)</f>
        <v>549</v>
      </c>
      <c r="I83" s="70"/>
      <c r="J83" s="102"/>
    </row>
    <row r="84" ht="16.5" spans="1:10">
      <c r="A84" s="80"/>
      <c r="B84" s="120"/>
      <c r="C84" s="82" t="s">
        <v>99</v>
      </c>
      <c r="D84" s="118" t="str">
        <f>VLOOKUP($C84,成品本月库存!$B:$J,2,0)</f>
        <v>JB297压块</v>
      </c>
      <c r="E84" s="118" t="str">
        <f>VLOOKUP($C84,成品本月库存!$B:$J,5,0)</f>
        <v>PCS</v>
      </c>
      <c r="F84" s="70">
        <v>1101</v>
      </c>
      <c r="G84" s="119"/>
      <c r="H84" s="119">
        <f>VLOOKUP($C84,成品本月库存!$B:$J,9,0)</f>
        <v>1101</v>
      </c>
      <c r="I84" s="70"/>
      <c r="J84" s="102"/>
    </row>
    <row r="85" ht="16.5" spans="1:10">
      <c r="A85" s="80"/>
      <c r="B85" s="120"/>
      <c r="C85" s="82" t="s">
        <v>100</v>
      </c>
      <c r="D85" s="118" t="str">
        <f>VLOOKUP($C85,成品本月库存!$B:$J,2,0)</f>
        <v>JB297头壳前盖</v>
      </c>
      <c r="E85" s="118" t="str">
        <f>VLOOKUP($C85,成品本月库存!$B:$J,5,0)</f>
        <v>PCS</v>
      </c>
      <c r="F85" s="70">
        <v>888</v>
      </c>
      <c r="G85" s="119"/>
      <c r="H85" s="119">
        <f>VLOOKUP($C85,成品本月库存!$B:$J,9,0)</f>
        <v>888</v>
      </c>
      <c r="I85" s="70"/>
      <c r="J85" s="102"/>
    </row>
    <row r="86" ht="16.5" spans="1:10">
      <c r="A86" s="80"/>
      <c r="B86" s="120"/>
      <c r="C86" s="82" t="s">
        <v>101</v>
      </c>
      <c r="D86" s="118" t="str">
        <f>VLOOKUP($C86,成品本月库存!$B:$J,2,0)</f>
        <v>JB539头壳</v>
      </c>
      <c r="E86" s="118" t="str">
        <f>VLOOKUP($C86,成品本月库存!$B:$J,5,0)</f>
        <v>PCS</v>
      </c>
      <c r="F86" s="70">
        <v>1272</v>
      </c>
      <c r="G86" s="119"/>
      <c r="H86" s="119">
        <f>VLOOKUP($C86,成品本月库存!$B:$J,9,0)</f>
        <v>1272</v>
      </c>
      <c r="I86" s="70"/>
      <c r="J86" s="102"/>
    </row>
    <row r="87" ht="16.5" spans="1:10">
      <c r="A87" s="80"/>
      <c r="B87" s="120"/>
      <c r="C87" s="82" t="s">
        <v>102</v>
      </c>
      <c r="D87" s="118" t="str">
        <f>VLOOKUP($C87,成品本月库存!$B:$J,2,0)</f>
        <v>JB527头壳</v>
      </c>
      <c r="E87" s="118" t="str">
        <f>VLOOKUP($C87,成品本月库存!$B:$J,5,0)</f>
        <v>PCS</v>
      </c>
      <c r="F87" s="70">
        <v>114</v>
      </c>
      <c r="G87" s="119"/>
      <c r="H87" s="119">
        <f>VLOOKUP($C87,成品本月库存!$B:$J,9,0)</f>
        <v>114</v>
      </c>
      <c r="I87" s="70"/>
      <c r="J87" s="102"/>
    </row>
    <row r="88" ht="16.5" spans="1:10">
      <c r="A88" s="80"/>
      <c r="B88" s="120"/>
      <c r="C88" s="82" t="s">
        <v>103</v>
      </c>
      <c r="D88" s="118" t="str">
        <f>VLOOKUP($C88,成品本月库存!$B:$J,2,0)</f>
        <v>JB541A/头部壳体</v>
      </c>
      <c r="E88" s="118" t="str">
        <f>VLOOKUP($C88,成品本月库存!$B:$J,5,0)</f>
        <v>PCS</v>
      </c>
      <c r="F88" s="70">
        <f>701+3680</f>
        <v>4381</v>
      </c>
      <c r="G88" s="119"/>
      <c r="H88" s="119">
        <f>VLOOKUP($C88,成品本月库存!$B:$J,9,0)</f>
        <v>4381</v>
      </c>
      <c r="I88" s="70"/>
      <c r="J88" s="102"/>
    </row>
    <row r="89" ht="16.5" spans="1:10">
      <c r="A89" s="80"/>
      <c r="B89" s="120"/>
      <c r="C89" s="82" t="s">
        <v>104</v>
      </c>
      <c r="D89" s="118" t="str">
        <f>VLOOKUP($C89,成品本月库存!$B:$J,2,0)</f>
        <v>红孩儿B型铝连杆（红孩儿铝连杆）</v>
      </c>
      <c r="E89" s="118" t="str">
        <f>VLOOKUP($C89,成品本月库存!$B:$J,5,0)</f>
        <v>PCS</v>
      </c>
      <c r="F89" s="70">
        <v>3595</v>
      </c>
      <c r="G89" s="119"/>
      <c r="H89" s="119">
        <f>VLOOKUP($C89,成品本月库存!$B:$J,9,0)</f>
        <v>3595</v>
      </c>
      <c r="I89" s="70"/>
      <c r="J89" s="102"/>
    </row>
    <row r="90" ht="16.5" spans="1:10">
      <c r="A90" s="80"/>
      <c r="B90" s="120"/>
      <c r="C90" s="82" t="s">
        <v>105</v>
      </c>
      <c r="D90" s="118" t="str">
        <f>VLOOKUP($C90,成品本月库存!$B:$J,2,0)</f>
        <v>红孩儿B型铝压盖（红孩儿铝压盖）</v>
      </c>
      <c r="E90" s="118" t="str">
        <f>VLOOKUP($C90,成品本月库存!$B:$J,5,0)</f>
        <v>PCS</v>
      </c>
      <c r="F90" s="70">
        <v>3600</v>
      </c>
      <c r="G90" s="119"/>
      <c r="H90" s="119">
        <f>VLOOKUP($C90,成品本月库存!$B:$J,9,0)</f>
        <v>3600</v>
      </c>
      <c r="I90" s="70"/>
      <c r="J90" s="102"/>
    </row>
    <row r="91" ht="16.5" spans="1:10">
      <c r="A91" s="80"/>
      <c r="B91" s="120"/>
      <c r="C91" s="82" t="s">
        <v>106</v>
      </c>
      <c r="D91" s="118" t="str">
        <f>VLOOKUP($C91,成品本月库存!$B:$J,2,0)</f>
        <v>红孩儿B型铝底座（红孩儿铝底座）</v>
      </c>
      <c r="E91" s="118" t="str">
        <f>VLOOKUP($C91,成品本月库存!$B:$J,5,0)</f>
        <v>PCS</v>
      </c>
      <c r="F91" s="70">
        <v>2046</v>
      </c>
      <c r="G91" s="119"/>
      <c r="H91" s="119">
        <f>VLOOKUP($C91,成品本月库存!$B:$J,9,0)</f>
        <v>2046</v>
      </c>
      <c r="I91" s="70"/>
      <c r="J91" s="102"/>
    </row>
    <row r="92" ht="16.5" spans="1:10">
      <c r="A92" s="80"/>
      <c r="B92" s="120"/>
      <c r="C92" s="82" t="s">
        <v>107</v>
      </c>
      <c r="D92" s="118" t="str">
        <f>VLOOKUP($C92,成品本月库存!$B:$J,2,0)</f>
        <v>小金童铝连杆</v>
      </c>
      <c r="E92" s="118" t="str">
        <f>VLOOKUP($C92,成品本月库存!$B:$J,5,0)</f>
        <v>PCS</v>
      </c>
      <c r="F92" s="70">
        <v>1106</v>
      </c>
      <c r="G92" s="119"/>
      <c r="H92" s="119">
        <f>VLOOKUP($C92,成品本月库存!$B:$J,9,0)</f>
        <v>1106</v>
      </c>
      <c r="I92" s="70"/>
      <c r="J92" s="102"/>
    </row>
    <row r="93" ht="16.5" spans="1:10">
      <c r="A93" s="80"/>
      <c r="B93" s="120"/>
      <c r="C93" s="82" t="s">
        <v>108</v>
      </c>
      <c r="D93" s="118" t="str">
        <f>VLOOKUP($C93,成品本月库存!$B:$J,2,0)</f>
        <v>HH8027/散热片（至尊宝散热片）</v>
      </c>
      <c r="E93" s="118" t="str">
        <f>VLOOKUP($C93,成品本月库存!$B:$J,5,0)</f>
        <v>PCS</v>
      </c>
      <c r="F93" s="70">
        <f>3363</f>
        <v>3363</v>
      </c>
      <c r="G93" s="119"/>
      <c r="H93" s="119">
        <f>VLOOKUP($C93,成品本月库存!$B:$J,9,0)</f>
        <v>3363</v>
      </c>
      <c r="I93" s="70"/>
      <c r="J93" s="102"/>
    </row>
    <row r="94" ht="16.5" spans="1:10">
      <c r="A94" s="80"/>
      <c r="B94" s="120"/>
      <c r="C94" s="82" t="s">
        <v>109</v>
      </c>
      <c r="D94" s="118" t="str">
        <f>VLOOKUP($C94,成品本月库存!$B:$J,2,0)</f>
        <v>HH8027/充电内圈（至尊宝充电内圈）</v>
      </c>
      <c r="E94" s="118" t="str">
        <f>VLOOKUP($C94,成品本月库存!$B:$J,5,0)</f>
        <v>PCS</v>
      </c>
      <c r="F94" s="70">
        <v>3660</v>
      </c>
      <c r="G94" s="119"/>
      <c r="H94" s="119">
        <f>VLOOKUP($C94,成品本月库存!$B:$J,9,0)</f>
        <v>3660</v>
      </c>
      <c r="I94" s="70"/>
      <c r="J94" s="102"/>
    </row>
    <row r="95" ht="16.5" spans="1:10">
      <c r="A95" s="80"/>
      <c r="B95" s="120"/>
      <c r="C95" s="82" t="s">
        <v>110</v>
      </c>
      <c r="D95" s="118" t="str">
        <f>VLOOKUP($C95,成品本月库存!$B:$J,2,0)</f>
        <v>HH8027/充电外圈（至尊宝充电外圈）</v>
      </c>
      <c r="E95" s="118" t="str">
        <f>VLOOKUP($C95,成品本月库存!$B:$J,5,0)</f>
        <v>PCS</v>
      </c>
      <c r="F95" s="70">
        <v>3097</v>
      </c>
      <c r="G95" s="119"/>
      <c r="H95" s="119">
        <f>VLOOKUP($C95,成品本月库存!$B:$J,9,0)</f>
        <v>3097</v>
      </c>
      <c r="I95" s="70"/>
      <c r="J95" s="102"/>
    </row>
    <row r="96" ht="16.5" spans="1:10">
      <c r="A96" s="80"/>
      <c r="B96" s="120"/>
      <c r="C96" s="82" t="s">
        <v>111</v>
      </c>
      <c r="D96" s="118" t="str">
        <f>VLOOKUP($C96,成品本月库存!$B:$J,2,0)</f>
        <v>HH8027/冷热按摩头传导片（至尊宝传导片）</v>
      </c>
      <c r="E96" s="118" t="str">
        <f>VLOOKUP($C96,成品本月库存!$B:$J,5,0)</f>
        <v>PCS</v>
      </c>
      <c r="F96" s="70">
        <v>856</v>
      </c>
      <c r="G96" s="119"/>
      <c r="H96" s="119">
        <f>VLOOKUP($C96,成品本月库存!$B:$J,9,0)</f>
        <v>856</v>
      </c>
      <c r="I96" s="70"/>
      <c r="J96" s="102"/>
    </row>
    <row r="97" ht="16.5" spans="1:10">
      <c r="A97" s="80"/>
      <c r="B97" s="120"/>
      <c r="C97" s="82" t="s">
        <v>112</v>
      </c>
      <c r="D97" s="118" t="str">
        <f>VLOOKUP($C97,成品本月库存!$B:$J,2,0)</f>
        <v>HH8027/连杆（至尊宝铝连杆）</v>
      </c>
      <c r="E97" s="118" t="str">
        <f>VLOOKUP($C97,成品本月库存!$B:$J,5,0)</f>
        <v>PCS</v>
      </c>
      <c r="F97" s="70">
        <v>6708</v>
      </c>
      <c r="G97" s="119"/>
      <c r="H97" s="119">
        <f>VLOOKUP($C97,成品本月库存!$B:$J,9,0)</f>
        <v>6708</v>
      </c>
      <c r="I97" s="70"/>
      <c r="J97" s="102"/>
    </row>
    <row r="98" ht="16.5" spans="1:10">
      <c r="A98" s="80"/>
      <c r="B98" s="120"/>
      <c r="C98" s="82" t="s">
        <v>113</v>
      </c>
      <c r="D98" s="118" t="str">
        <f>VLOOKUP($C98,成品本月库存!$B:$J,2,0)</f>
        <v>千里眼铝底座（HH8023)</v>
      </c>
      <c r="E98" s="118" t="str">
        <f>VLOOKUP($C98,成品本月库存!$B:$J,5,0)</f>
        <v>PCS</v>
      </c>
      <c r="F98" s="70">
        <v>808</v>
      </c>
      <c r="G98" s="119"/>
      <c r="H98" s="119">
        <f>VLOOKUP($C98,成品本月库存!$B:$J,9,0)</f>
        <v>808</v>
      </c>
      <c r="I98" s="70"/>
      <c r="J98" s="102"/>
    </row>
    <row r="99" ht="16.5" spans="1:10">
      <c r="A99" s="80"/>
      <c r="B99" s="120"/>
      <c r="C99" s="82" t="s">
        <v>114</v>
      </c>
      <c r="D99" s="118" t="str">
        <f>VLOOKUP($C99,成品本月库存!$B:$J,2,0)</f>
        <v>千里眼铝压盖（HH8023)</v>
      </c>
      <c r="E99" s="118" t="str">
        <f>VLOOKUP($C99,成品本月库存!$B:$J,5,0)</f>
        <v>PCS</v>
      </c>
      <c r="F99" s="70">
        <v>419</v>
      </c>
      <c r="G99" s="119"/>
      <c r="H99" s="119">
        <f>VLOOKUP($C99,成品本月库存!$B:$J,9,0)</f>
        <v>419</v>
      </c>
      <c r="I99" s="70"/>
      <c r="J99" s="102"/>
    </row>
    <row r="100" ht="16.5" spans="1:10">
      <c r="A100" s="80"/>
      <c r="B100" s="120"/>
      <c r="C100" s="82" t="s">
        <v>115</v>
      </c>
      <c r="D100" s="118" t="str">
        <f>VLOOKUP($C100,成品本月库存!$B:$J,2,0)</f>
        <v>HH8303二郎神旋转卡钮</v>
      </c>
      <c r="E100" s="118" t="str">
        <f>VLOOKUP($C100,成品本月库存!$B:$J,5,0)</f>
        <v>PCS</v>
      </c>
      <c r="F100" s="70">
        <f>2074</f>
        <v>2074</v>
      </c>
      <c r="G100" s="119"/>
      <c r="H100" s="119">
        <f>VLOOKUP($C100,成品本月库存!$B:$J,9,0)</f>
        <v>2074</v>
      </c>
      <c r="I100" s="70"/>
      <c r="J100" s="102"/>
    </row>
    <row r="101" ht="16.5" spans="1:10">
      <c r="A101" s="80"/>
      <c r="B101" s="120"/>
      <c r="C101" s="82" t="s">
        <v>116</v>
      </c>
      <c r="D101" s="118" t="str">
        <f>VLOOKUP($C101,成品本月库存!$B:$J,2,0)</f>
        <v>HH8303二郎神铝连杆</v>
      </c>
      <c r="E101" s="118" t="str">
        <f>VLOOKUP($C101,成品本月库存!$B:$J,5,0)</f>
        <v>PCS</v>
      </c>
      <c r="F101" s="70">
        <v>2741</v>
      </c>
      <c r="G101" s="119"/>
      <c r="H101" s="119">
        <f>VLOOKUP($C101,成品本月库存!$B:$J,9,0)</f>
        <v>2741</v>
      </c>
      <c r="I101" s="70"/>
      <c r="J101" s="102"/>
    </row>
    <row r="102" ht="16.5" spans="1:10">
      <c r="A102" s="80"/>
      <c r="B102" s="120"/>
      <c r="C102" s="82" t="s">
        <v>117</v>
      </c>
      <c r="D102" s="118" t="str">
        <f>VLOOKUP($C102,成品本月库存!$B:$J,2,0)</f>
        <v>HH8303二郎神内壳</v>
      </c>
      <c r="E102" s="118" t="str">
        <f>VLOOKUP($C102,成品本月库存!$B:$J,5,0)</f>
        <v>PCS</v>
      </c>
      <c r="F102" s="70">
        <v>2903</v>
      </c>
      <c r="G102" s="119"/>
      <c r="H102" s="119">
        <f>VLOOKUP($C102,成品本月库存!$B:$J,9,0)</f>
        <v>2903</v>
      </c>
      <c r="I102" s="70"/>
      <c r="J102" s="102"/>
    </row>
    <row r="103" ht="16.5" spans="1:10">
      <c r="A103" s="80"/>
      <c r="B103" s="120"/>
      <c r="C103" s="82" t="s">
        <v>118</v>
      </c>
      <c r="D103" s="118" t="str">
        <f>VLOOKUP($C103,成品本月库存!$B:$J,2,0)</f>
        <v>HVG02支架（电机支架）</v>
      </c>
      <c r="E103" s="118" t="str">
        <f>VLOOKUP($C103,成品本月库存!$B:$J,5,0)</f>
        <v>PCS</v>
      </c>
      <c r="F103" s="70">
        <v>127</v>
      </c>
      <c r="G103" s="119"/>
      <c r="H103" s="119">
        <f>VLOOKUP($C103,成品本月库存!$B:$J,9,0)</f>
        <v>127</v>
      </c>
      <c r="I103" s="70"/>
      <c r="J103" s="102"/>
    </row>
    <row r="104" ht="16.5" spans="1:10">
      <c r="A104" s="80"/>
      <c r="B104" s="120"/>
      <c r="C104" s="82" t="s">
        <v>119</v>
      </c>
      <c r="D104" s="118" t="str">
        <f>VLOOKUP($C104,成品本月库存!$B:$J,2,0)</f>
        <v>HH8812/冷热按摩头传导片</v>
      </c>
      <c r="E104" s="118" t="str">
        <f>VLOOKUP($C104,成品本月库存!$B:$J,5,0)</f>
        <v>PCS</v>
      </c>
      <c r="F104" s="70">
        <v>301</v>
      </c>
      <c r="G104" s="119"/>
      <c r="H104" s="119">
        <f>VLOOKUP($C104,成品本月库存!$B:$J,9,0)</f>
        <v>301</v>
      </c>
      <c r="I104" s="70"/>
      <c r="J104" s="102"/>
    </row>
    <row r="105" ht="16.5" spans="1:10">
      <c r="A105" s="80"/>
      <c r="B105" s="120"/>
      <c r="C105" s="82" t="s">
        <v>120</v>
      </c>
      <c r="D105" s="118" t="str">
        <f>VLOOKUP($C105,成品本月库存!$B:$J,2,0)</f>
        <v>8812散热片</v>
      </c>
      <c r="E105" s="118" t="str">
        <f>VLOOKUP($C105,成品本月库存!$B:$J,5,0)</f>
        <v>PCS</v>
      </c>
      <c r="F105" s="70">
        <v>2625</v>
      </c>
      <c r="G105" s="119"/>
      <c r="H105" s="119">
        <f>VLOOKUP($C105,成品本月库存!$B:$J,9,0)</f>
        <v>2625</v>
      </c>
      <c r="I105" s="70"/>
      <c r="J105" s="102"/>
    </row>
    <row r="106" ht="16.5" spans="1:10">
      <c r="A106" s="80"/>
      <c r="B106" s="120"/>
      <c r="C106" s="82" t="s">
        <v>121</v>
      </c>
      <c r="D106" s="118" t="str">
        <f>VLOOKUP($C106,成品本月库存!$B:$J,2,0)</f>
        <v>8812A散热片</v>
      </c>
      <c r="E106" s="118" t="str">
        <f>VLOOKUP($C106,成品本月库存!$B:$J,5,0)</f>
        <v>PCS</v>
      </c>
      <c r="F106" s="70">
        <v>3259</v>
      </c>
      <c r="G106" s="119"/>
      <c r="H106" s="119">
        <f>VLOOKUP($C106,成品本月库存!$B:$J,9,0)</f>
        <v>3259</v>
      </c>
      <c r="I106" s="70"/>
      <c r="J106" s="102"/>
    </row>
    <row r="107" ht="16.5" spans="1:10">
      <c r="A107" s="80"/>
      <c r="B107" s="120"/>
      <c r="C107" s="82" t="s">
        <v>122</v>
      </c>
      <c r="D107" s="118" t="str">
        <f>VLOOKUP($C107,成品本月库存!$B:$J,2,0)</f>
        <v>HH8038连杆</v>
      </c>
      <c r="E107" s="118" t="str">
        <f>VLOOKUP($C107,成品本月库存!$B:$J,5,0)</f>
        <v>PCS</v>
      </c>
      <c r="F107" s="70">
        <v>4700</v>
      </c>
      <c r="G107" s="119"/>
      <c r="H107" s="119">
        <f>VLOOKUP($C107,成品本月库存!$B:$J,9,0)</f>
        <v>4700</v>
      </c>
      <c r="I107" s="70"/>
      <c r="J107" s="102"/>
    </row>
    <row r="108" ht="16.5" spans="1:10">
      <c r="A108" s="80"/>
      <c r="B108" s="120"/>
      <c r="C108" s="82" t="s">
        <v>123</v>
      </c>
      <c r="D108" s="118" t="str">
        <f>VLOOKUP($C108,成品本月库存!$B:$J,2,0)</f>
        <v>HH8038电机定位版（电机支架）</v>
      </c>
      <c r="E108" s="118" t="str">
        <f>VLOOKUP($C108,成品本月库存!$B:$J,5,0)</f>
        <v>PCS</v>
      </c>
      <c r="F108" s="70">
        <v>2209</v>
      </c>
      <c r="G108" s="119"/>
      <c r="H108" s="119">
        <f>VLOOKUP($C108,成品本月库存!$B:$J,9,0)</f>
        <v>2209</v>
      </c>
      <c r="I108" s="70"/>
      <c r="J108" s="102"/>
    </row>
    <row r="109" ht="16.5" spans="1:10">
      <c r="A109" s="80"/>
      <c r="B109" s="120"/>
      <c r="C109" s="82" t="s">
        <v>124</v>
      </c>
      <c r="D109" s="118" t="str">
        <f>VLOOKUP($C109,成品本月库存!$B:$J,2,0)</f>
        <v>HH8027A-1散热片（设变后）</v>
      </c>
      <c r="E109" s="118" t="str">
        <f>VLOOKUP($C109,成品本月库存!$B:$J,5,0)</f>
        <v>PCS</v>
      </c>
      <c r="F109" s="70">
        <v>76</v>
      </c>
      <c r="G109" s="119"/>
      <c r="H109" s="119">
        <f>VLOOKUP($C109,成品本月库存!$B:$J,9,0)</f>
        <v>76</v>
      </c>
      <c r="I109" s="70"/>
      <c r="J109" s="102"/>
    </row>
    <row r="110" ht="16.5" spans="1:10">
      <c r="A110" s="80"/>
      <c r="B110" s="120"/>
      <c r="C110" s="82" t="s">
        <v>125</v>
      </c>
      <c r="D110" s="118" t="str">
        <f>VLOOKUP($C110,成品本月库存!$B:$J,2,0)</f>
        <v>HH8318连杆</v>
      </c>
      <c r="E110" s="118" t="str">
        <f>VLOOKUP($C110,成品本月库存!$B:$J,5,0)</f>
        <v>PCS</v>
      </c>
      <c r="F110" s="70">
        <v>14129</v>
      </c>
      <c r="G110" s="119"/>
      <c r="H110" s="119">
        <f>VLOOKUP($C110,成品本月库存!$B:$J,9,0)</f>
        <v>14129</v>
      </c>
      <c r="I110" s="70"/>
      <c r="J110" s="102"/>
    </row>
    <row r="111" ht="16.5" spans="1:10">
      <c r="A111" s="80"/>
      <c r="B111" s="120"/>
      <c r="C111" s="82" t="s">
        <v>126</v>
      </c>
      <c r="D111" s="118" t="str">
        <f>VLOOKUP($C111,成品本月库存!$B:$J,2,0)</f>
        <v>HH8513散热片</v>
      </c>
      <c r="E111" s="118" t="str">
        <f>VLOOKUP($C111,成品本月库存!$B:$J,5,0)</f>
        <v>PCS</v>
      </c>
      <c r="F111" s="70">
        <v>4670</v>
      </c>
      <c r="G111" s="119"/>
      <c r="H111" s="119">
        <f>VLOOKUP($C111,成品本月库存!$B:$J,9,0)</f>
        <v>4670</v>
      </c>
      <c r="I111" s="70"/>
      <c r="J111" s="102"/>
    </row>
    <row r="112" ht="16.5" spans="1:10">
      <c r="A112" s="80"/>
      <c r="B112" s="120"/>
      <c r="C112" s="82" t="s">
        <v>127</v>
      </c>
      <c r="D112" s="118" t="str">
        <f>VLOOKUP($C112,成品本月库存!$B:$J,2,0)</f>
        <v>HH8513旋钮</v>
      </c>
      <c r="E112" s="118" t="str">
        <f>VLOOKUP($C112,成品本月库存!$B:$J,5,0)</f>
        <v>PCS</v>
      </c>
      <c r="F112" s="70">
        <v>123</v>
      </c>
      <c r="G112" s="119"/>
      <c r="H112" s="119">
        <f>VLOOKUP($C112,成品本月库存!$B:$J,9,0)</f>
        <v>14190</v>
      </c>
      <c r="I112" s="70"/>
      <c r="J112" s="102"/>
    </row>
    <row r="113" ht="16.5" spans="1:10">
      <c r="A113" s="80"/>
      <c r="B113" s="120"/>
      <c r="C113" s="82" t="s">
        <v>128</v>
      </c>
      <c r="D113" s="118" t="str">
        <f>VLOOKUP($C113,成品本月库存!$B:$J,2,0)</f>
        <v>铝压盖/8526</v>
      </c>
      <c r="E113" s="118" t="str">
        <f>VLOOKUP($C113,成品本月库存!$B:$J,5,0)</f>
        <v>PCS</v>
      </c>
      <c r="F113" s="70">
        <v>1834</v>
      </c>
      <c r="G113" s="119"/>
      <c r="H113" s="119">
        <f>VLOOKUP($C113,成品本月库存!$B:$J,9,0)</f>
        <v>1824</v>
      </c>
      <c r="I113" s="70"/>
      <c r="J113" s="102"/>
    </row>
    <row r="114" ht="16.5" spans="1:10">
      <c r="A114" s="80"/>
      <c r="B114" s="120"/>
      <c r="C114" s="82" t="s">
        <v>129</v>
      </c>
      <c r="D114" s="118" t="str">
        <f>VLOOKUP($C114,成品本月库存!$B:$J,2,0)</f>
        <v>8527旋钮</v>
      </c>
      <c r="E114" s="118" t="str">
        <f>VLOOKUP($C114,成品本月库存!$B:$J,5,0)</f>
        <v>PCS</v>
      </c>
      <c r="F114" s="70">
        <v>134</v>
      </c>
      <c r="G114" s="119"/>
      <c r="H114" s="119">
        <f>VLOOKUP($C114,成品本月库存!$B:$J,9,0)</f>
        <v>104</v>
      </c>
      <c r="I114" s="70"/>
      <c r="J114" s="102"/>
    </row>
    <row r="115" ht="16.5" spans="1:10">
      <c r="A115" s="80"/>
      <c r="B115" s="120"/>
      <c r="C115" s="82" t="s">
        <v>130</v>
      </c>
      <c r="D115" s="118" t="str">
        <f>VLOOKUP($C115,成品本月库存!$B:$J,2,0)</f>
        <v>HH8808冷热传导盖</v>
      </c>
      <c r="E115" s="118" t="str">
        <f>VLOOKUP($C115,成品本月库存!$B:$J,5,0)</f>
        <v>PCS</v>
      </c>
      <c r="F115" s="70">
        <v>1100</v>
      </c>
      <c r="G115" s="119"/>
      <c r="H115" s="119">
        <f>VLOOKUP($C115,成品本月库存!$B:$J,9,0)</f>
        <v>1100</v>
      </c>
      <c r="I115" s="70"/>
      <c r="J115" s="102"/>
    </row>
    <row r="116" ht="16.5" spans="1:10">
      <c r="A116" s="80"/>
      <c r="B116" s="120"/>
      <c r="C116" s="82" t="s">
        <v>131</v>
      </c>
      <c r="D116" s="118" t="str">
        <f>VLOOKUP($C116,成品本月库存!$B:$J,2,0)</f>
        <v>HH8808散热片</v>
      </c>
      <c r="E116" s="118" t="str">
        <f>VLOOKUP($C116,成品本月库存!$B:$J,5,0)</f>
        <v>PCS</v>
      </c>
      <c r="F116" s="70">
        <v>152</v>
      </c>
      <c r="G116" s="119"/>
      <c r="H116" s="119">
        <f>VLOOKUP($C116,成品本月库存!$B:$J,9,0)</f>
        <v>152</v>
      </c>
      <c r="I116" s="70"/>
      <c r="J116" s="102"/>
    </row>
    <row r="117" ht="16.5" spans="1:10">
      <c r="A117" s="80"/>
      <c r="B117" s="120"/>
      <c r="C117" s="82" t="s">
        <v>132</v>
      </c>
      <c r="D117" s="118" t="str">
        <f>VLOOKUP($C117,成品本月库存!$B:$J,2,0)</f>
        <v>8525/8513滑杆（同8527滑杆）</v>
      </c>
      <c r="E117" s="118" t="str">
        <f>VLOOKUP($C117,成品本月库存!$B:$J,5,0)</f>
        <v>PCS</v>
      </c>
      <c r="F117" s="70">
        <v>43</v>
      </c>
      <c r="G117" s="119"/>
      <c r="H117" s="119">
        <f>VLOOKUP($C117,成品本月库存!$B:$J,9,0)</f>
        <v>43</v>
      </c>
      <c r="I117" s="70"/>
      <c r="J117" s="102"/>
    </row>
    <row r="118" ht="16.5" spans="1:10">
      <c r="A118" s="80"/>
      <c r="B118" s="120"/>
      <c r="C118" s="82" t="s">
        <v>133</v>
      </c>
      <c r="D118" s="118" t="str">
        <f>VLOOKUP($C118,成品本月库存!$B:$J,2,0)</f>
        <v>8527散热片</v>
      </c>
      <c r="E118" s="118" t="str">
        <f>VLOOKUP($C118,成品本月库存!$B:$J,5,0)</f>
        <v>PCS</v>
      </c>
      <c r="F118" s="70">
        <v>272</v>
      </c>
      <c r="G118" s="119"/>
      <c r="H118" s="119">
        <f>VLOOKUP($C118,成品本月库存!$B:$J,9,0)</f>
        <v>7676</v>
      </c>
      <c r="I118" s="70"/>
      <c r="J118" s="102"/>
    </row>
    <row r="119" ht="16.5" spans="1:10">
      <c r="A119" s="80"/>
      <c r="B119" s="120"/>
      <c r="C119" s="82" t="s">
        <v>134</v>
      </c>
      <c r="D119" s="118" t="str">
        <f>VLOOKUP($C119,成品本月库存!$B:$J,2,0)</f>
        <v>8528滑杆</v>
      </c>
      <c r="E119" s="118" t="str">
        <f>VLOOKUP($C119,成品本月库存!$B:$J,5,0)</f>
        <v>PCS</v>
      </c>
      <c r="F119" s="70">
        <v>1554</v>
      </c>
      <c r="G119" s="119"/>
      <c r="H119" s="119">
        <f>VLOOKUP($C119,成品本月库存!$B:$J,9,0)</f>
        <v>1695</v>
      </c>
      <c r="I119" s="70"/>
      <c r="J119" s="102"/>
    </row>
    <row r="120" ht="16.5" spans="1:10">
      <c r="A120" s="80"/>
      <c r="B120" s="120"/>
      <c r="C120" s="82" t="s">
        <v>134</v>
      </c>
      <c r="D120" s="118" t="s">
        <v>135</v>
      </c>
      <c r="E120" s="118"/>
      <c r="F120" s="82">
        <v>141</v>
      </c>
      <c r="G120" s="121" t="s">
        <v>136</v>
      </c>
      <c r="H120" s="119"/>
      <c r="I120" s="70"/>
      <c r="J120" s="102"/>
    </row>
    <row r="121" ht="16.5" spans="1:10">
      <c r="A121" s="80"/>
      <c r="B121" s="120"/>
      <c r="C121" s="82" t="s">
        <v>137</v>
      </c>
      <c r="D121" s="118" t="str">
        <f>VLOOKUP($C121,成品本月库存!$B:$J,2,0)</f>
        <v>8624滑杆</v>
      </c>
      <c r="E121" s="118" t="str">
        <f>VLOOKUP($C121,成品本月库存!$B:$J,5,0)</f>
        <v>PCS</v>
      </c>
      <c r="F121" s="70">
        <v>755</v>
      </c>
      <c r="G121" s="119"/>
      <c r="H121" s="119">
        <f>VLOOKUP($C121,成品本月库存!$B:$J,9,0)</f>
        <v>800</v>
      </c>
      <c r="I121" s="70"/>
      <c r="J121" s="102"/>
    </row>
    <row r="122" ht="16.5" spans="1:10">
      <c r="A122" s="80"/>
      <c r="B122" s="120"/>
      <c r="C122" s="82" t="s">
        <v>137</v>
      </c>
      <c r="D122" s="118" t="s">
        <v>138</v>
      </c>
      <c r="E122" s="118"/>
      <c r="F122" s="82">
        <v>45</v>
      </c>
      <c r="G122" s="121" t="s">
        <v>136</v>
      </c>
      <c r="H122" s="119"/>
      <c r="I122" s="70"/>
      <c r="J122" s="102"/>
    </row>
    <row r="123" ht="16.5" spans="1:10">
      <c r="A123" s="80"/>
      <c r="B123" s="120"/>
      <c r="C123" s="82" t="s">
        <v>139</v>
      </c>
      <c r="D123" s="118" t="str">
        <f>VLOOKUP($C123,成品本月库存!$B:$J,2,0)</f>
        <v>8592连杆</v>
      </c>
      <c r="E123" s="118" t="str">
        <f>VLOOKUP($C123,成品本月库存!$B:$J,5,0)</f>
        <v>PCS</v>
      </c>
      <c r="F123" s="70">
        <v>322</v>
      </c>
      <c r="G123" s="119"/>
      <c r="H123" s="119">
        <f>VLOOKUP($C123,成品本月库存!$B:$J,9,0)</f>
        <v>322</v>
      </c>
      <c r="I123" s="70"/>
      <c r="J123" s="102"/>
    </row>
    <row r="124" ht="16.5" spans="1:10">
      <c r="A124" s="80"/>
      <c r="B124" s="120"/>
      <c r="C124" s="82" t="s">
        <v>140</v>
      </c>
      <c r="D124" s="118" t="str">
        <f>VLOOKUP($C124,成品本月库存!$B:$J,2,0)</f>
        <v>8015沙和尚-底座</v>
      </c>
      <c r="E124" s="118" t="str">
        <f>VLOOKUP($C124,成品本月库存!$B:$J,5,0)</f>
        <v>PCS</v>
      </c>
      <c r="F124" s="70">
        <v>521</v>
      </c>
      <c r="G124" s="119"/>
      <c r="H124" s="119">
        <f>VLOOKUP($C124,成品本月库存!$B:$J,9,0)</f>
        <v>521</v>
      </c>
      <c r="I124" s="70"/>
      <c r="J124" s="102"/>
    </row>
    <row r="125" ht="16.5" spans="1:10">
      <c r="A125" s="80"/>
      <c r="B125" s="120"/>
      <c r="C125" s="82" t="s">
        <v>141</v>
      </c>
      <c r="D125" s="118" t="str">
        <f>VLOOKUP($C125,成品本月库存!$B:$J,2,0)</f>
        <v>8015沙和尚-压盖</v>
      </c>
      <c r="E125" s="118" t="str">
        <f>VLOOKUP($C125,成品本月库存!$B:$J,5,0)</f>
        <v>PCS</v>
      </c>
      <c r="F125" s="70">
        <v>2148</v>
      </c>
      <c r="G125" s="119"/>
      <c r="H125" s="119">
        <f>VLOOKUP($C125,成品本月库存!$B:$J,9,0)</f>
        <v>2148</v>
      </c>
      <c r="I125" s="70"/>
      <c r="J125" s="102"/>
    </row>
    <row r="126" ht="16.5" spans="1:10">
      <c r="A126" s="80"/>
      <c r="B126" s="120"/>
      <c r="C126" s="82" t="s">
        <v>142</v>
      </c>
      <c r="D126" s="118" t="str">
        <f>VLOOKUP($C126,成品本月库存!$B:$J,2,0)</f>
        <v>8015沙和尚-连杆</v>
      </c>
      <c r="E126" s="118" t="str">
        <f>VLOOKUP($C126,成品本月库存!$B:$J,5,0)</f>
        <v>PCS</v>
      </c>
      <c r="F126" s="70">
        <v>1703</v>
      </c>
      <c r="G126" s="119"/>
      <c r="H126" s="119">
        <f>VLOOKUP($C126,成品本月库存!$B:$J,9,0)</f>
        <v>1703</v>
      </c>
      <c r="I126" s="70"/>
      <c r="J126" s="102"/>
    </row>
    <row r="127" ht="16.5" spans="1:10">
      <c r="A127" s="80"/>
      <c r="B127" s="120"/>
      <c r="C127" s="82" t="s">
        <v>143</v>
      </c>
      <c r="D127" s="118" t="str">
        <f>VLOOKUP($C127,成品本月库存!$B:$J,2,0)</f>
        <v>8040铝连杆</v>
      </c>
      <c r="E127" s="118" t="str">
        <f>VLOOKUP($C127,成品本月库存!$B:$J,5,0)</f>
        <v>PCS</v>
      </c>
      <c r="F127" s="70">
        <v>5115</v>
      </c>
      <c r="G127" s="119"/>
      <c r="H127" s="119">
        <f>VLOOKUP($C127,成品本月库存!$B:$J,9,0)</f>
        <v>5115</v>
      </c>
      <c r="I127" s="70"/>
      <c r="J127" s="102"/>
    </row>
    <row r="128" ht="16.5" spans="1:10">
      <c r="A128" s="80"/>
      <c r="B128" s="120"/>
      <c r="C128" s="82" t="s">
        <v>144</v>
      </c>
      <c r="D128" s="118" t="str">
        <f>VLOOKUP($C128,成品本月库存!$B:$J,2,0)</f>
        <v>透明罩盖压环（透明环）</v>
      </c>
      <c r="E128" s="118" t="str">
        <f>VLOOKUP($C128,成品本月库存!$B:$J,5,0)</f>
        <v>PCS</v>
      </c>
      <c r="F128" s="70">
        <v>987</v>
      </c>
      <c r="G128" s="119"/>
      <c r="H128" s="119">
        <f>VLOOKUP($C128,成品本月库存!$B:$J,9,0)</f>
        <v>987</v>
      </c>
      <c r="I128" s="70"/>
      <c r="J128" s="102"/>
    </row>
    <row r="129" ht="16.5" spans="1:10">
      <c r="A129" s="80"/>
      <c r="B129" s="120"/>
      <c r="C129" s="82" t="s">
        <v>145</v>
      </c>
      <c r="D129" s="118" t="str">
        <f>VLOOKUP($C129,成品本月库存!$B:$J,2,0)</f>
        <v>710A-55上盖</v>
      </c>
      <c r="E129" s="118" t="str">
        <f>VLOOKUP($C129,成品本月库存!$B:$J,5,0)</f>
        <v>PCS</v>
      </c>
      <c r="F129" s="70">
        <v>301</v>
      </c>
      <c r="G129" s="119"/>
      <c r="H129" s="119">
        <f>VLOOKUP($C129,成品本月库存!$B:$J,9,0)</f>
        <v>301</v>
      </c>
      <c r="I129" s="70"/>
      <c r="J129" s="102"/>
    </row>
    <row r="130" ht="16.5" spans="1:10">
      <c r="A130" s="80"/>
      <c r="B130" s="120"/>
      <c r="C130" s="82" t="s">
        <v>146</v>
      </c>
      <c r="D130" s="118" t="str">
        <f>VLOOKUP($C130,成品本月库存!$B:$J,2,0)</f>
        <v>710A-55下盖</v>
      </c>
      <c r="E130" s="118" t="str">
        <f>VLOOKUP($C130,成品本月库存!$B:$J,5,0)</f>
        <v>PCS</v>
      </c>
      <c r="F130" s="70">
        <v>249</v>
      </c>
      <c r="G130" s="119"/>
      <c r="H130" s="119">
        <f>VLOOKUP($C130,成品本月库存!$B:$J,9,0)</f>
        <v>249</v>
      </c>
      <c r="I130" s="70"/>
      <c r="J130" s="102"/>
    </row>
    <row r="131" ht="16.5" spans="1:10">
      <c r="A131" s="80"/>
      <c r="B131" s="120"/>
      <c r="C131" s="82" t="s">
        <v>147</v>
      </c>
      <c r="D131" s="118" t="str">
        <f>VLOOKUP($C131,成品本月库存!$B:$J,2,0)</f>
        <v>后盖(YC013600222600)
</v>
      </c>
      <c r="E131" s="118" t="str">
        <f>VLOOKUP($C131,成品本月库存!$B:$J,5,0)</f>
        <v>PCS</v>
      </c>
      <c r="F131" s="70">
        <v>9270</v>
      </c>
      <c r="G131" s="119"/>
      <c r="H131" s="119">
        <f>VLOOKUP($C131,成品本月库存!$B:$J,9,0)</f>
        <v>9270</v>
      </c>
      <c r="I131" s="70"/>
      <c r="J131" s="102"/>
    </row>
    <row r="132" ht="16.5" spans="1:10">
      <c r="A132" s="80"/>
      <c r="B132" s="120"/>
      <c r="C132" s="82" t="s">
        <v>148</v>
      </c>
      <c r="D132" s="118" t="str">
        <f>VLOOKUP($C132,成品本月库存!$B:$J,2,0)</f>
        <v>REAR_H
OUSING(YC013600237800)</v>
      </c>
      <c r="E132" s="118" t="str">
        <f>VLOOKUP($C132,成品本月库存!$B:$J,5,0)</f>
        <v>PCS</v>
      </c>
      <c r="F132" s="70">
        <v>682</v>
      </c>
      <c r="G132" s="119"/>
      <c r="H132" s="119">
        <f>VLOOKUP($C132,成品本月库存!$B:$J,9,0)</f>
        <v>682</v>
      </c>
      <c r="I132" s="70"/>
      <c r="J132" s="102"/>
    </row>
    <row r="133" ht="16.5" spans="1:10">
      <c r="A133" s="80"/>
      <c r="B133" s="120"/>
      <c r="C133" s="82" t="s">
        <v>149</v>
      </c>
      <c r="D133" s="118" t="str">
        <f>VLOOKUP($C133,成品本月库存!$B:$J,2,0)</f>
        <v>YC013600237900</v>
      </c>
      <c r="E133" s="118" t="str">
        <f>VLOOKUP($C133,成品本月库存!$B:$J,5,0)</f>
        <v>PCS</v>
      </c>
      <c r="F133" s="122">
        <v>10255</v>
      </c>
      <c r="G133" s="121" t="s">
        <v>150</v>
      </c>
      <c r="H133" s="119">
        <f>VLOOKUP($C133,成品本月库存!$B:$J,9,0)</f>
        <v>10255</v>
      </c>
      <c r="I133" s="70"/>
      <c r="J133" s="102"/>
    </row>
    <row r="134" ht="16.5" spans="1:10">
      <c r="A134" s="80"/>
      <c r="B134" s="120"/>
      <c r="C134" s="82" t="s">
        <v>151</v>
      </c>
      <c r="D134" s="118" t="str">
        <f>VLOOKUP($C134,成品本月库存!$B:$J,2,0)</f>
        <v>YC013600237901设变后</v>
      </c>
      <c r="E134" s="118" t="str">
        <f>VLOOKUP($C134,成品本月库存!$B:$J,5,0)</f>
        <v>PCS</v>
      </c>
      <c r="F134" s="70">
        <v>3608</v>
      </c>
      <c r="G134" s="119"/>
      <c r="H134" s="119">
        <f>VLOOKUP($C134,成品本月库存!$B:$J,9,0)</f>
        <v>3608</v>
      </c>
      <c r="I134" s="70"/>
      <c r="J134" s="123"/>
    </row>
    <row r="135" ht="16.5" spans="1:10">
      <c r="A135" s="80"/>
      <c r="B135" s="120"/>
      <c r="C135" s="82" t="s">
        <v>152</v>
      </c>
      <c r="D135" s="118" t="str">
        <f>VLOOKUP($C135,成品本月库存!$B:$J,2,0)</f>
        <v>(YC013600000210)</v>
      </c>
      <c r="E135" s="118" t="str">
        <f>VLOOKUP($C135,成品本月库存!$B:$J,5,0)</f>
        <v>PCS</v>
      </c>
      <c r="F135" s="70">
        <v>1261</v>
      </c>
      <c r="G135" s="119"/>
      <c r="H135" s="119">
        <f>VLOOKUP($C135,成品本月库存!$B:$J,9,0)</f>
        <v>1261</v>
      </c>
      <c r="I135" s="70"/>
      <c r="J135" s="102"/>
    </row>
    <row r="136" ht="16.5" spans="1:10">
      <c r="A136" s="80"/>
      <c r="B136" s="120"/>
      <c r="C136" s="82" t="s">
        <v>153</v>
      </c>
      <c r="D136" s="118" t="str">
        <f>VLOOKUP($C136,成品本月库存!$B:$J,2,0)</f>
        <v>（YC013600303900）/MS11前壳</v>
      </c>
      <c r="E136" s="118" t="str">
        <f>VLOOKUP($C136,成品本月库存!$B:$J,5,0)</f>
        <v>PCS</v>
      </c>
      <c r="F136" s="70">
        <v>24932</v>
      </c>
      <c r="G136" s="119"/>
      <c r="H136" s="119">
        <f>VLOOKUP($C136,成品本月库存!$B:$J,9,0)</f>
        <v>25018</v>
      </c>
      <c r="I136" s="70"/>
      <c r="J136" s="102"/>
    </row>
    <row r="137" ht="16.5" spans="1:10">
      <c r="A137" s="80"/>
      <c r="B137" s="120"/>
      <c r="C137" s="82" t="s">
        <v>153</v>
      </c>
      <c r="D137" s="118" t="s">
        <v>154</v>
      </c>
      <c r="E137" s="118"/>
      <c r="F137" s="82">
        <v>86</v>
      </c>
      <c r="G137" s="119" t="s">
        <v>45</v>
      </c>
      <c r="H137" s="119"/>
      <c r="I137" s="70"/>
      <c r="J137" s="102"/>
    </row>
    <row r="138" ht="16.5" spans="1:10">
      <c r="A138" s="80"/>
      <c r="B138" s="120"/>
      <c r="C138" s="82" t="s">
        <v>155</v>
      </c>
      <c r="D138" s="118" t="str">
        <f>VLOOKUP($C138,成品本月库存!$B:$J,2,0)</f>
        <v>（YC013600304000）/MS11后壳</v>
      </c>
      <c r="E138" s="118" t="str">
        <f>VLOOKUP($C138,成品本月库存!$B:$J,5,0)</f>
        <v>PCS</v>
      </c>
      <c r="F138" s="70">
        <v>32995</v>
      </c>
      <c r="G138" s="119"/>
      <c r="H138" s="119">
        <f>VLOOKUP($C138,成品本月库存!$B:$J,9,0)</f>
        <v>35936</v>
      </c>
      <c r="I138" s="70"/>
      <c r="J138" s="102"/>
    </row>
    <row r="139" ht="16.5" spans="1:10">
      <c r="A139" s="80"/>
      <c r="B139" s="120"/>
      <c r="C139" s="82" t="s">
        <v>155</v>
      </c>
      <c r="D139" s="118" t="s">
        <v>156</v>
      </c>
      <c r="E139" s="118"/>
      <c r="F139" s="82">
        <v>160</v>
      </c>
      <c r="G139" s="119" t="s">
        <v>45</v>
      </c>
      <c r="H139" s="119"/>
      <c r="I139" s="70"/>
      <c r="J139" s="102"/>
    </row>
    <row r="140" ht="16.5" spans="1:10">
      <c r="A140" s="80"/>
      <c r="B140" s="120"/>
      <c r="C140" s="82" t="s">
        <v>155</v>
      </c>
      <c r="D140" s="118" t="s">
        <v>156</v>
      </c>
      <c r="E140" s="118"/>
      <c r="F140" s="82">
        <v>2781</v>
      </c>
      <c r="G140" s="121" t="s">
        <v>157</v>
      </c>
      <c r="H140" s="119"/>
      <c r="I140" s="70"/>
      <c r="J140" s="102"/>
    </row>
    <row r="141" ht="16.5" spans="1:10">
      <c r="A141" s="80"/>
      <c r="B141" s="120"/>
      <c r="C141" s="82" t="s">
        <v>158</v>
      </c>
      <c r="D141" s="118" t="str">
        <f>VLOOKUP($C141,成品本月库存!$B:$J,2,0)</f>
        <v>YC013600303400</v>
      </c>
      <c r="E141" s="118" t="str">
        <f>VLOOKUP($C141,成品本月库存!$B:$J,5,0)</f>
        <v>PCS</v>
      </c>
      <c r="F141" s="70">
        <v>1351</v>
      </c>
      <c r="G141" s="119"/>
      <c r="H141" s="119">
        <f>VLOOKUP($C141,成品本月库存!$B:$J,9,0)</f>
        <v>1351</v>
      </c>
      <c r="I141" s="70"/>
      <c r="J141" s="102"/>
    </row>
    <row r="142" ht="16.5" spans="1:10">
      <c r="A142" s="80"/>
      <c r="B142" s="120"/>
      <c r="C142" s="82" t="s">
        <v>159</v>
      </c>
      <c r="D142" s="118" t="str">
        <f>VLOOKUP($C142,成品本月库存!$B:$J,2,0)</f>
        <v>YC013600303500</v>
      </c>
      <c r="E142" s="118" t="str">
        <f>VLOOKUP($C142,成品本月库存!$B:$J,5,0)</f>
        <v>PCS</v>
      </c>
      <c r="F142" s="70">
        <v>1803</v>
      </c>
      <c r="G142" s="119"/>
      <c r="H142" s="119">
        <f>VLOOKUP($C142,成品本月库存!$B:$J,9,0)</f>
        <v>1803</v>
      </c>
      <c r="I142" s="70"/>
      <c r="J142" s="102"/>
    </row>
    <row r="143" ht="16.5" spans="1:10">
      <c r="A143" s="80"/>
      <c r="B143" s="120"/>
      <c r="C143" s="82" t="s">
        <v>160</v>
      </c>
      <c r="D143" s="118" t="str">
        <f>VLOOKUP($C143,成品本月库存!$B:$J,2,0)</f>
        <v>YC013600222501（摄像头前盖）</v>
      </c>
      <c r="E143" s="118" t="str">
        <f>VLOOKUP($C143,成品本月库存!$B:$J,5,0)</f>
        <v>PCS</v>
      </c>
      <c r="F143" s="70">
        <v>9071</v>
      </c>
      <c r="G143" s="119"/>
      <c r="H143" s="119">
        <f>VLOOKUP($C143,成品本月库存!$B:$J,9,0)</f>
        <v>9071</v>
      </c>
      <c r="I143" s="70"/>
      <c r="J143" s="102"/>
    </row>
    <row r="144" ht="16.5" spans="1:10">
      <c r="A144" s="80"/>
      <c r="B144" s="120"/>
      <c r="C144" s="82" t="s">
        <v>161</v>
      </c>
      <c r="D144" s="118" t="str">
        <f>VLOOKUP($C144,成品本月库存!$B:$J,2,0)</f>
        <v>YC013600330900</v>
      </c>
      <c r="E144" s="118" t="str">
        <f>VLOOKUP($C144,成品本月库存!$B:$J,5,0)</f>
        <v>PCS</v>
      </c>
      <c r="F144" s="70">
        <v>586</v>
      </c>
      <c r="G144" s="119"/>
      <c r="H144" s="119">
        <f>VLOOKUP($C144,成品本月库存!$B:$J,9,0)</f>
        <v>586</v>
      </c>
      <c r="I144" s="70"/>
      <c r="J144" s="102"/>
    </row>
    <row r="145" ht="16.5" spans="1:10">
      <c r="A145" s="80"/>
      <c r="B145" s="120"/>
      <c r="C145" s="82" t="s">
        <v>162</v>
      </c>
      <c r="D145" s="118" t="str">
        <f>VLOOKUP($C145,成品本月库存!$B:$J,2,0)</f>
        <v>YC013600351600</v>
      </c>
      <c r="E145" s="118" t="str">
        <f>VLOOKUP($C145,成品本月库存!$B:$J,5,0)</f>
        <v>PCS</v>
      </c>
      <c r="F145" s="70">
        <v>2096</v>
      </c>
      <c r="G145" s="119"/>
      <c r="H145" s="119">
        <f>VLOOKUP($C145,成品本月库存!$B:$J,9,0)</f>
        <v>2096</v>
      </c>
      <c r="I145" s="70"/>
      <c r="J145" s="102"/>
    </row>
    <row r="146" ht="16.5" spans="1:10">
      <c r="A146" s="80"/>
      <c r="B146" s="120"/>
      <c r="C146" s="82" t="s">
        <v>163</v>
      </c>
      <c r="D146" s="118" t="str">
        <f>VLOOKUP($C146,成品本月库存!$B:$J,2,0)</f>
        <v>YC013600155100(CAM前壳）</v>
      </c>
      <c r="E146" s="118" t="str">
        <f>VLOOKUP($C146,成品本月库存!$B:$J,5,0)</f>
        <v>PCS</v>
      </c>
      <c r="F146" s="70">
        <v>260</v>
      </c>
      <c r="G146" s="119"/>
      <c r="H146" s="119">
        <f>VLOOKUP($C146,成品本月库存!$B:$J,9,0)</f>
        <v>260</v>
      </c>
      <c r="I146" s="70"/>
      <c r="J146" s="102"/>
    </row>
    <row r="147" ht="16.5" spans="1:10">
      <c r="A147" s="80"/>
      <c r="B147" s="120"/>
      <c r="C147" s="82" t="s">
        <v>164</v>
      </c>
      <c r="D147" s="118" t="str">
        <f>VLOOKUP($C147,成品本月库存!$B:$J,2,0)</f>
        <v>YC013600155200(CAM后壳）</v>
      </c>
      <c r="E147" s="118" t="str">
        <f>VLOOKUP($C147,成品本月库存!$B:$J,5,0)</f>
        <v>PCS</v>
      </c>
      <c r="F147" s="70">
        <v>1316</v>
      </c>
      <c r="G147" s="119"/>
      <c r="H147" s="119">
        <f>VLOOKUP($C147,成品本月库存!$B:$J,9,0)</f>
        <v>1316</v>
      </c>
      <c r="I147" s="70"/>
      <c r="J147" s="102"/>
    </row>
    <row r="148" ht="16.5" spans="1:10">
      <c r="A148" s="80"/>
      <c r="B148" s="120"/>
      <c r="C148" s="82" t="s">
        <v>165</v>
      </c>
      <c r="D148" s="118" t="str">
        <f>VLOOKUP($C148,成品本月库存!$B:$J,2,0)</f>
        <v>YC013600149200(DMS前壳）</v>
      </c>
      <c r="E148" s="118" t="str">
        <f>VLOOKUP($C148,成品本月库存!$B:$J,5,0)</f>
        <v>PCS</v>
      </c>
      <c r="F148" s="70">
        <v>105</v>
      </c>
      <c r="G148" s="119"/>
      <c r="H148" s="119">
        <f>VLOOKUP($C148,成品本月库存!$B:$J,9,0)</f>
        <v>105</v>
      </c>
      <c r="I148" s="70"/>
      <c r="J148" s="102"/>
    </row>
    <row r="149" ht="16.5" spans="1:10">
      <c r="A149" s="80"/>
      <c r="B149" s="120"/>
      <c r="C149" s="82" t="s">
        <v>166</v>
      </c>
      <c r="D149" s="118" t="str">
        <f>VLOOKUP($C149,成品本月库存!$B:$J,2,0)</f>
        <v>YC013600361200</v>
      </c>
      <c r="E149" s="118" t="str">
        <f>VLOOKUP($C149,成品本月库存!$B:$J,5,0)</f>
        <v>PCS</v>
      </c>
      <c r="F149" s="70">
        <v>735</v>
      </c>
      <c r="G149" s="119"/>
      <c r="H149" s="119">
        <f>VLOOKUP($C149,成品本月库存!$B:$J,9,0)</f>
        <v>735</v>
      </c>
      <c r="I149" s="70"/>
      <c r="J149" s="102"/>
    </row>
    <row r="150" ht="16.5" spans="1:10">
      <c r="A150" s="80"/>
      <c r="B150" s="120"/>
      <c r="C150" s="82" t="s">
        <v>167</v>
      </c>
      <c r="D150" s="118" t="str">
        <f>VLOOKUP($C150,成品本月库存!$B:$J,2,0)</f>
        <v>YC013600364900</v>
      </c>
      <c r="E150" s="118" t="str">
        <f>VLOOKUP($C150,成品本月库存!$B:$J,5,0)</f>
        <v>PCS</v>
      </c>
      <c r="F150" s="70">
        <v>209</v>
      </c>
      <c r="G150" s="119"/>
      <c r="H150" s="119">
        <f>VLOOKUP($C150,成品本月库存!$B:$J,9,0)</f>
        <v>209</v>
      </c>
      <c r="I150" s="70"/>
      <c r="J150" s="102"/>
    </row>
    <row r="151" ht="16.5" spans="1:10">
      <c r="A151" s="80"/>
      <c r="B151" s="120"/>
      <c r="C151" s="82" t="s">
        <v>168</v>
      </c>
      <c r="D151" s="118" t="str">
        <f>VLOOKUP($C151,成品本月库存!$B:$J,2,0)</f>
        <v>YC013600377500</v>
      </c>
      <c r="E151" s="118" t="str">
        <f>VLOOKUP($C151,成品本月库存!$B:$J,5,0)</f>
        <v>PCS</v>
      </c>
      <c r="F151" s="70">
        <v>813</v>
      </c>
      <c r="G151" s="119"/>
      <c r="H151" s="119">
        <f>VLOOKUP($C151,成品本月库存!$B:$J,9,0)</f>
        <v>813</v>
      </c>
      <c r="I151" s="70"/>
      <c r="J151" s="102"/>
    </row>
    <row r="152" ht="16.5" spans="1:10">
      <c r="A152" s="80"/>
      <c r="B152" s="120"/>
      <c r="C152" s="82" t="s">
        <v>169</v>
      </c>
      <c r="D152" s="118" t="str">
        <f>VLOOKUP($C152,成品本月库存!$B:$J,2,0)</f>
        <v>YC013600377801</v>
      </c>
      <c r="E152" s="118" t="str">
        <f>VLOOKUP($C152,成品本月库存!$B:$J,5,0)</f>
        <v>PCS</v>
      </c>
      <c r="F152" s="70">
        <v>82</v>
      </c>
      <c r="G152" s="119"/>
      <c r="H152" s="119">
        <f>VLOOKUP($C152,成品本月库存!$B:$J,9,0)</f>
        <v>306</v>
      </c>
      <c r="I152" s="70"/>
      <c r="J152" s="102"/>
    </row>
    <row r="153" ht="16.5" spans="1:10">
      <c r="A153" s="80"/>
      <c r="B153" s="120"/>
      <c r="C153" s="82" t="s">
        <v>169</v>
      </c>
      <c r="D153" s="118" t="s">
        <v>170</v>
      </c>
      <c r="E153" s="118"/>
      <c r="F153" s="82">
        <v>224</v>
      </c>
      <c r="G153" s="121" t="s">
        <v>171</v>
      </c>
      <c r="H153" s="119"/>
      <c r="I153" s="70"/>
      <c r="J153" s="102"/>
    </row>
    <row r="154" ht="16.5" spans="1:10">
      <c r="A154" s="80"/>
      <c r="B154" s="120"/>
      <c r="C154" s="82" t="s">
        <v>172</v>
      </c>
      <c r="D154" s="118" t="str">
        <f>VLOOKUP($C154,成品本月库存!$B:$J,2,0)</f>
        <v>扳手806头壳(含轴套)(DTW380牙箱壳）</v>
      </c>
      <c r="E154" s="118" t="str">
        <f>VLOOKUP($C154,成品本月库存!$B:$J,5,0)</f>
        <v>PCS</v>
      </c>
      <c r="F154" s="70">
        <v>7146</v>
      </c>
      <c r="G154" s="119"/>
      <c r="H154" s="119">
        <f>VLOOKUP($C154,成品本月库存!$B:$J,9,0)</f>
        <v>7146</v>
      </c>
      <c r="I154" s="70"/>
      <c r="J154" s="102"/>
    </row>
    <row r="155" ht="16.5" spans="1:10">
      <c r="A155" s="80"/>
      <c r="B155" s="120"/>
      <c r="C155" s="82" t="s">
        <v>173</v>
      </c>
      <c r="D155" s="118" t="str">
        <f>VLOOKUP($C155,成品本月库存!$B:$J,2,0)</f>
        <v>扳手809头壳(含轴套)</v>
      </c>
      <c r="E155" s="118" t="str">
        <f>VLOOKUP($C155,成品本月库存!$B:$J,5,0)</f>
        <v>PCS</v>
      </c>
      <c r="F155" s="70">
        <v>2100</v>
      </c>
      <c r="G155" s="119"/>
      <c r="H155" s="119">
        <f>VLOOKUP($C155,成品本月库存!$B:$J,9,0)</f>
        <v>1675</v>
      </c>
      <c r="I155" s="70"/>
      <c r="J155" s="102"/>
    </row>
    <row r="156" ht="16.5" spans="1:10">
      <c r="A156" s="80"/>
      <c r="B156" s="120"/>
      <c r="C156" s="82" t="s">
        <v>174</v>
      </c>
      <c r="D156" s="118" t="str">
        <f>VLOOKUP($C156,成品本月库存!$B:$J,2,0)</f>
        <v>扳手809端盖</v>
      </c>
      <c r="E156" s="118" t="str">
        <f>VLOOKUP($C156,成品本月库存!$B:$J,5,0)</f>
        <v>PCS</v>
      </c>
      <c r="F156" s="70">
        <v>5574</v>
      </c>
      <c r="G156" s="119"/>
      <c r="H156" s="119">
        <f>VLOOKUP($C156,成品本月库存!$B:$J,9,0)</f>
        <v>5574</v>
      </c>
      <c r="I156" s="70"/>
      <c r="J156" s="102"/>
    </row>
    <row r="157" ht="16.5" spans="1:10">
      <c r="A157" s="80"/>
      <c r="B157" s="120"/>
      <c r="C157" s="82" t="s">
        <v>175</v>
      </c>
      <c r="D157" s="118" t="str">
        <f>VLOOKUP($C157,成品本月库存!$B:$J,2,0)</f>
        <v>起子机2108-W头壳（230N头壳无轴套）</v>
      </c>
      <c r="E157" s="118" t="str">
        <f>VLOOKUP($C157,成品本月库存!$B:$J,5,0)</f>
        <v>PCS</v>
      </c>
      <c r="F157" s="70">
        <v>1670</v>
      </c>
      <c r="G157" s="119"/>
      <c r="H157" s="119">
        <f>VLOOKUP($C157,成品本月库存!$B:$J,9,0)</f>
        <v>1670</v>
      </c>
      <c r="I157" s="70"/>
      <c r="J157" s="102"/>
    </row>
    <row r="158" ht="16.5" spans="1:10">
      <c r="A158" s="80"/>
      <c r="B158" s="120"/>
      <c r="C158" s="82" t="s">
        <v>176</v>
      </c>
      <c r="D158" s="118" t="str">
        <f>VLOOKUP($C158,成品本月库存!$B:$J,2,0)</f>
        <v>起子机2108头壳-锐霸灰色（230N头壳含轴套）</v>
      </c>
      <c r="E158" s="118" t="str">
        <f>VLOOKUP($C158,成品本月库存!$B:$J,5,0)</f>
        <v>PCS</v>
      </c>
      <c r="F158" s="70">
        <v>2761</v>
      </c>
      <c r="G158" s="119"/>
      <c r="H158" s="119">
        <f>VLOOKUP($C158,成品本月库存!$B:$J,9,0)</f>
        <v>2761</v>
      </c>
      <c r="I158" s="70"/>
      <c r="J158" s="102"/>
    </row>
    <row r="159" ht="16.5" spans="1:10">
      <c r="A159" s="80"/>
      <c r="B159" s="120"/>
      <c r="C159" s="82" t="s">
        <v>177</v>
      </c>
      <c r="D159" s="118" t="str">
        <f>VLOOKUP($C159,成品本月库存!$B:$J,2,0)</f>
        <v>806-SK头壳(含轴套）</v>
      </c>
      <c r="E159" s="118" t="str">
        <f>VLOOKUP($C159,成品本月库存!$B:$J,5,0)</f>
        <v>PCS</v>
      </c>
      <c r="F159" s="70">
        <v>713</v>
      </c>
      <c r="G159" s="119"/>
      <c r="H159" s="119">
        <f>VLOOKUP($C159,成品本月库存!$B:$J,9,0)</f>
        <v>713</v>
      </c>
      <c r="I159" s="70"/>
      <c r="J159" s="102"/>
    </row>
    <row r="160" ht="16.5" spans="1:10">
      <c r="A160" s="80"/>
      <c r="B160" s="120"/>
      <c r="C160" s="82" t="s">
        <v>178</v>
      </c>
      <c r="D160" s="118" t="str">
        <f>VLOOKUP($C160,成品本月库存!$B:$J,2,0)</f>
        <v>扳手818端盖</v>
      </c>
      <c r="E160" s="118" t="str">
        <f>VLOOKUP($C160,成品本月库存!$B:$J,5,0)</f>
        <v>PCS</v>
      </c>
      <c r="F160" s="70">
        <v>456</v>
      </c>
      <c r="G160" s="119"/>
      <c r="H160" s="119">
        <f>VLOOKUP($C160,成品本月库存!$B:$J,9,0)</f>
        <v>456</v>
      </c>
      <c r="I160" s="70"/>
      <c r="J160" s="102"/>
    </row>
    <row r="161" ht="16.5" spans="1:10">
      <c r="A161" s="80"/>
      <c r="B161" s="120"/>
      <c r="C161" s="82" t="s">
        <v>179</v>
      </c>
      <c r="D161" s="118" t="str">
        <f>VLOOKUP($C161,成品本月库存!$B:$J,2,0)</f>
        <v>扳手818头壳（带花纹含轴套）</v>
      </c>
      <c r="E161" s="118" t="str">
        <f>VLOOKUP($C161,成品本月库存!$B:$J,5,0)</f>
        <v>PCS</v>
      </c>
      <c r="F161" s="70">
        <v>1720</v>
      </c>
      <c r="G161" s="119"/>
      <c r="H161" s="119">
        <f>VLOOKUP($C161,成品本月库存!$B:$J,9,0)</f>
        <v>4258</v>
      </c>
      <c r="I161" s="70"/>
      <c r="J161" s="102"/>
    </row>
    <row r="162" ht="16.5" spans="1:10">
      <c r="A162" s="80"/>
      <c r="B162" s="120"/>
      <c r="C162" s="82" t="s">
        <v>180</v>
      </c>
      <c r="D162" s="118" t="str">
        <f>VLOOKUP($C162,成品本月库存!$B:$J,2,0)</f>
        <v>扳手818头壳-不带花纹</v>
      </c>
      <c r="E162" s="118" t="str">
        <f>VLOOKUP($C162,成品本月库存!$B:$J,5,0)</f>
        <v>PCS</v>
      </c>
      <c r="F162" s="70">
        <v>536</v>
      </c>
      <c r="G162" s="119"/>
      <c r="H162" s="119">
        <f>VLOOKUP($C162,成品本月库存!$B:$J,9,0)</f>
        <v>536</v>
      </c>
      <c r="I162" s="70"/>
      <c r="J162" s="102"/>
    </row>
    <row r="163" ht="16.5" spans="1:10">
      <c r="A163" s="80"/>
      <c r="B163" s="120"/>
      <c r="C163" s="82" t="s">
        <v>181</v>
      </c>
      <c r="D163" s="118" t="str">
        <f>VLOOKUP($C163,成品本月库存!$B:$J,2,0)</f>
        <v>2109左卡钳</v>
      </c>
      <c r="E163" s="118" t="str">
        <f>VLOOKUP($C163,成品本月库存!$B:$J,5,0)</f>
        <v>PCS</v>
      </c>
      <c r="F163" s="70">
        <v>2601</v>
      </c>
      <c r="G163" s="119"/>
      <c r="H163" s="119">
        <f>VLOOKUP($C163,成品本月库存!$B:$J,9,0)</f>
        <v>2601</v>
      </c>
      <c r="I163" s="70"/>
      <c r="J163" s="102"/>
    </row>
    <row r="164" ht="16.5" spans="1:10">
      <c r="A164" s="80"/>
      <c r="B164" s="120"/>
      <c r="C164" s="82" t="s">
        <v>182</v>
      </c>
      <c r="D164" s="118" t="str">
        <f>VLOOKUP($C164,成品本月库存!$B:$J,2,0)</f>
        <v>2109右卡钳</v>
      </c>
      <c r="E164" s="118" t="str">
        <f>VLOOKUP($C164,成品本月库存!$B:$J,5,0)</f>
        <v>PCS</v>
      </c>
      <c r="F164" s="70">
        <v>2734</v>
      </c>
      <c r="G164" s="119"/>
      <c r="H164" s="119">
        <f>VLOOKUP($C164,成品本月库存!$B:$J,9,0)</f>
        <v>2734</v>
      </c>
      <c r="I164" s="70"/>
      <c r="J164" s="102"/>
    </row>
    <row r="165" ht="16.5" spans="1:10">
      <c r="A165" s="80"/>
      <c r="B165" s="120"/>
      <c r="C165" s="82" t="s">
        <v>183</v>
      </c>
      <c r="D165" s="118" t="str">
        <f>VLOOKUP($C165,成品本月库存!$B:$J,2,0)</f>
        <v>扳手810头壳（无轴套）</v>
      </c>
      <c r="E165" s="118" t="str">
        <f>VLOOKUP($C165,成品本月库存!$B:$J,5,0)</f>
        <v>PCS</v>
      </c>
      <c r="F165" s="70">
        <v>2048</v>
      </c>
      <c r="G165" s="119"/>
      <c r="H165" s="119">
        <f>VLOOKUP($C165,成品本月库存!$B:$J,9,0)</f>
        <v>2048</v>
      </c>
      <c r="I165" s="70"/>
      <c r="J165" s="102"/>
    </row>
    <row r="166" ht="16.5" spans="1:10">
      <c r="A166" s="80"/>
      <c r="B166" s="120"/>
      <c r="C166" s="82" t="s">
        <v>184</v>
      </c>
      <c r="D166" s="118" t="str">
        <f>VLOOKUP($C166,成品本月库存!$B:$J,2,0)</f>
        <v>扳手810端盖</v>
      </c>
      <c r="E166" s="118" t="str">
        <f>VLOOKUP($C166,成品本月库存!$B:$J,5,0)</f>
        <v>PCS</v>
      </c>
      <c r="F166" s="70">
        <f>278+5409</f>
        <v>5687</v>
      </c>
      <c r="G166" s="119"/>
      <c r="H166" s="119">
        <f>VLOOKUP($C166,成品本月库存!$B:$J,9,0)</f>
        <v>5953</v>
      </c>
      <c r="I166" s="70"/>
      <c r="J166" s="102"/>
    </row>
    <row r="167" ht="16.5" spans="1:10">
      <c r="A167" s="80"/>
      <c r="B167" s="120"/>
      <c r="C167" s="82" t="s">
        <v>184</v>
      </c>
      <c r="D167" s="118" t="s">
        <v>185</v>
      </c>
      <c r="E167" s="118"/>
      <c r="F167" s="82">
        <v>266</v>
      </c>
      <c r="G167" s="119" t="s">
        <v>18</v>
      </c>
      <c r="H167" s="119"/>
      <c r="I167" s="70"/>
      <c r="J167" s="102"/>
    </row>
    <row r="168" ht="16.5" spans="1:10">
      <c r="A168" s="80"/>
      <c r="B168" s="120"/>
      <c r="C168" s="82" t="s">
        <v>186</v>
      </c>
      <c r="D168" s="118" t="str">
        <f>VLOOKUP($C168,成品本月库存!$B:$J,2,0)</f>
        <v>电锤BH24A齿轮箱</v>
      </c>
      <c r="E168" s="118" t="str">
        <f>VLOOKUP($C168,成品本月库存!$B:$J,5,0)</f>
        <v>PCS</v>
      </c>
      <c r="F168" s="70">
        <v>1487</v>
      </c>
      <c r="G168" s="119"/>
      <c r="H168" s="119">
        <f>VLOOKUP($C168,成品本月库存!$B:$J,9,0)</f>
        <v>1487</v>
      </c>
      <c r="I168" s="70"/>
      <c r="J168" s="102"/>
    </row>
    <row r="169" ht="16.5" spans="1:10">
      <c r="A169" s="80"/>
      <c r="B169" s="120"/>
      <c r="C169" s="82" t="s">
        <v>187</v>
      </c>
      <c r="D169" s="118" t="str">
        <f>VLOOKUP($C169,成品本月库存!$B:$J,2,0)</f>
        <v>819头壳（含轴套）</v>
      </c>
      <c r="E169" s="118" t="str">
        <f>VLOOKUP($C169,成品本月库存!$B:$J,5,0)</f>
        <v>PCS</v>
      </c>
      <c r="F169" s="70">
        <v>26</v>
      </c>
      <c r="G169" s="119"/>
      <c r="H169" s="119">
        <f>VLOOKUP($C169,成品本月库存!$B:$J,9,0)</f>
        <v>26</v>
      </c>
      <c r="I169" s="70"/>
      <c r="J169" s="102"/>
    </row>
    <row r="170" ht="16.5" spans="1:10">
      <c r="A170" s="80"/>
      <c r="B170" s="120"/>
      <c r="C170" s="82" t="s">
        <v>188</v>
      </c>
      <c r="D170" s="118" t="str">
        <f>VLOOKUP($C170,成品本月库存!$B:$J,2,0)</f>
        <v>819/826/826A(头壳通用端盖）</v>
      </c>
      <c r="E170" s="118" t="str">
        <f>VLOOKUP($C170,成品本月库存!$B:$J,5,0)</f>
        <v>PCS</v>
      </c>
      <c r="F170" s="70">
        <f>358+2970</f>
        <v>3328</v>
      </c>
      <c r="G170" s="119"/>
      <c r="H170" s="119">
        <f>VLOOKUP($C170,成品本月库存!$B:$J,9,0)</f>
        <v>3328</v>
      </c>
      <c r="I170" s="70"/>
      <c r="J170" s="102"/>
    </row>
    <row r="171" ht="16.5" spans="1:10">
      <c r="A171" s="80"/>
      <c r="B171" s="120"/>
      <c r="C171" s="82" t="s">
        <v>189</v>
      </c>
      <c r="D171" s="118" t="str">
        <f>VLOOKUP($C171,成品本月库存!$B:$J,2,0)</f>
        <v>826A头壳（含轴套）</v>
      </c>
      <c r="E171" s="118" t="str">
        <f>VLOOKUP($C171,成品本月库存!$B:$J,5,0)</f>
        <v>PCS</v>
      </c>
      <c r="F171" s="70">
        <v>2403</v>
      </c>
      <c r="G171" s="119"/>
      <c r="H171" s="119">
        <f>VLOOKUP($C171,成品本月库存!$B:$J,9,0)</f>
        <v>2405</v>
      </c>
      <c r="I171" s="70"/>
      <c r="J171" s="102"/>
    </row>
    <row r="172" ht="16.5" spans="1:10">
      <c r="A172" s="80"/>
      <c r="B172" s="120"/>
      <c r="C172" s="82" t="s">
        <v>189</v>
      </c>
      <c r="D172" s="118" t="s">
        <v>190</v>
      </c>
      <c r="E172" s="118"/>
      <c r="F172" s="82">
        <v>2</v>
      </c>
      <c r="G172" s="119" t="s">
        <v>18</v>
      </c>
      <c r="H172" s="119"/>
      <c r="I172" s="70"/>
      <c r="J172" s="102"/>
    </row>
    <row r="173" ht="16.5" spans="1:10">
      <c r="A173" s="80"/>
      <c r="B173" s="120"/>
      <c r="C173" s="82" t="s">
        <v>191</v>
      </c>
      <c r="D173" s="118" t="str">
        <f>VLOOKUP($C173,成品本月库存!$B:$J,2,0)</f>
        <v>827头壳（含轴套）</v>
      </c>
      <c r="E173" s="118" t="str">
        <f>VLOOKUP($C173,成品本月库存!$B:$J,5,0)</f>
        <v>PCS</v>
      </c>
      <c r="F173" s="70">
        <v>663</v>
      </c>
      <c r="G173" s="119"/>
      <c r="H173" s="119">
        <f>VLOOKUP($C173,成品本月库存!$B:$J,9,0)</f>
        <v>667</v>
      </c>
      <c r="I173" s="70"/>
      <c r="J173" s="102"/>
    </row>
    <row r="174" ht="16.5" spans="1:10">
      <c r="A174" s="80"/>
      <c r="B174" s="120"/>
      <c r="C174" s="82" t="s">
        <v>191</v>
      </c>
      <c r="D174" s="118" t="s">
        <v>192</v>
      </c>
      <c r="E174" s="118"/>
      <c r="F174" s="82">
        <v>4</v>
      </c>
      <c r="G174" s="119" t="s">
        <v>18</v>
      </c>
      <c r="H174" s="119"/>
      <c r="I174" s="70"/>
      <c r="J174" s="102"/>
    </row>
    <row r="175" ht="16.5" spans="1:10">
      <c r="A175" s="80"/>
      <c r="B175" s="120"/>
      <c r="C175" s="82" t="s">
        <v>193</v>
      </c>
      <c r="D175" s="118" t="str">
        <f>VLOOKUP($C175,成品本月库存!$B:$J,2,0)</f>
        <v>827立式副把手旋钮</v>
      </c>
      <c r="E175" s="118" t="str">
        <f>VLOOKUP($C175,成品本月库存!$B:$J,5,0)</f>
        <v>PCS</v>
      </c>
      <c r="F175" s="70">
        <v>1141</v>
      </c>
      <c r="G175" s="119"/>
      <c r="H175" s="119">
        <f>VLOOKUP($C175,成品本月库存!$B:$J,9,0)</f>
        <v>1141</v>
      </c>
      <c r="I175" s="70"/>
      <c r="J175" s="102"/>
    </row>
    <row r="176" ht="16.5" spans="1:10">
      <c r="A176" s="80"/>
      <c r="B176" s="120"/>
      <c r="C176" s="82" t="s">
        <v>194</v>
      </c>
      <c r="D176" s="118" t="str">
        <f>VLOOKUP($C176,成品本月库存!$B:$J,2,0)</f>
        <v>电钻2118左卡钳</v>
      </c>
      <c r="E176" s="118" t="str">
        <f>VLOOKUP($C176,成品本月库存!$B:$J,5,0)</f>
        <v>PCS</v>
      </c>
      <c r="F176" s="70">
        <v>1202</v>
      </c>
      <c r="G176" s="119"/>
      <c r="H176" s="119">
        <f>VLOOKUP($C176,成品本月库存!$B:$J,9,0)</f>
        <v>1247</v>
      </c>
      <c r="I176" s="70"/>
      <c r="J176" s="102"/>
    </row>
    <row r="177" ht="16.5" spans="1:10">
      <c r="A177" s="80"/>
      <c r="B177" s="120"/>
      <c r="C177" s="82" t="s">
        <v>194</v>
      </c>
      <c r="D177" s="118" t="s">
        <v>195</v>
      </c>
      <c r="E177" s="118"/>
      <c r="F177" s="82">
        <v>45</v>
      </c>
      <c r="G177" s="121" t="s">
        <v>18</v>
      </c>
      <c r="H177" s="119"/>
      <c r="I177" s="70"/>
      <c r="J177" s="102"/>
    </row>
    <row r="178" ht="16.5" spans="1:10">
      <c r="A178" s="80"/>
      <c r="B178" s="120"/>
      <c r="C178" s="82" t="s">
        <v>196</v>
      </c>
      <c r="D178" s="118" t="str">
        <f>VLOOKUP($C178,成品本月库存!$B:$J,2,0)</f>
        <v>电钻2118右卡钳</v>
      </c>
      <c r="E178" s="118" t="str">
        <f>VLOOKUP($C178,成品本月库存!$B:$J,5,0)</f>
        <v>PCS</v>
      </c>
      <c r="F178" s="70">
        <v>1250</v>
      </c>
      <c r="G178" s="119"/>
      <c r="H178" s="119">
        <f>VLOOKUP($C178,成品本月库存!$B:$J,9,0)</f>
        <v>1266</v>
      </c>
      <c r="I178" s="70"/>
      <c r="J178" s="102"/>
    </row>
    <row r="179" ht="16.5" spans="1:10">
      <c r="A179" s="80"/>
      <c r="B179" s="120"/>
      <c r="C179" s="82" t="s">
        <v>196</v>
      </c>
      <c r="D179" s="118" t="s">
        <v>197</v>
      </c>
      <c r="E179" s="118"/>
      <c r="F179" s="82">
        <v>16</v>
      </c>
      <c r="G179" s="121" t="s">
        <v>18</v>
      </c>
      <c r="H179" s="119"/>
      <c r="I179" s="70"/>
      <c r="J179" s="102"/>
    </row>
    <row r="180" ht="16.5" spans="1:10">
      <c r="A180" s="80"/>
      <c r="B180" s="120"/>
      <c r="C180" s="82" t="s">
        <v>198</v>
      </c>
      <c r="D180" s="118" t="str">
        <f>VLOOKUP($C180,成品本月库存!$B:$J,2,0)</f>
        <v>扳手828头壳</v>
      </c>
      <c r="E180" s="118" t="str">
        <f>VLOOKUP($C180,成品本月库存!$B:$J,5,0)</f>
        <v>PCS</v>
      </c>
      <c r="F180" s="70">
        <v>623</v>
      </c>
      <c r="G180" s="119"/>
      <c r="H180" s="119">
        <f>VLOOKUP($C180,成品本月库存!$B:$J,9,0)</f>
        <v>629</v>
      </c>
      <c r="I180" s="70"/>
      <c r="J180" s="124"/>
    </row>
    <row r="181" ht="16.5" spans="1:10">
      <c r="A181" s="80"/>
      <c r="B181" s="120"/>
      <c r="C181" s="82" t="s">
        <v>198</v>
      </c>
      <c r="D181" s="118" t="s">
        <v>199</v>
      </c>
      <c r="E181" s="118"/>
      <c r="F181" s="82">
        <v>6</v>
      </c>
      <c r="G181" s="121" t="s">
        <v>18</v>
      </c>
      <c r="H181" s="119"/>
      <c r="I181" s="70"/>
      <c r="J181" s="124"/>
    </row>
    <row r="182" ht="16.5" spans="1:10">
      <c r="A182" s="80"/>
      <c r="B182" s="120"/>
      <c r="C182" s="82" t="s">
        <v>200</v>
      </c>
      <c r="D182" s="118" t="str">
        <f>VLOOKUP($C182,成品本月库存!$B:$J,2,0)</f>
        <v>扳手828端盖</v>
      </c>
      <c r="E182" s="118" t="str">
        <f>VLOOKUP($C182,成品本月库存!$B:$J,5,0)</f>
        <v>PCS</v>
      </c>
      <c r="F182" s="70">
        <v>189</v>
      </c>
      <c r="G182" s="119"/>
      <c r="H182" s="119">
        <f>VLOOKUP($C182,成品本月库存!$B:$J,9,0)</f>
        <v>189</v>
      </c>
      <c r="I182" s="70"/>
      <c r="J182" s="102"/>
    </row>
    <row r="183" ht="16.5" spans="1:10">
      <c r="A183" s="80"/>
      <c r="B183" s="120"/>
      <c r="C183" s="82" t="s">
        <v>201</v>
      </c>
      <c r="D183" s="118" t="str">
        <f>VLOOKUP($C183,成品本月库存!$B:$J,2,0)</f>
        <v>扳手828把手支架</v>
      </c>
      <c r="E183" s="118" t="str">
        <f>VLOOKUP($C183,成品本月库存!$B:$J,5,0)</f>
        <v>PCS</v>
      </c>
      <c r="F183" s="70">
        <v>1138</v>
      </c>
      <c r="G183" s="119"/>
      <c r="H183" s="119">
        <f>VLOOKUP($C183,成品本月库存!$B:$J,9,0)</f>
        <v>1138</v>
      </c>
      <c r="I183" s="70"/>
      <c r="J183" s="102"/>
    </row>
    <row r="184" ht="16.5" spans="1:10">
      <c r="A184" s="80"/>
      <c r="B184" s="120"/>
      <c r="C184" s="82" t="s">
        <v>202</v>
      </c>
      <c r="D184" s="118" t="str">
        <f>VLOOKUP($C184,成品本月库存!$B:$J,2,0)</f>
        <v>扳手810STK2头壳</v>
      </c>
      <c r="E184" s="118" t="str">
        <f>VLOOKUP($C184,成品本月库存!$B:$J,5,0)</f>
        <v>PCS</v>
      </c>
      <c r="F184" s="70">
        <v>2199</v>
      </c>
      <c r="G184" s="119"/>
      <c r="H184" s="119">
        <f>VLOOKUP($C184,成品本月库存!$B:$J,9,0)</f>
        <v>-7</v>
      </c>
      <c r="I184" s="70"/>
      <c r="J184" s="102"/>
    </row>
    <row r="185" ht="16.5" spans="1:10">
      <c r="A185" s="80"/>
      <c r="B185" s="120"/>
      <c r="C185" s="82" t="s">
        <v>202</v>
      </c>
      <c r="D185" s="118" t="s">
        <v>203</v>
      </c>
      <c r="E185" s="118"/>
      <c r="F185" s="82">
        <v>6</v>
      </c>
      <c r="G185" s="119" t="s">
        <v>18</v>
      </c>
      <c r="H185" s="119"/>
      <c r="I185" s="70"/>
      <c r="J185" s="102"/>
    </row>
    <row r="186" ht="16.5" spans="1:10">
      <c r="A186" s="80"/>
      <c r="B186" s="120"/>
      <c r="C186" s="82" t="s">
        <v>204</v>
      </c>
      <c r="D186" s="118" t="str">
        <f>VLOOKUP($C186,成品本月库存!$B:$J,2,0)</f>
        <v>扳手810STK2头壳-黑色</v>
      </c>
      <c r="E186" s="118" t="str">
        <f>VLOOKUP($C186,成品本月库存!$B:$J,5,0)</f>
        <v>PCS</v>
      </c>
      <c r="F186" s="70">
        <v>39</v>
      </c>
      <c r="G186" s="119"/>
      <c r="H186" s="119">
        <f>VLOOKUP($C186,成品本月库存!$B:$J,9,0)</f>
        <v>2</v>
      </c>
      <c r="I186" s="70"/>
      <c r="J186" s="102"/>
    </row>
    <row r="187" ht="16.5" spans="1:10">
      <c r="A187" s="80"/>
      <c r="B187" s="120"/>
      <c r="C187" s="82" t="s">
        <v>204</v>
      </c>
      <c r="D187" s="118" t="s">
        <v>205</v>
      </c>
      <c r="E187" s="118"/>
      <c r="F187" s="82">
        <v>14</v>
      </c>
      <c r="G187" s="121" t="s">
        <v>206</v>
      </c>
      <c r="H187" s="119"/>
      <c r="I187" s="70"/>
      <c r="J187" s="102"/>
    </row>
    <row r="188" ht="16.5" spans="1:10">
      <c r="A188" s="80"/>
      <c r="B188" s="120"/>
      <c r="C188" s="82" t="s">
        <v>207</v>
      </c>
      <c r="D188" s="118" t="str">
        <f>VLOOKUP($C188,成品本月库存!$B:$J,2,0)</f>
        <v>扳手810S 端盖 世达款</v>
      </c>
      <c r="E188" s="118" t="str">
        <f>VLOOKUP($C188,成品本月库存!$B:$J,5,0)</f>
        <v>PCS</v>
      </c>
      <c r="F188" s="70">
        <f>80+497</f>
        <v>577</v>
      </c>
      <c r="G188" s="119"/>
      <c r="H188" s="119">
        <f>VLOOKUP($C188,成品本月库存!$B:$J,9,0)</f>
        <v>598</v>
      </c>
      <c r="I188" s="70"/>
      <c r="J188" s="102"/>
    </row>
    <row r="189" ht="16.5" spans="1:10">
      <c r="A189" s="80"/>
      <c r="B189" s="120"/>
      <c r="C189" s="82" t="s">
        <v>207</v>
      </c>
      <c r="D189" s="118" t="s">
        <v>208</v>
      </c>
      <c r="E189" s="118"/>
      <c r="F189" s="82">
        <v>21</v>
      </c>
      <c r="G189" s="119" t="s">
        <v>18</v>
      </c>
      <c r="H189" s="119"/>
      <c r="I189" s="70"/>
      <c r="J189" s="102"/>
    </row>
    <row r="190" ht="16.5" spans="1:10">
      <c r="A190" s="80"/>
      <c r="B190" s="120"/>
      <c r="C190" s="82" t="s">
        <v>209</v>
      </c>
      <c r="D190" s="118" t="str">
        <f>VLOOKUP($C190,成品本月库存!$B:$J,2,0)</f>
        <v>扳手809S 头壳 世达款</v>
      </c>
      <c r="E190" s="118" t="str">
        <f>VLOOKUP($C190,成品本月库存!$B:$J,5,0)</f>
        <v>PCS</v>
      </c>
      <c r="F190" s="82">
        <v>707</v>
      </c>
      <c r="G190" s="121" t="s">
        <v>210</v>
      </c>
      <c r="H190" s="119">
        <f>VLOOKUP($C190,成品本月库存!$B:$J,9,0)</f>
        <v>0</v>
      </c>
      <c r="I190" s="70"/>
      <c r="J190" s="102"/>
    </row>
    <row r="191" ht="16.5" spans="1:10">
      <c r="A191" s="80"/>
      <c r="B191" s="120"/>
      <c r="C191" s="82" t="s">
        <v>211</v>
      </c>
      <c r="D191" s="118" t="str">
        <f>VLOOKUP($C191,成品本月库存!$B:$J,2,0)</f>
        <v>扳手818S 头壳 世达款</v>
      </c>
      <c r="E191" s="118" t="str">
        <f>VLOOKUP($C191,成品本月库存!$B:$J,5,0)</f>
        <v>PCS</v>
      </c>
      <c r="F191" s="70">
        <v>10</v>
      </c>
      <c r="G191" s="119"/>
      <c r="H191" s="119">
        <f>VLOOKUP($C191,成品本月库存!$B:$J,9,0)</f>
        <v>-718</v>
      </c>
      <c r="I191" s="70"/>
      <c r="J191" s="102"/>
    </row>
    <row r="192" ht="16.5" spans="1:10">
      <c r="A192" s="80"/>
      <c r="B192" s="120"/>
      <c r="C192" s="82" t="s">
        <v>212</v>
      </c>
      <c r="D192" s="118" t="str">
        <f>VLOOKUP($C192,成品本月库存!$B:$J,2,0)</f>
        <v>扳手818S 端盖 世达款</v>
      </c>
      <c r="E192" s="118" t="str">
        <f>VLOOKUP($C192,成品本月库存!$B:$J,5,0)</f>
        <v>PCS</v>
      </c>
      <c r="F192" s="70">
        <v>888</v>
      </c>
      <c r="G192" s="119"/>
      <c r="H192" s="119">
        <f>VLOOKUP($C192,成品本月库存!$B:$J,9,0)</f>
        <v>0</v>
      </c>
      <c r="I192" s="70"/>
      <c r="J192" s="102"/>
    </row>
    <row r="193" ht="16.5" spans="1:10">
      <c r="A193" s="80"/>
      <c r="B193" s="120"/>
      <c r="C193" s="82" t="s">
        <v>213</v>
      </c>
      <c r="D193" s="118" t="str">
        <f>VLOOKUP($C193,成品本月库存!$B:$J,2,0)</f>
        <v>扳手810S头壳 世达款</v>
      </c>
      <c r="E193" s="118" t="str">
        <f>VLOOKUP($C193,成品本月库存!$B:$J,5,0)</f>
        <v>PCS</v>
      </c>
      <c r="F193" s="70">
        <f>80+443</f>
        <v>523</v>
      </c>
      <c r="G193" s="121"/>
      <c r="H193" s="119">
        <f>VLOOKUP($C193,成品本月库存!$B:$J,9,0)</f>
        <v>529</v>
      </c>
      <c r="I193" s="70"/>
      <c r="J193" s="102"/>
    </row>
    <row r="194" ht="16.5" spans="1:10">
      <c r="A194" s="80"/>
      <c r="B194" s="120"/>
      <c r="C194" s="82" t="s">
        <v>213</v>
      </c>
      <c r="D194" s="118" t="s">
        <v>214</v>
      </c>
      <c r="E194" s="118"/>
      <c r="F194" s="82">
        <v>6</v>
      </c>
      <c r="G194" s="119" t="s">
        <v>18</v>
      </c>
      <c r="H194" s="119"/>
      <c r="I194" s="70"/>
      <c r="J194" s="102"/>
    </row>
    <row r="195" ht="16.5" spans="1:10">
      <c r="A195" s="80"/>
      <c r="B195" s="120"/>
      <c r="C195" s="82" t="s">
        <v>215</v>
      </c>
      <c r="D195" s="118" t="str">
        <f>VLOOKUP($C195,成品本月库存!$B:$J,2,0)</f>
        <v>起子机2108 头壳 世达款</v>
      </c>
      <c r="E195" s="118" t="str">
        <f>VLOOKUP($C195,成品本月库存!$B:$J,5,0)</f>
        <v>PCS</v>
      </c>
      <c r="F195" s="70">
        <v>365</v>
      </c>
      <c r="G195" s="119"/>
      <c r="H195" s="119">
        <f>VLOOKUP($C195,成品本月库存!$B:$J,9,0)</f>
        <v>365</v>
      </c>
      <c r="I195" s="70"/>
      <c r="J195" s="125"/>
    </row>
    <row r="196" ht="16.5" spans="1:10">
      <c r="A196" s="80"/>
      <c r="B196" s="120"/>
      <c r="C196" s="82" t="s">
        <v>216</v>
      </c>
      <c r="D196" s="118" t="str">
        <f>VLOOKUP($C196,成品本月库存!$B:$J,2,0)</f>
        <v>826A头壳（世达款）</v>
      </c>
      <c r="E196" s="118" t="str">
        <f>VLOOKUP($C196,成品本月库存!$B:$J,5,0)</f>
        <v>PCS</v>
      </c>
      <c r="F196" s="70">
        <v>9</v>
      </c>
      <c r="G196" s="119"/>
      <c r="H196" s="119">
        <f>VLOOKUP($C196,成品本月库存!$B:$J,9,0)</f>
        <v>9</v>
      </c>
      <c r="I196" s="70"/>
      <c r="J196" s="102"/>
    </row>
    <row r="197" ht="16.5" spans="1:10">
      <c r="A197" s="80"/>
      <c r="B197" s="120"/>
      <c r="C197" s="82" t="s">
        <v>217</v>
      </c>
      <c r="D197" s="118" t="str">
        <f>VLOOKUP($C197,成品本月库存!$B:$J,2,0)</f>
        <v>819/826头壳（世达款）</v>
      </c>
      <c r="E197" s="118" t="str">
        <f>VLOOKUP($C197,成品本月库存!$B:$J,5,0)</f>
        <v>PCS</v>
      </c>
      <c r="F197" s="70">
        <f>114+111</f>
        <v>225</v>
      </c>
      <c r="G197" s="119"/>
      <c r="H197" s="119">
        <f>VLOOKUP($C197,成品本月库存!$B:$J,9,0)</f>
        <v>226</v>
      </c>
      <c r="I197" s="70"/>
      <c r="J197" s="102"/>
    </row>
    <row r="198" ht="16.5" spans="1:10">
      <c r="A198" s="80"/>
      <c r="B198" s="120"/>
      <c r="C198" s="82" t="s">
        <v>217</v>
      </c>
      <c r="D198" s="118" t="s">
        <v>218</v>
      </c>
      <c r="E198" s="118"/>
      <c r="F198" s="82">
        <v>1</v>
      </c>
      <c r="G198" s="119" t="s">
        <v>18</v>
      </c>
      <c r="H198" s="119"/>
      <c r="I198" s="70"/>
      <c r="J198" s="102"/>
    </row>
    <row r="199" ht="16.5" spans="1:10">
      <c r="A199" s="80"/>
      <c r="B199" s="120"/>
      <c r="C199" s="82" t="s">
        <v>219</v>
      </c>
      <c r="D199" s="118" t="str">
        <f>VLOOKUP($C199,成品本月库存!$B:$J,2,0)</f>
        <v>819/826端盖（世达款）</v>
      </c>
      <c r="E199" s="118" t="str">
        <f>VLOOKUP($C199,成品本月库存!$B:$J,5,0)</f>
        <v>PCS</v>
      </c>
      <c r="F199" s="70">
        <v>409</v>
      </c>
      <c r="G199" s="119"/>
      <c r="H199" s="119">
        <f>VLOOKUP($C199,成品本月库存!$B:$J,9,0)</f>
        <v>409</v>
      </c>
      <c r="I199" s="70"/>
      <c r="J199" s="102"/>
    </row>
    <row r="200" ht="16.5" spans="1:10">
      <c r="A200" s="80"/>
      <c r="B200" s="120"/>
      <c r="C200" s="82" t="s">
        <v>220</v>
      </c>
      <c r="D200" s="118" t="str">
        <f>VLOOKUP($C200,成品本月库存!$B:$J,2,0)</f>
        <v>黄油枪HY01A齿轮箱</v>
      </c>
      <c r="E200" s="118" t="str">
        <f>VLOOKUP($C200,成品本月库存!$B:$J,5,0)</f>
        <v>PCS</v>
      </c>
      <c r="F200" s="70">
        <v>345</v>
      </c>
      <c r="G200" s="121"/>
      <c r="H200" s="119">
        <f>VLOOKUP($C200,成品本月库存!$B:$J,9,0)</f>
        <v>4</v>
      </c>
      <c r="I200" s="70"/>
      <c r="J200" s="102"/>
    </row>
    <row r="201" ht="16.5" spans="1:10">
      <c r="A201" s="80"/>
      <c r="B201" s="120"/>
      <c r="C201" s="82" t="s">
        <v>221</v>
      </c>
      <c r="D201" s="118" t="str">
        <f>VLOOKUP($C201,成品本月库存!$B:$J,2,0)</f>
        <v>左卡钳（黑色）</v>
      </c>
      <c r="E201" s="118" t="str">
        <f>VLOOKUP($C201,成品本月库存!$B:$J,5,0)</f>
        <v>PCS</v>
      </c>
      <c r="F201" s="70">
        <v>2206</v>
      </c>
      <c r="G201" s="121"/>
      <c r="H201" s="119">
        <f>VLOOKUP($C201,成品本月库存!$B:$J,9,0)</f>
        <v>2206</v>
      </c>
      <c r="I201" s="70"/>
      <c r="J201" s="102"/>
    </row>
    <row r="202" ht="16.5" spans="1:10">
      <c r="A202" s="80"/>
      <c r="B202" s="120"/>
      <c r="C202" s="82" t="s">
        <v>222</v>
      </c>
      <c r="D202" s="118" t="str">
        <f>VLOOKUP($C202,成品本月库存!$B:$J,2,0)</f>
        <v>右卡钳（黑色）</v>
      </c>
      <c r="E202" s="118" t="str">
        <f>VLOOKUP($C202,成品本月库存!$B:$J,5,0)</f>
        <v>PCS</v>
      </c>
      <c r="F202" s="70">
        <f>1626+166</f>
        <v>1792</v>
      </c>
      <c r="G202" s="119"/>
      <c r="H202" s="119">
        <f>VLOOKUP($C202,成品本月库存!$B:$J,9,0)</f>
        <v>1792</v>
      </c>
      <c r="I202" s="70"/>
      <c r="J202" s="102"/>
    </row>
    <row r="203" ht="16.5" spans="1:10">
      <c r="A203" s="80"/>
      <c r="B203" s="120"/>
      <c r="C203" s="82" t="s">
        <v>223</v>
      </c>
      <c r="D203" s="118" t="str">
        <f>VLOOKUP($C203,成品本月库存!$B:$J,2,0)</f>
        <v>819头壳（黑色）</v>
      </c>
      <c r="E203" s="118" t="str">
        <f>VLOOKUP($C203,成品本月库存!$B:$J,5,0)</f>
        <v>PCS</v>
      </c>
      <c r="F203" s="82">
        <v>2</v>
      </c>
      <c r="G203" s="119" t="s">
        <v>18</v>
      </c>
      <c r="H203" s="119">
        <f>VLOOKUP($C203,成品本月库存!$B:$J,9,0)</f>
        <v>2</v>
      </c>
      <c r="I203" s="70"/>
      <c r="J203" s="102"/>
    </row>
    <row r="204" ht="16.5" spans="1:10">
      <c r="A204" s="80"/>
      <c r="B204" s="120"/>
      <c r="C204" s="82" t="s">
        <v>224</v>
      </c>
      <c r="D204" s="118" t="str">
        <f>VLOOKUP($C204,成品本月库存!$B:$J,2,0)</f>
        <v>819端盖（黑色）</v>
      </c>
      <c r="E204" s="118" t="str">
        <f>VLOOKUP($C204,成品本月库存!$B:$J,5,0)</f>
        <v>PCS</v>
      </c>
      <c r="F204" s="70">
        <v>2502</v>
      </c>
      <c r="G204" s="119"/>
      <c r="H204" s="119">
        <f>VLOOKUP($C204,成品本月库存!$B:$J,9,0)</f>
        <v>2502</v>
      </c>
      <c r="I204" s="70"/>
      <c r="J204" s="102"/>
    </row>
    <row r="205" ht="16.5" spans="1:10">
      <c r="A205" s="80"/>
      <c r="B205" s="120"/>
      <c r="C205" s="82" t="s">
        <v>225</v>
      </c>
      <c r="D205" s="118" t="str">
        <f>VLOOKUP($C205,成品本月库存!$B:$J,2,0)</f>
        <v>起子机2108-L头壳含轴套 （世达款）</v>
      </c>
      <c r="E205" s="118" t="str">
        <f>VLOOKUP($C205,成品本月库存!$B:$J,5,0)</f>
        <v>PCS</v>
      </c>
      <c r="F205" s="70">
        <v>93</v>
      </c>
      <c r="G205" s="119"/>
      <c r="H205" s="119">
        <f>VLOOKUP($C205,成品本月库存!$B:$J,9,0)</f>
        <v>107</v>
      </c>
      <c r="I205" s="70"/>
      <c r="J205" s="102"/>
    </row>
    <row r="206" ht="16.5" spans="1:10">
      <c r="A206" s="80"/>
      <c r="B206" s="120"/>
      <c r="C206" s="82" t="s">
        <v>225</v>
      </c>
      <c r="D206" s="118" t="s">
        <v>226</v>
      </c>
      <c r="E206" s="118" t="str">
        <f>VLOOKUP($C206,成品本月库存!$B:$J,5,0)</f>
        <v>PCS</v>
      </c>
      <c r="F206" s="82">
        <v>18</v>
      </c>
      <c r="G206" s="119" t="s">
        <v>18</v>
      </c>
      <c r="H206" s="119"/>
      <c r="I206" s="70"/>
      <c r="J206" s="102"/>
    </row>
    <row r="207" ht="16.5" spans="1:10">
      <c r="A207" s="80"/>
      <c r="B207" s="120"/>
      <c r="C207" s="82" t="s">
        <v>227</v>
      </c>
      <c r="D207" s="118" t="str">
        <f>VLOOKUP($C207,成品本月库存!$B:$J,2,0)</f>
        <v>1A321W1M001-0A(EL-321W-GL04 铝壳）</v>
      </c>
      <c r="E207" s="118" t="str">
        <f>VLOOKUP($C207,成品本月库存!$B:$J,5,0)</f>
        <v>PCS</v>
      </c>
      <c r="F207" s="70">
        <v>47</v>
      </c>
      <c r="G207" s="119"/>
      <c r="H207" s="119">
        <f>VLOOKUP($C207,成品本月库存!$B:$J,9,0)</f>
        <v>378</v>
      </c>
      <c r="I207" s="70"/>
      <c r="J207" s="102"/>
    </row>
    <row r="208" ht="16.5" spans="1:10">
      <c r="A208" s="80"/>
      <c r="B208" s="120"/>
      <c r="C208" s="82" t="s">
        <v>227</v>
      </c>
      <c r="D208" s="118" t="s">
        <v>228</v>
      </c>
      <c r="E208" s="118" t="str">
        <f>VLOOKUP($C208,成品本月库存!$B:$J,5,0)</f>
        <v>PCS</v>
      </c>
      <c r="F208" s="82">
        <v>309</v>
      </c>
      <c r="G208" s="121" t="s">
        <v>229</v>
      </c>
      <c r="H208" s="119"/>
      <c r="I208" s="70"/>
      <c r="J208" s="102"/>
    </row>
    <row r="209" ht="16.5" spans="1:10">
      <c r="A209" s="80"/>
      <c r="B209" s="120"/>
      <c r="C209" s="82" t="s">
        <v>227</v>
      </c>
      <c r="D209" s="118" t="s">
        <v>228</v>
      </c>
      <c r="E209" s="118" t="str">
        <f>VLOOKUP($C209,成品本月库存!$B:$J,5,0)</f>
        <v>PCS</v>
      </c>
      <c r="F209" s="82">
        <v>22</v>
      </c>
      <c r="G209" s="121" t="s">
        <v>230</v>
      </c>
      <c r="H209" s="119"/>
      <c r="I209" s="70"/>
      <c r="J209" s="102"/>
    </row>
    <row r="210" ht="16.5" spans="1:10">
      <c r="A210" s="80"/>
      <c r="B210" s="120"/>
      <c r="C210" s="82" t="s">
        <v>231</v>
      </c>
      <c r="D210" s="118" t="str">
        <f>VLOOKUP($C210,成品本月库存!$B:$J,2,0)</f>
        <v>1A321W1N002-0A（EL-321W-GL0P铝散热片)</v>
      </c>
      <c r="E210" s="118" t="str">
        <f>VLOOKUP($C210,成品本月库存!$B:$J,5,0)</f>
        <v>PCS</v>
      </c>
      <c r="F210" s="70">
        <v>982</v>
      </c>
      <c r="G210" s="119"/>
      <c r="H210" s="119">
        <f>VLOOKUP($C210,成品本月库存!$B:$J,9,0)</f>
        <v>982</v>
      </c>
      <c r="I210" s="70"/>
      <c r="J210" s="102"/>
    </row>
    <row r="211" ht="16.5" spans="1:10">
      <c r="A211" s="80"/>
      <c r="B211" s="120"/>
      <c r="C211" s="10" t="s">
        <v>232</v>
      </c>
      <c r="D211" s="118" t="str">
        <f>VLOOKUP($C211,成品本月库存!$B:$J,2,0)</f>
        <v>1A321W1N001-0A（EL-321W-GL0L铝挤散热片)</v>
      </c>
      <c r="E211" s="118" t="str">
        <f>VLOOKUP($C211,成品本月库存!$B:$J,5,0)</f>
        <v>PCS</v>
      </c>
      <c r="F211" s="70">
        <v>173</v>
      </c>
      <c r="G211" s="121" t="s">
        <v>71</v>
      </c>
      <c r="H211" s="119">
        <f>VLOOKUP($C211,成品本月库存!$B:$J,9,0)</f>
        <v>173</v>
      </c>
      <c r="I211" s="70"/>
      <c r="J211" s="102"/>
    </row>
    <row r="212" ht="16.5" spans="1:10">
      <c r="A212" s="80"/>
      <c r="B212" s="120"/>
      <c r="C212" s="82" t="s">
        <v>233</v>
      </c>
      <c r="D212" s="118" t="str">
        <f>VLOOKUP($C212,成品本月库存!$B:$J,2,0)</f>
        <v>EL-104D-0003_M5金属转轴A</v>
      </c>
      <c r="E212" s="118" t="str">
        <f>VLOOKUP($C212,成品本月库存!$B:$J,5,0)</f>
        <v>PCS</v>
      </c>
      <c r="F212" s="70">
        <v>332</v>
      </c>
      <c r="G212" s="119"/>
      <c r="H212" s="119">
        <f>VLOOKUP($C212,成品本月库存!$B:$J,9,0)</f>
        <v>401</v>
      </c>
      <c r="I212" s="70"/>
      <c r="J212" s="102"/>
    </row>
    <row r="213" ht="16.5" spans="1:10">
      <c r="A213" s="80"/>
      <c r="B213" s="120"/>
      <c r="C213" s="82" t="s">
        <v>233</v>
      </c>
      <c r="D213" s="118" t="s">
        <v>234</v>
      </c>
      <c r="E213" s="118" t="str">
        <f>VLOOKUP($C213,成品本月库存!$B:$J,5,0)</f>
        <v>PCS</v>
      </c>
      <c r="F213" s="82">
        <v>69</v>
      </c>
      <c r="G213" s="119" t="s">
        <v>136</v>
      </c>
      <c r="H213" s="119"/>
      <c r="I213" s="70"/>
      <c r="J213" s="102"/>
    </row>
    <row r="214" ht="16.5" spans="1:10">
      <c r="A214" s="80"/>
      <c r="B214" s="120"/>
      <c r="C214" s="82" t="s">
        <v>235</v>
      </c>
      <c r="D214" s="118" t="str">
        <f>VLOOKUP($C214,成品本月库存!$B:$J,2,0)</f>
        <v>EL-104D-0003_M5金属转轴B</v>
      </c>
      <c r="E214" s="118" t="str">
        <f>VLOOKUP($C214,成品本月库存!$B:$J,5,0)</f>
        <v>PCS</v>
      </c>
      <c r="F214" s="70">
        <v>154</v>
      </c>
      <c r="G214" s="119"/>
      <c r="H214" s="119">
        <f>VLOOKUP($C214,成品本月库存!$B:$J,9,0)</f>
        <v>355</v>
      </c>
      <c r="I214" s="70"/>
      <c r="J214" s="102"/>
    </row>
    <row r="215" ht="16.5" spans="1:10">
      <c r="A215" s="80"/>
      <c r="B215" s="120"/>
      <c r="C215" s="82" t="s">
        <v>235</v>
      </c>
      <c r="D215" s="118" t="s">
        <v>236</v>
      </c>
      <c r="E215" s="118" t="str">
        <f>VLOOKUP($C215,成品本月库存!$B:$J,5,0)</f>
        <v>PCS</v>
      </c>
      <c r="F215" s="82">
        <v>201</v>
      </c>
      <c r="G215" s="119" t="s">
        <v>136</v>
      </c>
      <c r="H215" s="119"/>
      <c r="I215" s="70"/>
      <c r="J215" s="102"/>
    </row>
    <row r="216" ht="16.5" spans="1:10">
      <c r="A216" s="80"/>
      <c r="B216" s="120"/>
      <c r="C216" s="82" t="s">
        <v>237</v>
      </c>
      <c r="D216" s="118" t="str">
        <f>VLOOKUP($C216,成品本月库存!$B:$J,2,0)</f>
        <v>01020前挡板</v>
      </c>
      <c r="E216" s="118" t="str">
        <f>VLOOKUP($C216,成品本月库存!$B:$J,5,0)</f>
        <v>PCS</v>
      </c>
      <c r="F216" s="70">
        <v>3592</v>
      </c>
      <c r="G216" s="119"/>
      <c r="H216" s="119">
        <f>VLOOKUP($C216,成品本月库存!$B:$J,9,0)</f>
        <v>3592</v>
      </c>
      <c r="I216" s="70"/>
      <c r="J216" s="102"/>
    </row>
    <row r="217" ht="16.5" spans="1:10">
      <c r="A217" s="80"/>
      <c r="B217" s="120"/>
      <c r="C217" s="82" t="s">
        <v>238</v>
      </c>
      <c r="D217" s="118" t="str">
        <f>VLOOKUP($C217,成品本月库存!$B:$J,2,0)</f>
        <v>01050前挡板</v>
      </c>
      <c r="E217" s="118" t="str">
        <f>VLOOKUP($C217,成品本月库存!$B:$J,5,0)</f>
        <v>PCS</v>
      </c>
      <c r="F217" s="70">
        <v>10347</v>
      </c>
      <c r="G217" s="119"/>
      <c r="H217" s="119">
        <f>VLOOKUP($C217,成品本月库存!$B:$J,9,0)</f>
        <v>10347</v>
      </c>
      <c r="I217" s="70"/>
      <c r="J217" s="102"/>
    </row>
    <row r="218" ht="16.5" spans="1:10">
      <c r="A218" s="80"/>
      <c r="B218" s="120"/>
      <c r="C218" s="82" t="s">
        <v>239</v>
      </c>
      <c r="D218" s="118" t="str">
        <f>VLOOKUP($C218,成品本月库存!$B:$J,2,0)</f>
        <v>PL9-12580-10-0A前挡板</v>
      </c>
      <c r="E218" s="118" t="str">
        <f>VLOOKUP($C218,成品本月库存!$B:$J,5,0)</f>
        <v>PCS</v>
      </c>
      <c r="F218" s="70">
        <v>15672</v>
      </c>
      <c r="G218" s="119"/>
      <c r="H218" s="119">
        <f>VLOOKUP($C218,成品本月库存!$B:$J,9,0)</f>
        <v>15672</v>
      </c>
      <c r="I218" s="70"/>
      <c r="J218" s="102"/>
    </row>
    <row r="219" ht="16.5" spans="1:10">
      <c r="A219" s="80"/>
      <c r="B219" s="120"/>
      <c r="C219" s="82" t="s">
        <v>240</v>
      </c>
      <c r="D219" s="118" t="str">
        <f>VLOOKUP($C219,成品本月库存!$B:$J,2,0)</f>
        <v>双目支架</v>
      </c>
      <c r="E219" s="118" t="str">
        <f>VLOOKUP($C219,成品本月库存!$B:$J,5,0)</f>
        <v>PCS</v>
      </c>
      <c r="F219" s="70">
        <v>15956</v>
      </c>
      <c r="G219" s="119"/>
      <c r="H219" s="119">
        <f>VLOOKUP($C219,成品本月库存!$B:$J,9,0)</f>
        <v>16091</v>
      </c>
      <c r="I219" s="70"/>
      <c r="J219" s="102"/>
    </row>
    <row r="220" ht="16.5" spans="1:10">
      <c r="A220" s="80"/>
      <c r="B220" s="120"/>
      <c r="C220" s="82" t="s">
        <v>240</v>
      </c>
      <c r="D220" s="118" t="s">
        <v>241</v>
      </c>
      <c r="E220" s="118"/>
      <c r="F220" s="82">
        <v>87</v>
      </c>
      <c r="G220" s="121" t="s">
        <v>242</v>
      </c>
      <c r="H220" s="119"/>
      <c r="I220" s="70"/>
      <c r="J220" s="102"/>
    </row>
    <row r="221" ht="16.5" spans="1:10">
      <c r="A221" s="80"/>
      <c r="B221" s="120"/>
      <c r="C221" s="82" t="s">
        <v>240</v>
      </c>
      <c r="D221" s="118" t="s">
        <v>241</v>
      </c>
      <c r="E221" s="118"/>
      <c r="F221" s="82">
        <v>83</v>
      </c>
      <c r="G221" s="121" t="s">
        <v>45</v>
      </c>
      <c r="H221" s="119"/>
      <c r="I221" s="70"/>
      <c r="J221" s="102"/>
    </row>
    <row r="222" ht="16.5" spans="1:10">
      <c r="A222" s="80"/>
      <c r="B222" s="120"/>
      <c r="C222" s="82" t="s">
        <v>243</v>
      </c>
      <c r="D222" s="118" t="str">
        <f>VLOOKUP($C222,成品本月库存!$B:$J,2,0)</f>
        <v>超频主机上盖-1个单芯-PL9-01100-00-0A</v>
      </c>
      <c r="E222" s="118" t="str">
        <f>VLOOKUP($C222,成品本月库存!$B:$J,5,0)</f>
        <v>PCS</v>
      </c>
      <c r="F222" s="82">
        <v>870</v>
      </c>
      <c r="G222" s="119"/>
      <c r="H222" s="119">
        <f>VLOOKUP($C222,成品本月库存!$B:$J,9,0)</f>
        <v>870</v>
      </c>
      <c r="I222" s="70"/>
      <c r="J222" s="102"/>
    </row>
    <row r="223" ht="16.5" spans="1:10">
      <c r="A223" s="80"/>
      <c r="B223" s="120"/>
      <c r="C223" s="82" t="s">
        <v>244</v>
      </c>
      <c r="D223" s="118" t="str">
        <f>VLOOKUP($C223,成品本月库存!$B:$J,2,0)</f>
        <v>超频主机上盖-2个单芯-PL9-01100-10-0A</v>
      </c>
      <c r="E223" s="118" t="str">
        <f>VLOOKUP($C223,成品本月库存!$B:$J,5,0)</f>
        <v>PCS</v>
      </c>
      <c r="F223" s="82">
        <v>2411</v>
      </c>
      <c r="G223" s="119"/>
      <c r="H223" s="119">
        <f>VLOOKUP($C223,成品本月库存!$B:$J,9,0)</f>
        <v>2411</v>
      </c>
      <c r="I223" s="70"/>
      <c r="J223" s="102"/>
    </row>
    <row r="224" ht="16.5" spans="1:10">
      <c r="A224" s="80"/>
      <c r="B224" s="120"/>
      <c r="C224" s="82" t="s">
        <v>245</v>
      </c>
      <c r="D224" s="118" t="str">
        <f>VLOOKUP($C224,成品本月库存!$B:$J,2,0)</f>
        <v>PL9-01160-30-0A(双目支架）</v>
      </c>
      <c r="E224" s="118" t="str">
        <f>VLOOKUP($C224,成品本月库存!$B:$J,5,0)</f>
        <v>PCS</v>
      </c>
      <c r="F224" s="82">
        <v>3</v>
      </c>
      <c r="G224" s="119"/>
      <c r="H224" s="119">
        <f>VLOOKUP($C224,成品本月库存!$B:$J,9,0)</f>
        <v>2069</v>
      </c>
      <c r="I224" s="70"/>
      <c r="J224" s="102"/>
    </row>
    <row r="225" ht="16.5" spans="1:10">
      <c r="A225" s="80"/>
      <c r="B225" s="120"/>
      <c r="C225" s="82" t="s">
        <v>246</v>
      </c>
      <c r="D225" s="118" t="str">
        <f>VLOOKUP($C225,成品本月库存!$B:$J,2,0)</f>
        <v>M23信号母插(短）</v>
      </c>
      <c r="E225" s="118" t="str">
        <f>VLOOKUP($C225,成品本月库存!$B:$J,5,0)</f>
        <v>PCS</v>
      </c>
      <c r="F225" s="82">
        <v>970</v>
      </c>
      <c r="G225" s="119"/>
      <c r="H225" s="119">
        <f>VLOOKUP($C225,成品本月库存!$B:$J,9,0)</f>
        <v>970</v>
      </c>
      <c r="I225" s="70"/>
      <c r="J225" s="102"/>
    </row>
    <row r="226" ht="16.5" spans="1:10">
      <c r="A226" s="80"/>
      <c r="B226" s="120"/>
      <c r="C226" s="82" t="s">
        <v>247</v>
      </c>
      <c r="D226" s="118" t="str">
        <f>VLOOKUP($C226,成品本月库存!$B:$J,2,0)</f>
        <v>M23信号公插（长）（公插头）</v>
      </c>
      <c r="E226" s="118" t="str">
        <f>VLOOKUP($C226,成品本月库存!$B:$J,5,0)</f>
        <v>PCS</v>
      </c>
      <c r="F226" s="82">
        <v>5075</v>
      </c>
      <c r="G226" s="119"/>
      <c r="H226" s="119">
        <f>VLOOKUP($C226,成品本月库存!$B:$J,9,0)</f>
        <v>5075</v>
      </c>
      <c r="I226" s="70"/>
      <c r="J226" s="102"/>
    </row>
    <row r="227" ht="16.5" spans="1:10">
      <c r="A227" s="80"/>
      <c r="B227" s="120"/>
      <c r="C227" s="93" t="s">
        <v>248</v>
      </c>
      <c r="D227" s="118" t="str">
        <f>VLOOKUP($C227,成品本月库存!$B:$J,2,0)</f>
        <v>电子锁铝外壳上壳</v>
      </c>
      <c r="E227" s="118" t="str">
        <f>VLOOKUP($C227,成品本月库存!$B:$J,5,0)</f>
        <v>PCS</v>
      </c>
      <c r="F227" s="70">
        <v>163</v>
      </c>
      <c r="G227" s="119"/>
      <c r="H227" s="119">
        <f>VLOOKUP($C227,成品本月库存!$B:$J,9,0)</f>
        <v>163</v>
      </c>
      <c r="I227" s="70"/>
      <c r="J227" s="102"/>
    </row>
    <row r="228" ht="16.5" spans="1:10">
      <c r="A228" s="80"/>
      <c r="B228" s="120"/>
      <c r="C228" s="93" t="s">
        <v>249</v>
      </c>
      <c r="D228" s="118" t="str">
        <f>VLOOKUP($C228,成品本月库存!$B:$J,2,0)</f>
        <v>电子锁铝外壳下壳</v>
      </c>
      <c r="E228" s="118" t="str">
        <f>VLOOKUP($C228,成品本月库存!$B:$J,5,0)</f>
        <v>PCS</v>
      </c>
      <c r="F228" s="70">
        <v>877</v>
      </c>
      <c r="G228" s="119"/>
      <c r="H228" s="119">
        <f>VLOOKUP($C228,成品本月库存!$B:$J,9,0)</f>
        <v>877</v>
      </c>
      <c r="I228" s="70"/>
      <c r="J228" s="102"/>
    </row>
    <row r="229" ht="16.5" spans="1:10">
      <c r="A229" s="80"/>
      <c r="B229" s="120"/>
      <c r="C229" s="93" t="s">
        <v>250</v>
      </c>
      <c r="D229" s="118" t="str">
        <f>VLOOKUP($C229,成品本月库存!$B:$J,2,0)</f>
        <v>小黄车电池提手</v>
      </c>
      <c r="E229" s="118" t="str">
        <f>VLOOKUP($C229,成品本月库存!$B:$J,5,0)</f>
        <v>PCS</v>
      </c>
      <c r="F229" s="122">
        <f>63-63</f>
        <v>0</v>
      </c>
      <c r="G229" s="119"/>
      <c r="H229" s="119">
        <f>VLOOKUP($C229,成品本月库存!$B:$J,9,0)</f>
        <v>0</v>
      </c>
      <c r="I229" s="70"/>
      <c r="J229" s="102"/>
    </row>
    <row r="230" ht="16.5" spans="1:10">
      <c r="A230" s="80"/>
      <c r="B230" s="120"/>
      <c r="C230" s="93" t="s">
        <v>251</v>
      </c>
      <c r="D230" s="118" t="str">
        <f>VLOOKUP($C230,成品本月库存!$B:$J,2,0)</f>
        <v>挡泥板内衬</v>
      </c>
      <c r="E230" s="118" t="str">
        <f>VLOOKUP($C230,成品本月库存!$B:$J,5,0)</f>
        <v>PCS</v>
      </c>
      <c r="F230" s="122">
        <v>102</v>
      </c>
      <c r="G230" s="119"/>
      <c r="H230" s="119">
        <f>VLOOKUP($C230,成品本月库存!$B:$J,9,0)</f>
        <v>102</v>
      </c>
      <c r="I230" s="70"/>
      <c r="J230" s="102"/>
    </row>
    <row r="231" ht="16.5" spans="1:10">
      <c r="A231" s="80"/>
      <c r="B231" s="120"/>
      <c r="C231" s="93" t="s">
        <v>252</v>
      </c>
      <c r="D231" s="118" t="str">
        <f>VLOOKUP($C231,成品本月库存!$B:$J,2,0)</f>
        <v> 八百万-双目Holder(MPL9-01000-00-0A)上盖</v>
      </c>
      <c r="E231" s="118" t="str">
        <f>VLOOKUP($C231,成品本月库存!$B:$J,5,0)</f>
        <v>PCS</v>
      </c>
      <c r="F231" s="70">
        <f>407+134</f>
        <v>541</v>
      </c>
      <c r="G231" s="119"/>
      <c r="H231" s="119">
        <f>VLOOKUP($C231,成品本月库存!$B:$J,9,0)</f>
        <v>541</v>
      </c>
      <c r="I231" s="70"/>
      <c r="J231" s="102"/>
    </row>
    <row r="232" ht="16.5" spans="1:10">
      <c r="A232" s="80"/>
      <c r="B232" s="120"/>
      <c r="C232" s="93" t="s">
        <v>253</v>
      </c>
      <c r="D232" s="118" t="str">
        <f>VLOOKUP($C232,成品本月库存!$B:$J,2,0)</f>
        <v> 八百万-双目Cover(MPL9-01000-10-0A)下盖</v>
      </c>
      <c r="E232" s="118" t="str">
        <f>VLOOKUP($C232,成品本月库存!$B:$J,5,0)</f>
        <v>PCS</v>
      </c>
      <c r="F232" s="70">
        <f>279+199</f>
        <v>478</v>
      </c>
      <c r="G232" s="119"/>
      <c r="H232" s="119">
        <f>VLOOKUP($C232,成品本月库存!$B:$J,9,0)</f>
        <v>478</v>
      </c>
      <c r="I232" s="70"/>
      <c r="J232" s="102"/>
    </row>
    <row r="233" ht="16.5" spans="1:10">
      <c r="A233" s="80"/>
      <c r="B233" s="120"/>
      <c r="C233" s="82" t="s">
        <v>254</v>
      </c>
      <c r="D233" s="118" t="str">
        <f>VLOOKUP($C233,成品本月库存!$B:$J,2,0)</f>
        <v>E1S下盖</v>
      </c>
      <c r="E233" s="118" t="str">
        <f>VLOOKUP($C233,成品本月库存!$B:$J,5,0)</f>
        <v>PCS</v>
      </c>
      <c r="F233" s="70">
        <v>1470</v>
      </c>
      <c r="G233" s="119"/>
      <c r="H233" s="119">
        <f>VLOOKUP($C233,成品本月库存!$B:$J,9,0)</f>
        <v>1470</v>
      </c>
      <c r="I233" s="70"/>
      <c r="J233" s="102"/>
    </row>
    <row r="234" ht="16.5" spans="1:10">
      <c r="A234" s="80"/>
      <c r="B234" s="120"/>
      <c r="C234" s="82" t="s">
        <v>255</v>
      </c>
      <c r="D234" s="118" t="str">
        <f>VLOOKUP($C234,成品本月库存!$B:$J,2,0)</f>
        <v>E1S下盖(镭雕）</v>
      </c>
      <c r="E234" s="118" t="str">
        <f>VLOOKUP($C234,成品本月库存!$B:$J,5,0)</f>
        <v>PCS</v>
      </c>
      <c r="F234" s="70">
        <v>150</v>
      </c>
      <c r="G234" s="119"/>
      <c r="H234" s="119">
        <f>VLOOKUP($C234,成品本月库存!$B:$J,9,0)</f>
        <v>150</v>
      </c>
      <c r="I234" s="70"/>
      <c r="J234" s="102"/>
    </row>
    <row r="235" ht="16.5" spans="1:10">
      <c r="A235" s="80"/>
      <c r="B235" s="120"/>
      <c r="C235" s="82" t="s">
        <v>256</v>
      </c>
      <c r="D235" s="118" t="str">
        <f>VLOOKUP($C235,成品本月库存!$B:$J,2,0)</f>
        <v>手持屏T3（硅胶按键）</v>
      </c>
      <c r="E235" s="118" t="str">
        <f>VLOOKUP($C235,成品本月库存!$B:$J,5,0)</f>
        <v>PCS</v>
      </c>
      <c r="F235" s="70">
        <v>4043</v>
      </c>
      <c r="G235" s="119"/>
      <c r="H235" s="119">
        <f>VLOOKUP($C235,成品本月库存!$B:$J,9,0)</f>
        <v>4043</v>
      </c>
      <c r="I235" s="70"/>
      <c r="J235" s="102"/>
    </row>
    <row r="236" ht="16.5" spans="1:10">
      <c r="A236" s="80"/>
      <c r="B236" s="120"/>
      <c r="C236" s="82" t="s">
        <v>257</v>
      </c>
      <c r="D236" s="118" t="str">
        <f>VLOOKUP($C236,成品本月库存!$B:$J,2,0)</f>
        <v>锁-1</v>
      </c>
      <c r="E236" s="118" t="str">
        <f>VLOOKUP($C236,成品本月库存!$B:$J,5,0)</f>
        <v>PCS</v>
      </c>
      <c r="F236" s="70">
        <v>2323</v>
      </c>
      <c r="G236" s="119"/>
      <c r="H236" s="119">
        <f>VLOOKUP($C236,成品本月库存!$B:$J,9,0)</f>
        <v>2323</v>
      </c>
      <c r="I236" s="70"/>
      <c r="J236" s="102"/>
    </row>
    <row r="237" ht="16.5" spans="1:10">
      <c r="A237" s="80"/>
      <c r="B237" s="120"/>
      <c r="C237" s="82" t="s">
        <v>258</v>
      </c>
      <c r="D237" s="118" t="str">
        <f>VLOOKUP($C237,成品本月库存!$B:$J,2,0)</f>
        <v>锁-5</v>
      </c>
      <c r="E237" s="118" t="str">
        <f>VLOOKUP($C237,成品本月库存!$B:$J,5,0)</f>
        <v>PCS</v>
      </c>
      <c r="F237" s="70">
        <v>2302</v>
      </c>
      <c r="G237" s="119"/>
      <c r="H237" s="119">
        <f>VLOOKUP($C237,成品本月库存!$B:$J,9,0)</f>
        <v>2302</v>
      </c>
      <c r="I237" s="70"/>
      <c r="J237" s="102"/>
    </row>
    <row r="238" ht="16.5" spans="1:10">
      <c r="A238" s="80"/>
      <c r="B238" s="120"/>
      <c r="C238" s="82" t="s">
        <v>259</v>
      </c>
      <c r="D238" s="118" t="str">
        <f>VLOOKUP($C238,成品本月库存!$B:$J,2,0)</f>
        <v>钥匙</v>
      </c>
      <c r="E238" s="118" t="str">
        <f>VLOOKUP($C238,成品本月库存!$B:$J,5,0)</f>
        <v>PCS</v>
      </c>
      <c r="F238" s="70">
        <v>2218</v>
      </c>
      <c r="G238" s="119"/>
      <c r="H238" s="119">
        <f>VLOOKUP($C238,成品本月库存!$B:$J,9,0)</f>
        <v>2218</v>
      </c>
      <c r="I238" s="70"/>
      <c r="J238" s="102"/>
    </row>
    <row r="239" ht="16.5" spans="1:10">
      <c r="A239" s="80"/>
      <c r="B239" s="120"/>
      <c r="C239" s="82" t="s">
        <v>260</v>
      </c>
      <c r="D239" s="118" t="str">
        <f>VLOOKUP($C239,成品本月库存!$B:$J,2,0)</f>
        <v>锁-2</v>
      </c>
      <c r="E239" s="118" t="str">
        <f>VLOOKUP($C239,成品本月库存!$B:$J,5,0)</f>
        <v>PCS</v>
      </c>
      <c r="F239" s="70">
        <v>428</v>
      </c>
      <c r="G239" s="119"/>
      <c r="H239" s="119">
        <f>VLOOKUP($C239,成品本月库存!$B:$J,9,0)</f>
        <v>428</v>
      </c>
      <c r="I239" s="70"/>
      <c r="J239" s="102"/>
    </row>
    <row r="240" ht="16.5" spans="1:10">
      <c r="A240" s="80"/>
      <c r="B240" s="120"/>
      <c r="C240" s="82" t="s">
        <v>261</v>
      </c>
      <c r="D240" s="118" t="str">
        <f>VLOOKUP($C240,成品本月库存!$B:$J,2,0)</f>
        <v>小米功放散热器</v>
      </c>
      <c r="E240" s="118" t="str">
        <f>VLOOKUP($C240,成品本月库存!$B:$J,5,0)</f>
        <v>PCS</v>
      </c>
      <c r="F240" s="70">
        <f>8789+25+3</f>
        <v>8817</v>
      </c>
      <c r="G240" s="119"/>
      <c r="H240" s="119">
        <f>VLOOKUP($C240,成品本月库存!$B:$J,9,0)</f>
        <v>8817</v>
      </c>
      <c r="I240" s="70"/>
      <c r="J240" s="102"/>
    </row>
    <row r="241" ht="16.5" spans="1:10">
      <c r="A241" s="80"/>
      <c r="B241" s="120"/>
      <c r="C241" s="82" t="s">
        <v>262</v>
      </c>
      <c r="D241" s="118" t="str">
        <f>VLOOKUP($C241,成品本月库存!$B:$J,2,0)</f>
        <v>CS11-A5功放散热器上盖</v>
      </c>
      <c r="E241" s="118" t="str">
        <f>VLOOKUP($C241,成品本月库存!$B:$J,5,0)</f>
        <v>PCS</v>
      </c>
      <c r="F241" s="70">
        <f>2355+216</f>
        <v>2571</v>
      </c>
      <c r="G241" s="119"/>
      <c r="H241" s="119">
        <f>VLOOKUP($C241,成品本月库存!$B:$J,9,0)</f>
        <v>2571</v>
      </c>
      <c r="I241" s="70"/>
      <c r="J241" s="102"/>
    </row>
    <row r="242" ht="16.5" spans="1:10">
      <c r="A242" s="80"/>
      <c r="B242" s="120"/>
      <c r="C242" s="82" t="s">
        <v>263</v>
      </c>
      <c r="D242" s="118" t="str">
        <f>VLOOKUP($C242,成品本月库存!$B:$J,2,0)</f>
        <v>VF9功放散热器(VF8)</v>
      </c>
      <c r="E242" s="118" t="str">
        <f>VLOOKUP($C242,成品本月库存!$B:$J,5,0)</f>
        <v>PCS</v>
      </c>
      <c r="F242" s="70">
        <f>21+48</f>
        <v>69</v>
      </c>
      <c r="G242" s="119"/>
      <c r="H242" s="119">
        <f>VLOOKUP($C242,成品本月库存!$B:$J,9,0)</f>
        <v>69</v>
      </c>
      <c r="I242" s="70"/>
      <c r="J242" s="102"/>
    </row>
    <row r="243" ht="16.5" spans="1:10">
      <c r="A243" s="80"/>
      <c r="B243" s="120"/>
      <c r="C243" s="82" t="s">
        <v>264</v>
      </c>
      <c r="D243" s="118" t="str">
        <f>VLOOKUP($C243,成品本月库存!$B:$J,2,0)</f>
        <v>SD04指示灯铝合金支架（LED）</v>
      </c>
      <c r="E243" s="118" t="str">
        <f>VLOOKUP($C243,成品本月库存!$B:$J,5,0)</f>
        <v>PCS</v>
      </c>
      <c r="F243" s="70">
        <v>90</v>
      </c>
      <c r="G243" s="119"/>
      <c r="H243" s="119">
        <f>VLOOKUP($C243,成品本月库存!$B:$J,9,0)</f>
        <v>90</v>
      </c>
      <c r="I243" s="70"/>
      <c r="J243" s="102"/>
    </row>
    <row r="244" ht="16.5" spans="1:10">
      <c r="A244" s="80"/>
      <c r="B244" s="120"/>
      <c r="C244" s="82" t="s">
        <v>265</v>
      </c>
      <c r="D244" s="118" t="str">
        <f>VLOOKUP($C244,成品本月库存!$B:$J,2,0)</f>
        <v>F3_60W_POE模组中框支架_压铸(POE)</v>
      </c>
      <c r="E244" s="118" t="str">
        <f>VLOOKUP($C244,成品本月库存!$B:$J,5,0)</f>
        <v>PCS</v>
      </c>
      <c r="F244" s="70">
        <v>146</v>
      </c>
      <c r="G244" s="119"/>
      <c r="H244" s="119">
        <f>VLOOKUP($C244,成品本月库存!$B:$J,9,0)</f>
        <v>146</v>
      </c>
      <c r="I244" s="70"/>
      <c r="J244" s="102"/>
    </row>
    <row r="245" ht="16.5" spans="1:10">
      <c r="A245" s="80"/>
      <c r="B245" s="120"/>
      <c r="C245" s="82" t="s">
        <v>266</v>
      </c>
      <c r="D245" s="118" t="str">
        <f>VLOOKUP($C245,成品本月库存!$B:$J,2,0)</f>
        <v>SD04三合一铝合金支架(3T1)</v>
      </c>
      <c r="E245" s="118" t="str">
        <f>VLOOKUP($C245,成品本月库存!$B:$J,5,0)</f>
        <v>PCS</v>
      </c>
      <c r="F245" s="70">
        <f>25+24</f>
        <v>49</v>
      </c>
      <c r="G245" s="119"/>
      <c r="H245" s="119">
        <f>VLOOKUP($C245,成品本月库存!$B:$J,9,0)</f>
        <v>49</v>
      </c>
      <c r="I245" s="70"/>
      <c r="J245" s="102"/>
    </row>
    <row r="246" ht="16.5" spans="1:10">
      <c r="A246" s="80"/>
      <c r="B246" s="120"/>
      <c r="C246" s="82" t="s">
        <v>267</v>
      </c>
      <c r="D246" s="118" t="str">
        <f>VLOOKUP($C246,成品本月库存!$B:$J,2,0)</f>
        <v>D3mini80旋转摄像头</v>
      </c>
      <c r="E246" s="118" t="str">
        <f>VLOOKUP($C246,成品本月库存!$B:$J,5,0)</f>
        <v>PCS</v>
      </c>
      <c r="F246" s="70">
        <v>769</v>
      </c>
      <c r="G246" s="119"/>
      <c r="H246" s="119">
        <f>VLOOKUP($C246,成品本月库存!$B:$J,9,0)</f>
        <v>769</v>
      </c>
      <c r="I246" s="70"/>
      <c r="J246" s="102"/>
    </row>
    <row r="247" ht="16.5" spans="1:10">
      <c r="A247" s="80"/>
      <c r="B247" s="120"/>
      <c r="C247" s="82" t="s">
        <v>268</v>
      </c>
      <c r="D247" s="118" t="str">
        <f>VLOOKUP($C247,成品本月库存!$B:$J,2,0)</f>
        <v>SP03_台式转接背夹组件</v>
      </c>
      <c r="E247" s="118" t="str">
        <f>VLOOKUP($C247,成品本月库存!$B:$J,5,0)</f>
        <v>PCS</v>
      </c>
      <c r="F247" s="70">
        <f>32+2257+2315</f>
        <v>4604</v>
      </c>
      <c r="G247" s="119"/>
      <c r="H247" s="119">
        <f>VLOOKUP($C247,成品本月库存!$B:$J,9,0)</f>
        <v>4604</v>
      </c>
      <c r="I247" s="70"/>
      <c r="J247" s="102"/>
    </row>
    <row r="248" ht="16.5" spans="1:10">
      <c r="A248" s="80"/>
      <c r="B248" s="120"/>
      <c r="C248" s="93" t="s">
        <v>269</v>
      </c>
      <c r="D248" s="118" t="str">
        <f>VLOOKUP($C248,成品本月库存!$B:$J,2,0)</f>
        <v>电机外壳</v>
      </c>
      <c r="E248" s="118" t="str">
        <f>VLOOKUP($C248,成品本月库存!$B:$J,5,0)</f>
        <v>PCS</v>
      </c>
      <c r="F248" s="70">
        <f>1240+379</f>
        <v>1619</v>
      </c>
      <c r="G248" s="119"/>
      <c r="H248" s="119">
        <f>VLOOKUP($C248,成品本月库存!$B:$J,9,0)</f>
        <v>1619</v>
      </c>
      <c r="I248" s="70"/>
      <c r="J248" s="102"/>
    </row>
    <row r="249" ht="16.5" spans="1:10">
      <c r="A249" s="80"/>
      <c r="B249" s="120"/>
      <c r="C249" s="93" t="s">
        <v>270</v>
      </c>
      <c r="D249" s="118" t="str">
        <f>VLOOKUP($C249,成品本月库存!$B:$J,2,0)</f>
        <v>三孔连杆</v>
      </c>
      <c r="E249" s="118" t="str">
        <f>VLOOKUP($C249,成品本月库存!$B:$J,5,0)</f>
        <v>PCS</v>
      </c>
      <c r="F249" s="70">
        <v>23</v>
      </c>
      <c r="G249" s="119"/>
      <c r="H249" s="119">
        <f>VLOOKUP($C249,成品本月库存!$B:$J,9,0)</f>
        <v>23</v>
      </c>
      <c r="I249" s="70"/>
      <c r="J249" s="102"/>
    </row>
    <row r="250" ht="16.5" spans="1:10">
      <c r="A250" s="80"/>
      <c r="B250" s="120"/>
      <c r="C250" s="93" t="s">
        <v>271</v>
      </c>
      <c r="D250" s="118" t="str">
        <f>VLOOKUP($C250,成品本月库存!$B:$J,2,0)</f>
        <v>三孔压盖</v>
      </c>
      <c r="E250" s="118" t="str">
        <f>VLOOKUP($C250,成品本月库存!$B:$J,5,0)</f>
        <v>PCS</v>
      </c>
      <c r="F250" s="70">
        <v>2780</v>
      </c>
      <c r="G250" s="119"/>
      <c r="H250" s="119">
        <f>VLOOKUP($C250,成品本月库存!$B:$J,9,0)</f>
        <v>2780</v>
      </c>
      <c r="I250" s="70"/>
      <c r="J250" s="102"/>
    </row>
    <row r="251" ht="16.5" spans="1:10">
      <c r="A251" s="80"/>
      <c r="B251" s="120"/>
      <c r="C251" s="93" t="s">
        <v>272</v>
      </c>
      <c r="D251" s="118" t="str">
        <f>VLOOKUP($C251,成品本月库存!$B:$J,2,0)</f>
        <v>缓起控制板外壳</v>
      </c>
      <c r="E251" s="118" t="str">
        <f>VLOOKUP($C251,成品本月库存!$B:$J,5,0)</f>
        <v>PCS</v>
      </c>
      <c r="F251" s="70">
        <v>1727</v>
      </c>
      <c r="G251" s="119"/>
      <c r="H251" s="119">
        <f>VLOOKUP($C251,成品本月库存!$B:$J,9,0)</f>
        <v>1727</v>
      </c>
      <c r="I251" s="70"/>
      <c r="J251" s="102"/>
    </row>
    <row r="252" ht="16.5" spans="1:10">
      <c r="A252" s="80"/>
      <c r="B252" s="120"/>
      <c r="C252" s="82" t="s">
        <v>273</v>
      </c>
      <c r="D252" s="118" t="str">
        <f>VLOOKUP($C252,成品本月库存!$B:$J,2,0)</f>
        <v>轴承主体支架</v>
      </c>
      <c r="E252" s="118" t="str">
        <f>VLOOKUP($C252,成品本月库存!$B:$J,5,0)</f>
        <v>PCS</v>
      </c>
      <c r="F252" s="70">
        <v>181</v>
      </c>
      <c r="G252" s="119"/>
      <c r="H252" s="119">
        <f>VLOOKUP($C252,成品本月库存!$B:$J,9,0)</f>
        <v>181</v>
      </c>
      <c r="I252" s="70"/>
      <c r="J252" s="102"/>
    </row>
    <row r="253" ht="16.5" spans="1:10">
      <c r="A253" s="80"/>
      <c r="B253" s="120"/>
      <c r="C253" s="10" t="s">
        <v>274</v>
      </c>
      <c r="D253" s="118" t="str">
        <f>VLOOKUP($C253,成品本月库存!$B:$J,2,0)</f>
        <v>W2805-850N端盖</v>
      </c>
      <c r="E253" s="118" t="str">
        <f>VLOOKUP($C253,成品本月库存!$B:$J,5,0)</f>
        <v>PCS</v>
      </c>
      <c r="F253" s="70">
        <v>551</v>
      </c>
      <c r="G253" s="119"/>
      <c r="H253" s="119">
        <f>VLOOKUP($C253,成品本月库存!$B:$J,9,0)</f>
        <v>551</v>
      </c>
      <c r="I253" s="70"/>
      <c r="J253" s="102"/>
    </row>
    <row r="254" ht="16.5" spans="1:10">
      <c r="A254" s="80"/>
      <c r="B254" s="120"/>
      <c r="C254" s="82" t="s">
        <v>275</v>
      </c>
      <c r="D254" s="118" t="str">
        <f>VLOOKUP($C254,成品本月库存!$B:$J,2,0)</f>
        <v>W2808-1850N端盖</v>
      </c>
      <c r="E254" s="118" t="str">
        <f>VLOOKUP($C254,成品本月库存!$B:$J,5,0)</f>
        <v>PCS</v>
      </c>
      <c r="F254" s="70">
        <f>769</f>
        <v>769</v>
      </c>
      <c r="G254" s="119"/>
      <c r="H254" s="119">
        <f>VLOOKUP($C254,成品本月库存!$B:$J,9,0)</f>
        <v>1234</v>
      </c>
      <c r="I254" s="70"/>
      <c r="J254" s="102"/>
    </row>
    <row r="255" ht="16.5" spans="1:10">
      <c r="A255" s="80"/>
      <c r="B255" s="120"/>
      <c r="C255" s="82" t="s">
        <v>275</v>
      </c>
      <c r="D255" s="118" t="s">
        <v>276</v>
      </c>
      <c r="E255" s="118"/>
      <c r="F255" s="82">
        <v>465</v>
      </c>
      <c r="G255" s="121" t="s">
        <v>33</v>
      </c>
      <c r="H255" s="119"/>
      <c r="I255" s="70"/>
      <c r="J255" s="102"/>
    </row>
    <row r="256" ht="16.5" spans="1:10">
      <c r="A256" s="80"/>
      <c r="B256" s="120"/>
      <c r="C256" s="82" t="s">
        <v>277</v>
      </c>
      <c r="D256" s="118" t="str">
        <f>VLOOKUP($C256,成品本月库存!$B:$J,2,0)</f>
        <v>W2808-1850N挂钩</v>
      </c>
      <c r="E256" s="118" t="str">
        <f>VLOOKUP($C256,成品本月库存!$B:$J,5,0)</f>
        <v>PCS</v>
      </c>
      <c r="F256" s="70">
        <v>1148</v>
      </c>
      <c r="G256" s="119"/>
      <c r="H256" s="119">
        <f>VLOOKUP($C256,成品本月库存!$B:$J,9,0)</f>
        <v>1148</v>
      </c>
      <c r="I256" s="70"/>
      <c r="J256" s="102"/>
    </row>
    <row r="257" ht="16.5" spans="1:10">
      <c r="A257" s="80"/>
      <c r="B257" s="120"/>
      <c r="C257" s="82" t="s">
        <v>278</v>
      </c>
      <c r="D257" s="118" t="str">
        <f>VLOOKUP($C257,成品本月库存!$B:$J,2,0)</f>
        <v>W2803-650N头壳</v>
      </c>
      <c r="E257" s="118" t="str">
        <f>VLOOKUP($C257,成品本月库存!$B:$J,5,0)</f>
        <v>PCS</v>
      </c>
      <c r="F257" s="82">
        <v>15</v>
      </c>
      <c r="G257" s="119" t="s">
        <v>33</v>
      </c>
      <c r="H257" s="119">
        <f>VLOOKUP($C257,成品本月库存!$B:$J,9,0)</f>
        <v>15</v>
      </c>
      <c r="I257" s="70"/>
      <c r="J257" s="102"/>
    </row>
    <row r="258" ht="16.5" spans="1:10">
      <c r="A258" s="80"/>
      <c r="B258" s="120"/>
      <c r="C258" s="82" t="s">
        <v>279</v>
      </c>
      <c r="D258" s="118" t="str">
        <f>VLOOKUP($C258,成品本月库存!$B:$J,2,0)</f>
        <v>W2802-450N头壳</v>
      </c>
      <c r="E258" s="118" t="str">
        <f>VLOOKUP($C258,成品本月库存!$B:$J,5,0)</f>
        <v>PCS</v>
      </c>
      <c r="F258" s="70">
        <v>226</v>
      </c>
      <c r="G258" s="119"/>
      <c r="H258" s="119">
        <f>VLOOKUP($C258,成品本月库存!$B:$J,9,0)</f>
        <v>226</v>
      </c>
      <c r="I258" s="70"/>
      <c r="J258" s="102"/>
    </row>
    <row r="259" ht="16.5" spans="1:10">
      <c r="A259" s="80"/>
      <c r="B259" s="120"/>
      <c r="C259" s="82" t="s">
        <v>280</v>
      </c>
      <c r="D259" s="118" t="str">
        <f>VLOOKUP($C259,成品本月库存!$B:$J,2,0)</f>
        <v>W2801-300N起子机SD头壳</v>
      </c>
      <c r="E259" s="118" t="str">
        <f>VLOOKUP($C259,成品本月库存!$B:$J,5,0)</f>
        <v>PCS</v>
      </c>
      <c r="F259" s="82">
        <v>43</v>
      </c>
      <c r="G259" s="121" t="s">
        <v>33</v>
      </c>
      <c r="H259" s="119">
        <f>VLOOKUP($C259,成品本月库存!$B:$J,9,0)</f>
        <v>43</v>
      </c>
      <c r="I259" s="70"/>
      <c r="J259" s="102"/>
    </row>
    <row r="260" ht="16.5" spans="1:10">
      <c r="A260" s="80"/>
      <c r="B260" s="120"/>
      <c r="C260" s="82" t="s">
        <v>281</v>
      </c>
      <c r="D260" s="118" t="str">
        <f>VLOOKUP($C260,成品本月库存!$B:$J,2,0)</f>
        <v>W2805-850N头壳</v>
      </c>
      <c r="E260" s="118" t="str">
        <f>VLOOKUP($C260,成品本月库存!$B:$J,5,0)</f>
        <v>PCS</v>
      </c>
      <c r="F260" s="70">
        <v>499</v>
      </c>
      <c r="G260" s="119"/>
      <c r="H260" s="119">
        <f>VLOOKUP($C260,成品本月库存!$B:$J,9,0)</f>
        <v>618</v>
      </c>
      <c r="I260" s="70"/>
      <c r="J260" s="102"/>
    </row>
    <row r="261" ht="16.5" spans="1:10">
      <c r="A261" s="80"/>
      <c r="B261" s="120"/>
      <c r="C261" s="82" t="s">
        <v>281</v>
      </c>
      <c r="D261" s="118" t="s">
        <v>282</v>
      </c>
      <c r="E261" s="118"/>
      <c r="F261" s="82">
        <v>119</v>
      </c>
      <c r="G261" s="121" t="s">
        <v>33</v>
      </c>
      <c r="H261" s="119"/>
      <c r="I261" s="70"/>
      <c r="J261" s="102"/>
    </row>
    <row r="262" ht="16.5" spans="1:10">
      <c r="A262" s="80"/>
      <c r="B262" s="120"/>
      <c r="C262" s="93" t="s">
        <v>283</v>
      </c>
      <c r="D262" s="118" t="str">
        <f>VLOOKUP($C262,成品本月库存!$B:$J,2,0)</f>
        <v>KP31金属壳体</v>
      </c>
      <c r="E262" s="118" t="str">
        <f>VLOOKUP($C262,成品本月库存!$B:$J,5,0)</f>
        <v>PCS</v>
      </c>
      <c r="F262" s="70">
        <v>68</v>
      </c>
      <c r="G262" s="119"/>
      <c r="H262" s="119">
        <f>VLOOKUP($C262,成品本月库存!$B:$J,9,0)</f>
        <v>68</v>
      </c>
      <c r="I262" s="70"/>
      <c r="J262" s="102"/>
    </row>
    <row r="263" ht="16.5" spans="1:10">
      <c r="A263" s="80"/>
      <c r="B263" s="120"/>
      <c r="C263" s="82" t="s">
        <v>284</v>
      </c>
      <c r="D263" s="118" t="str">
        <f>VLOOKUP($C263,成品本月库存!$B:$J,2,0)</f>
        <v>扳手806S头壳 SD</v>
      </c>
      <c r="E263" s="118" t="str">
        <f>VLOOKUP($C263,成品本月库存!$B:$J,5,0)</f>
        <v>PCS</v>
      </c>
      <c r="F263" s="70">
        <v>32</v>
      </c>
      <c r="G263" s="119"/>
      <c r="H263" s="119">
        <f>VLOOKUP($C263,成品本月库存!$B:$J,9,0)</f>
        <v>-247</v>
      </c>
      <c r="I263" s="70"/>
      <c r="J263" s="102"/>
    </row>
    <row r="264" ht="16.5" spans="1:10">
      <c r="A264" s="80"/>
      <c r="B264" s="120"/>
      <c r="C264" s="82" t="s">
        <v>285</v>
      </c>
      <c r="D264" s="118" t="str">
        <f>VLOOKUP($C264,成品本月库存!$B:$J,2,0)</f>
        <v>相机卡扣</v>
      </c>
      <c r="E264" s="118" t="str">
        <f>VLOOKUP($C264,成品本月库存!$B:$J,5,0)</f>
        <v>PCS</v>
      </c>
      <c r="F264" s="70">
        <v>619</v>
      </c>
      <c r="G264" s="119"/>
      <c r="H264" s="119">
        <f>VLOOKUP($C264,成品本月库存!$B:$J,9,0)</f>
        <v>619</v>
      </c>
      <c r="I264" s="70"/>
      <c r="J264" s="102"/>
    </row>
    <row r="265" ht="16.5" spans="1:10">
      <c r="A265" s="80"/>
      <c r="B265" s="120"/>
      <c r="C265" s="82" t="s">
        <v>286</v>
      </c>
      <c r="D265" s="118" t="str">
        <f>VLOOKUP($C265,成品本月库存!$B:$J,2,0)</f>
        <v>铝底座/8526</v>
      </c>
      <c r="E265" s="118" t="str">
        <f>VLOOKUP($C265,成品本月库存!$B:$J,5,0)</f>
        <v>PCS</v>
      </c>
      <c r="F265" s="70">
        <v>228</v>
      </c>
      <c r="G265" s="119"/>
      <c r="H265" s="119">
        <f>VLOOKUP($C265,成品本月库存!$B:$J,9,0)</f>
        <v>228</v>
      </c>
      <c r="I265" s="70"/>
      <c r="J265" s="102"/>
    </row>
    <row r="266" ht="16.5" spans="1:10">
      <c r="A266" s="80"/>
      <c r="B266" s="120"/>
      <c r="C266" s="82" t="s">
        <v>287</v>
      </c>
      <c r="D266" s="118" t="str">
        <f>VLOOKUP($C266,成品本月库存!$B:$J,2,0)</f>
        <v>SD04摄像头模组金属支架(CAMERA)</v>
      </c>
      <c r="E266" s="118" t="str">
        <f>VLOOKUP($C266,成品本月库存!$B:$J,5,0)</f>
        <v>PCS</v>
      </c>
      <c r="F266" s="70">
        <f>10+21</f>
        <v>31</v>
      </c>
      <c r="G266" s="119"/>
      <c r="H266" s="119">
        <f>VLOOKUP($C266,成品本月库存!$B:$J,9,0)</f>
        <v>31</v>
      </c>
      <c r="I266" s="70"/>
      <c r="J266" s="102"/>
    </row>
    <row r="267" ht="16.5" spans="1:10">
      <c r="A267" s="80"/>
      <c r="B267" s="120"/>
      <c r="C267" s="82" t="s">
        <v>288</v>
      </c>
      <c r="D267" s="118" t="str">
        <f>VLOOKUP($C267,成品本月库存!$B:$J,2,0)</f>
        <v>(001)Kreka Harrier/PHSP</v>
      </c>
      <c r="E267" s="118" t="str">
        <f>VLOOKUP($C267,成品本月库存!$B:$J,5,0)</f>
        <v>PCS</v>
      </c>
      <c r="F267" s="70">
        <v>438</v>
      </c>
      <c r="G267" s="119"/>
      <c r="H267" s="119">
        <f>VLOOKUP($C267,成品本月库存!$B:$J,9,0)</f>
        <v>438</v>
      </c>
      <c r="I267" s="70"/>
      <c r="J267" s="102"/>
    </row>
    <row r="268" ht="16.5" spans="1:10">
      <c r="A268" s="80"/>
      <c r="B268" s="120"/>
      <c r="C268" s="82" t="s">
        <v>289</v>
      </c>
      <c r="D268" s="118" t="str">
        <f>VLOOKUP($C268,成品本月库存!$B:$J,2,0)</f>
        <v>CG-00077</v>
      </c>
      <c r="E268" s="118" t="str">
        <f>VLOOKUP($C268,成品本月库存!$B:$J,5,0)</f>
        <v>PCS</v>
      </c>
      <c r="F268" s="70">
        <v>199</v>
      </c>
      <c r="G268" s="119"/>
      <c r="H268" s="119">
        <f>VLOOKUP($C268,成品本月库存!$B:$J,9,0)</f>
        <v>199</v>
      </c>
      <c r="I268" s="70"/>
      <c r="J268" s="102"/>
    </row>
    <row r="269" ht="16.5" spans="1:10">
      <c r="A269" s="80"/>
      <c r="B269" s="120"/>
      <c r="C269" s="82" t="s">
        <v>290</v>
      </c>
      <c r="D269" s="118" t="str">
        <f>VLOOKUP($C269,成品本月库存!$B:$J,2,0)</f>
        <v>01030前挡板</v>
      </c>
      <c r="E269" s="118" t="str">
        <f>VLOOKUP($C269,成品本月库存!$B:$J,5,0)</f>
        <v>PCS</v>
      </c>
      <c r="F269" s="70">
        <v>132</v>
      </c>
      <c r="G269" s="119"/>
      <c r="H269" s="119">
        <f>VLOOKUP($C269,成品本月库存!$B:$J,9,0)</f>
        <v>132</v>
      </c>
      <c r="I269" s="70"/>
      <c r="J269" s="102"/>
    </row>
    <row r="270" ht="16.5" spans="1:10">
      <c r="A270" s="80"/>
      <c r="B270" s="120"/>
      <c r="C270" s="82" t="s">
        <v>291</v>
      </c>
      <c r="D270" s="118" t="str">
        <f>VLOOKUP($C270,成品本月库存!$B:$J,2,0)</f>
        <v>T93-43</v>
      </c>
      <c r="E270" s="118" t="str">
        <f>VLOOKUP($C270,成品本月库存!$B:$J,5,0)</f>
        <v>PCS</v>
      </c>
      <c r="F270" s="70">
        <v>201</v>
      </c>
      <c r="G270" s="119"/>
      <c r="H270" s="119">
        <f>VLOOKUP($C270,成品本月库存!$B:$J,9,0)</f>
        <v>201</v>
      </c>
      <c r="I270" s="70"/>
      <c r="J270" s="102"/>
    </row>
    <row r="271" ht="16.5" spans="1:10">
      <c r="A271" s="126"/>
      <c r="B271" s="127"/>
      <c r="C271" s="10" t="s">
        <v>21</v>
      </c>
      <c r="D271" s="128" t="str">
        <f>VLOOKUP($C271,成品本月库存!$B:$J,2,0)</f>
        <v>DBC15A0</v>
      </c>
      <c r="E271" s="128" t="str">
        <f>VLOOKUP($C271,成品本月库存!$B:$J,5,0)</f>
        <v>PCS</v>
      </c>
      <c r="F271" s="129">
        <v>2352</v>
      </c>
      <c r="G271" s="129"/>
      <c r="H271" s="129">
        <f>VLOOKUP($C271,成品本月库存!$B:$J,9,0)</f>
        <v>2352</v>
      </c>
      <c r="J271" s="102"/>
    </row>
    <row r="272" ht="16.5" spans="1:10">
      <c r="A272" s="80"/>
      <c r="B272" s="120"/>
      <c r="C272" s="130"/>
      <c r="D272" s="118" t="e">
        <f>VLOOKUP($C272,成品本月库存!$B:$J,2,0)</f>
        <v>#N/A</v>
      </c>
      <c r="E272" s="118" t="e">
        <f>VLOOKUP($C272,成品本月库存!$B:$J,5,0)</f>
        <v>#N/A</v>
      </c>
      <c r="F272" s="119"/>
      <c r="G272" s="119"/>
      <c r="H272" s="119" t="e">
        <f>VLOOKUP($C272,成品本月库存!$B:$J,9,0)</f>
        <v>#N/A</v>
      </c>
      <c r="J272" s="102"/>
    </row>
    <row r="273" ht="16.5" spans="1:10">
      <c r="A273" s="80"/>
      <c r="B273" s="120"/>
      <c r="C273" s="119"/>
      <c r="D273" s="118" t="e">
        <f>VLOOKUP($C273,成品本月库存!$B:$J,2,0)</f>
        <v>#N/A</v>
      </c>
      <c r="E273" s="118" t="e">
        <f>VLOOKUP($C273,成品本月库存!$B:$J,5,0)</f>
        <v>#N/A</v>
      </c>
      <c r="F273" s="119"/>
      <c r="G273" s="119"/>
      <c r="H273" s="119" t="e">
        <f>VLOOKUP($C273,成品本月库存!$B:$J,9,0)</f>
        <v>#N/A</v>
      </c>
      <c r="J273" s="102"/>
    </row>
    <row r="274" ht="16.5" spans="1:10">
      <c r="A274" s="80"/>
      <c r="B274" s="120"/>
      <c r="C274" s="119"/>
      <c r="D274" s="118" t="e">
        <f>VLOOKUP($C274,成品本月库存!$B:$J,2,0)</f>
        <v>#N/A</v>
      </c>
      <c r="E274" s="118" t="e">
        <f>VLOOKUP($C274,成品本月库存!$B:$J,5,0)</f>
        <v>#N/A</v>
      </c>
      <c r="F274" s="119"/>
      <c r="G274" s="119"/>
      <c r="H274" s="119" t="e">
        <f>VLOOKUP($C274,成品本月库存!$B:$J,9,0)</f>
        <v>#N/A</v>
      </c>
      <c r="J274" s="102"/>
    </row>
    <row r="275" ht="16.5" spans="1:10">
      <c r="A275" s="80"/>
      <c r="B275" s="120"/>
      <c r="C275" s="119"/>
      <c r="D275" s="118" t="e">
        <f>VLOOKUP($C275,成品本月库存!$B:$J,2,0)</f>
        <v>#N/A</v>
      </c>
      <c r="E275" s="118" t="e">
        <f>VLOOKUP($C275,成品本月库存!$B:$J,5,0)</f>
        <v>#N/A</v>
      </c>
      <c r="F275" s="119"/>
      <c r="G275" s="119"/>
      <c r="H275" s="119" t="e">
        <f>VLOOKUP($C275,成品本月库存!$B:$J,9,0)</f>
        <v>#N/A</v>
      </c>
      <c r="J275" s="102"/>
    </row>
    <row r="276" ht="16.5" spans="1:10">
      <c r="A276" s="80"/>
      <c r="B276" s="120"/>
      <c r="C276" s="119"/>
      <c r="D276" s="118" t="e">
        <f>VLOOKUP($C276,成品本月库存!$B:$J,2,0)</f>
        <v>#N/A</v>
      </c>
      <c r="E276" s="118" t="e">
        <f>VLOOKUP($C276,成品本月库存!$B:$J,5,0)</f>
        <v>#N/A</v>
      </c>
      <c r="F276" s="119"/>
      <c r="G276" s="119"/>
      <c r="H276" s="119" t="e">
        <f>VLOOKUP($C276,成品本月库存!$B:$J,9,0)</f>
        <v>#N/A</v>
      </c>
      <c r="J276" s="102"/>
    </row>
    <row r="277" ht="16.5" spans="1:10">
      <c r="A277" s="80"/>
      <c r="B277" s="120"/>
      <c r="C277" s="119"/>
      <c r="D277" s="118" t="e">
        <f>VLOOKUP($C277,成品本月库存!$B:$J,2,0)</f>
        <v>#N/A</v>
      </c>
      <c r="E277" s="118" t="e">
        <f>VLOOKUP($C277,成品本月库存!$B:$J,5,0)</f>
        <v>#N/A</v>
      </c>
      <c r="F277" s="119"/>
      <c r="G277" s="119"/>
      <c r="H277" s="119" t="e">
        <f>VLOOKUP($C277,成品本月库存!$B:$J,9,0)</f>
        <v>#N/A</v>
      </c>
      <c r="J277" s="102"/>
    </row>
    <row r="278" ht="16.5" spans="1:10">
      <c r="A278" s="80"/>
      <c r="B278" s="120"/>
      <c r="C278" s="119"/>
      <c r="D278" s="118" t="e">
        <f>VLOOKUP($C278,成品本月库存!$B:$J,2,0)</f>
        <v>#N/A</v>
      </c>
      <c r="E278" s="118" t="e">
        <f>VLOOKUP($C278,成品本月库存!$B:$J,5,0)</f>
        <v>#N/A</v>
      </c>
      <c r="F278" s="119"/>
      <c r="G278" s="119"/>
      <c r="H278" s="119" t="e">
        <f>VLOOKUP($C278,成品本月库存!$B:$J,9,0)</f>
        <v>#N/A</v>
      </c>
      <c r="J278" s="102"/>
    </row>
    <row r="279" ht="16.5" spans="1:10">
      <c r="A279" s="80"/>
      <c r="B279" s="120"/>
      <c r="C279" s="130"/>
      <c r="D279" s="118" t="e">
        <f>VLOOKUP($C279,成品本月库存!$B:$J,2,0)</f>
        <v>#N/A</v>
      </c>
      <c r="E279" s="118" t="e">
        <f>VLOOKUP($C279,成品本月库存!$B:$J,5,0)</f>
        <v>#N/A</v>
      </c>
      <c r="F279" s="119"/>
      <c r="G279" s="119"/>
      <c r="H279" s="119" t="e">
        <f>VLOOKUP($C279,成品本月库存!$B:$J,9,0)</f>
        <v>#N/A</v>
      </c>
      <c r="J279" s="102"/>
    </row>
    <row r="280" ht="16.5" spans="1:10">
      <c r="A280" s="80"/>
      <c r="B280" s="120"/>
      <c r="C280" s="119"/>
      <c r="D280" s="118" t="e">
        <f>VLOOKUP($C280,成品本月库存!$B:$J,2,0)</f>
        <v>#N/A</v>
      </c>
      <c r="E280" s="118" t="e">
        <f>VLOOKUP($C280,成品本月库存!$B:$J,5,0)</f>
        <v>#N/A</v>
      </c>
      <c r="F280" s="119"/>
      <c r="G280" s="119"/>
      <c r="H280" s="119" t="e">
        <f>VLOOKUP($C280,成品本月库存!$B:$J,9,0)</f>
        <v>#N/A</v>
      </c>
      <c r="J280" s="102"/>
    </row>
    <row r="281" ht="16.5" spans="1:10">
      <c r="A281" s="80"/>
      <c r="B281" s="120"/>
      <c r="C281" s="130"/>
      <c r="D281" s="118" t="e">
        <f>VLOOKUP($C281,成品本月库存!$B:$J,2,0)</f>
        <v>#N/A</v>
      </c>
      <c r="E281" s="118" t="e">
        <f>VLOOKUP($C281,成品本月库存!$B:$J,5,0)</f>
        <v>#N/A</v>
      </c>
      <c r="F281" s="119"/>
      <c r="G281" s="119"/>
      <c r="H281" s="119" t="e">
        <f>VLOOKUP($C281,成品本月库存!$B:$J,9,0)</f>
        <v>#N/A</v>
      </c>
      <c r="J281" s="102"/>
    </row>
    <row r="282" ht="16.5" spans="1:10">
      <c r="A282" s="80"/>
      <c r="B282" s="120"/>
      <c r="C282" s="119"/>
      <c r="D282" s="118" t="e">
        <f>VLOOKUP($C282,成品本月库存!$B:$J,2,0)</f>
        <v>#N/A</v>
      </c>
      <c r="E282" s="118" t="e">
        <f>VLOOKUP($C282,成品本月库存!$B:$J,5,0)</f>
        <v>#N/A</v>
      </c>
      <c r="F282" s="119"/>
      <c r="G282" s="119"/>
      <c r="H282" s="119" t="e">
        <f>VLOOKUP($C282,成品本月库存!$B:$J,9,0)</f>
        <v>#N/A</v>
      </c>
      <c r="J282" s="102"/>
    </row>
    <row r="283" ht="16.5" spans="1:10">
      <c r="A283" s="80"/>
      <c r="B283" s="120"/>
      <c r="C283" s="119"/>
      <c r="D283" s="118" t="e">
        <f>VLOOKUP($C283,成品本月库存!$B:$J,2,0)</f>
        <v>#N/A</v>
      </c>
      <c r="E283" s="118" t="e">
        <f>VLOOKUP($C283,成品本月库存!$B:$J,5,0)</f>
        <v>#N/A</v>
      </c>
      <c r="F283" s="119"/>
      <c r="G283" s="119"/>
      <c r="H283" s="119" t="e">
        <f>VLOOKUP($C283,成品本月库存!$B:$J,9,0)</f>
        <v>#N/A</v>
      </c>
      <c r="J283" s="102"/>
    </row>
    <row r="284" ht="16.5" spans="1:10">
      <c r="A284" s="80"/>
      <c r="B284" s="120"/>
      <c r="C284" s="119"/>
      <c r="D284" s="118" t="e">
        <f>VLOOKUP($C284,成品本月库存!$B:$J,2,0)</f>
        <v>#N/A</v>
      </c>
      <c r="E284" s="118" t="e">
        <f>VLOOKUP($C284,成品本月库存!$B:$J,5,0)</f>
        <v>#N/A</v>
      </c>
      <c r="F284" s="119"/>
      <c r="G284" s="119"/>
      <c r="H284" s="119" t="e">
        <f>VLOOKUP($C284,成品本月库存!$B:$J,9,0)</f>
        <v>#N/A</v>
      </c>
    </row>
    <row r="285" ht="16.5" spans="1:10">
      <c r="A285" s="80"/>
      <c r="B285" s="120"/>
      <c r="C285" s="119"/>
      <c r="D285" s="118" t="e">
        <f>VLOOKUP($C285,成品本月库存!$B:$J,2,0)</f>
        <v>#N/A</v>
      </c>
      <c r="E285" s="118" t="e">
        <f>VLOOKUP($C285,成品本月库存!$B:$J,5,0)</f>
        <v>#N/A</v>
      </c>
      <c r="F285" s="119"/>
      <c r="G285" s="119"/>
      <c r="H285" s="119" t="e">
        <f>VLOOKUP($C285,成品本月库存!$B:$J,9,0)</f>
        <v>#N/A</v>
      </c>
    </row>
    <row r="286" ht="16.5" spans="1:10">
      <c r="A286" s="80"/>
      <c r="B286" s="131"/>
      <c r="C286" s="98"/>
      <c r="D286" s="118" t="e">
        <f>VLOOKUP($C286,成品本月库存!$B:$J,2,0)</f>
        <v>#N/A</v>
      </c>
      <c r="E286" s="118" t="e">
        <f>VLOOKUP($C286,成品本月库存!$B:$J,5,0)</f>
        <v>#N/A</v>
      </c>
      <c r="F286" s="119"/>
      <c r="G286" s="119"/>
      <c r="H286" s="119" t="e">
        <f>VLOOKUP($C286,成品本月库存!$B:$J,9,0)</f>
        <v>#N/A</v>
      </c>
    </row>
    <row r="287" ht="16.5" spans="1:10">
      <c r="A287" s="80"/>
      <c r="B287" s="131"/>
      <c r="C287" s="98"/>
      <c r="D287" s="118" t="e">
        <f>VLOOKUP($C287,成品本月库存!$B:$J,2,0)</f>
        <v>#N/A</v>
      </c>
      <c r="E287" s="118" t="e">
        <f>VLOOKUP($C287,成品本月库存!$B:$J,5,0)</f>
        <v>#N/A</v>
      </c>
      <c r="F287" s="119"/>
      <c r="G287" s="119"/>
      <c r="H287" s="119" t="e">
        <f>VLOOKUP($C287,成品本月库存!$B:$J,9,0)</f>
        <v>#N/A</v>
      </c>
    </row>
    <row r="288" ht="16.5" spans="1:10">
      <c r="A288" s="80"/>
      <c r="B288" s="131"/>
      <c r="C288" s="98"/>
      <c r="D288" s="118" t="e">
        <f>VLOOKUP($C288,成品本月库存!$B:$J,2,0)</f>
        <v>#N/A</v>
      </c>
      <c r="E288" s="118" t="e">
        <f>VLOOKUP($C288,成品本月库存!$B:$J,5,0)</f>
        <v>#N/A</v>
      </c>
      <c r="F288" s="119"/>
      <c r="G288" s="119"/>
      <c r="H288" s="119" t="e">
        <f>VLOOKUP($C288,成品本月库存!$B:$J,9,0)</f>
        <v>#N/A</v>
      </c>
    </row>
    <row r="289" ht="16.5" spans="1:8">
      <c r="A289" s="80"/>
      <c r="B289" s="131"/>
      <c r="C289" s="98"/>
      <c r="D289" s="118" t="e">
        <f>VLOOKUP($C289,成品本月库存!$B:$J,2,0)</f>
        <v>#N/A</v>
      </c>
      <c r="E289" s="118" t="e">
        <f>VLOOKUP($C289,成品本月库存!$B:$J,5,0)</f>
        <v>#N/A</v>
      </c>
      <c r="F289" s="119"/>
      <c r="G289" s="119"/>
      <c r="H289" s="119" t="e">
        <f>VLOOKUP($C289,成品本月库存!$B:$J,9,0)</f>
        <v>#N/A</v>
      </c>
    </row>
    <row r="290" ht="16.5" spans="1:8">
      <c r="A290" s="80"/>
      <c r="B290" s="131"/>
      <c r="C290" s="98"/>
      <c r="D290" s="118" t="e">
        <f>VLOOKUP($C290,成品本月库存!$B:$J,2,0)</f>
        <v>#N/A</v>
      </c>
      <c r="E290" s="118" t="e">
        <f>VLOOKUP($C290,成品本月库存!$B:$J,5,0)</f>
        <v>#N/A</v>
      </c>
      <c r="F290" s="119"/>
      <c r="G290" s="119"/>
      <c r="H290" s="119" t="e">
        <f>VLOOKUP($C290,成品本月库存!$B:$J,9,0)</f>
        <v>#N/A</v>
      </c>
    </row>
    <row r="291" ht="16.5" spans="1:8">
      <c r="A291" s="80"/>
      <c r="B291" s="131"/>
      <c r="C291" s="98"/>
      <c r="D291" s="118" t="e">
        <f>VLOOKUP($C291,成品本月库存!$B:$J,2,0)</f>
        <v>#N/A</v>
      </c>
      <c r="E291" s="118" t="e">
        <f>VLOOKUP($C291,成品本月库存!$B:$J,5,0)</f>
        <v>#N/A</v>
      </c>
      <c r="F291" s="119"/>
      <c r="G291" s="119"/>
      <c r="H291" s="119" t="e">
        <f>VLOOKUP($C291,成品本月库存!$B:$J,9,0)</f>
        <v>#N/A</v>
      </c>
    </row>
    <row r="292" ht="16.5" spans="1:8">
      <c r="A292" s="80"/>
      <c r="B292" s="131"/>
      <c r="C292" s="98"/>
      <c r="D292" s="118" t="e">
        <f>VLOOKUP($C292,成品本月库存!$B:$J,2,0)</f>
        <v>#N/A</v>
      </c>
      <c r="E292" s="118" t="e">
        <f>VLOOKUP($C292,成品本月库存!$B:$J,5,0)</f>
        <v>#N/A</v>
      </c>
      <c r="F292" s="119"/>
      <c r="G292" s="119"/>
      <c r="H292" s="119" t="e">
        <f>VLOOKUP($C292,成品本月库存!$B:$J,9,0)</f>
        <v>#N/A</v>
      </c>
    </row>
    <row r="293" ht="16.5" spans="1:8">
      <c r="A293" s="80"/>
      <c r="B293" s="131"/>
      <c r="C293" s="98"/>
      <c r="D293" s="118" t="e">
        <f>VLOOKUP($C293,成品本月库存!$B:$J,2,0)</f>
        <v>#N/A</v>
      </c>
      <c r="E293" s="118" t="e">
        <f>VLOOKUP($C293,成品本月库存!$B:$J,5,0)</f>
        <v>#N/A</v>
      </c>
      <c r="F293" s="119"/>
      <c r="G293" s="119"/>
      <c r="H293" s="119" t="e">
        <f>VLOOKUP($C293,成品本月库存!$B:$J,9,0)</f>
        <v>#N/A</v>
      </c>
    </row>
    <row r="294" ht="16.5" spans="1:8">
      <c r="A294" s="80"/>
      <c r="B294" s="131"/>
      <c r="C294" s="98"/>
      <c r="D294" s="118" t="e">
        <f>VLOOKUP($C294,成品本月库存!$B:$J,2,0)</f>
        <v>#N/A</v>
      </c>
      <c r="E294" s="118" t="e">
        <f>VLOOKUP($C294,成品本月库存!$B:$J,5,0)</f>
        <v>#N/A</v>
      </c>
      <c r="F294" s="119"/>
      <c r="G294" s="119"/>
      <c r="H294" s="119" t="e">
        <f>VLOOKUP($C294,成品本月库存!$B:$J,9,0)</f>
        <v>#N/A</v>
      </c>
    </row>
    <row r="295" ht="16.5" spans="1:8">
      <c r="A295" s="80"/>
      <c r="B295" s="131"/>
      <c r="C295" s="98"/>
      <c r="D295" s="118" t="e">
        <f>VLOOKUP($C295,成品本月库存!$B:$J,2,0)</f>
        <v>#N/A</v>
      </c>
      <c r="E295" s="118" t="e">
        <f>VLOOKUP($C295,成品本月库存!$B:$J,5,0)</f>
        <v>#N/A</v>
      </c>
      <c r="F295" s="119"/>
      <c r="G295" s="119"/>
      <c r="H295" s="119" t="e">
        <f>VLOOKUP($C295,成品本月库存!$B:$J,9,0)</f>
        <v>#N/A</v>
      </c>
    </row>
    <row r="296" ht="16.5" spans="1:8">
      <c r="A296" s="80"/>
      <c r="B296" s="131"/>
      <c r="C296" s="98"/>
      <c r="D296" s="118" t="e">
        <f>VLOOKUP($C296,成品本月库存!$B:$J,2,0)</f>
        <v>#N/A</v>
      </c>
      <c r="E296" s="118" t="e">
        <f>VLOOKUP($C296,成品本月库存!$B:$J,5,0)</f>
        <v>#N/A</v>
      </c>
      <c r="F296" s="119"/>
      <c r="G296" s="119"/>
      <c r="H296" s="119" t="e">
        <f>VLOOKUP($C296,成品本月库存!$B:$J,9,0)</f>
        <v>#N/A</v>
      </c>
    </row>
    <row r="297" ht="16.5" spans="1:8">
      <c r="A297" s="80"/>
      <c r="B297" s="131"/>
      <c r="C297" s="98"/>
      <c r="D297" s="118" t="e">
        <f>VLOOKUP($C297,成品本月库存!$B:$J,2,0)</f>
        <v>#N/A</v>
      </c>
      <c r="E297" s="118" t="e">
        <f>VLOOKUP($C297,成品本月库存!$B:$J,5,0)</f>
        <v>#N/A</v>
      </c>
      <c r="F297" s="119"/>
      <c r="G297" s="119"/>
      <c r="H297" s="119" t="e">
        <f>VLOOKUP($C297,成品本月库存!$B:$J,9,0)</f>
        <v>#N/A</v>
      </c>
    </row>
    <row r="298" ht="16.5" spans="1:8">
      <c r="A298" s="80"/>
      <c r="B298" s="131"/>
      <c r="C298" s="98"/>
      <c r="D298" s="118" t="e">
        <f>VLOOKUP($C298,成品本月库存!$B:$J,2,0)</f>
        <v>#N/A</v>
      </c>
      <c r="E298" s="118" t="e">
        <f>VLOOKUP($C298,成品本月库存!$B:$J,5,0)</f>
        <v>#N/A</v>
      </c>
      <c r="F298" s="119"/>
      <c r="G298" s="119"/>
      <c r="H298" s="119" t="e">
        <f>VLOOKUP($C298,成品本月库存!$B:$J,9,0)</f>
        <v>#N/A</v>
      </c>
    </row>
    <row r="299" ht="16.5" spans="1:8">
      <c r="A299" s="80"/>
      <c r="B299" s="131"/>
      <c r="C299" s="98"/>
      <c r="D299" s="118" t="e">
        <f>VLOOKUP($C299,成品本月库存!$B:$J,2,0)</f>
        <v>#N/A</v>
      </c>
      <c r="E299" s="118" t="e">
        <f>VLOOKUP($C299,成品本月库存!$B:$J,5,0)</f>
        <v>#N/A</v>
      </c>
      <c r="F299" s="119"/>
      <c r="G299" s="119"/>
      <c r="H299" s="119" t="e">
        <f>VLOOKUP($C299,成品本月库存!$B:$J,9,0)</f>
        <v>#N/A</v>
      </c>
    </row>
    <row r="300" ht="16.5" spans="1:8">
      <c r="A300" s="80"/>
      <c r="B300" s="131"/>
      <c r="C300" s="98"/>
      <c r="D300" s="118" t="e">
        <f>VLOOKUP($C300,成品本月库存!$B:$J,2,0)</f>
        <v>#N/A</v>
      </c>
      <c r="E300" s="118" t="e">
        <f>VLOOKUP($C300,成品本月库存!$B:$J,5,0)</f>
        <v>#N/A</v>
      </c>
      <c r="F300" s="119"/>
      <c r="G300" s="119"/>
      <c r="H300" s="119" t="e">
        <f>VLOOKUP($C300,成品本月库存!$B:$J,9,0)</f>
        <v>#N/A</v>
      </c>
    </row>
    <row r="301" ht="16.5" spans="1:8">
      <c r="A301" s="80"/>
      <c r="B301" s="131"/>
      <c r="C301" s="98"/>
      <c r="D301" s="118" t="e">
        <f>VLOOKUP($C301,成品本月库存!$B:$J,2,0)</f>
        <v>#N/A</v>
      </c>
      <c r="E301" s="118" t="e">
        <f>VLOOKUP($C301,成品本月库存!$B:$J,5,0)</f>
        <v>#N/A</v>
      </c>
      <c r="F301" s="119"/>
      <c r="G301" s="119"/>
      <c r="H301" s="119" t="e">
        <f>VLOOKUP($C301,成品本月库存!$B:$J,9,0)</f>
        <v>#N/A</v>
      </c>
    </row>
    <row r="302" ht="16.5" spans="1:8">
      <c r="A302" s="80"/>
      <c r="B302" s="131"/>
      <c r="C302" s="98"/>
      <c r="D302" s="118" t="e">
        <f>VLOOKUP($C302,成品本月库存!$B:$J,2,0)</f>
        <v>#N/A</v>
      </c>
      <c r="E302" s="118" t="e">
        <f>VLOOKUP($C302,成品本月库存!$B:$J,5,0)</f>
        <v>#N/A</v>
      </c>
      <c r="F302" s="119"/>
      <c r="G302" s="119"/>
      <c r="H302" s="119" t="e">
        <f>VLOOKUP($C302,成品本月库存!$B:$J,9,0)</f>
        <v>#N/A</v>
      </c>
    </row>
    <row r="303" ht="16.5" spans="1:8">
      <c r="A303" s="80"/>
      <c r="B303" s="131"/>
      <c r="C303" s="98"/>
      <c r="D303" s="118" t="e">
        <f>VLOOKUP($C303,成品本月库存!$B:$J,2,0)</f>
        <v>#N/A</v>
      </c>
      <c r="E303" s="118" t="e">
        <f>VLOOKUP($C303,成品本月库存!$B:$J,5,0)</f>
        <v>#N/A</v>
      </c>
      <c r="F303" s="119"/>
      <c r="G303" s="119"/>
      <c r="H303" s="119" t="e">
        <f>VLOOKUP($C303,成品本月库存!$B:$J,9,0)</f>
        <v>#N/A</v>
      </c>
    </row>
    <row r="304" ht="16.5" spans="1:8">
      <c r="A304" s="80"/>
      <c r="B304" s="131"/>
      <c r="C304" s="98"/>
      <c r="D304" s="118" t="e">
        <f>VLOOKUP($C304,成品本月库存!$B:$J,2,0)</f>
        <v>#N/A</v>
      </c>
      <c r="E304" s="118" t="e">
        <f>VLOOKUP($C304,成品本月库存!$B:$J,5,0)</f>
        <v>#N/A</v>
      </c>
      <c r="F304" s="119"/>
      <c r="G304" s="119"/>
      <c r="H304" s="119" t="e">
        <f>VLOOKUP($C304,成品本月库存!$B:$J,9,0)</f>
        <v>#N/A</v>
      </c>
    </row>
    <row r="305" ht="16.5" spans="1:8">
      <c r="A305" s="80"/>
      <c r="B305" s="131"/>
      <c r="C305" s="98"/>
      <c r="D305" s="118" t="e">
        <f>VLOOKUP($C305,成品本月库存!$B:$J,2,0)</f>
        <v>#N/A</v>
      </c>
      <c r="E305" s="118" t="e">
        <f>VLOOKUP($C305,成品本月库存!$B:$J,5,0)</f>
        <v>#N/A</v>
      </c>
      <c r="F305" s="119"/>
      <c r="G305" s="119"/>
      <c r="H305" s="119" t="e">
        <f>VLOOKUP($C305,成品本月库存!$B:$J,9,0)</f>
        <v>#N/A</v>
      </c>
    </row>
    <row r="306" ht="16.5" spans="1:8">
      <c r="A306" s="80"/>
      <c r="B306" s="131"/>
      <c r="C306" s="98"/>
      <c r="D306" s="118" t="e">
        <f>VLOOKUP($C306,成品本月库存!$B:$J,2,0)</f>
        <v>#N/A</v>
      </c>
      <c r="E306" s="118" t="e">
        <f>VLOOKUP($C306,成品本月库存!$B:$J,5,0)</f>
        <v>#N/A</v>
      </c>
      <c r="F306" s="119"/>
      <c r="G306" s="119"/>
      <c r="H306" s="119" t="e">
        <f>VLOOKUP($C306,成品本月库存!$B:$J,9,0)</f>
        <v>#N/A</v>
      </c>
    </row>
    <row r="307" ht="16.5" spans="1:8">
      <c r="A307" s="80"/>
      <c r="B307" s="131"/>
      <c r="C307" s="98"/>
      <c r="D307" s="118" t="e">
        <f>VLOOKUP($C307,成品本月库存!$B:$J,2,0)</f>
        <v>#N/A</v>
      </c>
      <c r="E307" s="118" t="e">
        <f>VLOOKUP($C307,成品本月库存!$B:$J,5,0)</f>
        <v>#N/A</v>
      </c>
      <c r="F307" s="119"/>
      <c r="G307" s="119"/>
      <c r="H307" s="119" t="e">
        <f>VLOOKUP($C307,成品本月库存!$B:$J,9,0)</f>
        <v>#N/A</v>
      </c>
    </row>
    <row r="308" ht="16.5" spans="1:8">
      <c r="A308" s="80"/>
      <c r="B308" s="131"/>
      <c r="C308" s="98"/>
      <c r="D308" s="118" t="e">
        <f>VLOOKUP($C308,成品本月库存!$B:$J,2,0)</f>
        <v>#N/A</v>
      </c>
      <c r="E308" s="118" t="e">
        <f>VLOOKUP($C308,成品本月库存!$B:$J,5,0)</f>
        <v>#N/A</v>
      </c>
      <c r="F308" s="119"/>
      <c r="G308" s="119"/>
      <c r="H308" s="119" t="e">
        <f>VLOOKUP($C308,成品本月库存!$B:$J,9,0)</f>
        <v>#N/A</v>
      </c>
    </row>
    <row r="309" ht="16.5" spans="1:8">
      <c r="A309" s="80"/>
      <c r="B309" s="131"/>
      <c r="C309" s="98"/>
      <c r="D309" s="118" t="e">
        <f>VLOOKUP($C309,成品本月库存!$B:$J,2,0)</f>
        <v>#N/A</v>
      </c>
      <c r="E309" s="118" t="e">
        <f>VLOOKUP($C309,成品本月库存!$B:$J,5,0)</f>
        <v>#N/A</v>
      </c>
      <c r="F309" s="119"/>
      <c r="G309" s="119"/>
      <c r="H309" s="119" t="e">
        <f>VLOOKUP($C309,成品本月库存!$B:$J,9,0)</f>
        <v>#N/A</v>
      </c>
    </row>
    <row r="310" ht="16.5" spans="1:8">
      <c r="A310" s="80"/>
      <c r="B310" s="131"/>
      <c r="C310" s="98"/>
      <c r="D310" s="118" t="e">
        <f>VLOOKUP($C310,成品本月库存!$B:$J,2,0)</f>
        <v>#N/A</v>
      </c>
      <c r="E310" s="118" t="e">
        <f>VLOOKUP($C310,成品本月库存!$B:$J,5,0)</f>
        <v>#N/A</v>
      </c>
      <c r="F310" s="119"/>
      <c r="G310" s="119"/>
      <c r="H310" s="119" t="e">
        <f>VLOOKUP($C310,成品本月库存!$B:$J,9,0)</f>
        <v>#N/A</v>
      </c>
    </row>
    <row r="311" ht="16.5" spans="1:8">
      <c r="A311" s="80"/>
      <c r="B311" s="131"/>
      <c r="C311" s="98"/>
      <c r="D311" s="118" t="e">
        <f>VLOOKUP($C311,成品本月库存!$B:$J,2,0)</f>
        <v>#N/A</v>
      </c>
      <c r="E311" s="118" t="e">
        <f>VLOOKUP($C311,成品本月库存!$B:$J,5,0)</f>
        <v>#N/A</v>
      </c>
      <c r="F311" s="119"/>
      <c r="G311" s="119"/>
      <c r="H311" s="119" t="e">
        <f>VLOOKUP($C311,成品本月库存!$B:$J,9,0)</f>
        <v>#N/A</v>
      </c>
    </row>
    <row r="312" ht="16.5" spans="1:8">
      <c r="A312" s="80"/>
      <c r="B312" s="131"/>
      <c r="C312" s="98"/>
      <c r="D312" s="118" t="e">
        <f>VLOOKUP($C312,成品本月库存!$B:$J,2,0)</f>
        <v>#N/A</v>
      </c>
      <c r="E312" s="118" t="e">
        <f>VLOOKUP($C312,成品本月库存!$B:$J,5,0)</f>
        <v>#N/A</v>
      </c>
      <c r="F312" s="119"/>
      <c r="G312" s="119"/>
      <c r="H312" s="119" t="e">
        <f>VLOOKUP($C312,成品本月库存!$B:$J,9,0)</f>
        <v>#N/A</v>
      </c>
    </row>
    <row r="313" ht="16.5" spans="1:8">
      <c r="A313" s="80"/>
      <c r="B313" s="131"/>
      <c r="C313" s="98"/>
      <c r="D313" s="118" t="e">
        <f>VLOOKUP($C313,成品本月库存!$B:$J,2,0)</f>
        <v>#N/A</v>
      </c>
      <c r="E313" s="118" t="e">
        <f>VLOOKUP($C313,成品本月库存!$B:$J,5,0)</f>
        <v>#N/A</v>
      </c>
      <c r="F313" s="119"/>
      <c r="G313" s="119"/>
      <c r="H313" s="119" t="e">
        <f>VLOOKUP($C313,成品本月库存!$B:$J,9,0)</f>
        <v>#N/A</v>
      </c>
    </row>
    <row r="314" ht="16.5" spans="1:8">
      <c r="A314" s="80"/>
      <c r="B314" s="131"/>
      <c r="C314" s="98"/>
      <c r="D314" s="118" t="e">
        <f>VLOOKUP($C314,成品本月库存!$B:$J,2,0)</f>
        <v>#N/A</v>
      </c>
      <c r="E314" s="118" t="e">
        <f>VLOOKUP($C314,成品本月库存!$B:$J,5,0)</f>
        <v>#N/A</v>
      </c>
      <c r="F314" s="119"/>
      <c r="G314" s="119"/>
      <c r="H314" s="119" t="e">
        <f>VLOOKUP($C314,成品本月库存!$B:$J,9,0)</f>
        <v>#N/A</v>
      </c>
    </row>
    <row r="315" ht="16.5" spans="1:8">
      <c r="A315" s="80"/>
      <c r="B315" s="131"/>
      <c r="C315" s="98"/>
      <c r="D315" s="118" t="e">
        <f>VLOOKUP($C315,成品本月库存!$B:$J,2,0)</f>
        <v>#N/A</v>
      </c>
      <c r="E315" s="118" t="e">
        <f>VLOOKUP($C315,成品本月库存!$B:$J,5,0)</f>
        <v>#N/A</v>
      </c>
      <c r="F315" s="119"/>
      <c r="G315" s="119"/>
      <c r="H315" s="119" t="e">
        <f>VLOOKUP($C315,成品本月库存!$B:$J,9,0)</f>
        <v>#N/A</v>
      </c>
    </row>
    <row r="316" ht="16.5" spans="1:8">
      <c r="A316" s="80"/>
      <c r="B316" s="131"/>
      <c r="C316" s="98"/>
      <c r="D316" s="118" t="e">
        <f>VLOOKUP($C316,成品本月库存!$B:$J,2,0)</f>
        <v>#N/A</v>
      </c>
      <c r="E316" s="118" t="e">
        <f>VLOOKUP($C316,成品本月库存!$B:$J,5,0)</f>
        <v>#N/A</v>
      </c>
      <c r="F316" s="119"/>
      <c r="G316" s="119"/>
      <c r="H316" s="119" t="e">
        <f>VLOOKUP($C316,成品本月库存!$B:$J,9,0)</f>
        <v>#N/A</v>
      </c>
    </row>
    <row r="317" ht="16.5" spans="1:8">
      <c r="A317" s="80"/>
      <c r="B317" s="131"/>
      <c r="C317" s="98"/>
      <c r="D317" s="118" t="e">
        <f>VLOOKUP($C317,成品本月库存!$B:$J,2,0)</f>
        <v>#N/A</v>
      </c>
      <c r="E317" s="118" t="e">
        <f>VLOOKUP($C317,成品本月库存!$B:$J,5,0)</f>
        <v>#N/A</v>
      </c>
      <c r="F317" s="119"/>
      <c r="G317" s="119"/>
      <c r="H317" s="119" t="e">
        <f>VLOOKUP($C317,成品本月库存!$B:$J,9,0)</f>
        <v>#N/A</v>
      </c>
    </row>
    <row r="318" ht="16.5" spans="1:8">
      <c r="A318" s="80"/>
      <c r="B318" s="131"/>
      <c r="C318" s="98"/>
      <c r="D318" s="118" t="e">
        <f>VLOOKUP($C318,成品本月库存!$B:$J,2,0)</f>
        <v>#N/A</v>
      </c>
      <c r="E318" s="118" t="e">
        <f>VLOOKUP($C318,成品本月库存!$B:$J,5,0)</f>
        <v>#N/A</v>
      </c>
      <c r="F318" s="119"/>
      <c r="G318" s="119"/>
      <c r="H318" s="119" t="e">
        <f>VLOOKUP($C318,成品本月库存!$B:$J,9,0)</f>
        <v>#N/A</v>
      </c>
    </row>
    <row r="319" ht="16.5" spans="1:8">
      <c r="A319" s="80"/>
      <c r="B319" s="131"/>
      <c r="C319" s="98"/>
      <c r="D319" s="118" t="e">
        <f>VLOOKUP($C319,成品本月库存!$B:$J,2,0)</f>
        <v>#N/A</v>
      </c>
      <c r="E319" s="118" t="e">
        <f>VLOOKUP($C319,成品本月库存!$B:$J,5,0)</f>
        <v>#N/A</v>
      </c>
      <c r="F319" s="119"/>
      <c r="G319" s="119"/>
      <c r="H319" s="119" t="e">
        <f>VLOOKUP($C319,成品本月库存!$B:$J,9,0)</f>
        <v>#N/A</v>
      </c>
    </row>
    <row r="320" ht="16.5" spans="1:8">
      <c r="A320" s="80"/>
      <c r="B320" s="131"/>
      <c r="C320" s="98"/>
      <c r="D320" s="118" t="e">
        <f>VLOOKUP($C320,成品本月库存!$B:$J,2,0)</f>
        <v>#N/A</v>
      </c>
      <c r="E320" s="118" t="e">
        <f>VLOOKUP($C320,成品本月库存!$B:$J,5,0)</f>
        <v>#N/A</v>
      </c>
      <c r="F320" s="119"/>
      <c r="G320" s="119"/>
      <c r="H320" s="119" t="e">
        <f>VLOOKUP($C320,成品本月库存!$B:$J,9,0)</f>
        <v>#N/A</v>
      </c>
    </row>
    <row r="321" ht="16.5" spans="1:8">
      <c r="A321" s="80"/>
      <c r="B321" s="131"/>
      <c r="C321" s="98"/>
      <c r="D321" s="118" t="e">
        <f>VLOOKUP($C321,成品本月库存!$B:$J,2,0)</f>
        <v>#N/A</v>
      </c>
      <c r="E321" s="118" t="e">
        <f>VLOOKUP($C321,成品本月库存!$B:$J,5,0)</f>
        <v>#N/A</v>
      </c>
      <c r="F321" s="119"/>
      <c r="G321" s="119"/>
      <c r="H321" s="119" t="e">
        <f>VLOOKUP($C321,成品本月库存!$B:$J,9,0)</f>
        <v>#N/A</v>
      </c>
    </row>
    <row r="322" ht="16.5" spans="1:8">
      <c r="A322" s="80"/>
      <c r="B322" s="131"/>
      <c r="C322" s="98"/>
      <c r="D322" s="118" t="e">
        <f>VLOOKUP($C322,成品本月库存!$B:$J,2,0)</f>
        <v>#N/A</v>
      </c>
      <c r="E322" s="118" t="e">
        <f>VLOOKUP($C322,成品本月库存!$B:$J,5,0)</f>
        <v>#N/A</v>
      </c>
      <c r="F322" s="119"/>
      <c r="G322" s="119"/>
      <c r="H322" s="119" t="e">
        <f>VLOOKUP($C322,成品本月库存!$B:$J,9,0)</f>
        <v>#N/A</v>
      </c>
    </row>
    <row r="323" ht="16.5" spans="1:8">
      <c r="A323" s="80"/>
      <c r="B323" s="131"/>
      <c r="C323" s="98"/>
      <c r="D323" s="118" t="e">
        <f>VLOOKUP($C323,成品本月库存!$B:$J,2,0)</f>
        <v>#N/A</v>
      </c>
      <c r="E323" s="118" t="e">
        <f>VLOOKUP($C323,成品本月库存!$B:$J,5,0)</f>
        <v>#N/A</v>
      </c>
      <c r="F323" s="119"/>
      <c r="G323" s="119"/>
      <c r="H323" s="119" t="e">
        <f>VLOOKUP($C323,成品本月库存!$B:$J,9,0)</f>
        <v>#N/A</v>
      </c>
    </row>
    <row r="324" ht="16.5" spans="1:8">
      <c r="A324" s="80"/>
      <c r="B324" s="131"/>
      <c r="C324" s="98"/>
      <c r="D324" s="118" t="e">
        <f>VLOOKUP($C324,成品本月库存!$B:$J,2,0)</f>
        <v>#N/A</v>
      </c>
      <c r="E324" s="118" t="e">
        <f>VLOOKUP($C324,成品本月库存!$B:$J,5,0)</f>
        <v>#N/A</v>
      </c>
      <c r="F324" s="119"/>
      <c r="G324" s="119"/>
      <c r="H324" s="119" t="e">
        <f>VLOOKUP($C324,成品本月库存!$B:$J,9,0)</f>
        <v>#N/A</v>
      </c>
    </row>
    <row r="325" ht="16.5" spans="1:8">
      <c r="A325" s="80"/>
      <c r="B325" s="131"/>
      <c r="C325" s="98"/>
      <c r="D325" s="118" t="e">
        <f>VLOOKUP($C325,成品本月库存!$B:$J,2,0)</f>
        <v>#N/A</v>
      </c>
      <c r="E325" s="118" t="e">
        <f>VLOOKUP($C325,成品本月库存!$B:$J,5,0)</f>
        <v>#N/A</v>
      </c>
      <c r="F325" s="119"/>
      <c r="G325" s="119"/>
      <c r="H325" s="119" t="e">
        <f>VLOOKUP($C325,成品本月库存!$B:$J,9,0)</f>
        <v>#N/A</v>
      </c>
    </row>
    <row r="326" ht="16.5" spans="1:8">
      <c r="A326" s="80"/>
      <c r="B326" s="131"/>
      <c r="C326" s="98"/>
      <c r="D326" s="118" t="e">
        <f>VLOOKUP($C326,成品本月库存!$B:$J,2,0)</f>
        <v>#N/A</v>
      </c>
      <c r="E326" s="118" t="e">
        <f>VLOOKUP($C326,成品本月库存!$B:$J,5,0)</f>
        <v>#N/A</v>
      </c>
      <c r="F326" s="119"/>
      <c r="G326" s="119"/>
      <c r="H326" s="119" t="e">
        <f>VLOOKUP($C326,成品本月库存!$B:$J,9,0)</f>
        <v>#N/A</v>
      </c>
    </row>
    <row r="327" ht="16.5" spans="1:8">
      <c r="A327" s="80"/>
      <c r="B327" s="131"/>
      <c r="C327" s="98"/>
      <c r="D327" s="118" t="e">
        <f>VLOOKUP($C327,成品本月库存!$B:$J,2,0)</f>
        <v>#N/A</v>
      </c>
      <c r="E327" s="118" t="e">
        <f>VLOOKUP($C327,成品本月库存!$B:$J,5,0)</f>
        <v>#N/A</v>
      </c>
      <c r="F327" s="119"/>
      <c r="G327" s="119"/>
      <c r="H327" s="119" t="e">
        <f>VLOOKUP($C327,成品本月库存!$B:$J,9,0)</f>
        <v>#N/A</v>
      </c>
    </row>
    <row r="328" ht="16.5" spans="1:8">
      <c r="A328" s="80"/>
      <c r="B328" s="131"/>
      <c r="C328" s="98"/>
      <c r="D328" s="118" t="e">
        <f>VLOOKUP($C328,成品本月库存!$B:$J,2,0)</f>
        <v>#N/A</v>
      </c>
      <c r="E328" s="118" t="e">
        <f>VLOOKUP($C328,成品本月库存!$B:$J,5,0)</f>
        <v>#N/A</v>
      </c>
      <c r="F328" s="119"/>
      <c r="G328" s="119"/>
      <c r="H328" s="119" t="e">
        <f>VLOOKUP($C328,成品本月库存!$B:$J,9,0)</f>
        <v>#N/A</v>
      </c>
    </row>
    <row r="329" ht="16.5" spans="1:8">
      <c r="A329" s="80"/>
      <c r="B329" s="131"/>
      <c r="C329" s="98"/>
      <c r="D329" s="118" t="e">
        <f>VLOOKUP($C329,成品本月库存!$B:$J,2,0)</f>
        <v>#N/A</v>
      </c>
      <c r="E329" s="118" t="e">
        <f>VLOOKUP($C329,成品本月库存!$B:$J,5,0)</f>
        <v>#N/A</v>
      </c>
      <c r="F329" s="119"/>
      <c r="G329" s="119"/>
      <c r="H329" s="119" t="e">
        <f>VLOOKUP($C329,成品本月库存!$B:$J,9,0)</f>
        <v>#N/A</v>
      </c>
    </row>
    <row r="330" ht="16.5" spans="1:8">
      <c r="A330" s="80"/>
      <c r="B330" s="131"/>
      <c r="C330" s="98"/>
      <c r="D330" s="118" t="e">
        <f>VLOOKUP($C330,成品本月库存!$B:$J,2,0)</f>
        <v>#N/A</v>
      </c>
      <c r="E330" s="118" t="e">
        <f>VLOOKUP($C330,成品本月库存!$B:$J,5,0)</f>
        <v>#N/A</v>
      </c>
      <c r="F330" s="119"/>
      <c r="G330" s="119"/>
      <c r="H330" s="119" t="e">
        <f>VLOOKUP($C330,成品本月库存!$B:$J,9,0)</f>
        <v>#N/A</v>
      </c>
    </row>
    <row r="331" ht="16.5" spans="1:8">
      <c r="A331" s="80"/>
      <c r="B331" s="131"/>
      <c r="C331" s="98"/>
      <c r="D331" s="118" t="e">
        <f>VLOOKUP($C331,成品本月库存!$B:$J,2,0)</f>
        <v>#N/A</v>
      </c>
      <c r="E331" s="118" t="e">
        <f>VLOOKUP($C331,成品本月库存!$B:$J,5,0)</f>
        <v>#N/A</v>
      </c>
      <c r="F331" s="119"/>
      <c r="G331" s="119"/>
      <c r="H331" s="119" t="e">
        <f>VLOOKUP($C331,成品本月库存!$B:$J,9,0)</f>
        <v>#N/A</v>
      </c>
    </row>
    <row r="332" ht="16.5" spans="1:8">
      <c r="A332" s="80"/>
      <c r="B332" s="131"/>
      <c r="C332" s="98"/>
      <c r="D332" s="118" t="e">
        <f>VLOOKUP($C332,成品本月库存!$B:$J,2,0)</f>
        <v>#N/A</v>
      </c>
      <c r="E332" s="118" t="e">
        <f>VLOOKUP($C332,成品本月库存!$B:$J,5,0)</f>
        <v>#N/A</v>
      </c>
      <c r="F332" s="119"/>
      <c r="G332" s="119"/>
      <c r="H332" s="119" t="e">
        <f>VLOOKUP($C332,成品本月库存!$B:$J,9,0)</f>
        <v>#N/A</v>
      </c>
    </row>
  </sheetData>
  <pageMargins left="0.196527777777778" right="0.0784722222222222" top="0.0784722222222222" bottom="0.156944444444444" header="0.196527777777778" footer="0.118055555555556"/>
  <pageSetup paperSize="9" scale="61" orientation="portrait" horizontalDpi="600"/>
  <headerFooter/>
  <rowBreaks count="3" manualBreakCount="3">
    <brk id="173" max="8" man="1"/>
    <brk id="255" max="8" man="1"/>
    <brk id="273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2"/>
  <sheetViews>
    <sheetView showGridLines="0" tabSelected="1" workbookViewId="0">
      <pane ySplit="1" topLeftCell="A2" activePane="bottomLeft" state="frozen"/>
      <selection/>
      <selection pane="bottomLeft" activeCell="I13" sqref="I13"/>
    </sheetView>
  </sheetViews>
  <sheetFormatPr defaultColWidth="9" defaultRowHeight="18" customHeight="1"/>
  <cols>
    <col min="1" max="1" width="13.875" style="70" customWidth="1"/>
    <col min="2" max="2" width="12" style="70" customWidth="1"/>
    <col min="3" max="3" width="16" style="70" customWidth="1"/>
    <col min="4" max="4" width="12.25" style="70" customWidth="1"/>
    <col min="5" max="5" width="41.75" style="70" customWidth="1"/>
    <col min="6" max="6" width="8.75" style="70" customWidth="1"/>
    <col min="7" max="7" width="11" style="70" customWidth="1"/>
    <col min="8" max="8" width="16.875" style="70" customWidth="1"/>
    <col min="9" max="9" width="32.875" style="71" customWidth="1"/>
    <col min="10" max="16384" width="9" style="69"/>
  </cols>
  <sheetData>
    <row r="1" s="69" customFormat="1" ht="23" customHeight="1" spans="1:9">
      <c r="A1" s="72" t="s">
        <v>292</v>
      </c>
      <c r="B1" s="73" t="s">
        <v>293</v>
      </c>
      <c r="C1" s="74" t="s">
        <v>294</v>
      </c>
      <c r="D1" s="75" t="s">
        <v>3</v>
      </c>
      <c r="E1" s="76" t="s">
        <v>4</v>
      </c>
      <c r="F1" s="77" t="s">
        <v>5</v>
      </c>
      <c r="G1" s="77" t="s">
        <v>6</v>
      </c>
      <c r="H1" s="78" t="s">
        <v>8</v>
      </c>
      <c r="I1" s="79" t="s">
        <v>7</v>
      </c>
    </row>
    <row r="2" customHeight="1" spans="1:9">
      <c r="A2" s="80" t="s">
        <v>295</v>
      </c>
      <c r="B2" s="81">
        <v>46209</v>
      </c>
      <c r="C2" s="132" t="s">
        <v>296</v>
      </c>
      <c r="D2" s="82" t="s">
        <v>297</v>
      </c>
      <c r="E2" s="83" t="str">
        <f>VLOOKUP($D2,成品本月库存!$B:$J,2,0)</f>
        <v>扳手810端盖--黑色</v>
      </c>
      <c r="F2" s="83" t="str">
        <f>VLOOKUP($D2,成品本月库存!$B:$J,5,0)</f>
        <v>PCS</v>
      </c>
      <c r="G2" s="84">
        <v>2985</v>
      </c>
      <c r="H2" s="83">
        <f>VLOOKUP($D2,成品本月库存!$B:$J,9,0)</f>
        <v>842</v>
      </c>
      <c r="I2" s="85"/>
    </row>
    <row r="3" customHeight="1" spans="1:9">
      <c r="A3" s="80" t="s">
        <v>295</v>
      </c>
      <c r="B3" s="81">
        <v>46209</v>
      </c>
      <c r="C3" s="132" t="s">
        <v>296</v>
      </c>
      <c r="D3" s="82" t="s">
        <v>202</v>
      </c>
      <c r="E3" s="83" t="str">
        <f>VLOOKUP($D3,成品本月库存!$B:$J,2,0)</f>
        <v>扳手810STK2头壳</v>
      </c>
      <c r="F3" s="83" t="str">
        <f>VLOOKUP($D3,成品本月库存!$B:$J,5,0)</f>
        <v>PCS</v>
      </c>
      <c r="G3" s="84">
        <v>1173</v>
      </c>
      <c r="H3" s="83">
        <f>VLOOKUP($D3,成品本月库存!$B:$J,9,0)</f>
        <v>-7</v>
      </c>
      <c r="I3" s="85"/>
    </row>
    <row r="4" customHeight="1" spans="1:9">
      <c r="A4" s="80" t="s">
        <v>298</v>
      </c>
      <c r="B4" s="81">
        <v>46207</v>
      </c>
      <c r="C4" s="132" t="s">
        <v>299</v>
      </c>
      <c r="D4" s="82" t="s">
        <v>60</v>
      </c>
      <c r="E4" s="83" t="str">
        <f>VLOOKUP($D4,成品本月库存!$B:$J,2,0)</f>
        <v>T93-20</v>
      </c>
      <c r="F4" s="83" t="str">
        <f>VLOOKUP($D4,成品本月库存!$B:$J,5,0)</f>
        <v>PCS</v>
      </c>
      <c r="G4" s="84">
        <v>-256</v>
      </c>
      <c r="H4" s="83">
        <f>VLOOKUP($D4,成品本月库存!$B:$J,9,0)</f>
        <v>3846</v>
      </c>
      <c r="I4" s="85"/>
    </row>
    <row r="5" customHeight="1" spans="1:9">
      <c r="A5" s="80" t="s">
        <v>298</v>
      </c>
      <c r="B5" s="81">
        <v>46207</v>
      </c>
      <c r="C5" s="132" t="s">
        <v>299</v>
      </c>
      <c r="D5" s="82" t="s">
        <v>225</v>
      </c>
      <c r="E5" s="83" t="str">
        <f>VLOOKUP($D5,成品本月库存!$B:$J,2,0)</f>
        <v>起子机2108-L头壳含轴套 （世达款）</v>
      </c>
      <c r="F5" s="83" t="str">
        <f>VLOOKUP($D5,成品本月库存!$B:$J,5,0)</f>
        <v>PCS</v>
      </c>
      <c r="G5" s="84">
        <v>-4</v>
      </c>
      <c r="H5" s="83">
        <f>VLOOKUP($D5,成品本月库存!$B:$J,9,0)</f>
        <v>107</v>
      </c>
      <c r="I5" s="85"/>
    </row>
    <row r="6" customHeight="1" spans="1:9">
      <c r="A6" s="80" t="s">
        <v>298</v>
      </c>
      <c r="B6" s="81">
        <v>46207</v>
      </c>
      <c r="C6" s="132" t="s">
        <v>299</v>
      </c>
      <c r="D6" s="82" t="s">
        <v>76</v>
      </c>
      <c r="E6" s="83" t="str">
        <f>VLOOKUP($D6,成品本月库存!$B:$J,2,0)</f>
        <v>JK111-03机壳（无牙）</v>
      </c>
      <c r="F6" s="83" t="str">
        <f>VLOOKUP($D6,成品本月库存!$B:$J,5,0)</f>
        <v>PCS</v>
      </c>
      <c r="G6" s="84">
        <v>-1</v>
      </c>
      <c r="H6" s="83">
        <f>VLOOKUP($D6,成品本月库存!$B:$J,9,0)</f>
        <v>7933</v>
      </c>
      <c r="I6" s="86"/>
    </row>
    <row r="7" customHeight="1" spans="1:9">
      <c r="A7" s="80" t="s">
        <v>298</v>
      </c>
      <c r="B7" s="81">
        <v>46207</v>
      </c>
      <c r="C7" s="132" t="s">
        <v>299</v>
      </c>
      <c r="D7" s="82" t="s">
        <v>60</v>
      </c>
      <c r="E7" s="83" t="str">
        <f>VLOOKUP($D7,成品本月库存!$B:$J,2,0)</f>
        <v>T93-20</v>
      </c>
      <c r="F7" s="83" t="str">
        <f>VLOOKUP($D7,成品本月库存!$B:$J,5,0)</f>
        <v>PCS</v>
      </c>
      <c r="G7" s="84">
        <v>-155</v>
      </c>
      <c r="H7" s="83">
        <f>VLOOKUP($D7,成品本月库存!$B:$J,9,0)</f>
        <v>3846</v>
      </c>
      <c r="I7" s="86"/>
    </row>
    <row r="8" customHeight="1" spans="1:9">
      <c r="A8" s="72" t="s">
        <v>300</v>
      </c>
      <c r="B8" s="81">
        <v>46210</v>
      </c>
      <c r="C8" s="132" t="s">
        <v>301</v>
      </c>
      <c r="D8" s="82" t="s">
        <v>302</v>
      </c>
      <c r="E8" s="83" t="str">
        <f>VLOOKUP($D8,成品本月库存!$B:$J,2,0)</f>
        <v>双嘴钳</v>
      </c>
      <c r="F8" s="83" t="str">
        <f>VLOOKUP($D8,成品本月库存!$B:$J,5,0)</f>
        <v>PCS</v>
      </c>
      <c r="G8" s="83">
        <v>5088</v>
      </c>
      <c r="H8" s="83">
        <f>VLOOKUP($D8,成品本月库存!$B:$J,9,0)</f>
        <v>-7</v>
      </c>
      <c r="I8" s="85"/>
    </row>
    <row r="9" customHeight="1" spans="1:9">
      <c r="A9" s="72" t="s">
        <v>295</v>
      </c>
      <c r="B9" s="81">
        <v>46210</v>
      </c>
      <c r="C9" s="132" t="s">
        <v>303</v>
      </c>
      <c r="D9" s="82" t="s">
        <v>204</v>
      </c>
      <c r="E9" s="83" t="str">
        <f>VLOOKUP($D9,成品本月库存!$B:$J,2,0)</f>
        <v>扳手810STK2头壳-黑色</v>
      </c>
      <c r="F9" s="83" t="str">
        <f>VLOOKUP($D9,成品本月库存!$B:$J,5,0)</f>
        <v>PCS</v>
      </c>
      <c r="G9" s="84">
        <v>1000</v>
      </c>
      <c r="H9" s="83">
        <f>VLOOKUP($D9,成品本月库存!$B:$J,9,0)</f>
        <v>2</v>
      </c>
      <c r="I9" s="85"/>
    </row>
    <row r="10" customHeight="1" spans="1:9">
      <c r="A10" s="72" t="s">
        <v>295</v>
      </c>
      <c r="B10" s="81">
        <v>46210</v>
      </c>
      <c r="C10" s="132" t="s">
        <v>303</v>
      </c>
      <c r="D10" s="82" t="s">
        <v>179</v>
      </c>
      <c r="E10" s="83" t="str">
        <f>VLOOKUP($D10,成品本月库存!$B:$J,2,0)</f>
        <v>扳手818头壳（带花纹含轴套）</v>
      </c>
      <c r="F10" s="83" t="str">
        <f>VLOOKUP($D10,成品本月库存!$B:$J,5,0)</f>
        <v>PCS</v>
      </c>
      <c r="G10" s="84">
        <v>1200</v>
      </c>
      <c r="H10" s="83">
        <f>VLOOKUP($D10,成品本月库存!$B:$J,9,0)</f>
        <v>4258</v>
      </c>
      <c r="I10" s="85"/>
    </row>
    <row r="11" customHeight="1" spans="1:9">
      <c r="A11" s="72" t="s">
        <v>295</v>
      </c>
      <c r="B11" s="81">
        <v>46210</v>
      </c>
      <c r="C11" s="132" t="s">
        <v>303</v>
      </c>
      <c r="D11" s="82" t="s">
        <v>173</v>
      </c>
      <c r="E11" s="83" t="str">
        <f>VLOOKUP($D11,成品本月库存!$B:$J,2,0)</f>
        <v>扳手809头壳(含轴套)</v>
      </c>
      <c r="F11" s="83" t="str">
        <f>VLOOKUP($D11,成品本月库存!$B:$J,5,0)</f>
        <v>PCS</v>
      </c>
      <c r="G11" s="84">
        <v>3116</v>
      </c>
      <c r="H11" s="83">
        <f>VLOOKUP($D11,成品本月库存!$B:$J,9,0)</f>
        <v>1675</v>
      </c>
      <c r="I11" s="85"/>
    </row>
    <row r="12" customHeight="1" spans="1:9">
      <c r="A12" s="72" t="s">
        <v>295</v>
      </c>
      <c r="B12" s="81">
        <v>46210</v>
      </c>
      <c r="C12" s="132" t="s">
        <v>303</v>
      </c>
      <c r="D12" s="82" t="s">
        <v>175</v>
      </c>
      <c r="E12" s="83" t="str">
        <f>VLOOKUP($D12,成品本月库存!$B:$J,2,0)</f>
        <v>起子机2108-W头壳（230N头壳无轴套）</v>
      </c>
      <c r="F12" s="83" t="str">
        <f>VLOOKUP($D12,成品本月库存!$B:$J,5,0)</f>
        <v>PCS</v>
      </c>
      <c r="G12" s="84">
        <v>200</v>
      </c>
      <c r="H12" s="83">
        <f>VLOOKUP($D12,成品本月库存!$B:$J,9,0)</f>
        <v>1670</v>
      </c>
      <c r="I12" s="85"/>
    </row>
    <row r="13" customHeight="1" spans="1:9">
      <c r="A13" s="72" t="s">
        <v>304</v>
      </c>
      <c r="B13" s="81">
        <v>46210</v>
      </c>
      <c r="C13" s="133" t="s">
        <v>305</v>
      </c>
      <c r="D13" s="82" t="s">
        <v>127</v>
      </c>
      <c r="E13" s="83" t="str">
        <f>VLOOKUP($D13,成品本月库存!$B:$J,2,0)</f>
        <v>HH8513旋钮</v>
      </c>
      <c r="F13" s="83" t="str">
        <f>VLOOKUP($D13,成品本月库存!$B:$J,5,0)</f>
        <v>PCS</v>
      </c>
      <c r="G13" s="84">
        <v>5034</v>
      </c>
      <c r="H13" s="83">
        <f>VLOOKUP($D13,成品本月库存!$B:$J,9,0)</f>
        <v>14190</v>
      </c>
      <c r="I13" s="85"/>
    </row>
    <row r="14" customHeight="1" spans="1:9">
      <c r="A14" s="72" t="s">
        <v>306</v>
      </c>
      <c r="B14" s="81">
        <v>46210</v>
      </c>
      <c r="C14" s="133" t="s">
        <v>307</v>
      </c>
      <c r="D14" s="82" t="s">
        <v>133</v>
      </c>
      <c r="E14" s="83" t="str">
        <f>VLOOKUP($D14,成品本月库存!$B:$J,2,0)</f>
        <v>8527散热片</v>
      </c>
      <c r="F14" s="83" t="str">
        <f>VLOOKUP($D14,成品本月库存!$B:$J,5,0)</f>
        <v>PCS</v>
      </c>
      <c r="G14" s="84">
        <v>7404</v>
      </c>
      <c r="H14" s="83">
        <f>VLOOKUP($D14,成品本月库存!$B:$J,9,0)</f>
        <v>7676</v>
      </c>
      <c r="I14" s="85"/>
    </row>
    <row r="15" customHeight="1" spans="1:9">
      <c r="A15" s="72" t="s">
        <v>308</v>
      </c>
      <c r="B15" s="81">
        <v>46211</v>
      </c>
      <c r="C15" s="133" t="s">
        <v>309</v>
      </c>
      <c r="D15" s="10" t="s">
        <v>76</v>
      </c>
      <c r="E15" s="83" t="str">
        <f>VLOOKUP($D15,成品本月库存!$B:$J,2,0)</f>
        <v>JK111-03机壳（无牙）</v>
      </c>
      <c r="F15" s="83" t="str">
        <f>VLOOKUP($D15,成品本月库存!$B:$J,5,0)</f>
        <v>PCS</v>
      </c>
      <c r="G15" s="84">
        <v>4500</v>
      </c>
      <c r="H15" s="83">
        <f>VLOOKUP($D15,成品本月库存!$B:$J,9,0)</f>
        <v>7933</v>
      </c>
      <c r="I15" s="85"/>
    </row>
    <row r="16" customHeight="1" spans="1:9">
      <c r="A16" s="72" t="s">
        <v>295</v>
      </c>
      <c r="B16" s="81">
        <v>46211</v>
      </c>
      <c r="C16" s="87" t="s">
        <v>310</v>
      </c>
      <c r="D16" s="82" t="s">
        <v>179</v>
      </c>
      <c r="E16" s="83" t="str">
        <f>VLOOKUP($D16,成品本月库存!$B:$J,2,0)</f>
        <v>扳手818头壳（带花纹含轴套）</v>
      </c>
      <c r="F16" s="83" t="str">
        <f>VLOOKUP($D16,成品本月库存!$B:$J,5,0)</f>
        <v>PCS</v>
      </c>
      <c r="G16" s="84">
        <v>1342</v>
      </c>
      <c r="H16" s="83">
        <f>VLOOKUP($D16,成品本月库存!$B:$J,9,0)</f>
        <v>4258</v>
      </c>
      <c r="I16" s="85"/>
    </row>
    <row r="17" customHeight="1" spans="1:10">
      <c r="A17" s="72" t="s">
        <v>295</v>
      </c>
      <c r="B17" s="81">
        <v>46211</v>
      </c>
      <c r="C17" s="87" t="s">
        <v>310</v>
      </c>
      <c r="D17" s="82" t="s">
        <v>204</v>
      </c>
      <c r="E17" s="83" t="str">
        <f>VLOOKUP($D17,成品本月库存!$B:$J,2,0)</f>
        <v>扳手810STK2头壳-黑色</v>
      </c>
      <c r="F17" s="83" t="str">
        <f>VLOOKUP($D17,成品本月库存!$B:$J,5,0)</f>
        <v>PCS</v>
      </c>
      <c r="G17" s="84">
        <v>1000</v>
      </c>
      <c r="H17" s="83">
        <f>VLOOKUP($D17,成品本月库存!$B:$J,9,0)</f>
        <v>2</v>
      </c>
      <c r="I17" s="85"/>
    </row>
    <row r="18" customHeight="1" spans="1:10">
      <c r="A18" s="72" t="s">
        <v>295</v>
      </c>
      <c r="B18" s="81">
        <v>46211</v>
      </c>
      <c r="C18" s="87" t="s">
        <v>310</v>
      </c>
      <c r="D18" s="10" t="s">
        <v>284</v>
      </c>
      <c r="E18" s="83" t="str">
        <f>VLOOKUP($D18,成品本月库存!$B:$J,2,0)</f>
        <v>扳手806S头壳 SD</v>
      </c>
      <c r="F18" s="83" t="str">
        <f>VLOOKUP($D18,成品本月库存!$B:$J,5,0)</f>
        <v>PCS</v>
      </c>
      <c r="G18" s="84">
        <v>2400</v>
      </c>
      <c r="H18" s="83">
        <f>VLOOKUP($D18,成品本月库存!$B:$J,9,0)</f>
        <v>-247</v>
      </c>
      <c r="I18" s="85"/>
    </row>
    <row r="19" customHeight="1" spans="1:10">
      <c r="A19" s="72" t="s">
        <v>311</v>
      </c>
      <c r="B19" s="81">
        <v>46211</v>
      </c>
      <c r="C19" s="87" t="s">
        <v>312</v>
      </c>
      <c r="D19" s="10" t="s">
        <v>245</v>
      </c>
      <c r="E19" s="83" t="str">
        <f>VLOOKUP($D19,成品本月库存!$B:$J,2,0)</f>
        <v>PL9-01160-30-0A(双目支架）</v>
      </c>
      <c r="F19" s="83" t="str">
        <f>VLOOKUP($D19,成品本月库存!$B:$J,5,0)</f>
        <v>PCS</v>
      </c>
      <c r="G19" s="84">
        <v>2066</v>
      </c>
      <c r="H19" s="83">
        <f>VLOOKUP($D19,成品本月库存!$B:$J,9,0)</f>
        <v>2069</v>
      </c>
      <c r="I19" s="85"/>
    </row>
    <row r="20" customHeight="1" spans="1:10">
      <c r="A20" s="72" t="s">
        <v>313</v>
      </c>
      <c r="B20" s="81">
        <v>46211</v>
      </c>
      <c r="C20" s="87" t="s">
        <v>314</v>
      </c>
      <c r="D20" s="10" t="s">
        <v>74</v>
      </c>
      <c r="E20" s="83" t="str">
        <f>VLOOKUP($D20,成品本月库存!$B:$J,2,0)</f>
        <v>T93-33镭雕（4孔）</v>
      </c>
      <c r="F20" s="83" t="str">
        <f>VLOOKUP($D20,成品本月库存!$B:$J,5,0)</f>
        <v>PCS</v>
      </c>
      <c r="G20" s="84">
        <v>1080</v>
      </c>
      <c r="H20" s="83">
        <f>VLOOKUP($D20,成品本月库存!$B:$J,9,0)</f>
        <v>887</v>
      </c>
      <c r="I20" s="85"/>
    </row>
    <row r="21" customHeight="1" spans="1:10">
      <c r="A21" s="72" t="s">
        <v>315</v>
      </c>
      <c r="B21" s="81">
        <v>46211</v>
      </c>
      <c r="C21" s="87" t="s">
        <v>316</v>
      </c>
      <c r="D21" s="10" t="s">
        <v>127</v>
      </c>
      <c r="E21" s="83" t="str">
        <f>VLOOKUP($D21,成品本月库存!$B:$J,2,0)</f>
        <v>HH8513旋钮</v>
      </c>
      <c r="F21" s="83" t="str">
        <f>VLOOKUP($D21,成品本月库存!$B:$J,5,0)</f>
        <v>PCS</v>
      </c>
      <c r="G21" s="84">
        <v>4116</v>
      </c>
      <c r="H21" s="83">
        <f>VLOOKUP($D21,成品本月库存!$B:$J,9,0)</f>
        <v>14190</v>
      </c>
      <c r="I21" s="85"/>
    </row>
    <row r="22" customHeight="1" spans="1:10">
      <c r="A22" s="72"/>
      <c r="B22" s="81"/>
      <c r="C22" s="87"/>
      <c r="D22" s="82"/>
      <c r="E22" s="83" t="e">
        <f>VLOOKUP($D22,成品本月库存!$B:$J,2,0)</f>
        <v>#N/A</v>
      </c>
      <c r="F22" s="83" t="e">
        <f>VLOOKUP($D22,成品本月库存!$B:$J,5,0)</f>
        <v>#N/A</v>
      </c>
      <c r="G22" s="84"/>
      <c r="H22" s="83" t="e">
        <f>VLOOKUP($D22,成品本月库存!$B:$J,9,0)</f>
        <v>#N/A</v>
      </c>
      <c r="I22" s="85"/>
    </row>
    <row r="23" customHeight="1" spans="1:10">
      <c r="A23" s="72"/>
      <c r="B23" s="81"/>
      <c r="C23" s="87"/>
      <c r="D23" s="82"/>
      <c r="E23" s="83" t="e">
        <f>VLOOKUP($D23,成品本月库存!$B:$J,2,0)</f>
        <v>#N/A</v>
      </c>
      <c r="F23" s="83" t="e">
        <f>VLOOKUP($D23,成品本月库存!$B:$J,5,0)</f>
        <v>#N/A</v>
      </c>
      <c r="G23" s="84"/>
      <c r="H23" s="83" t="e">
        <f>VLOOKUP($D23,成品本月库存!$B:$J,9,0)</f>
        <v>#N/A</v>
      </c>
      <c r="I23" s="85"/>
    </row>
    <row r="24" customHeight="1" spans="1:10">
      <c r="A24" s="72"/>
      <c r="B24" s="81"/>
      <c r="C24" s="87"/>
      <c r="D24" s="82"/>
      <c r="E24" s="83" t="e">
        <f>VLOOKUP($D24,成品本月库存!$B:$J,2,0)</f>
        <v>#N/A</v>
      </c>
      <c r="F24" s="83" t="e">
        <f>VLOOKUP($D24,成品本月库存!$B:$J,5,0)</f>
        <v>#N/A</v>
      </c>
      <c r="G24" s="84"/>
      <c r="H24" s="83" t="e">
        <f>VLOOKUP($D24,成品本月库存!$B:$J,9,0)</f>
        <v>#N/A</v>
      </c>
      <c r="I24" s="85"/>
    </row>
    <row r="25" customHeight="1" spans="1:10">
      <c r="A25" s="72"/>
      <c r="B25" s="81"/>
      <c r="C25" s="87"/>
      <c r="D25" s="82"/>
      <c r="E25" s="83" t="e">
        <f>VLOOKUP($D25,成品本月库存!$B:$J,2,0)</f>
        <v>#N/A</v>
      </c>
      <c r="F25" s="83" t="e">
        <f>VLOOKUP($D25,成品本月库存!$B:$J,5,0)</f>
        <v>#N/A</v>
      </c>
      <c r="G25" s="84"/>
      <c r="H25" s="83" t="e">
        <f>VLOOKUP($D25,成品本月库存!$B:$J,9,0)</f>
        <v>#N/A</v>
      </c>
      <c r="I25" s="85"/>
    </row>
    <row r="26" customHeight="1" spans="1:10">
      <c r="A26" s="88"/>
      <c r="B26" s="81"/>
      <c r="C26" s="87"/>
      <c r="D26" s="82"/>
      <c r="E26" s="83" t="e">
        <f>VLOOKUP($D26,成品本月库存!$B:$J,2,0)</f>
        <v>#N/A</v>
      </c>
      <c r="F26" s="83" t="e">
        <f>VLOOKUP($D26,成品本月库存!$B:$J,5,0)</f>
        <v>#N/A</v>
      </c>
      <c r="G26" s="84"/>
      <c r="H26" s="83" t="e">
        <f>VLOOKUP($D26,成品本月库存!$B:$J,9,0)</f>
        <v>#N/A</v>
      </c>
      <c r="I26" s="85"/>
      <c r="J26" s="89"/>
    </row>
    <row r="27" customHeight="1" spans="1:10">
      <c r="A27" s="88"/>
      <c r="B27" s="81"/>
      <c r="C27" s="87"/>
      <c r="D27" s="82"/>
      <c r="E27" s="83" t="e">
        <f>VLOOKUP($D27,成品本月库存!$B:$J,2,0)</f>
        <v>#N/A</v>
      </c>
      <c r="F27" s="83" t="e">
        <f>VLOOKUP($D27,成品本月库存!$B:$J,5,0)</f>
        <v>#N/A</v>
      </c>
      <c r="G27" s="84"/>
      <c r="H27" s="83" t="e">
        <f>VLOOKUP($D27,成品本月库存!$B:$J,9,0)</f>
        <v>#N/A</v>
      </c>
      <c r="I27" s="85"/>
      <c r="J27" s="21"/>
    </row>
    <row r="28" customHeight="1" spans="1:10">
      <c r="A28" s="88"/>
      <c r="B28" s="81"/>
      <c r="C28" s="87"/>
      <c r="D28" s="82"/>
      <c r="E28" s="83" t="e">
        <f>VLOOKUP($D28,成品本月库存!$B:$J,2,0)</f>
        <v>#N/A</v>
      </c>
      <c r="F28" s="83" t="e">
        <f>VLOOKUP($D28,成品本月库存!$B:$J,5,0)</f>
        <v>#N/A</v>
      </c>
      <c r="G28" s="84"/>
      <c r="H28" s="83" t="e">
        <f>VLOOKUP($D28,成品本月库存!$B:$J,9,0)</f>
        <v>#N/A</v>
      </c>
      <c r="I28" s="85"/>
      <c r="J28" s="89"/>
    </row>
    <row r="29" customHeight="1" spans="1:10">
      <c r="A29" s="88"/>
      <c r="B29" s="81"/>
      <c r="C29" s="87"/>
      <c r="D29" s="82"/>
      <c r="E29" s="83" t="e">
        <f>VLOOKUP($D29,成品本月库存!$B:$J,2,0)</f>
        <v>#N/A</v>
      </c>
      <c r="F29" s="83" t="e">
        <f>VLOOKUP($D29,成品本月库存!$B:$J,5,0)</f>
        <v>#N/A</v>
      </c>
      <c r="G29" s="84"/>
      <c r="H29" s="83" t="e">
        <f>VLOOKUP($D29,成品本月库存!$B:$J,9,0)</f>
        <v>#N/A</v>
      </c>
      <c r="I29" s="85"/>
      <c r="J29" s="89"/>
    </row>
    <row r="30" customHeight="1" spans="1:10">
      <c r="A30" s="88"/>
      <c r="B30" s="81"/>
      <c r="C30" s="87"/>
      <c r="D30" s="82"/>
      <c r="E30" s="83" t="e">
        <f>VLOOKUP($D30,成品本月库存!$B:$J,2,0)</f>
        <v>#N/A</v>
      </c>
      <c r="F30" s="83" t="e">
        <f>VLOOKUP($D30,成品本月库存!$B:$J,5,0)</f>
        <v>#N/A</v>
      </c>
      <c r="G30" s="84"/>
      <c r="H30" s="83" t="e">
        <f>VLOOKUP($D30,成品本月库存!$B:$J,9,0)</f>
        <v>#N/A</v>
      </c>
      <c r="I30" s="85"/>
    </row>
    <row r="31" customHeight="1" spans="1:10">
      <c r="A31" s="88"/>
      <c r="B31" s="81"/>
      <c r="C31" s="87"/>
      <c r="D31" s="82"/>
      <c r="E31" s="83" t="e">
        <f>VLOOKUP($D31,成品本月库存!$B:$J,2,0)</f>
        <v>#N/A</v>
      </c>
      <c r="F31" s="83" t="e">
        <f>VLOOKUP($D31,成品本月库存!$B:$J,5,0)</f>
        <v>#N/A</v>
      </c>
      <c r="G31" s="84"/>
      <c r="H31" s="83" t="e">
        <f>VLOOKUP($D31,成品本月库存!$B:$J,9,0)</f>
        <v>#N/A</v>
      </c>
      <c r="I31" s="85"/>
    </row>
    <row r="32" customHeight="1" spans="1:10">
      <c r="A32" s="88"/>
      <c r="B32" s="81"/>
      <c r="C32" s="87"/>
      <c r="D32" s="82"/>
      <c r="E32" s="83" t="e">
        <f>VLOOKUP($D32,成品本月库存!$B:$J,2,0)</f>
        <v>#N/A</v>
      </c>
      <c r="F32" s="83" t="e">
        <f>VLOOKUP($D32,成品本月库存!$B:$J,5,0)</f>
        <v>#N/A</v>
      </c>
      <c r="G32" s="84"/>
      <c r="H32" s="83" t="e">
        <f>VLOOKUP($D32,成品本月库存!$B:$J,9,0)</f>
        <v>#N/A</v>
      </c>
      <c r="I32" s="85"/>
    </row>
    <row r="33" customHeight="1" spans="1:9">
      <c r="A33" s="88"/>
      <c r="B33" s="90"/>
      <c r="C33" s="87"/>
      <c r="D33" s="82"/>
      <c r="E33" s="83" t="e">
        <f>VLOOKUP($D33,成品本月库存!$B:$J,2,0)</f>
        <v>#N/A</v>
      </c>
      <c r="F33" s="83" t="e">
        <f>VLOOKUP($D33,成品本月库存!$B:$J,5,0)</f>
        <v>#N/A</v>
      </c>
      <c r="G33" s="84"/>
      <c r="H33" s="83" t="e">
        <f>VLOOKUP($D33,成品本月库存!$B:$J,9,0)</f>
        <v>#N/A</v>
      </c>
      <c r="I33" s="85"/>
    </row>
    <row r="34" customHeight="1" spans="1:9">
      <c r="A34" s="88"/>
      <c r="B34" s="90"/>
      <c r="C34" s="87"/>
      <c r="D34" s="82"/>
      <c r="E34" s="83" t="e">
        <f>VLOOKUP($D34,成品本月库存!$B:$J,2,0)</f>
        <v>#N/A</v>
      </c>
      <c r="F34" s="83" t="e">
        <f>VLOOKUP($D34,成品本月库存!$B:$J,5,0)</f>
        <v>#N/A</v>
      </c>
      <c r="G34" s="84"/>
      <c r="H34" s="83" t="e">
        <f>VLOOKUP($D34,成品本月库存!$B:$J,9,0)</f>
        <v>#N/A</v>
      </c>
      <c r="I34" s="85"/>
    </row>
    <row r="35" customHeight="1" spans="1:9">
      <c r="A35" s="88"/>
      <c r="B35" s="90"/>
      <c r="C35" s="87"/>
      <c r="D35" s="82"/>
      <c r="E35" s="83" t="e">
        <f>VLOOKUP($D35,成品本月库存!$B:$J,2,0)</f>
        <v>#N/A</v>
      </c>
      <c r="F35" s="83" t="e">
        <f>VLOOKUP($D35,成品本月库存!$B:$J,5,0)</f>
        <v>#N/A</v>
      </c>
      <c r="G35" s="84"/>
      <c r="H35" s="83" t="e">
        <f>VLOOKUP($D35,成品本月库存!$B:$J,9,0)</f>
        <v>#N/A</v>
      </c>
      <c r="I35" s="85"/>
    </row>
    <row r="36" customHeight="1" spans="1:9">
      <c r="A36" s="88"/>
      <c r="B36" s="90"/>
      <c r="C36" s="87"/>
      <c r="D36" s="82"/>
      <c r="E36" s="83" t="e">
        <f>VLOOKUP($D36,成品本月库存!$B:$J,2,0)</f>
        <v>#N/A</v>
      </c>
      <c r="F36" s="83" t="e">
        <f>VLOOKUP($D36,成品本月库存!$B:$J,5,0)</f>
        <v>#N/A</v>
      </c>
      <c r="G36" s="84"/>
      <c r="H36" s="83" t="e">
        <f>VLOOKUP($D36,成品本月库存!$B:$J,9,0)</f>
        <v>#N/A</v>
      </c>
      <c r="I36" s="85"/>
    </row>
    <row r="37" customHeight="1" spans="1:9">
      <c r="A37" s="88"/>
      <c r="B37" s="90"/>
      <c r="C37" s="87"/>
      <c r="D37" s="82"/>
      <c r="E37" s="83" t="e">
        <f>VLOOKUP($D37,成品本月库存!$B:$J,2,0)</f>
        <v>#N/A</v>
      </c>
      <c r="F37" s="83" t="e">
        <f>VLOOKUP($D37,成品本月库存!$B:$J,5,0)</f>
        <v>#N/A</v>
      </c>
      <c r="G37" s="84"/>
      <c r="H37" s="83" t="e">
        <f>VLOOKUP($D37,成品本月库存!$B:$J,9,0)</f>
        <v>#N/A</v>
      </c>
      <c r="I37" s="85"/>
    </row>
    <row r="38" customHeight="1" spans="1:9">
      <c r="A38" s="88"/>
      <c r="B38" s="90"/>
      <c r="C38" s="87"/>
      <c r="D38" s="82"/>
      <c r="E38" s="83" t="e">
        <f>VLOOKUP($D38,成品本月库存!$B:$J,2,0)</f>
        <v>#N/A</v>
      </c>
      <c r="F38" s="83" t="e">
        <f>VLOOKUP($D38,成品本月库存!$B:$J,5,0)</f>
        <v>#N/A</v>
      </c>
      <c r="G38" s="84"/>
      <c r="H38" s="83" t="e">
        <f>VLOOKUP($D38,成品本月库存!$B:$J,9,0)</f>
        <v>#N/A</v>
      </c>
      <c r="I38" s="85"/>
    </row>
    <row r="39" customHeight="1" spans="1:9">
      <c r="A39" s="88"/>
      <c r="B39" s="90"/>
      <c r="C39" s="87"/>
      <c r="D39" s="82"/>
      <c r="E39" s="83" t="e">
        <f>VLOOKUP($D39,成品本月库存!$B:$J,2,0)</f>
        <v>#N/A</v>
      </c>
      <c r="F39" s="83" t="e">
        <f>VLOOKUP($D39,成品本月库存!$B:$J,5,0)</f>
        <v>#N/A</v>
      </c>
      <c r="G39" s="84"/>
      <c r="H39" s="83" t="e">
        <f>VLOOKUP($D39,成品本月库存!$B:$J,9,0)</f>
        <v>#N/A</v>
      </c>
      <c r="I39" s="85"/>
    </row>
    <row r="40" customHeight="1" spans="1:9">
      <c r="A40" s="72"/>
      <c r="B40" s="90"/>
      <c r="C40" s="87"/>
      <c r="D40" s="82"/>
      <c r="E40" s="83" t="e">
        <f>VLOOKUP($D40,成品本月库存!$B:$J,2,0)</f>
        <v>#N/A</v>
      </c>
      <c r="F40" s="83" t="e">
        <f>VLOOKUP($D40,成品本月库存!$B:$J,5,0)</f>
        <v>#N/A</v>
      </c>
      <c r="G40" s="84"/>
      <c r="H40" s="83" t="e">
        <f>VLOOKUP($D40,成品本月库存!$B:$J,9,0)</f>
        <v>#N/A</v>
      </c>
      <c r="I40" s="85"/>
    </row>
    <row r="41" customHeight="1" spans="1:9">
      <c r="A41" s="88"/>
      <c r="B41" s="90"/>
      <c r="C41" s="87"/>
      <c r="D41" s="82"/>
      <c r="E41" s="83" t="e">
        <f>VLOOKUP($D41,成品本月库存!$B:$J,2,0)</f>
        <v>#N/A</v>
      </c>
      <c r="F41" s="83" t="e">
        <f>VLOOKUP($D41,成品本月库存!$B:$J,5,0)</f>
        <v>#N/A</v>
      </c>
      <c r="G41" s="84"/>
      <c r="H41" s="83" t="e">
        <f>VLOOKUP($D41,成品本月库存!$B:$J,9,0)</f>
        <v>#N/A</v>
      </c>
      <c r="I41" s="85"/>
    </row>
    <row r="42" customHeight="1" spans="1:9">
      <c r="A42" s="88"/>
      <c r="B42" s="90"/>
      <c r="C42" s="87"/>
      <c r="D42" s="82"/>
      <c r="E42" s="83" t="e">
        <f>VLOOKUP($D42,成品本月库存!$B:$J,2,0)</f>
        <v>#N/A</v>
      </c>
      <c r="F42" s="83" t="e">
        <f>VLOOKUP($D42,成品本月库存!$B:$J,5,0)</f>
        <v>#N/A</v>
      </c>
      <c r="G42" s="84"/>
      <c r="H42" s="83" t="e">
        <f>VLOOKUP($D42,成品本月库存!$B:$J,9,0)</f>
        <v>#N/A</v>
      </c>
      <c r="I42" s="85"/>
    </row>
    <row r="43" customHeight="1" spans="1:9">
      <c r="A43" s="72"/>
      <c r="B43" s="90"/>
      <c r="C43" s="87"/>
      <c r="D43" s="82"/>
      <c r="E43" s="83" t="e">
        <f>VLOOKUP($D43,成品本月库存!$B:$J,2,0)</f>
        <v>#N/A</v>
      </c>
      <c r="F43" s="83" t="e">
        <f>VLOOKUP($D43,成品本月库存!$B:$J,5,0)</f>
        <v>#N/A</v>
      </c>
      <c r="G43" s="84"/>
      <c r="H43" s="83" t="e">
        <f>VLOOKUP($D43,成品本月库存!$B:$J,9,0)</f>
        <v>#N/A</v>
      </c>
      <c r="I43" s="85"/>
    </row>
    <row r="44" customHeight="1" spans="1:9">
      <c r="A44" s="72"/>
      <c r="B44" s="90"/>
      <c r="C44" s="87"/>
      <c r="D44" s="82"/>
      <c r="E44" s="83" t="e">
        <f>VLOOKUP($D44,成品本月库存!$B:$J,2,0)</f>
        <v>#N/A</v>
      </c>
      <c r="F44" s="83" t="e">
        <f>VLOOKUP($D44,成品本月库存!$B:$J,5,0)</f>
        <v>#N/A</v>
      </c>
      <c r="G44" s="84"/>
      <c r="H44" s="83" t="e">
        <f>VLOOKUP($D44,成品本月库存!$B:$J,9,0)</f>
        <v>#N/A</v>
      </c>
      <c r="I44" s="85"/>
    </row>
    <row r="45" customHeight="1" spans="1:9">
      <c r="A45" s="72"/>
      <c r="B45" s="90"/>
      <c r="C45" s="87"/>
      <c r="D45" s="82"/>
      <c r="E45" s="83" t="e">
        <f>VLOOKUP($D45,成品本月库存!$B:$J,2,0)</f>
        <v>#N/A</v>
      </c>
      <c r="F45" s="83" t="e">
        <f>VLOOKUP($D45,成品本月库存!$B:$J,5,0)</f>
        <v>#N/A</v>
      </c>
      <c r="G45" s="84"/>
      <c r="H45" s="83" t="e">
        <f>VLOOKUP($D45,成品本月库存!$B:$J,9,0)</f>
        <v>#N/A</v>
      </c>
      <c r="I45" s="85"/>
    </row>
    <row r="46" customHeight="1" spans="1:9">
      <c r="A46" s="72"/>
      <c r="B46" s="90"/>
      <c r="C46" s="87"/>
      <c r="D46" s="82"/>
      <c r="E46" s="83" t="e">
        <f>VLOOKUP($D46,成品本月库存!$B:$J,2,0)</f>
        <v>#N/A</v>
      </c>
      <c r="F46" s="83" t="e">
        <f>VLOOKUP($D46,成品本月库存!$B:$J,5,0)</f>
        <v>#N/A</v>
      </c>
      <c r="G46" s="84"/>
      <c r="H46" s="83" t="e">
        <f>VLOOKUP($D46,成品本月库存!$B:$J,9,0)</f>
        <v>#N/A</v>
      </c>
      <c r="I46" s="85"/>
    </row>
    <row r="47" customHeight="1" spans="1:9">
      <c r="A47" s="72"/>
      <c r="B47" s="90"/>
      <c r="C47" s="87"/>
      <c r="D47" s="82"/>
      <c r="E47" s="83" t="e">
        <f>VLOOKUP($D47,成品本月库存!$B:$J,2,0)</f>
        <v>#N/A</v>
      </c>
      <c r="F47" s="83" t="e">
        <f>VLOOKUP($D47,成品本月库存!$B:$J,5,0)</f>
        <v>#N/A</v>
      </c>
      <c r="G47" s="84"/>
      <c r="H47" s="83" t="e">
        <f>VLOOKUP($D47,成品本月库存!$B:$J,9,0)</f>
        <v>#N/A</v>
      </c>
      <c r="I47" s="85"/>
    </row>
    <row r="48" customHeight="1" spans="1:9">
      <c r="A48" s="72"/>
      <c r="B48" s="90"/>
      <c r="C48" s="87"/>
      <c r="D48" s="82"/>
      <c r="E48" s="83" t="e">
        <f>VLOOKUP($D48,成品本月库存!$B:$J,2,0)</f>
        <v>#N/A</v>
      </c>
      <c r="F48" s="83" t="e">
        <f>VLOOKUP($D48,成品本月库存!$B:$J,5,0)</f>
        <v>#N/A</v>
      </c>
      <c r="G48" s="84"/>
      <c r="H48" s="83" t="e">
        <f>VLOOKUP($D48,成品本月库存!$B:$J,9,0)</f>
        <v>#N/A</v>
      </c>
      <c r="I48" s="85"/>
    </row>
    <row r="49" customHeight="1" spans="1:9">
      <c r="A49" s="72"/>
      <c r="B49" s="90"/>
      <c r="C49" s="87"/>
      <c r="D49" s="82"/>
      <c r="E49" s="83" t="e">
        <f>VLOOKUP($D49,成品本月库存!$B:$J,2,0)</f>
        <v>#N/A</v>
      </c>
      <c r="F49" s="83" t="e">
        <f>VLOOKUP($D49,成品本月库存!$B:$J,5,0)</f>
        <v>#N/A</v>
      </c>
      <c r="G49" s="84"/>
      <c r="H49" s="83" t="e">
        <f>VLOOKUP($D49,成品本月库存!$B:$J,9,0)</f>
        <v>#N/A</v>
      </c>
      <c r="I49" s="85"/>
    </row>
    <row r="50" customHeight="1" spans="1:9">
      <c r="A50" s="72"/>
      <c r="B50" s="90"/>
      <c r="C50" s="87"/>
      <c r="D50" s="82"/>
      <c r="E50" s="83" t="e">
        <f>VLOOKUP($D50,成品本月库存!$B:$J,2,0)</f>
        <v>#N/A</v>
      </c>
      <c r="F50" s="83" t="e">
        <f>VLOOKUP($D50,成品本月库存!$B:$J,5,0)</f>
        <v>#N/A</v>
      </c>
      <c r="G50" s="84"/>
      <c r="H50" s="83" t="e">
        <f>VLOOKUP($D50,成品本月库存!$B:$J,9,0)</f>
        <v>#N/A</v>
      </c>
      <c r="I50" s="85"/>
    </row>
    <row r="51" customHeight="1" spans="1:9">
      <c r="A51" s="72"/>
      <c r="B51" s="90"/>
      <c r="C51" s="87"/>
      <c r="D51" s="82"/>
      <c r="E51" s="83" t="e">
        <f>VLOOKUP($D51,成品本月库存!$B:$J,2,0)</f>
        <v>#N/A</v>
      </c>
      <c r="F51" s="83" t="e">
        <f>VLOOKUP($D51,成品本月库存!$B:$J,5,0)</f>
        <v>#N/A</v>
      </c>
      <c r="G51" s="84"/>
      <c r="H51" s="83" t="e">
        <f>VLOOKUP($D51,成品本月库存!$B:$J,9,0)</f>
        <v>#N/A</v>
      </c>
      <c r="I51" s="85"/>
    </row>
    <row r="52" customHeight="1" spans="1:9">
      <c r="A52" s="72"/>
      <c r="B52" s="90"/>
      <c r="C52" s="87"/>
      <c r="D52" s="82"/>
      <c r="E52" s="83" t="e">
        <f>VLOOKUP($D52,成品本月库存!$B:$J,2,0)</f>
        <v>#N/A</v>
      </c>
      <c r="F52" s="83" t="e">
        <f>VLOOKUP($D52,成品本月库存!$B:$J,5,0)</f>
        <v>#N/A</v>
      </c>
      <c r="G52" s="84"/>
      <c r="H52" s="83" t="e">
        <f>VLOOKUP($D52,成品本月库存!$B:$J,9,0)</f>
        <v>#N/A</v>
      </c>
      <c r="I52" s="85"/>
    </row>
    <row r="53" customHeight="1" spans="1:9">
      <c r="A53" s="72"/>
      <c r="B53" s="90"/>
      <c r="C53" s="87"/>
      <c r="D53" s="82"/>
      <c r="E53" s="83" t="e">
        <f>VLOOKUP($D53,成品本月库存!$B:$J,2,0)</f>
        <v>#N/A</v>
      </c>
      <c r="F53" s="83" t="e">
        <f>VLOOKUP($D53,成品本月库存!$B:$J,5,0)</f>
        <v>#N/A</v>
      </c>
      <c r="G53" s="84"/>
      <c r="H53" s="83" t="e">
        <f>VLOOKUP($D53,成品本月库存!$B:$J,9,0)</f>
        <v>#N/A</v>
      </c>
      <c r="I53" s="85"/>
    </row>
    <row r="54" customHeight="1" spans="1:9">
      <c r="A54" s="72"/>
      <c r="B54" s="90"/>
      <c r="C54" s="87"/>
      <c r="D54" s="82"/>
      <c r="E54" s="83" t="e">
        <f>VLOOKUP($D54,成品本月库存!$B:$J,2,0)</f>
        <v>#N/A</v>
      </c>
      <c r="F54" s="83" t="e">
        <f>VLOOKUP($D54,成品本月库存!$B:$J,5,0)</f>
        <v>#N/A</v>
      </c>
      <c r="G54" s="84"/>
      <c r="H54" s="83" t="e">
        <f>VLOOKUP($D54,成品本月库存!$B:$J,9,0)</f>
        <v>#N/A</v>
      </c>
      <c r="I54" s="85"/>
    </row>
    <row r="55" customHeight="1" spans="1:9">
      <c r="A55" s="72"/>
      <c r="B55" s="90"/>
      <c r="C55" s="87"/>
      <c r="D55" s="82"/>
      <c r="E55" s="83" t="e">
        <f>VLOOKUP($D55,成品本月库存!$B:$J,2,0)</f>
        <v>#N/A</v>
      </c>
      <c r="F55" s="83" t="e">
        <f>VLOOKUP($D55,成品本月库存!$B:$J,5,0)</f>
        <v>#N/A</v>
      </c>
      <c r="G55" s="84"/>
      <c r="H55" s="83" t="e">
        <f>VLOOKUP($D55,成品本月库存!$B:$J,9,0)</f>
        <v>#N/A</v>
      </c>
      <c r="I55" s="85"/>
    </row>
    <row r="56" customHeight="1" spans="1:9">
      <c r="A56" s="72"/>
      <c r="B56" s="90"/>
      <c r="C56" s="87"/>
      <c r="D56" s="82"/>
      <c r="E56" s="83" t="e">
        <f>VLOOKUP($D56,成品本月库存!$B:$J,2,0)</f>
        <v>#N/A</v>
      </c>
      <c r="F56" s="83" t="e">
        <f>VLOOKUP($D56,成品本月库存!$B:$J,5,0)</f>
        <v>#N/A</v>
      </c>
      <c r="G56" s="84"/>
      <c r="H56" s="83" t="e">
        <f>VLOOKUP($D56,成品本月库存!$B:$J,9,0)</f>
        <v>#N/A</v>
      </c>
      <c r="I56" s="85"/>
    </row>
    <row r="57" customHeight="1" spans="1:9">
      <c r="A57" s="72"/>
      <c r="B57" s="90"/>
      <c r="C57" s="87"/>
      <c r="D57" s="82"/>
      <c r="E57" s="83" t="e">
        <f>VLOOKUP($D57,成品本月库存!$B:$J,2,0)</f>
        <v>#N/A</v>
      </c>
      <c r="F57" s="83" t="e">
        <f>VLOOKUP($D57,成品本月库存!$B:$J,5,0)</f>
        <v>#N/A</v>
      </c>
      <c r="G57" s="84"/>
      <c r="H57" s="83" t="e">
        <f>VLOOKUP($D57,成品本月库存!$B:$J,9,0)</f>
        <v>#N/A</v>
      </c>
      <c r="I57" s="85"/>
    </row>
    <row r="58" customHeight="1" spans="1:9">
      <c r="A58" s="72"/>
      <c r="B58" s="90"/>
      <c r="C58" s="87"/>
      <c r="D58" s="82"/>
      <c r="E58" s="83" t="e">
        <f>VLOOKUP($D58,成品本月库存!$B:$J,2,0)</f>
        <v>#N/A</v>
      </c>
      <c r="F58" s="83" t="e">
        <f>VLOOKUP($D58,成品本月库存!$B:$J,5,0)</f>
        <v>#N/A</v>
      </c>
      <c r="G58" s="84"/>
      <c r="H58" s="83" t="e">
        <f>VLOOKUP($D58,成品本月库存!$B:$J,9,0)</f>
        <v>#N/A</v>
      </c>
      <c r="I58" s="85"/>
    </row>
    <row r="59" customHeight="1" spans="1:9">
      <c r="A59" s="72"/>
      <c r="B59" s="90"/>
      <c r="C59" s="87"/>
      <c r="D59" s="82"/>
      <c r="E59" s="83" t="e">
        <f>VLOOKUP($D59,成品本月库存!$B:$J,2,0)</f>
        <v>#N/A</v>
      </c>
      <c r="F59" s="83" t="e">
        <f>VLOOKUP($D59,成品本月库存!$B:$J,5,0)</f>
        <v>#N/A</v>
      </c>
      <c r="G59" s="84"/>
      <c r="H59" s="83" t="e">
        <f>VLOOKUP($D59,成品本月库存!$B:$J,9,0)</f>
        <v>#N/A</v>
      </c>
      <c r="I59" s="85"/>
    </row>
    <row r="60" customHeight="1" spans="1:9">
      <c r="A60" s="72"/>
      <c r="B60" s="90"/>
      <c r="C60" s="87"/>
      <c r="D60" s="82"/>
      <c r="E60" s="83" t="e">
        <f>VLOOKUP($D60,成品本月库存!$B:$J,2,0)</f>
        <v>#N/A</v>
      </c>
      <c r="F60" s="83" t="e">
        <f>VLOOKUP($D60,成品本月库存!$B:$J,5,0)</f>
        <v>#N/A</v>
      </c>
      <c r="G60" s="84"/>
      <c r="H60" s="83" t="e">
        <f>VLOOKUP($D60,成品本月库存!$B:$J,9,0)</f>
        <v>#N/A</v>
      </c>
      <c r="I60" s="85"/>
    </row>
    <row r="61" customHeight="1" spans="1:9">
      <c r="A61" s="72"/>
      <c r="B61" s="90"/>
      <c r="C61" s="87"/>
      <c r="D61" s="82"/>
      <c r="E61" s="83" t="e">
        <f>VLOOKUP($D61,成品本月库存!$B:$J,2,0)</f>
        <v>#N/A</v>
      </c>
      <c r="F61" s="83" t="e">
        <f>VLOOKUP($D61,成品本月库存!$B:$J,5,0)</f>
        <v>#N/A</v>
      </c>
      <c r="G61" s="84"/>
      <c r="H61" s="83" t="e">
        <f>VLOOKUP($D61,成品本月库存!$B:$J,9,0)</f>
        <v>#N/A</v>
      </c>
      <c r="I61" s="85"/>
    </row>
    <row r="62" customHeight="1" spans="1:9">
      <c r="A62" s="72"/>
      <c r="B62" s="90"/>
      <c r="C62" s="87"/>
      <c r="D62" s="82"/>
      <c r="E62" s="83" t="e">
        <f>VLOOKUP($D62,成品本月库存!$B:$J,2,0)</f>
        <v>#N/A</v>
      </c>
      <c r="F62" s="83" t="e">
        <f>VLOOKUP($D62,成品本月库存!$B:$J,5,0)</f>
        <v>#N/A</v>
      </c>
      <c r="G62" s="84"/>
      <c r="H62" s="83" t="e">
        <f>VLOOKUP($D62,成品本月库存!$B:$J,9,0)</f>
        <v>#N/A</v>
      </c>
      <c r="I62" s="85"/>
    </row>
    <row r="63" customHeight="1" spans="1:9">
      <c r="A63" s="72"/>
      <c r="B63" s="90"/>
      <c r="C63" s="87"/>
      <c r="D63" s="82"/>
      <c r="E63" s="83" t="e">
        <f>VLOOKUP($D63,成品本月库存!$B:$J,2,0)</f>
        <v>#N/A</v>
      </c>
      <c r="F63" s="83" t="e">
        <f>VLOOKUP($D63,成品本月库存!$B:$J,5,0)</f>
        <v>#N/A</v>
      </c>
      <c r="G63" s="84"/>
      <c r="H63" s="83" t="e">
        <f>VLOOKUP($D63,成品本月库存!$B:$J,9,0)</f>
        <v>#N/A</v>
      </c>
      <c r="I63" s="85"/>
    </row>
    <row r="64" customHeight="1" spans="1:9">
      <c r="A64" s="72"/>
      <c r="B64" s="90"/>
      <c r="C64" s="87"/>
      <c r="D64" s="82"/>
      <c r="E64" s="83" t="e">
        <f>VLOOKUP($D64,成品本月库存!$B:$J,2,0)</f>
        <v>#N/A</v>
      </c>
      <c r="F64" s="83" t="e">
        <f>VLOOKUP($D64,成品本月库存!$B:$J,5,0)</f>
        <v>#N/A</v>
      </c>
      <c r="G64" s="84"/>
      <c r="H64" s="83" t="e">
        <f>VLOOKUP($D64,成品本月库存!$B:$J,9,0)</f>
        <v>#N/A</v>
      </c>
      <c r="I64" s="85"/>
    </row>
    <row r="65" customHeight="1" spans="1:9">
      <c r="A65" s="72"/>
      <c r="B65" s="90"/>
      <c r="C65" s="87"/>
      <c r="D65" s="82"/>
      <c r="E65" s="83" t="e">
        <f>VLOOKUP($D65,成品本月库存!$B:$J,2,0)</f>
        <v>#N/A</v>
      </c>
      <c r="F65" s="83" t="e">
        <f>VLOOKUP($D65,成品本月库存!$B:$J,5,0)</f>
        <v>#N/A</v>
      </c>
      <c r="G65" s="84"/>
      <c r="H65" s="83" t="e">
        <f>VLOOKUP($D65,成品本月库存!$B:$J,9,0)</f>
        <v>#N/A</v>
      </c>
      <c r="I65" s="85"/>
    </row>
    <row r="66" customHeight="1" spans="1:9">
      <c r="A66" s="72"/>
      <c r="B66" s="90"/>
      <c r="C66" s="87"/>
      <c r="D66" s="82"/>
      <c r="E66" s="83" t="e">
        <f>VLOOKUP($D66,成品本月库存!$B:$J,2,0)</f>
        <v>#N/A</v>
      </c>
      <c r="F66" s="83" t="e">
        <f>VLOOKUP($D66,成品本月库存!$B:$J,5,0)</f>
        <v>#N/A</v>
      </c>
      <c r="G66" s="84"/>
      <c r="H66" s="83" t="e">
        <f>VLOOKUP($D66,成品本月库存!$B:$J,9,0)</f>
        <v>#N/A</v>
      </c>
      <c r="I66" s="85"/>
    </row>
    <row r="67" customHeight="1" spans="1:9">
      <c r="A67" s="72"/>
      <c r="B67" s="90"/>
      <c r="C67" s="87"/>
      <c r="D67" s="82"/>
      <c r="E67" s="83" t="e">
        <f>VLOOKUP($D67,成品本月库存!$B:$J,2,0)</f>
        <v>#N/A</v>
      </c>
      <c r="F67" s="83" t="e">
        <f>VLOOKUP($D67,成品本月库存!$B:$J,5,0)</f>
        <v>#N/A</v>
      </c>
      <c r="G67" s="84"/>
      <c r="H67" s="83" t="e">
        <f>VLOOKUP($D67,成品本月库存!$B:$J,9,0)</f>
        <v>#N/A</v>
      </c>
      <c r="I67" s="85"/>
    </row>
    <row r="68" customHeight="1" spans="1:9">
      <c r="A68" s="72"/>
      <c r="B68" s="90"/>
      <c r="C68" s="87"/>
      <c r="D68" s="82"/>
      <c r="E68" s="83" t="e">
        <f>VLOOKUP($D68,成品本月库存!$B:$J,2,0)</f>
        <v>#N/A</v>
      </c>
      <c r="F68" s="83" t="e">
        <f>VLOOKUP($D68,成品本月库存!$B:$J,5,0)</f>
        <v>#N/A</v>
      </c>
      <c r="G68" s="84"/>
      <c r="H68" s="83" t="e">
        <f>VLOOKUP($D68,成品本月库存!$B:$J,9,0)</f>
        <v>#N/A</v>
      </c>
      <c r="I68" s="85"/>
    </row>
    <row r="69" customHeight="1" spans="1:9">
      <c r="A69" s="72"/>
      <c r="B69" s="90"/>
      <c r="C69" s="87"/>
      <c r="D69" s="10"/>
      <c r="E69" s="83" t="e">
        <f>VLOOKUP($D69,成品本月库存!$B:$J,2,0)</f>
        <v>#N/A</v>
      </c>
      <c r="F69" s="83" t="e">
        <f>VLOOKUP($D69,成品本月库存!$B:$J,5,0)</f>
        <v>#N/A</v>
      </c>
      <c r="G69" s="84"/>
      <c r="H69" s="83" t="e">
        <f>VLOOKUP($D69,成品本月库存!$B:$J,9,0)</f>
        <v>#N/A</v>
      </c>
      <c r="I69" s="85"/>
    </row>
    <row r="70" customHeight="1" spans="1:9">
      <c r="A70" s="72"/>
      <c r="B70" s="90"/>
      <c r="C70" s="87"/>
      <c r="D70" s="10"/>
      <c r="E70" s="83" t="e">
        <f>VLOOKUP($D70,成品本月库存!$B:$J,2,0)</f>
        <v>#N/A</v>
      </c>
      <c r="F70" s="83" t="e">
        <f>VLOOKUP($D70,成品本月库存!$B:$J,5,0)</f>
        <v>#N/A</v>
      </c>
      <c r="G70" s="84"/>
      <c r="H70" s="83" t="e">
        <f>VLOOKUP($D70,成品本月库存!$B:$J,9,0)</f>
        <v>#N/A</v>
      </c>
      <c r="I70" s="85"/>
    </row>
    <row r="71" customHeight="1" spans="1:9">
      <c r="A71" s="72"/>
      <c r="B71" s="90"/>
      <c r="C71" s="87"/>
      <c r="D71" s="10"/>
      <c r="E71" s="83" t="e">
        <f>VLOOKUP($D71,成品本月库存!$B:$J,2,0)</f>
        <v>#N/A</v>
      </c>
      <c r="F71" s="83" t="e">
        <f>VLOOKUP($D71,成品本月库存!$B:$J,5,0)</f>
        <v>#N/A</v>
      </c>
      <c r="G71" s="84"/>
      <c r="H71" s="83" t="e">
        <f>VLOOKUP($D71,成品本月库存!$B:$J,9,0)</f>
        <v>#N/A</v>
      </c>
    </row>
    <row r="72" customHeight="1" spans="1:9">
      <c r="A72" s="72"/>
      <c r="B72" s="90"/>
      <c r="C72" s="87"/>
      <c r="D72" s="10"/>
      <c r="E72" s="83" t="e">
        <f>VLOOKUP($D72,成品本月库存!$B:$J,2,0)</f>
        <v>#N/A</v>
      </c>
      <c r="F72" s="83" t="e">
        <f>VLOOKUP($D72,成品本月库存!$B:$J,5,0)</f>
        <v>#N/A</v>
      </c>
      <c r="G72" s="84"/>
      <c r="H72" s="83" t="e">
        <f>VLOOKUP($D72,成品本月库存!$B:$J,9,0)</f>
        <v>#N/A</v>
      </c>
      <c r="I72" s="85"/>
    </row>
    <row r="73" customHeight="1" spans="1:9">
      <c r="A73" s="72"/>
      <c r="B73" s="90"/>
      <c r="C73" s="87"/>
      <c r="D73" s="10"/>
      <c r="E73" s="83" t="e">
        <f>VLOOKUP($D73,成品本月库存!$B:$J,2,0)</f>
        <v>#N/A</v>
      </c>
      <c r="F73" s="83" t="e">
        <f>VLOOKUP($D73,成品本月库存!$B:$J,5,0)</f>
        <v>#N/A</v>
      </c>
      <c r="G73" s="84"/>
      <c r="H73" s="83" t="e">
        <f>VLOOKUP($D73,成品本月库存!$B:$J,9,0)</f>
        <v>#N/A</v>
      </c>
      <c r="I73" s="85"/>
    </row>
    <row r="74" customHeight="1" spans="1:9">
      <c r="A74" s="72"/>
      <c r="B74" s="90"/>
      <c r="C74" s="87"/>
      <c r="D74" s="10"/>
      <c r="E74" s="83" t="e">
        <f>VLOOKUP($D74,成品本月库存!$B:$J,2,0)</f>
        <v>#N/A</v>
      </c>
      <c r="F74" s="83" t="e">
        <f>VLOOKUP($D74,成品本月库存!$B:$J,5,0)</f>
        <v>#N/A</v>
      </c>
      <c r="G74" s="84"/>
      <c r="H74" s="83" t="e">
        <f>VLOOKUP($D74,成品本月库存!$B:$J,9,0)</f>
        <v>#N/A</v>
      </c>
      <c r="I74" s="85"/>
    </row>
    <row r="75" customHeight="1" spans="1:9">
      <c r="A75" s="72"/>
      <c r="B75" s="90"/>
      <c r="C75" s="87"/>
      <c r="D75" s="10"/>
      <c r="E75" s="83" t="e">
        <f>VLOOKUP($D75,成品本月库存!$B:$J,2,0)</f>
        <v>#N/A</v>
      </c>
      <c r="F75" s="83" t="e">
        <f>VLOOKUP($D75,成品本月库存!$B:$J,5,0)</f>
        <v>#N/A</v>
      </c>
      <c r="G75" s="84"/>
      <c r="H75" s="83" t="e">
        <f>VLOOKUP($D75,成品本月库存!$B:$J,9,0)</f>
        <v>#N/A</v>
      </c>
      <c r="I75" s="85"/>
    </row>
    <row r="76" customHeight="1" spans="1:9">
      <c r="A76" s="72"/>
      <c r="B76" s="90"/>
      <c r="C76" s="87"/>
      <c r="D76" s="10"/>
      <c r="E76" s="83" t="e">
        <f>VLOOKUP($D76,成品本月库存!$B:$J,2,0)</f>
        <v>#N/A</v>
      </c>
      <c r="F76" s="83" t="e">
        <f>VLOOKUP($D76,成品本月库存!$B:$J,5,0)</f>
        <v>#N/A</v>
      </c>
      <c r="G76" s="84"/>
      <c r="H76" s="83" t="e">
        <f>VLOOKUP($D76,成品本月库存!$B:$J,9,0)</f>
        <v>#N/A</v>
      </c>
      <c r="I76" s="85"/>
    </row>
    <row r="77" customHeight="1" spans="1:9">
      <c r="A77" s="72"/>
      <c r="B77" s="90"/>
      <c r="C77" s="87"/>
      <c r="D77" s="82"/>
      <c r="E77" s="83" t="e">
        <f>VLOOKUP($D77,成品本月库存!$B:$J,2,0)</f>
        <v>#N/A</v>
      </c>
      <c r="F77" s="83" t="e">
        <f>VLOOKUP($D77,成品本月库存!$B:$J,5,0)</f>
        <v>#N/A</v>
      </c>
      <c r="G77" s="84"/>
      <c r="H77" s="83" t="e">
        <f>VLOOKUP($D77,成品本月库存!$B:$J,9,0)</f>
        <v>#N/A</v>
      </c>
      <c r="I77" s="85"/>
    </row>
    <row r="78" customHeight="1" spans="1:9">
      <c r="A78" s="72"/>
      <c r="B78" s="90"/>
      <c r="C78" s="87"/>
      <c r="D78" s="82"/>
      <c r="E78" s="83" t="e">
        <f>VLOOKUP($D78,成品本月库存!$B:$J,2,0)</f>
        <v>#N/A</v>
      </c>
      <c r="F78" s="83" t="e">
        <f>VLOOKUP($D78,成品本月库存!$B:$J,5,0)</f>
        <v>#N/A</v>
      </c>
      <c r="G78" s="84"/>
      <c r="H78" s="83" t="e">
        <f>VLOOKUP($D78,成品本月库存!$B:$J,9,0)</f>
        <v>#N/A</v>
      </c>
      <c r="I78" s="85"/>
    </row>
    <row r="79" customHeight="1" spans="1:9">
      <c r="A79" s="72"/>
      <c r="B79" s="90"/>
      <c r="C79" s="87"/>
      <c r="D79" s="82"/>
      <c r="E79" s="83" t="e">
        <f>VLOOKUP($D79,成品本月库存!$B:$J,2,0)</f>
        <v>#N/A</v>
      </c>
      <c r="F79" s="83" t="e">
        <f>VLOOKUP($D79,成品本月库存!$B:$J,5,0)</f>
        <v>#N/A</v>
      </c>
      <c r="G79" s="84"/>
      <c r="H79" s="83" t="e">
        <f>VLOOKUP($D79,成品本月库存!$B:$J,9,0)</f>
        <v>#N/A</v>
      </c>
      <c r="I79" s="85"/>
    </row>
    <row r="80" customHeight="1" spans="1:9">
      <c r="A80" s="72"/>
      <c r="B80" s="90"/>
      <c r="C80" s="87"/>
      <c r="D80" s="82"/>
      <c r="E80" s="83" t="e">
        <f>VLOOKUP($D80,成品本月库存!$B:$J,2,0)</f>
        <v>#N/A</v>
      </c>
      <c r="F80" s="83" t="e">
        <f>VLOOKUP($D80,成品本月库存!$B:$J,5,0)</f>
        <v>#N/A</v>
      </c>
      <c r="G80" s="84"/>
      <c r="H80" s="83" t="e">
        <f>VLOOKUP($D80,成品本月库存!$B:$J,9,0)</f>
        <v>#N/A</v>
      </c>
      <c r="I80" s="85"/>
    </row>
    <row r="81" customHeight="1" spans="1:9">
      <c r="A81" s="72"/>
      <c r="B81" s="90"/>
      <c r="C81" s="87"/>
      <c r="D81" s="82"/>
      <c r="E81" s="83" t="e">
        <f>VLOOKUP($D81,成品本月库存!$B:$J,2,0)</f>
        <v>#N/A</v>
      </c>
      <c r="F81" s="83" t="e">
        <f>VLOOKUP($D81,成品本月库存!$B:$J,5,0)</f>
        <v>#N/A</v>
      </c>
      <c r="G81" s="84"/>
      <c r="H81" s="83" t="e">
        <f>VLOOKUP($D81,成品本月库存!$B:$J,9,0)</f>
        <v>#N/A</v>
      </c>
      <c r="I81" s="85"/>
    </row>
    <row r="82" customHeight="1" spans="1:9">
      <c r="A82" s="72"/>
      <c r="B82" s="90"/>
      <c r="C82" s="87"/>
      <c r="D82" s="82"/>
      <c r="E82" s="83" t="e">
        <f>VLOOKUP($D82,成品本月库存!$B:$J,2,0)</f>
        <v>#N/A</v>
      </c>
      <c r="F82" s="83" t="e">
        <f>VLOOKUP($D82,成品本月库存!$B:$J,5,0)</f>
        <v>#N/A</v>
      </c>
      <c r="G82" s="84"/>
      <c r="H82" s="83" t="e">
        <f>VLOOKUP($D82,成品本月库存!$B:$J,9,0)</f>
        <v>#N/A</v>
      </c>
      <c r="I82" s="85"/>
    </row>
    <row r="83" customHeight="1" spans="1:9">
      <c r="A83" s="72"/>
      <c r="B83" s="90"/>
      <c r="C83" s="87"/>
      <c r="D83" s="82"/>
      <c r="E83" s="83" t="e">
        <f>VLOOKUP($D83,成品本月库存!$B:$J,2,0)</f>
        <v>#N/A</v>
      </c>
      <c r="F83" s="83" t="e">
        <f>VLOOKUP($D83,成品本月库存!$B:$J,5,0)</f>
        <v>#N/A</v>
      </c>
      <c r="G83" s="84"/>
      <c r="H83" s="83" t="e">
        <f>VLOOKUP($D83,成品本月库存!$B:$J,9,0)</f>
        <v>#N/A</v>
      </c>
      <c r="I83" s="85"/>
    </row>
    <row r="84" customHeight="1" spans="1:9">
      <c r="A84" s="72"/>
      <c r="B84" s="90"/>
      <c r="C84" s="87"/>
      <c r="D84" s="82"/>
      <c r="E84" s="83" t="e">
        <f>VLOOKUP($D84,成品本月库存!$B:$J,2,0)</f>
        <v>#N/A</v>
      </c>
      <c r="F84" s="83" t="e">
        <f>VLOOKUP($D84,成品本月库存!$B:$J,5,0)</f>
        <v>#N/A</v>
      </c>
      <c r="G84" s="84"/>
      <c r="H84" s="83" t="e">
        <f>VLOOKUP($D84,成品本月库存!$B:$J,9,0)</f>
        <v>#N/A</v>
      </c>
      <c r="I84" s="85"/>
    </row>
    <row r="85" customHeight="1" spans="1:9">
      <c r="A85" s="72"/>
      <c r="B85" s="90"/>
      <c r="C85" s="87"/>
      <c r="D85" s="82"/>
      <c r="E85" s="83" t="e">
        <f>VLOOKUP($D85,成品本月库存!$B:$J,2,0)</f>
        <v>#N/A</v>
      </c>
      <c r="F85" s="83" t="e">
        <f>VLOOKUP($D85,成品本月库存!$B:$J,5,0)</f>
        <v>#N/A</v>
      </c>
      <c r="G85" s="84"/>
      <c r="H85" s="83" t="e">
        <f>VLOOKUP($D85,成品本月库存!$B:$J,9,0)</f>
        <v>#N/A</v>
      </c>
      <c r="I85" s="85"/>
    </row>
    <row r="86" customHeight="1" spans="1:9">
      <c r="A86" s="72"/>
      <c r="B86" s="90"/>
      <c r="C86" s="87"/>
      <c r="D86" s="82"/>
      <c r="E86" s="83" t="e">
        <f>VLOOKUP($D86,成品本月库存!$B:$J,2,0)</f>
        <v>#N/A</v>
      </c>
      <c r="F86" s="83" t="e">
        <f>VLOOKUP($D86,成品本月库存!$B:$J,5,0)</f>
        <v>#N/A</v>
      </c>
      <c r="G86" s="84"/>
      <c r="H86" s="83" t="e">
        <f>VLOOKUP($D86,成品本月库存!$B:$J,9,0)</f>
        <v>#N/A</v>
      </c>
      <c r="I86" s="85"/>
    </row>
    <row r="87" customHeight="1" spans="1:9">
      <c r="A87" s="72"/>
      <c r="B87" s="90"/>
      <c r="C87" s="87"/>
      <c r="D87" s="82"/>
      <c r="E87" s="83" t="e">
        <f>VLOOKUP($D87,成品本月库存!$B:$J,2,0)</f>
        <v>#N/A</v>
      </c>
      <c r="F87" s="83" t="e">
        <f>VLOOKUP($D87,成品本月库存!$B:$J,5,0)</f>
        <v>#N/A</v>
      </c>
      <c r="G87" s="84"/>
      <c r="H87" s="83" t="e">
        <f>VLOOKUP($D87,成品本月库存!$B:$J,9,0)</f>
        <v>#N/A</v>
      </c>
      <c r="I87" s="85"/>
    </row>
    <row r="88" customHeight="1" spans="1:9">
      <c r="A88" s="72"/>
      <c r="B88" s="90"/>
      <c r="C88" s="87"/>
      <c r="D88" s="82"/>
      <c r="E88" s="83" t="e">
        <f>VLOOKUP($D88,成品本月库存!$B:$J,2,0)</f>
        <v>#N/A</v>
      </c>
      <c r="F88" s="83" t="e">
        <f>VLOOKUP($D88,成品本月库存!$B:$J,5,0)</f>
        <v>#N/A</v>
      </c>
      <c r="G88" s="84"/>
      <c r="H88" s="83" t="e">
        <f>VLOOKUP($D88,成品本月库存!$B:$J,9,0)</f>
        <v>#N/A</v>
      </c>
      <c r="I88" s="85"/>
    </row>
    <row r="89" customHeight="1" spans="1:9">
      <c r="A89" s="72"/>
      <c r="B89" s="90"/>
      <c r="C89" s="87"/>
      <c r="D89" s="82"/>
      <c r="E89" s="83" t="e">
        <f>VLOOKUP($D89,成品本月库存!$B:$J,2,0)</f>
        <v>#N/A</v>
      </c>
      <c r="F89" s="83" t="e">
        <f>VLOOKUP($D89,成品本月库存!$B:$J,5,0)</f>
        <v>#N/A</v>
      </c>
      <c r="G89" s="84"/>
      <c r="H89" s="83" t="e">
        <f>VLOOKUP($D89,成品本月库存!$B:$J,9,0)</f>
        <v>#N/A</v>
      </c>
      <c r="I89" s="85"/>
    </row>
    <row r="90" customHeight="1" spans="1:9">
      <c r="A90" s="72"/>
      <c r="B90" s="90"/>
      <c r="C90" s="87"/>
      <c r="D90" s="82"/>
      <c r="E90" s="83" t="e">
        <f>VLOOKUP($D90,成品本月库存!$B:$J,2,0)</f>
        <v>#N/A</v>
      </c>
      <c r="F90" s="83" t="e">
        <f>VLOOKUP($D90,成品本月库存!$B:$J,5,0)</f>
        <v>#N/A</v>
      </c>
      <c r="G90" s="84"/>
      <c r="H90" s="83" t="e">
        <f>VLOOKUP($D90,成品本月库存!$B:$J,9,0)</f>
        <v>#N/A</v>
      </c>
      <c r="I90" s="85"/>
    </row>
    <row r="91" customHeight="1" spans="1:9">
      <c r="A91" s="72"/>
      <c r="B91" s="90"/>
      <c r="C91" s="87"/>
      <c r="D91" s="82"/>
      <c r="E91" s="83" t="e">
        <f>VLOOKUP($D91,成品本月库存!$B:$J,2,0)</f>
        <v>#N/A</v>
      </c>
      <c r="F91" s="83" t="e">
        <f>VLOOKUP($D91,成品本月库存!$B:$J,5,0)</f>
        <v>#N/A</v>
      </c>
      <c r="G91" s="84"/>
      <c r="H91" s="83" t="e">
        <f>VLOOKUP($D91,成品本月库存!$B:$J,9,0)</f>
        <v>#N/A</v>
      </c>
      <c r="I91" s="85"/>
    </row>
    <row r="92" customHeight="1" spans="1:9">
      <c r="A92" s="72"/>
      <c r="B92" s="90"/>
      <c r="C92" s="87"/>
      <c r="D92" s="82"/>
      <c r="E92" s="83" t="e">
        <f>VLOOKUP($D92,成品本月库存!$B:$J,2,0)</f>
        <v>#N/A</v>
      </c>
      <c r="F92" s="83" t="e">
        <f>VLOOKUP($D92,成品本月库存!$B:$J,5,0)</f>
        <v>#N/A</v>
      </c>
      <c r="G92" s="84"/>
      <c r="H92" s="83" t="e">
        <f>VLOOKUP($D92,成品本月库存!$B:$J,9,0)</f>
        <v>#N/A</v>
      </c>
      <c r="I92" s="85"/>
    </row>
    <row r="93" customHeight="1" spans="1:9">
      <c r="A93" s="72"/>
      <c r="B93" s="90"/>
      <c r="C93" s="87"/>
      <c r="D93" s="82"/>
      <c r="E93" s="83" t="e">
        <f>VLOOKUP($D93,成品本月库存!$B:$J,2,0)</f>
        <v>#N/A</v>
      </c>
      <c r="F93" s="83" t="e">
        <f>VLOOKUP($D93,成品本月库存!$B:$J,5,0)</f>
        <v>#N/A</v>
      </c>
      <c r="G93" s="84"/>
      <c r="H93" s="83" t="e">
        <f>VLOOKUP($D93,成品本月库存!$B:$J,9,0)</f>
        <v>#N/A</v>
      </c>
      <c r="I93" s="91"/>
    </row>
    <row r="94" customHeight="1" spans="1:9">
      <c r="A94" s="72"/>
      <c r="B94" s="90"/>
      <c r="C94" s="87"/>
      <c r="D94" s="82"/>
      <c r="E94" s="83" t="e">
        <f>VLOOKUP($D94,成品本月库存!$B:$J,2,0)</f>
        <v>#N/A</v>
      </c>
      <c r="F94" s="83" t="e">
        <f>VLOOKUP($D94,成品本月库存!$B:$J,5,0)</f>
        <v>#N/A</v>
      </c>
      <c r="G94" s="84"/>
      <c r="H94" s="83" t="e">
        <f>VLOOKUP($D94,成品本月库存!$B:$J,9,0)</f>
        <v>#N/A</v>
      </c>
      <c r="I94" s="91"/>
    </row>
    <row r="95" customHeight="1" spans="1:9">
      <c r="A95" s="72"/>
      <c r="B95" s="90"/>
      <c r="C95" s="87"/>
      <c r="D95" s="82"/>
      <c r="E95" s="83" t="e">
        <f>VLOOKUP($D95,成品本月库存!$B:$J,2,0)</f>
        <v>#N/A</v>
      </c>
      <c r="F95" s="83" t="e">
        <f>VLOOKUP($D95,成品本月库存!$B:$J,5,0)</f>
        <v>#N/A</v>
      </c>
      <c r="G95" s="84"/>
      <c r="H95" s="83" t="e">
        <f>VLOOKUP($D95,成品本月库存!$B:$J,9,0)</f>
        <v>#N/A</v>
      </c>
      <c r="I95" s="91"/>
    </row>
    <row r="96" customHeight="1" spans="1:9">
      <c r="A96" s="72"/>
      <c r="B96" s="90"/>
      <c r="C96" s="87"/>
      <c r="D96" s="82"/>
      <c r="E96" s="83" t="e">
        <f>VLOOKUP($D96,成品本月库存!$B:$J,2,0)</f>
        <v>#N/A</v>
      </c>
      <c r="F96" s="83" t="e">
        <f>VLOOKUP($D96,成品本月库存!$B:$J,5,0)</f>
        <v>#N/A</v>
      </c>
      <c r="G96" s="84"/>
      <c r="H96" s="83" t="e">
        <f>VLOOKUP($D96,成品本月库存!$B:$J,9,0)</f>
        <v>#N/A</v>
      </c>
      <c r="I96" s="91"/>
    </row>
    <row r="97" customHeight="1" spans="1:9">
      <c r="A97" s="72"/>
      <c r="B97" s="90"/>
      <c r="C97" s="87"/>
      <c r="D97" s="82"/>
      <c r="E97" s="83" t="e">
        <f>VLOOKUP($D97,成品本月库存!$B:$J,2,0)</f>
        <v>#N/A</v>
      </c>
      <c r="F97" s="83" t="e">
        <f>VLOOKUP($D97,成品本月库存!$B:$J,5,0)</f>
        <v>#N/A</v>
      </c>
      <c r="G97" s="84"/>
      <c r="H97" s="83" t="e">
        <f>VLOOKUP($D97,成品本月库存!$B:$J,9,0)</f>
        <v>#N/A</v>
      </c>
      <c r="I97" s="91"/>
    </row>
    <row r="98" customHeight="1" spans="1:9">
      <c r="A98" s="72"/>
      <c r="B98" s="90"/>
      <c r="C98" s="87"/>
      <c r="D98" s="82"/>
      <c r="E98" s="83" t="e">
        <f>VLOOKUP($D98,成品本月库存!$B:$J,2,0)</f>
        <v>#N/A</v>
      </c>
      <c r="F98" s="83" t="e">
        <f>VLOOKUP($D98,成品本月库存!$B:$J,5,0)</f>
        <v>#N/A</v>
      </c>
      <c r="G98" s="84"/>
      <c r="H98" s="83" t="e">
        <f>VLOOKUP($D98,成品本月库存!$B:$J,9,0)</f>
        <v>#N/A</v>
      </c>
      <c r="I98" s="91"/>
    </row>
    <row r="99" customHeight="1" spans="1:9">
      <c r="A99" s="72"/>
      <c r="B99" s="90"/>
      <c r="C99" s="87"/>
      <c r="D99" s="82"/>
      <c r="E99" s="83" t="e">
        <f>VLOOKUP($D99,成品本月库存!$B:$J,2,0)</f>
        <v>#N/A</v>
      </c>
      <c r="F99" s="83" t="e">
        <f>VLOOKUP($D99,成品本月库存!$B:$J,5,0)</f>
        <v>#N/A</v>
      </c>
      <c r="G99" s="84"/>
      <c r="H99" s="83" t="e">
        <f>VLOOKUP($D99,成品本月库存!$B:$J,9,0)</f>
        <v>#N/A</v>
      </c>
      <c r="I99" s="91"/>
    </row>
    <row r="100" customHeight="1" spans="1:9">
      <c r="A100" s="72"/>
      <c r="B100" s="90"/>
      <c r="C100" s="87"/>
      <c r="D100" s="82"/>
      <c r="E100" s="83" t="e">
        <f>VLOOKUP($D100,成品本月库存!$B:$J,2,0)</f>
        <v>#N/A</v>
      </c>
      <c r="F100" s="83" t="e">
        <f>VLOOKUP($D100,成品本月库存!$B:$J,5,0)</f>
        <v>#N/A</v>
      </c>
      <c r="G100" s="84"/>
      <c r="H100" s="83" t="e">
        <f>VLOOKUP($D100,成品本月库存!$B:$J,9,0)</f>
        <v>#N/A</v>
      </c>
      <c r="I100" s="91"/>
    </row>
    <row r="101" customHeight="1" spans="1:9">
      <c r="A101" s="72"/>
      <c r="B101" s="90"/>
      <c r="C101" s="87"/>
      <c r="D101" s="82"/>
      <c r="E101" s="83" t="e">
        <f>VLOOKUP($D101,成品本月库存!$B:$J,2,0)</f>
        <v>#N/A</v>
      </c>
      <c r="F101" s="83" t="e">
        <f>VLOOKUP($D101,成品本月库存!$B:$J,5,0)</f>
        <v>#N/A</v>
      </c>
      <c r="G101" s="84"/>
      <c r="H101" s="83" t="e">
        <f>VLOOKUP($D101,成品本月库存!$B:$J,9,0)</f>
        <v>#N/A</v>
      </c>
      <c r="I101" s="91"/>
    </row>
    <row r="102" customHeight="1" spans="1:9">
      <c r="A102" s="72"/>
      <c r="B102" s="90"/>
      <c r="C102" s="87"/>
      <c r="D102" s="82"/>
      <c r="E102" s="83" t="e">
        <f>VLOOKUP($D102,成品本月库存!$B:$J,2,0)</f>
        <v>#N/A</v>
      </c>
      <c r="F102" s="83" t="e">
        <f>VLOOKUP($D102,成品本月库存!$B:$J,5,0)</f>
        <v>#N/A</v>
      </c>
      <c r="G102" s="84"/>
      <c r="H102" s="83" t="e">
        <f>VLOOKUP($D102,成品本月库存!$B:$J,9,0)</f>
        <v>#N/A</v>
      </c>
      <c r="I102" s="91"/>
    </row>
    <row r="103" customHeight="1" spans="1:9">
      <c r="A103" s="72"/>
      <c r="B103" s="90"/>
      <c r="C103" s="87"/>
      <c r="D103" s="82"/>
      <c r="E103" s="83" t="e">
        <f>VLOOKUP($D103,成品本月库存!$B:$J,2,0)</f>
        <v>#N/A</v>
      </c>
      <c r="F103" s="83" t="e">
        <f>VLOOKUP($D103,成品本月库存!$B:$J,5,0)</f>
        <v>#N/A</v>
      </c>
      <c r="G103" s="84"/>
      <c r="H103" s="83" t="e">
        <f>VLOOKUP($D103,成品本月库存!$B:$J,9,0)</f>
        <v>#N/A</v>
      </c>
      <c r="I103" s="91"/>
    </row>
    <row r="104" customHeight="1" spans="1:9">
      <c r="A104" s="72"/>
      <c r="B104" s="90"/>
      <c r="C104" s="87"/>
      <c r="D104" s="82"/>
      <c r="E104" s="83" t="e">
        <f>VLOOKUP($D104,成品本月库存!$B:$J,2,0)</f>
        <v>#N/A</v>
      </c>
      <c r="F104" s="83" t="e">
        <f>VLOOKUP($D104,成品本月库存!$B:$J,5,0)</f>
        <v>#N/A</v>
      </c>
      <c r="G104" s="84"/>
      <c r="H104" s="83" t="e">
        <f>VLOOKUP($D104,成品本月库存!$B:$J,9,0)</f>
        <v>#N/A</v>
      </c>
      <c r="I104" s="91"/>
    </row>
    <row r="105" customHeight="1" spans="1:9">
      <c r="A105" s="72"/>
      <c r="B105" s="90"/>
      <c r="C105" s="87"/>
      <c r="D105" s="82"/>
      <c r="E105" s="83" t="e">
        <f>VLOOKUP($D105,成品本月库存!$B:$J,2,0)</f>
        <v>#N/A</v>
      </c>
      <c r="F105" s="83" t="e">
        <f>VLOOKUP($D105,成品本月库存!$B:$J,5,0)</f>
        <v>#N/A</v>
      </c>
      <c r="G105" s="84"/>
      <c r="H105" s="83" t="e">
        <f>VLOOKUP($D105,成品本月库存!$B:$J,9,0)</f>
        <v>#N/A</v>
      </c>
      <c r="I105" s="91"/>
    </row>
    <row r="106" customHeight="1" spans="1:9">
      <c r="A106" s="72"/>
      <c r="B106" s="90"/>
      <c r="C106" s="87"/>
      <c r="D106" s="82"/>
      <c r="E106" s="83" t="e">
        <f>VLOOKUP($D106,成品本月库存!$B:$J,2,0)</f>
        <v>#N/A</v>
      </c>
      <c r="F106" s="83" t="e">
        <f>VLOOKUP($D106,成品本月库存!$B:$J,5,0)</f>
        <v>#N/A</v>
      </c>
      <c r="G106" s="84"/>
      <c r="H106" s="83" t="e">
        <f>VLOOKUP($D106,成品本月库存!$B:$J,9,0)</f>
        <v>#N/A</v>
      </c>
      <c r="I106" s="91"/>
    </row>
    <row r="107" customHeight="1" spans="1:9">
      <c r="A107" s="72"/>
      <c r="B107" s="90"/>
      <c r="C107" s="87"/>
      <c r="D107" s="82"/>
      <c r="E107" s="83" t="e">
        <f>VLOOKUP($D107,成品本月库存!$B:$J,2,0)</f>
        <v>#N/A</v>
      </c>
      <c r="F107" s="83" t="e">
        <f>VLOOKUP($D107,成品本月库存!$B:$J,5,0)</f>
        <v>#N/A</v>
      </c>
      <c r="G107" s="84"/>
      <c r="H107" s="83" t="e">
        <f>VLOOKUP($D107,成品本月库存!$B:$J,9,0)</f>
        <v>#N/A</v>
      </c>
      <c r="I107" s="91"/>
    </row>
    <row r="108" customHeight="1" spans="1:9">
      <c r="A108" s="72"/>
      <c r="B108" s="90"/>
      <c r="C108" s="87"/>
      <c r="D108" s="82"/>
      <c r="E108" s="83" t="e">
        <f>VLOOKUP($D108,成品本月库存!$B:$J,2,0)</f>
        <v>#N/A</v>
      </c>
      <c r="F108" s="83" t="e">
        <f>VLOOKUP($D108,成品本月库存!$B:$J,5,0)</f>
        <v>#N/A</v>
      </c>
      <c r="G108" s="84"/>
      <c r="H108" s="83" t="e">
        <f>VLOOKUP($D108,成品本月库存!$B:$J,9,0)</f>
        <v>#N/A</v>
      </c>
      <c r="I108" s="91"/>
    </row>
    <row r="109" customHeight="1" spans="1:9">
      <c r="A109" s="72"/>
      <c r="B109" s="90"/>
      <c r="C109" s="87"/>
      <c r="D109" s="82"/>
      <c r="E109" s="83" t="e">
        <f>VLOOKUP($D109,成品本月库存!$B:$J,2,0)</f>
        <v>#N/A</v>
      </c>
      <c r="F109" s="83" t="e">
        <f>VLOOKUP($D109,成品本月库存!$B:$J,5,0)</f>
        <v>#N/A</v>
      </c>
      <c r="G109" s="84"/>
      <c r="H109" s="83" t="e">
        <f>VLOOKUP($D109,成品本月库存!$B:$J,9,0)</f>
        <v>#N/A</v>
      </c>
      <c r="I109" s="91"/>
    </row>
    <row r="110" customHeight="1" spans="1:9">
      <c r="A110" s="72"/>
      <c r="B110" s="90"/>
      <c r="C110" s="87"/>
      <c r="D110" s="82"/>
      <c r="E110" s="83" t="e">
        <f>VLOOKUP($D110,成品本月库存!$B:$J,2,0)</f>
        <v>#N/A</v>
      </c>
      <c r="F110" s="83" t="e">
        <f>VLOOKUP($D110,成品本月库存!$B:$J,5,0)</f>
        <v>#N/A</v>
      </c>
      <c r="G110" s="84"/>
      <c r="H110" s="83" t="e">
        <f>VLOOKUP($D110,成品本月库存!$B:$J,9,0)</f>
        <v>#N/A</v>
      </c>
      <c r="I110" s="91"/>
    </row>
    <row r="111" customHeight="1" spans="1:9">
      <c r="A111" s="72"/>
      <c r="B111" s="90"/>
      <c r="C111" s="87"/>
      <c r="D111" s="82"/>
      <c r="E111" s="83" t="e">
        <f>VLOOKUP($D111,成品本月库存!$B:$J,2,0)</f>
        <v>#N/A</v>
      </c>
      <c r="F111" s="83" t="e">
        <f>VLOOKUP($D111,成品本月库存!$B:$J,5,0)</f>
        <v>#N/A</v>
      </c>
      <c r="G111" s="84"/>
      <c r="H111" s="83" t="e">
        <f>VLOOKUP($D111,成品本月库存!$B:$J,9,0)</f>
        <v>#N/A</v>
      </c>
      <c r="I111" s="91"/>
    </row>
    <row r="112" customHeight="1" spans="1:9">
      <c r="A112" s="72"/>
      <c r="B112" s="90"/>
      <c r="C112" s="87"/>
      <c r="D112" s="82"/>
      <c r="E112" s="83" t="e">
        <f>VLOOKUP($D112,成品本月库存!$B:$J,2,0)</f>
        <v>#N/A</v>
      </c>
      <c r="F112" s="83" t="e">
        <f>VLOOKUP($D112,成品本月库存!$B:$J,5,0)</f>
        <v>#N/A</v>
      </c>
      <c r="G112" s="84"/>
      <c r="H112" s="83" t="e">
        <f>VLOOKUP($D112,成品本月库存!$B:$J,9,0)</f>
        <v>#N/A</v>
      </c>
      <c r="I112" s="91"/>
    </row>
    <row r="113" customHeight="1" spans="1:9">
      <c r="A113" s="72"/>
      <c r="B113" s="90"/>
      <c r="C113" s="87"/>
      <c r="D113" s="82"/>
      <c r="E113" s="83" t="e">
        <f>VLOOKUP($D113,成品本月库存!$B:$J,2,0)</f>
        <v>#N/A</v>
      </c>
      <c r="F113" s="83" t="e">
        <f>VLOOKUP($D113,成品本月库存!$B:$J,5,0)</f>
        <v>#N/A</v>
      </c>
      <c r="G113" s="84"/>
      <c r="H113" s="83" t="e">
        <f>VLOOKUP($D113,成品本月库存!$B:$J,9,0)</f>
        <v>#N/A</v>
      </c>
      <c r="I113" s="91"/>
    </row>
    <row r="114" customHeight="1" spans="1:9">
      <c r="A114" s="72"/>
      <c r="B114" s="90"/>
      <c r="C114" s="87"/>
      <c r="D114" s="82"/>
      <c r="E114" s="83" t="e">
        <f>VLOOKUP($D114,成品本月库存!$B:$J,2,0)</f>
        <v>#N/A</v>
      </c>
      <c r="F114" s="83" t="e">
        <f>VLOOKUP($D114,成品本月库存!$B:$J,5,0)</f>
        <v>#N/A</v>
      </c>
      <c r="G114" s="84"/>
      <c r="H114" s="83" t="e">
        <f>VLOOKUP($D114,成品本月库存!$B:$J,9,0)</f>
        <v>#N/A</v>
      </c>
      <c r="I114" s="91"/>
    </row>
    <row r="115" customHeight="1" spans="1:9">
      <c r="A115" s="72"/>
      <c r="B115" s="90"/>
      <c r="C115" s="87"/>
      <c r="D115" s="82"/>
      <c r="E115" s="83" t="e">
        <f>VLOOKUP($D115,成品本月库存!$B:$J,2,0)</f>
        <v>#N/A</v>
      </c>
      <c r="F115" s="83" t="e">
        <f>VLOOKUP($D115,成品本月库存!$B:$J,5,0)</f>
        <v>#N/A</v>
      </c>
      <c r="G115" s="84"/>
      <c r="H115" s="83" t="e">
        <f>VLOOKUP($D115,成品本月库存!$B:$J,9,0)</f>
        <v>#N/A</v>
      </c>
      <c r="I115" s="91"/>
    </row>
    <row r="116" customHeight="1" spans="1:9">
      <c r="A116" s="72"/>
      <c r="B116" s="90"/>
      <c r="C116" s="87"/>
      <c r="D116" s="82"/>
      <c r="E116" s="83" t="e">
        <f>VLOOKUP($D116,成品本月库存!$B:$J,2,0)</f>
        <v>#N/A</v>
      </c>
      <c r="F116" s="83" t="e">
        <f>VLOOKUP($D116,成品本月库存!$B:$J,5,0)</f>
        <v>#N/A</v>
      </c>
      <c r="G116" s="84"/>
      <c r="H116" s="83" t="e">
        <f>VLOOKUP($D116,成品本月库存!$B:$J,9,0)</f>
        <v>#N/A</v>
      </c>
      <c r="I116" s="91"/>
    </row>
    <row r="117" customHeight="1" spans="1:9">
      <c r="A117" s="72"/>
      <c r="B117" s="90"/>
      <c r="C117" s="87"/>
      <c r="D117" s="82"/>
      <c r="E117" s="83" t="e">
        <f>VLOOKUP($D117,成品本月库存!$B:$J,2,0)</f>
        <v>#N/A</v>
      </c>
      <c r="F117" s="83" t="e">
        <f>VLOOKUP($D117,成品本月库存!$B:$J,5,0)</f>
        <v>#N/A</v>
      </c>
      <c r="G117" s="84"/>
      <c r="H117" s="83" t="e">
        <f>VLOOKUP($D117,成品本月库存!$B:$J,9,0)</f>
        <v>#N/A</v>
      </c>
      <c r="I117" s="91"/>
    </row>
    <row r="118" customHeight="1" spans="1:9">
      <c r="A118" s="72"/>
      <c r="B118" s="90"/>
      <c r="C118" s="87"/>
      <c r="D118" s="82"/>
      <c r="E118" s="83" t="e">
        <f>VLOOKUP($D118,成品本月库存!$B:$J,2,0)</f>
        <v>#N/A</v>
      </c>
      <c r="F118" s="83" t="e">
        <f>VLOOKUP($D118,成品本月库存!$B:$J,5,0)</f>
        <v>#N/A</v>
      </c>
      <c r="G118" s="84"/>
      <c r="H118" s="83" t="e">
        <f>VLOOKUP($D118,成品本月库存!$B:$J,9,0)</f>
        <v>#N/A</v>
      </c>
      <c r="I118" s="91"/>
    </row>
    <row r="119" customHeight="1" spans="1:9">
      <c r="A119" s="72"/>
      <c r="B119" s="90"/>
      <c r="C119" s="87"/>
      <c r="D119" s="82"/>
      <c r="E119" s="83" t="e">
        <f>VLOOKUP($D119,成品本月库存!$B:$J,2,0)</f>
        <v>#N/A</v>
      </c>
      <c r="F119" s="83" t="e">
        <f>VLOOKUP($D119,成品本月库存!$B:$J,5,0)</f>
        <v>#N/A</v>
      </c>
      <c r="G119" s="84"/>
      <c r="H119" s="83" t="e">
        <f>VLOOKUP($D119,成品本月库存!$B:$J,9,0)</f>
        <v>#N/A</v>
      </c>
      <c r="I119" s="91"/>
    </row>
    <row r="120" customHeight="1" spans="1:9">
      <c r="A120" s="72"/>
      <c r="B120" s="90"/>
      <c r="C120" s="87"/>
      <c r="D120" s="82"/>
      <c r="E120" s="83" t="e">
        <f>VLOOKUP($D120,成品本月库存!$B:$J,2,0)</f>
        <v>#N/A</v>
      </c>
      <c r="F120" s="83" t="e">
        <f>VLOOKUP($D120,成品本月库存!$B:$J,5,0)</f>
        <v>#N/A</v>
      </c>
      <c r="G120" s="84"/>
      <c r="H120" s="83" t="e">
        <f>VLOOKUP($D120,成品本月库存!$B:$J,9,0)</f>
        <v>#N/A</v>
      </c>
      <c r="I120" s="91"/>
    </row>
    <row r="121" customHeight="1" spans="1:9">
      <c r="A121" s="72"/>
      <c r="B121" s="90"/>
      <c r="C121" s="87"/>
      <c r="D121" s="82"/>
      <c r="E121" s="83" t="e">
        <f>VLOOKUP($D121,成品本月库存!$B:$J,2,0)</f>
        <v>#N/A</v>
      </c>
      <c r="F121" s="83" t="e">
        <f>VLOOKUP($D121,成品本月库存!$B:$J,5,0)</f>
        <v>#N/A</v>
      </c>
      <c r="G121" s="84"/>
      <c r="H121" s="83" t="e">
        <f>VLOOKUP($D121,成品本月库存!$B:$J,9,0)</f>
        <v>#N/A</v>
      </c>
      <c r="I121" s="91"/>
    </row>
    <row r="122" customHeight="1" spans="1:9">
      <c r="A122" s="72"/>
      <c r="B122" s="90"/>
      <c r="C122" s="87"/>
      <c r="D122" s="82"/>
      <c r="E122" s="83" t="e">
        <f>VLOOKUP($D122,成品本月库存!$B:$J,2,0)</f>
        <v>#N/A</v>
      </c>
      <c r="F122" s="83" t="e">
        <f>VLOOKUP($D122,成品本月库存!$B:$J,5,0)</f>
        <v>#N/A</v>
      </c>
      <c r="G122" s="84"/>
      <c r="H122" s="83" t="e">
        <f>VLOOKUP($D122,成品本月库存!$B:$J,9,0)</f>
        <v>#N/A</v>
      </c>
      <c r="I122" s="91"/>
    </row>
    <row r="123" customHeight="1" spans="1:9">
      <c r="A123" s="72"/>
      <c r="B123" s="90"/>
      <c r="C123" s="87"/>
      <c r="D123" s="82"/>
      <c r="E123" s="83" t="e">
        <f>VLOOKUP($D123,成品本月库存!$B:$J,2,0)</f>
        <v>#N/A</v>
      </c>
      <c r="F123" s="83" t="e">
        <f>VLOOKUP($D123,成品本月库存!$B:$J,5,0)</f>
        <v>#N/A</v>
      </c>
      <c r="G123" s="84"/>
      <c r="H123" s="83" t="e">
        <f>VLOOKUP($D123,成品本月库存!$B:$J,9,0)</f>
        <v>#N/A</v>
      </c>
      <c r="I123" s="91"/>
    </row>
    <row r="124" customHeight="1" spans="1:9">
      <c r="A124" s="72"/>
      <c r="B124" s="90"/>
      <c r="C124" s="87"/>
      <c r="D124" s="82"/>
      <c r="E124" s="83" t="e">
        <f>VLOOKUP($D124,成品本月库存!$B:$J,2,0)</f>
        <v>#N/A</v>
      </c>
      <c r="F124" s="83" t="e">
        <f>VLOOKUP($D124,成品本月库存!$B:$J,5,0)</f>
        <v>#N/A</v>
      </c>
      <c r="G124" s="84"/>
      <c r="H124" s="83" t="e">
        <f>VLOOKUP($D124,成品本月库存!$B:$J,9,0)</f>
        <v>#N/A</v>
      </c>
      <c r="I124" s="91"/>
    </row>
    <row r="125" customHeight="1" spans="1:9">
      <c r="A125" s="72"/>
      <c r="B125" s="90"/>
      <c r="C125" s="87"/>
      <c r="D125" s="82"/>
      <c r="E125" s="83" t="e">
        <f>VLOOKUP($D125,成品本月库存!$B:$J,2,0)</f>
        <v>#N/A</v>
      </c>
      <c r="F125" s="83" t="e">
        <f>VLOOKUP($D125,成品本月库存!$B:$J,5,0)</f>
        <v>#N/A</v>
      </c>
      <c r="G125" s="84"/>
      <c r="H125" s="83" t="e">
        <f>VLOOKUP($D125,成品本月库存!$B:$J,9,0)</f>
        <v>#N/A</v>
      </c>
      <c r="I125" s="91"/>
    </row>
    <row r="126" customHeight="1" spans="1:9">
      <c r="A126" s="72"/>
      <c r="B126" s="90"/>
      <c r="C126" s="87"/>
      <c r="D126" s="82"/>
      <c r="E126" s="83" t="e">
        <f>VLOOKUP($D126,成品本月库存!$B:$J,2,0)</f>
        <v>#N/A</v>
      </c>
      <c r="F126" s="83" t="e">
        <f>VLOOKUP($D126,成品本月库存!$B:$J,5,0)</f>
        <v>#N/A</v>
      </c>
      <c r="G126" s="84"/>
      <c r="H126" s="83" t="e">
        <f>VLOOKUP($D126,成品本月库存!$B:$J,9,0)</f>
        <v>#N/A</v>
      </c>
      <c r="I126" s="91"/>
    </row>
    <row r="127" customHeight="1" spans="1:9">
      <c r="A127" s="72"/>
      <c r="B127" s="90"/>
      <c r="C127" s="87"/>
      <c r="D127" s="82"/>
      <c r="E127" s="83" t="e">
        <f>VLOOKUP($D127,成品本月库存!$B:$J,2,0)</f>
        <v>#N/A</v>
      </c>
      <c r="F127" s="83" t="e">
        <f>VLOOKUP($D127,成品本月库存!$B:$J,5,0)</f>
        <v>#N/A</v>
      </c>
      <c r="G127" s="84"/>
      <c r="H127" s="83" t="e">
        <f>VLOOKUP($D127,成品本月库存!$B:$J,9,0)</f>
        <v>#N/A</v>
      </c>
      <c r="I127" s="91"/>
    </row>
    <row r="128" customHeight="1" spans="1:9">
      <c r="A128" s="72"/>
      <c r="B128" s="90"/>
      <c r="C128" s="87"/>
      <c r="D128" s="82"/>
      <c r="E128" s="83" t="e">
        <f>VLOOKUP($D128,成品本月库存!$B:$J,2,0)</f>
        <v>#N/A</v>
      </c>
      <c r="F128" s="83" t="e">
        <f>VLOOKUP($D128,成品本月库存!$B:$J,5,0)</f>
        <v>#N/A</v>
      </c>
      <c r="G128" s="84"/>
      <c r="H128" s="83" t="e">
        <f>VLOOKUP($D128,成品本月库存!$B:$J,9,0)</f>
        <v>#N/A</v>
      </c>
      <c r="I128" s="91"/>
    </row>
    <row r="129" customHeight="1" spans="1:9">
      <c r="A129" s="72"/>
      <c r="B129" s="90"/>
      <c r="C129" s="87"/>
      <c r="D129" s="82"/>
      <c r="E129" s="83" t="e">
        <f>VLOOKUP($D129,成品本月库存!$B:$J,2,0)</f>
        <v>#N/A</v>
      </c>
      <c r="F129" s="83" t="e">
        <f>VLOOKUP($D129,成品本月库存!$B:$J,5,0)</f>
        <v>#N/A</v>
      </c>
      <c r="G129" s="84"/>
      <c r="H129" s="83" t="e">
        <f>VLOOKUP($D129,成品本月库存!$B:$J,9,0)</f>
        <v>#N/A</v>
      </c>
      <c r="I129" s="91"/>
    </row>
    <row r="130" customHeight="1" spans="1:9">
      <c r="A130" s="72"/>
      <c r="B130" s="88"/>
      <c r="C130" s="87"/>
      <c r="D130" s="82"/>
      <c r="E130" s="83" t="e">
        <f>VLOOKUP($D130,成品本月库存!$B:$J,2,0)</f>
        <v>#N/A</v>
      </c>
      <c r="F130" s="83" t="e">
        <f>VLOOKUP($D130,成品本月库存!$B:$J,5,0)</f>
        <v>#N/A</v>
      </c>
      <c r="G130" s="84"/>
      <c r="H130" s="83" t="e">
        <f>VLOOKUP($D130,成品本月库存!$B:$J,9,0)</f>
        <v>#N/A</v>
      </c>
      <c r="I130" s="91"/>
    </row>
    <row r="131" customHeight="1" spans="1:9">
      <c r="A131" s="72"/>
      <c r="B131" s="88"/>
      <c r="C131" s="87"/>
      <c r="D131" s="82"/>
      <c r="E131" s="83" t="e">
        <f>VLOOKUP($D131,成品本月库存!$B:$J,2,0)</f>
        <v>#N/A</v>
      </c>
      <c r="F131" s="83" t="e">
        <f>VLOOKUP($D131,成品本月库存!$B:$J,5,0)</f>
        <v>#N/A</v>
      </c>
      <c r="G131" s="84"/>
      <c r="H131" s="83" t="e">
        <f>VLOOKUP($D131,成品本月库存!$B:$J,9,0)</f>
        <v>#N/A</v>
      </c>
      <c r="I131" s="91"/>
    </row>
    <row r="132" customHeight="1" spans="1:9">
      <c r="A132" s="72"/>
      <c r="B132" s="88"/>
      <c r="C132" s="87"/>
      <c r="D132" s="82"/>
      <c r="E132" s="83" t="e">
        <f>VLOOKUP($D132,成品本月库存!$B:$J,2,0)</f>
        <v>#N/A</v>
      </c>
      <c r="F132" s="83" t="e">
        <f>VLOOKUP($D132,成品本月库存!$B:$J,5,0)</f>
        <v>#N/A</v>
      </c>
      <c r="G132" s="84"/>
      <c r="H132" s="83" t="e">
        <f>VLOOKUP($D132,成品本月库存!$B:$J,9,0)</f>
        <v>#N/A</v>
      </c>
      <c r="I132" s="91"/>
    </row>
    <row r="133" customHeight="1" spans="1:9">
      <c r="A133" s="72"/>
      <c r="B133" s="88"/>
      <c r="C133" s="87"/>
      <c r="D133" s="82"/>
      <c r="E133" s="83" t="e">
        <f>VLOOKUP($D133,成品本月库存!$B:$J,2,0)</f>
        <v>#N/A</v>
      </c>
      <c r="F133" s="83" t="e">
        <f>VLOOKUP($D133,成品本月库存!$B:$J,5,0)</f>
        <v>#N/A</v>
      </c>
      <c r="G133" s="84"/>
      <c r="H133" s="83" t="e">
        <f>VLOOKUP($D133,成品本月库存!$B:$J,9,0)</f>
        <v>#N/A</v>
      </c>
      <c r="I133" s="91"/>
    </row>
    <row r="134" customHeight="1" spans="1:9">
      <c r="A134" s="72"/>
      <c r="B134" s="88"/>
      <c r="C134" s="87"/>
      <c r="D134" s="82"/>
      <c r="E134" s="83" t="e">
        <f>VLOOKUP($D134,成品本月库存!$B:$J,2,0)</f>
        <v>#N/A</v>
      </c>
      <c r="F134" s="83" t="e">
        <f>VLOOKUP($D134,成品本月库存!$B:$J,5,0)</f>
        <v>#N/A</v>
      </c>
      <c r="G134" s="84"/>
      <c r="H134" s="83" t="e">
        <f>VLOOKUP($D134,成品本月库存!$B:$J,9,0)</f>
        <v>#N/A</v>
      </c>
      <c r="I134" s="91"/>
    </row>
    <row r="135" customHeight="1" spans="1:9">
      <c r="A135" s="72"/>
      <c r="B135" s="88"/>
      <c r="C135" s="87"/>
      <c r="D135" s="82"/>
      <c r="E135" s="83" t="e">
        <f>VLOOKUP($D135,成品本月库存!$B:$J,2,0)</f>
        <v>#N/A</v>
      </c>
      <c r="F135" s="83" t="e">
        <f>VLOOKUP($D135,成品本月库存!$B:$J,5,0)</f>
        <v>#N/A</v>
      </c>
      <c r="G135" s="84"/>
      <c r="H135" s="83" t="e">
        <f>VLOOKUP($D135,成品本月库存!$B:$J,9,0)</f>
        <v>#N/A</v>
      </c>
      <c r="I135" s="91"/>
    </row>
    <row r="136" customHeight="1" spans="1:9">
      <c r="A136" s="72"/>
      <c r="B136" s="88"/>
      <c r="C136" s="87"/>
      <c r="D136" s="82"/>
      <c r="E136" s="83" t="e">
        <f>VLOOKUP($D136,成品本月库存!$B:$J,2,0)</f>
        <v>#N/A</v>
      </c>
      <c r="F136" s="83" t="e">
        <f>VLOOKUP($D136,成品本月库存!$B:$J,5,0)</f>
        <v>#N/A</v>
      </c>
      <c r="G136" s="84"/>
      <c r="H136" s="83" t="e">
        <f>VLOOKUP($D136,成品本月库存!$B:$J,9,0)</f>
        <v>#N/A</v>
      </c>
      <c r="I136" s="91"/>
    </row>
    <row r="137" customHeight="1" spans="1:9">
      <c r="A137" s="72"/>
      <c r="B137" s="88"/>
      <c r="C137" s="87"/>
      <c r="D137" s="82"/>
      <c r="E137" s="83" t="e">
        <f>VLOOKUP($D137,成品本月库存!$B:$J,2,0)</f>
        <v>#N/A</v>
      </c>
      <c r="F137" s="83" t="e">
        <f>VLOOKUP($D137,成品本月库存!$B:$J,5,0)</f>
        <v>#N/A</v>
      </c>
      <c r="G137" s="84"/>
      <c r="H137" s="83" t="e">
        <f>VLOOKUP($D137,成品本月库存!$B:$J,9,0)</f>
        <v>#N/A</v>
      </c>
      <c r="I137" s="91"/>
    </row>
    <row r="138" customHeight="1" spans="1:9">
      <c r="A138" s="72"/>
      <c r="B138" s="88"/>
      <c r="C138" s="87"/>
      <c r="D138" s="82"/>
      <c r="E138" s="83" t="e">
        <f>VLOOKUP($D138,成品本月库存!$B:$J,2,0)</f>
        <v>#N/A</v>
      </c>
      <c r="F138" s="83" t="e">
        <f>VLOOKUP($D138,成品本月库存!$B:$J,5,0)</f>
        <v>#N/A</v>
      </c>
      <c r="G138" s="84"/>
      <c r="H138" s="83" t="e">
        <f>VLOOKUP($D138,成品本月库存!$B:$J,9,0)</f>
        <v>#N/A</v>
      </c>
      <c r="I138" s="91"/>
    </row>
    <row r="139" customHeight="1" spans="1:9">
      <c r="A139" s="72"/>
      <c r="B139" s="88"/>
      <c r="C139" s="87"/>
      <c r="D139" s="82"/>
      <c r="E139" s="83" t="e">
        <f>VLOOKUP($D139,成品本月库存!$B:$J,2,0)</f>
        <v>#N/A</v>
      </c>
      <c r="F139" s="83" t="e">
        <f>VLOOKUP($D139,成品本月库存!$B:$J,5,0)</f>
        <v>#N/A</v>
      </c>
      <c r="G139" s="84"/>
      <c r="H139" s="83" t="e">
        <f>VLOOKUP($D139,成品本月库存!$B:$J,9,0)</f>
        <v>#N/A</v>
      </c>
      <c r="I139" s="91"/>
    </row>
    <row r="140" customHeight="1" spans="1:9">
      <c r="A140" s="72"/>
      <c r="B140" s="88"/>
      <c r="C140" s="87"/>
      <c r="D140" s="82"/>
      <c r="E140" s="83" t="e">
        <f>VLOOKUP($D140,成品本月库存!$B:$J,2,0)</f>
        <v>#N/A</v>
      </c>
      <c r="F140" s="83" t="e">
        <f>VLOOKUP($D140,成品本月库存!$B:$J,5,0)</f>
        <v>#N/A</v>
      </c>
      <c r="G140" s="84"/>
      <c r="H140" s="83" t="e">
        <f>VLOOKUP($D140,成品本月库存!$B:$J,9,0)</f>
        <v>#N/A</v>
      </c>
      <c r="I140" s="91"/>
    </row>
    <row r="141" customHeight="1" spans="1:9">
      <c r="A141" s="72"/>
      <c r="B141" s="90"/>
      <c r="C141" s="87"/>
      <c r="D141" s="82"/>
      <c r="E141" s="83" t="e">
        <f>VLOOKUP($D141,成品本月库存!$B:$J,2,0)</f>
        <v>#N/A</v>
      </c>
      <c r="F141" s="83" t="e">
        <f>VLOOKUP($D141,成品本月库存!$B:$J,5,0)</f>
        <v>#N/A</v>
      </c>
      <c r="G141" s="84"/>
      <c r="H141" s="83" t="e">
        <f>VLOOKUP($D141,成品本月库存!$B:$J,9,0)</f>
        <v>#N/A</v>
      </c>
      <c r="I141" s="91"/>
    </row>
    <row r="142" customHeight="1" spans="1:9">
      <c r="A142" s="72"/>
      <c r="B142" s="90"/>
      <c r="C142" s="87"/>
      <c r="D142" s="82"/>
      <c r="E142" s="83" t="e">
        <f>VLOOKUP($D142,成品本月库存!$B:$J,2,0)</f>
        <v>#N/A</v>
      </c>
      <c r="F142" s="83" t="e">
        <f>VLOOKUP($D142,成品本月库存!$B:$J,5,0)</f>
        <v>#N/A</v>
      </c>
      <c r="G142" s="84"/>
      <c r="H142" s="83" t="e">
        <f>VLOOKUP($D142,成品本月库存!$B:$J,9,0)</f>
        <v>#N/A</v>
      </c>
      <c r="I142" s="91"/>
    </row>
    <row r="143" customHeight="1" spans="1:9">
      <c r="A143" s="72"/>
      <c r="B143" s="90"/>
      <c r="C143" s="87"/>
      <c r="D143" s="82"/>
      <c r="E143" s="83" t="e">
        <f>VLOOKUP($D143,成品本月库存!$B:$J,2,0)</f>
        <v>#N/A</v>
      </c>
      <c r="F143" s="83" t="e">
        <f>VLOOKUP($D143,成品本月库存!$B:$J,5,0)</f>
        <v>#N/A</v>
      </c>
      <c r="G143" s="84"/>
      <c r="H143" s="83" t="e">
        <f>VLOOKUP($D143,成品本月库存!$B:$J,9,0)</f>
        <v>#N/A</v>
      </c>
      <c r="I143" s="91"/>
    </row>
    <row r="144" customHeight="1" spans="1:9">
      <c r="A144" s="72"/>
      <c r="B144" s="90"/>
      <c r="C144" s="87"/>
      <c r="D144" s="82"/>
      <c r="E144" s="83" t="e">
        <f>VLOOKUP($D144,成品本月库存!$B:$J,2,0)</f>
        <v>#N/A</v>
      </c>
      <c r="F144" s="83" t="e">
        <f>VLOOKUP($D144,成品本月库存!$B:$J,5,0)</f>
        <v>#N/A</v>
      </c>
      <c r="G144" s="84"/>
      <c r="H144" s="83" t="e">
        <f>VLOOKUP($D144,成品本月库存!$B:$J,9,0)</f>
        <v>#N/A</v>
      </c>
      <c r="I144" s="91"/>
    </row>
    <row r="145" customHeight="1" spans="1:9">
      <c r="A145" s="72"/>
      <c r="B145" s="90"/>
      <c r="C145" s="87"/>
      <c r="D145" s="82"/>
      <c r="E145" s="83" t="e">
        <f>VLOOKUP($D145,成品本月库存!$B:$J,2,0)</f>
        <v>#N/A</v>
      </c>
      <c r="F145" s="83" t="e">
        <f>VLOOKUP($D145,成品本月库存!$B:$J,5,0)</f>
        <v>#N/A</v>
      </c>
      <c r="G145" s="84"/>
      <c r="H145" s="83" t="e">
        <f>VLOOKUP($D145,成品本月库存!$B:$J,9,0)</f>
        <v>#N/A</v>
      </c>
      <c r="I145" s="91"/>
    </row>
    <row r="146" customHeight="1" spans="1:9">
      <c r="A146" s="72"/>
      <c r="B146" s="90"/>
      <c r="C146" s="87"/>
      <c r="D146" s="82"/>
      <c r="E146" s="83" t="e">
        <f>VLOOKUP($D146,成品本月库存!$B:$J,2,0)</f>
        <v>#N/A</v>
      </c>
      <c r="F146" s="83" t="e">
        <f>VLOOKUP($D146,成品本月库存!$B:$J,5,0)</f>
        <v>#N/A</v>
      </c>
      <c r="G146" s="84"/>
      <c r="H146" s="83" t="e">
        <f>VLOOKUP($D146,成品本月库存!$B:$J,9,0)</f>
        <v>#N/A</v>
      </c>
      <c r="I146" s="91"/>
    </row>
    <row r="147" customHeight="1" spans="1:9">
      <c r="A147" s="72"/>
      <c r="B147" s="90"/>
      <c r="C147" s="87"/>
      <c r="D147" s="82"/>
      <c r="E147" s="83" t="e">
        <f>VLOOKUP($D147,成品本月库存!$B:$J,2,0)</f>
        <v>#N/A</v>
      </c>
      <c r="F147" s="83" t="e">
        <f>VLOOKUP($D147,成品本月库存!$B:$J,5,0)</f>
        <v>#N/A</v>
      </c>
      <c r="G147" s="84"/>
      <c r="H147" s="83" t="e">
        <f>VLOOKUP($D147,成品本月库存!$B:$J,9,0)</f>
        <v>#N/A</v>
      </c>
      <c r="I147" s="91"/>
    </row>
    <row r="148" customHeight="1" spans="1:9">
      <c r="A148" s="72"/>
      <c r="B148" s="90"/>
      <c r="C148" s="87"/>
      <c r="D148" s="82"/>
      <c r="E148" s="83" t="e">
        <f>VLOOKUP($D148,成品本月库存!$B:$J,2,0)</f>
        <v>#N/A</v>
      </c>
      <c r="F148" s="83" t="e">
        <f>VLOOKUP($D148,成品本月库存!$B:$J,5,0)</f>
        <v>#N/A</v>
      </c>
      <c r="G148" s="84"/>
      <c r="H148" s="83" t="e">
        <f>VLOOKUP($D148,成品本月库存!$B:$J,9,0)</f>
        <v>#N/A</v>
      </c>
      <c r="I148" s="91"/>
    </row>
    <row r="149" customHeight="1" spans="1:9">
      <c r="A149" s="72"/>
      <c r="B149" s="90"/>
      <c r="C149" s="87"/>
      <c r="D149" s="82"/>
      <c r="E149" s="83" t="e">
        <f>VLOOKUP($D149,成品本月库存!$B:$J,2,0)</f>
        <v>#N/A</v>
      </c>
      <c r="F149" s="83" t="e">
        <f>VLOOKUP($D149,成品本月库存!$B:$J,5,0)</f>
        <v>#N/A</v>
      </c>
      <c r="G149" s="84"/>
      <c r="H149" s="83" t="e">
        <f>VLOOKUP($D149,成品本月库存!$B:$J,9,0)</f>
        <v>#N/A</v>
      </c>
      <c r="I149" s="91"/>
    </row>
    <row r="150" customHeight="1" spans="1:9">
      <c r="A150" s="72"/>
      <c r="B150" s="90"/>
      <c r="C150" s="87"/>
      <c r="D150" s="82"/>
      <c r="E150" s="83" t="e">
        <f>VLOOKUP($D150,成品本月库存!$B:$J,2,0)</f>
        <v>#N/A</v>
      </c>
      <c r="F150" s="83" t="e">
        <f>VLOOKUP($D150,成品本月库存!$B:$J,5,0)</f>
        <v>#N/A</v>
      </c>
      <c r="G150" s="84"/>
      <c r="H150" s="83" t="e">
        <f>VLOOKUP($D150,成品本月库存!$B:$J,9,0)</f>
        <v>#N/A</v>
      </c>
      <c r="I150" s="91"/>
    </row>
    <row r="151" customHeight="1" spans="1:9">
      <c r="A151" s="72"/>
      <c r="B151" s="90"/>
      <c r="C151" s="87"/>
      <c r="D151" s="82"/>
      <c r="E151" s="83" t="e">
        <f>VLOOKUP($D151,成品本月库存!$B:$J,2,0)</f>
        <v>#N/A</v>
      </c>
      <c r="F151" s="83" t="e">
        <f>VLOOKUP($D151,成品本月库存!$B:$J,5,0)</f>
        <v>#N/A</v>
      </c>
      <c r="G151" s="84"/>
      <c r="H151" s="83" t="e">
        <f>VLOOKUP($D151,成品本月库存!$B:$J,9,0)</f>
        <v>#N/A</v>
      </c>
      <c r="I151" s="85"/>
    </row>
    <row r="152" customHeight="1" spans="1:9">
      <c r="A152" s="72"/>
      <c r="B152" s="90"/>
      <c r="C152" s="87"/>
      <c r="D152" s="82"/>
      <c r="E152" s="83" t="e">
        <f>VLOOKUP($D152,成品本月库存!$B:$J,2,0)</f>
        <v>#N/A</v>
      </c>
      <c r="F152" s="83" t="e">
        <f>VLOOKUP($D152,成品本月库存!$B:$J,5,0)</f>
        <v>#N/A</v>
      </c>
      <c r="G152" s="84"/>
      <c r="H152" s="83" t="e">
        <f>VLOOKUP($D152,成品本月库存!$B:$J,9,0)</f>
        <v>#N/A</v>
      </c>
      <c r="I152" s="85"/>
    </row>
    <row r="153" customHeight="1" spans="1:9">
      <c r="A153" s="72"/>
      <c r="B153" s="90"/>
      <c r="C153" s="87"/>
      <c r="D153" s="82"/>
      <c r="E153" s="83" t="e">
        <f>VLOOKUP($D153,成品本月库存!$B:$J,2,0)</f>
        <v>#N/A</v>
      </c>
      <c r="F153" s="83" t="e">
        <f>VLOOKUP($D153,成品本月库存!$B:$J,5,0)</f>
        <v>#N/A</v>
      </c>
      <c r="G153" s="84"/>
      <c r="H153" s="83" t="e">
        <f>VLOOKUP($D153,成品本月库存!$B:$J,9,0)</f>
        <v>#N/A</v>
      </c>
      <c r="I153" s="85"/>
    </row>
    <row r="154" customHeight="1" spans="1:9">
      <c r="A154" s="72"/>
      <c r="B154" s="90"/>
      <c r="C154" s="87"/>
      <c r="D154" s="82"/>
      <c r="E154" s="83" t="e">
        <f>VLOOKUP($D154,成品本月库存!$B:$J,2,0)</f>
        <v>#N/A</v>
      </c>
      <c r="F154" s="83" t="e">
        <f>VLOOKUP($D154,成品本月库存!$B:$J,5,0)</f>
        <v>#N/A</v>
      </c>
      <c r="G154" s="84"/>
      <c r="H154" s="83" t="e">
        <f>VLOOKUP($D154,成品本月库存!$B:$J,9,0)</f>
        <v>#N/A</v>
      </c>
      <c r="I154" s="85"/>
    </row>
    <row r="155" customHeight="1" spans="1:9">
      <c r="A155" s="72"/>
      <c r="B155" s="90"/>
      <c r="C155" s="87"/>
      <c r="D155" s="82"/>
      <c r="E155" s="83" t="e">
        <f>VLOOKUP($D155,成品本月库存!$B:$J,2,0)</f>
        <v>#N/A</v>
      </c>
      <c r="F155" s="83" t="e">
        <f>VLOOKUP($D155,成品本月库存!$B:$J,5,0)</f>
        <v>#N/A</v>
      </c>
      <c r="G155" s="84"/>
      <c r="H155" s="83" t="e">
        <f>VLOOKUP($D155,成品本月库存!$B:$J,9,0)</f>
        <v>#N/A</v>
      </c>
      <c r="I155" s="85"/>
    </row>
    <row r="156" customHeight="1" spans="1:9">
      <c r="A156" s="72"/>
      <c r="B156" s="90"/>
      <c r="C156" s="87"/>
      <c r="D156" s="82"/>
      <c r="E156" s="83" t="e">
        <f>VLOOKUP($D156,成品本月库存!$B:$J,2,0)</f>
        <v>#N/A</v>
      </c>
      <c r="F156" s="83" t="e">
        <f>VLOOKUP($D156,成品本月库存!$B:$J,5,0)</f>
        <v>#N/A</v>
      </c>
      <c r="G156" s="84"/>
      <c r="H156" s="83" t="e">
        <f>VLOOKUP($D156,成品本月库存!$B:$J,9,0)</f>
        <v>#N/A</v>
      </c>
      <c r="I156" s="85"/>
    </row>
    <row r="157" customHeight="1" spans="1:9">
      <c r="A157" s="72"/>
      <c r="B157" s="90"/>
      <c r="C157" s="87"/>
      <c r="D157" s="82"/>
      <c r="E157" s="83" t="e">
        <f>VLOOKUP($D157,成品本月库存!$B:$J,2,0)</f>
        <v>#N/A</v>
      </c>
      <c r="F157" s="83" t="e">
        <f>VLOOKUP($D157,成品本月库存!$B:$J,5,0)</f>
        <v>#N/A</v>
      </c>
      <c r="G157" s="84"/>
      <c r="H157" s="83" t="e">
        <f>VLOOKUP($D157,成品本月库存!$B:$J,9,0)</f>
        <v>#N/A</v>
      </c>
      <c r="I157" s="85"/>
    </row>
    <row r="158" customHeight="1" spans="1:9">
      <c r="A158" s="72"/>
      <c r="B158" s="90"/>
      <c r="C158" s="87"/>
      <c r="D158" s="82"/>
      <c r="E158" s="83" t="e">
        <f>VLOOKUP($D158,成品本月库存!$B:$J,2,0)</f>
        <v>#N/A</v>
      </c>
      <c r="F158" s="83" t="e">
        <f>VLOOKUP($D158,成品本月库存!$B:$J,5,0)</f>
        <v>#N/A</v>
      </c>
      <c r="G158" s="84"/>
      <c r="H158" s="83" t="e">
        <f>VLOOKUP($D158,成品本月库存!$B:$J,9,0)</f>
        <v>#N/A</v>
      </c>
      <c r="I158" s="85"/>
    </row>
    <row r="159" customHeight="1" spans="1:9">
      <c r="A159" s="72"/>
      <c r="B159" s="90"/>
      <c r="C159" s="87"/>
      <c r="D159" s="82"/>
      <c r="E159" s="83" t="e">
        <f>VLOOKUP($D159,成品本月库存!$B:$J,2,0)</f>
        <v>#N/A</v>
      </c>
      <c r="F159" s="83" t="e">
        <f>VLOOKUP($D159,成品本月库存!$B:$J,5,0)</f>
        <v>#N/A</v>
      </c>
      <c r="G159" s="84"/>
      <c r="H159" s="83" t="e">
        <f>VLOOKUP($D159,成品本月库存!$B:$J,9,0)</f>
        <v>#N/A</v>
      </c>
      <c r="I159" s="85"/>
    </row>
    <row r="160" customHeight="1" spans="1:9">
      <c r="A160" s="72"/>
      <c r="B160" s="90"/>
      <c r="C160" s="83"/>
      <c r="D160" s="82"/>
      <c r="E160" s="83" t="e">
        <f>VLOOKUP($D160,成品本月库存!$B:$J,2,0)</f>
        <v>#N/A</v>
      </c>
      <c r="F160" s="83" t="e">
        <f>VLOOKUP($D160,成品本月库存!$B:$J,5,0)</f>
        <v>#N/A</v>
      </c>
      <c r="G160" s="84"/>
      <c r="H160" s="83" t="e">
        <f>VLOOKUP($D160,成品本月库存!$B:$J,9,0)</f>
        <v>#N/A</v>
      </c>
      <c r="I160" s="85"/>
    </row>
    <row r="161" customHeight="1" spans="1:9">
      <c r="A161" s="72"/>
      <c r="B161" s="90"/>
      <c r="C161" s="83"/>
      <c r="D161" s="82"/>
      <c r="E161" s="83" t="e">
        <f>VLOOKUP($D161,成品本月库存!$B:$J,2,0)</f>
        <v>#N/A</v>
      </c>
      <c r="F161" s="83" t="e">
        <f>VLOOKUP($D161,成品本月库存!$B:$J,5,0)</f>
        <v>#N/A</v>
      </c>
      <c r="G161" s="84"/>
      <c r="H161" s="83" t="e">
        <f>VLOOKUP($D161,成品本月库存!$B:$J,9,0)</f>
        <v>#N/A</v>
      </c>
      <c r="I161" s="85"/>
    </row>
    <row r="162" customHeight="1" spans="1:9">
      <c r="A162" s="72"/>
      <c r="B162" s="90"/>
      <c r="C162" s="87"/>
      <c r="D162" s="82"/>
      <c r="E162" s="83" t="e">
        <f>VLOOKUP($D162,成品本月库存!$B:$J,2,0)</f>
        <v>#N/A</v>
      </c>
      <c r="F162" s="83" t="e">
        <f>VLOOKUP($D162,成品本月库存!$B:$J,5,0)</f>
        <v>#N/A</v>
      </c>
      <c r="G162" s="84"/>
      <c r="H162" s="83" t="e">
        <f>VLOOKUP($D162,成品本月库存!$B:$J,9,0)</f>
        <v>#N/A</v>
      </c>
      <c r="I162" s="85"/>
    </row>
    <row r="163" customHeight="1" spans="1:9">
      <c r="A163" s="72"/>
      <c r="B163" s="90"/>
      <c r="C163" s="87"/>
      <c r="D163" s="82"/>
      <c r="E163" s="83" t="e">
        <f>VLOOKUP($D163,成品本月库存!$B:$J,2,0)</f>
        <v>#N/A</v>
      </c>
      <c r="F163" s="83" t="e">
        <f>VLOOKUP($D163,成品本月库存!$B:$J,5,0)</f>
        <v>#N/A</v>
      </c>
      <c r="G163" s="84"/>
      <c r="H163" s="83" t="e">
        <f>VLOOKUP($D163,成品本月库存!$B:$J,9,0)</f>
        <v>#N/A</v>
      </c>
      <c r="I163" s="85"/>
    </row>
    <row r="164" customHeight="1" spans="1:9">
      <c r="A164" s="72"/>
      <c r="B164" s="90"/>
      <c r="C164" s="87"/>
      <c r="D164" s="82"/>
      <c r="E164" s="83" t="e">
        <f>VLOOKUP($D164,成品本月库存!$B:$J,2,0)</f>
        <v>#N/A</v>
      </c>
      <c r="F164" s="83" t="e">
        <f>VLOOKUP($D164,成品本月库存!$B:$J,5,0)</f>
        <v>#N/A</v>
      </c>
      <c r="G164" s="84"/>
      <c r="H164" s="83" t="e">
        <f>VLOOKUP($D164,成品本月库存!$B:$J,9,0)</f>
        <v>#N/A</v>
      </c>
      <c r="I164" s="85"/>
    </row>
    <row r="165" customHeight="1" spans="1:9">
      <c r="A165" s="72"/>
      <c r="B165" s="90"/>
      <c r="C165" s="87"/>
      <c r="D165" s="82"/>
      <c r="E165" s="83" t="e">
        <f>VLOOKUP($D165,成品本月库存!$B:$J,2,0)</f>
        <v>#N/A</v>
      </c>
      <c r="F165" s="83" t="e">
        <f>VLOOKUP($D165,成品本月库存!$B:$J,5,0)</f>
        <v>#N/A</v>
      </c>
      <c r="G165" s="84"/>
      <c r="H165" s="83" t="e">
        <f>VLOOKUP($D165,成品本月库存!$B:$J,9,0)</f>
        <v>#N/A</v>
      </c>
      <c r="I165" s="85"/>
    </row>
    <row r="166" customHeight="1" spans="1:9">
      <c r="A166" s="72"/>
      <c r="B166" s="90"/>
      <c r="C166" s="87"/>
      <c r="D166" s="82"/>
      <c r="E166" s="83" t="e">
        <f>VLOOKUP($D166,成品本月库存!$B:$J,2,0)</f>
        <v>#N/A</v>
      </c>
      <c r="F166" s="83" t="e">
        <f>VLOOKUP($D166,成品本月库存!$B:$J,5,0)</f>
        <v>#N/A</v>
      </c>
      <c r="G166" s="84"/>
      <c r="H166" s="83" t="e">
        <f>VLOOKUP($D166,成品本月库存!$B:$J,9,0)</f>
        <v>#N/A</v>
      </c>
      <c r="I166" s="85"/>
    </row>
    <row r="167" customHeight="1" spans="1:9">
      <c r="A167" s="72"/>
      <c r="B167" s="90"/>
      <c r="C167" s="87"/>
      <c r="D167" s="82"/>
      <c r="E167" s="83" t="e">
        <f>VLOOKUP($D167,成品本月库存!$B:$J,2,0)</f>
        <v>#N/A</v>
      </c>
      <c r="F167" s="83" t="e">
        <f>VLOOKUP($D167,成品本月库存!$B:$J,5,0)</f>
        <v>#N/A</v>
      </c>
      <c r="G167" s="84"/>
      <c r="H167" s="83" t="e">
        <f>VLOOKUP($D167,成品本月库存!$B:$J,9,0)</f>
        <v>#N/A</v>
      </c>
      <c r="I167" s="85"/>
    </row>
    <row r="168" customHeight="1" spans="1:9">
      <c r="A168" s="72"/>
      <c r="B168" s="90"/>
      <c r="C168" s="87"/>
      <c r="D168" s="82"/>
      <c r="E168" s="83" t="e">
        <f>VLOOKUP($D168,成品本月库存!$B:$J,2,0)</f>
        <v>#N/A</v>
      </c>
      <c r="F168" s="83" t="e">
        <f>VLOOKUP($D168,成品本月库存!$B:$J,5,0)</f>
        <v>#N/A</v>
      </c>
      <c r="G168" s="84"/>
      <c r="H168" s="83" t="e">
        <f>VLOOKUP($D168,成品本月库存!$B:$J,9,0)</f>
        <v>#N/A</v>
      </c>
      <c r="I168" s="92"/>
    </row>
    <row r="169" customHeight="1" spans="1:9">
      <c r="A169" s="72"/>
      <c r="B169" s="90"/>
      <c r="C169" s="87"/>
      <c r="D169" s="82"/>
      <c r="E169" s="83" t="e">
        <f>VLOOKUP($D169,成品本月库存!$B:$J,2,0)</f>
        <v>#N/A</v>
      </c>
      <c r="F169" s="83" t="e">
        <f>VLOOKUP($D169,成品本月库存!$B:$J,5,0)</f>
        <v>#N/A</v>
      </c>
      <c r="G169" s="84"/>
      <c r="H169" s="83" t="e">
        <f>VLOOKUP($D169,成品本月库存!$B:$J,9,0)</f>
        <v>#N/A</v>
      </c>
      <c r="I169" s="92"/>
    </row>
    <row r="170" customHeight="1" spans="1:9">
      <c r="A170" s="72"/>
      <c r="B170" s="90"/>
      <c r="C170" s="87"/>
      <c r="D170" s="82"/>
      <c r="E170" s="83" t="e">
        <f>VLOOKUP($D170,成品本月库存!$B:$J,2,0)</f>
        <v>#N/A</v>
      </c>
      <c r="F170" s="83" t="e">
        <f>VLOOKUP($D170,成品本月库存!$B:$J,5,0)</f>
        <v>#N/A</v>
      </c>
      <c r="G170" s="84"/>
      <c r="H170" s="83" t="e">
        <f>VLOOKUP($D170,成品本月库存!$B:$J,9,0)</f>
        <v>#N/A</v>
      </c>
      <c r="I170" s="92"/>
    </row>
    <row r="171" customHeight="1" spans="1:9">
      <c r="A171" s="72"/>
      <c r="B171" s="90"/>
      <c r="C171" s="87"/>
      <c r="D171" s="82"/>
      <c r="E171" s="83" t="e">
        <f>VLOOKUP($D171,成品本月库存!$B:$J,2,0)</f>
        <v>#N/A</v>
      </c>
      <c r="F171" s="83" t="e">
        <f>VLOOKUP($D171,成品本月库存!$B:$J,5,0)</f>
        <v>#N/A</v>
      </c>
      <c r="G171" s="84"/>
      <c r="H171" s="83" t="e">
        <f>VLOOKUP($D171,成品本月库存!$B:$J,9,0)</f>
        <v>#N/A</v>
      </c>
      <c r="I171" s="92"/>
    </row>
    <row r="172" customHeight="1" spans="1:9">
      <c r="A172" s="72"/>
      <c r="B172" s="90"/>
      <c r="C172" s="87"/>
      <c r="D172" s="82"/>
      <c r="E172" s="83" t="e">
        <f>VLOOKUP($D172,成品本月库存!$B:$J,2,0)</f>
        <v>#N/A</v>
      </c>
      <c r="F172" s="83" t="e">
        <f>VLOOKUP($D172,成品本月库存!$B:$J,5,0)</f>
        <v>#N/A</v>
      </c>
      <c r="G172" s="84"/>
      <c r="H172" s="83" t="e">
        <f>VLOOKUP($D172,成品本月库存!$B:$J,9,0)</f>
        <v>#N/A</v>
      </c>
      <c r="I172" s="92"/>
    </row>
    <row r="173" customHeight="1" spans="1:9">
      <c r="A173" s="72"/>
      <c r="B173" s="90"/>
      <c r="C173" s="87"/>
      <c r="D173" s="82"/>
      <c r="E173" s="83" t="e">
        <f>VLOOKUP($D173,成品本月库存!$B:$J,2,0)</f>
        <v>#N/A</v>
      </c>
      <c r="F173" s="83" t="e">
        <f>VLOOKUP($D173,成品本月库存!$B:$J,5,0)</f>
        <v>#N/A</v>
      </c>
      <c r="G173" s="84"/>
      <c r="H173" s="83" t="e">
        <f>VLOOKUP($D173,成品本月库存!$B:$J,9,0)</f>
        <v>#N/A</v>
      </c>
      <c r="I173" s="92"/>
    </row>
    <row r="174" customHeight="1" spans="1:9">
      <c r="A174" s="72"/>
      <c r="B174" s="90"/>
      <c r="C174" s="87"/>
      <c r="D174" s="82"/>
      <c r="E174" s="83" t="e">
        <f>VLOOKUP($D174,成品本月库存!$B:$J,2,0)</f>
        <v>#N/A</v>
      </c>
      <c r="F174" s="83" t="e">
        <f>VLOOKUP($D174,成品本月库存!$B:$J,5,0)</f>
        <v>#N/A</v>
      </c>
      <c r="G174" s="84"/>
      <c r="H174" s="83" t="e">
        <f>VLOOKUP($D174,成品本月库存!$B:$J,9,0)</f>
        <v>#N/A</v>
      </c>
      <c r="I174" s="92"/>
    </row>
    <row r="175" customHeight="1" spans="1:9">
      <c r="A175" s="72"/>
      <c r="B175" s="90"/>
      <c r="C175" s="87"/>
      <c r="D175" s="82"/>
      <c r="E175" s="83" t="e">
        <f>VLOOKUP($D175,成品本月库存!$B:$J,2,0)</f>
        <v>#N/A</v>
      </c>
      <c r="F175" s="83" t="e">
        <f>VLOOKUP($D175,成品本月库存!$B:$J,5,0)</f>
        <v>#N/A</v>
      </c>
      <c r="G175" s="84"/>
      <c r="H175" s="83" t="e">
        <f>VLOOKUP($D175,成品本月库存!$B:$J,9,0)</f>
        <v>#N/A</v>
      </c>
      <c r="I175" s="92"/>
    </row>
    <row r="176" customHeight="1" spans="1:9">
      <c r="A176" s="72"/>
      <c r="B176" s="90"/>
      <c r="C176" s="87"/>
      <c r="D176" s="82"/>
      <c r="E176" s="83" t="e">
        <f>VLOOKUP($D176,成品本月库存!$B:$J,2,0)</f>
        <v>#N/A</v>
      </c>
      <c r="F176" s="83" t="e">
        <f>VLOOKUP($D176,成品本月库存!$B:$J,5,0)</f>
        <v>#N/A</v>
      </c>
      <c r="G176" s="83"/>
      <c r="H176" s="83" t="e">
        <f>VLOOKUP($D176,成品本月库存!$B:$J,9,0)</f>
        <v>#N/A</v>
      </c>
      <c r="I176" s="92"/>
    </row>
    <row r="177" customHeight="1" spans="1:9">
      <c r="A177" s="72"/>
      <c r="B177" s="90"/>
      <c r="C177" s="87"/>
      <c r="D177" s="82"/>
      <c r="E177" s="83" t="e">
        <f>VLOOKUP($D177,成品本月库存!$B:$J,2,0)</f>
        <v>#N/A</v>
      </c>
      <c r="F177" s="83" t="e">
        <f>VLOOKUP($D177,成品本月库存!$B:$J,5,0)</f>
        <v>#N/A</v>
      </c>
      <c r="G177" s="83"/>
      <c r="H177" s="83" t="e">
        <f>VLOOKUP($D177,成品本月库存!$B:$J,9,0)</f>
        <v>#N/A</v>
      </c>
      <c r="I177" s="92"/>
    </row>
    <row r="178" customHeight="1" spans="1:9">
      <c r="A178" s="72"/>
      <c r="B178" s="90"/>
      <c r="C178" s="87"/>
      <c r="D178" s="82"/>
      <c r="E178" s="83" t="e">
        <f>VLOOKUP($D178,成品本月库存!$B:$J,2,0)</f>
        <v>#N/A</v>
      </c>
      <c r="F178" s="83" t="e">
        <f>VLOOKUP($D178,成品本月库存!$B:$J,5,0)</f>
        <v>#N/A</v>
      </c>
      <c r="G178" s="83"/>
      <c r="H178" s="83" t="e">
        <f>VLOOKUP($D178,成品本月库存!$B:$J,9,0)</f>
        <v>#N/A</v>
      </c>
      <c r="I178" s="92"/>
    </row>
    <row r="179" customHeight="1" spans="1:9">
      <c r="A179" s="72"/>
      <c r="B179" s="90"/>
      <c r="C179" s="87"/>
      <c r="D179" s="82"/>
      <c r="E179" s="83" t="e">
        <f>VLOOKUP($D179,成品本月库存!$B:$J,2,0)</f>
        <v>#N/A</v>
      </c>
      <c r="F179" s="83" t="e">
        <f>VLOOKUP($D179,成品本月库存!$B:$J,5,0)</f>
        <v>#N/A</v>
      </c>
      <c r="G179" s="84"/>
      <c r="H179" s="83" t="e">
        <f>VLOOKUP($D179,成品本月库存!$B:$J,9,0)</f>
        <v>#N/A</v>
      </c>
      <c r="I179" s="85"/>
    </row>
    <row r="180" customHeight="1" spans="1:9">
      <c r="A180" s="72"/>
      <c r="B180" s="90"/>
      <c r="C180" s="87"/>
      <c r="D180" s="82"/>
      <c r="E180" s="83" t="e">
        <f>VLOOKUP($D180,成品本月库存!$B:$J,2,0)</f>
        <v>#N/A</v>
      </c>
      <c r="F180" s="83" t="e">
        <f>VLOOKUP($D180,成品本月库存!$B:$J,5,0)</f>
        <v>#N/A</v>
      </c>
      <c r="G180" s="84"/>
      <c r="H180" s="83" t="e">
        <f>VLOOKUP($D180,成品本月库存!$B:$J,9,0)</f>
        <v>#N/A</v>
      </c>
      <c r="I180" s="85"/>
    </row>
    <row r="181" customHeight="1" spans="1:9">
      <c r="A181" s="72"/>
      <c r="B181" s="90"/>
      <c r="C181" s="87"/>
      <c r="D181" s="82"/>
      <c r="E181" s="83" t="e">
        <f>VLOOKUP($D181,成品本月库存!$B:$J,2,0)</f>
        <v>#N/A</v>
      </c>
      <c r="F181" s="83" t="e">
        <f>VLOOKUP($D181,成品本月库存!$B:$J,5,0)</f>
        <v>#N/A</v>
      </c>
      <c r="G181" s="84"/>
      <c r="H181" s="83" t="e">
        <f>VLOOKUP($D181,成品本月库存!$B:$J,9,0)</f>
        <v>#N/A</v>
      </c>
      <c r="I181" s="85"/>
    </row>
    <row r="182" customHeight="1" spans="1:9">
      <c r="A182" s="72"/>
      <c r="B182" s="90"/>
      <c r="C182" s="87"/>
      <c r="D182" s="82"/>
      <c r="E182" s="83" t="e">
        <f>VLOOKUP($D182,成品本月库存!$B:$J,2,0)</f>
        <v>#N/A</v>
      </c>
      <c r="F182" s="83" t="e">
        <f>VLOOKUP($D182,成品本月库存!$B:$J,5,0)</f>
        <v>#N/A</v>
      </c>
      <c r="G182" s="84"/>
      <c r="H182" s="83" t="e">
        <f>VLOOKUP($D182,成品本月库存!$B:$J,9,0)</f>
        <v>#N/A</v>
      </c>
      <c r="I182" s="85"/>
    </row>
    <row r="183" customHeight="1" spans="1:9">
      <c r="A183" s="72"/>
      <c r="B183" s="90"/>
      <c r="C183" s="87"/>
      <c r="D183" s="82"/>
      <c r="E183" s="83" t="e">
        <f>VLOOKUP($D183,成品本月库存!$B:$J,2,0)</f>
        <v>#N/A</v>
      </c>
      <c r="F183" s="83" t="e">
        <f>VLOOKUP($D183,成品本月库存!$B:$J,5,0)</f>
        <v>#N/A</v>
      </c>
      <c r="G183" s="84"/>
      <c r="H183" s="83" t="e">
        <f>VLOOKUP($D183,成品本月库存!$B:$J,9,0)</f>
        <v>#N/A</v>
      </c>
      <c r="I183" s="85"/>
    </row>
    <row r="184" customHeight="1" spans="1:9">
      <c r="A184" s="72"/>
      <c r="B184" s="90"/>
      <c r="C184" s="87"/>
      <c r="D184" s="82"/>
      <c r="E184" s="83" t="e">
        <f>VLOOKUP($D184,成品本月库存!$B:$J,2,0)</f>
        <v>#N/A</v>
      </c>
      <c r="F184" s="83" t="e">
        <f>VLOOKUP($D184,成品本月库存!$B:$J,5,0)</f>
        <v>#N/A</v>
      </c>
      <c r="G184" s="84"/>
      <c r="H184" s="83" t="e">
        <f>VLOOKUP($D184,成品本月库存!$B:$J,9,0)</f>
        <v>#N/A</v>
      </c>
      <c r="I184" s="85"/>
    </row>
    <row r="185" customHeight="1" spans="1:9">
      <c r="A185" s="72"/>
      <c r="B185" s="90"/>
      <c r="C185" s="87"/>
      <c r="D185" s="82"/>
      <c r="E185" s="83" t="e">
        <f>VLOOKUP($D185,成品本月库存!$B:$J,2,0)</f>
        <v>#N/A</v>
      </c>
      <c r="F185" s="83" t="e">
        <f>VLOOKUP($D185,成品本月库存!$B:$J,5,0)</f>
        <v>#N/A</v>
      </c>
      <c r="G185" s="84"/>
      <c r="H185" s="83" t="e">
        <f>VLOOKUP($D185,成品本月库存!$B:$J,9,0)</f>
        <v>#N/A</v>
      </c>
      <c r="I185" s="85"/>
    </row>
    <row r="186" customHeight="1" spans="1:9">
      <c r="A186" s="72"/>
      <c r="B186" s="90"/>
      <c r="C186" s="87"/>
      <c r="D186" s="82"/>
      <c r="E186" s="83" t="e">
        <f>VLOOKUP($D186,成品本月库存!$B:$J,2,0)</f>
        <v>#N/A</v>
      </c>
      <c r="F186" s="83" t="e">
        <f>VLOOKUP($D186,成品本月库存!$B:$J,5,0)</f>
        <v>#N/A</v>
      </c>
      <c r="G186" s="84"/>
      <c r="H186" s="83" t="e">
        <f>VLOOKUP($D186,成品本月库存!$B:$J,9,0)</f>
        <v>#N/A</v>
      </c>
      <c r="I186" s="85"/>
    </row>
    <row r="187" customHeight="1" spans="1:9">
      <c r="A187" s="72"/>
      <c r="B187" s="90"/>
      <c r="C187" s="87"/>
      <c r="D187" s="82"/>
      <c r="E187" s="83" t="e">
        <f>VLOOKUP($D187,成品本月库存!$B:$J,2,0)</f>
        <v>#N/A</v>
      </c>
      <c r="F187" s="83" t="e">
        <f>VLOOKUP($D187,成品本月库存!$B:$J,5,0)</f>
        <v>#N/A</v>
      </c>
      <c r="G187" s="84"/>
      <c r="H187" s="83" t="e">
        <f>VLOOKUP($D187,成品本月库存!$B:$J,9,0)</f>
        <v>#N/A</v>
      </c>
      <c r="I187" s="85"/>
    </row>
    <row r="188" customHeight="1" spans="1:9">
      <c r="A188" s="72"/>
      <c r="B188" s="90"/>
      <c r="C188" s="87"/>
      <c r="D188" s="82"/>
      <c r="E188" s="83" t="e">
        <f>VLOOKUP($D188,成品本月库存!$B:$J,2,0)</f>
        <v>#N/A</v>
      </c>
      <c r="F188" s="83" t="e">
        <f>VLOOKUP($D188,成品本月库存!$B:$J,5,0)</f>
        <v>#N/A</v>
      </c>
      <c r="G188" s="84"/>
      <c r="H188" s="83" t="e">
        <f>VLOOKUP($D188,成品本月库存!$B:$J,9,0)</f>
        <v>#N/A</v>
      </c>
      <c r="I188" s="85"/>
    </row>
    <row r="189" customHeight="1" spans="1:9">
      <c r="A189" s="72"/>
      <c r="B189" s="90"/>
      <c r="C189" s="87"/>
      <c r="D189" s="82"/>
      <c r="E189" s="83" t="e">
        <f>VLOOKUP($D189,成品本月库存!$B:$J,2,0)</f>
        <v>#N/A</v>
      </c>
      <c r="F189" s="83" t="e">
        <f>VLOOKUP($D189,成品本月库存!$B:$J,5,0)</f>
        <v>#N/A</v>
      </c>
      <c r="G189" s="84"/>
      <c r="H189" s="83" t="e">
        <f>VLOOKUP($D189,成品本月库存!$B:$J,9,0)</f>
        <v>#N/A</v>
      </c>
      <c r="I189" s="85"/>
    </row>
    <row r="190" customHeight="1" spans="1:9">
      <c r="A190" s="72"/>
      <c r="B190" s="90"/>
      <c r="C190" s="87"/>
      <c r="D190" s="82"/>
      <c r="E190" s="83" t="e">
        <f>VLOOKUP($D190,成品本月库存!$B:$J,2,0)</f>
        <v>#N/A</v>
      </c>
      <c r="F190" s="83" t="e">
        <f>VLOOKUP($D190,成品本月库存!$B:$J,5,0)</f>
        <v>#N/A</v>
      </c>
      <c r="G190" s="84"/>
      <c r="H190" s="83" t="e">
        <f>VLOOKUP($D190,成品本月库存!$B:$J,9,0)</f>
        <v>#N/A</v>
      </c>
      <c r="I190" s="85"/>
    </row>
    <row r="191" customHeight="1" spans="1:9">
      <c r="A191" s="72"/>
      <c r="B191" s="90"/>
      <c r="C191" s="87"/>
      <c r="D191" s="82"/>
      <c r="E191" s="83" t="e">
        <f>VLOOKUP($D191,成品本月库存!$B:$J,2,0)</f>
        <v>#N/A</v>
      </c>
      <c r="F191" s="83" t="e">
        <f>VLOOKUP($D191,成品本月库存!$B:$J,5,0)</f>
        <v>#N/A</v>
      </c>
      <c r="G191" s="84"/>
      <c r="H191" s="83" t="e">
        <f>VLOOKUP($D191,成品本月库存!$B:$J,9,0)</f>
        <v>#N/A</v>
      </c>
      <c r="I191" s="85"/>
    </row>
    <row r="192" customHeight="1" spans="1:9">
      <c r="A192" s="72"/>
      <c r="B192" s="90"/>
      <c r="C192" s="87"/>
      <c r="D192" s="82"/>
      <c r="E192" s="83" t="e">
        <f>VLOOKUP($D192,成品本月库存!$B:$J,2,0)</f>
        <v>#N/A</v>
      </c>
      <c r="F192" s="83" t="e">
        <f>VLOOKUP($D192,成品本月库存!$B:$J,5,0)</f>
        <v>#N/A</v>
      </c>
      <c r="G192" s="84"/>
      <c r="H192" s="83" t="e">
        <f>VLOOKUP($D192,成品本月库存!$B:$J,9,0)</f>
        <v>#N/A</v>
      </c>
      <c r="I192" s="85"/>
    </row>
    <row r="193" customHeight="1" spans="1:9">
      <c r="A193" s="72"/>
      <c r="B193" s="90"/>
      <c r="C193" s="87"/>
      <c r="D193" s="82"/>
      <c r="E193" s="83" t="e">
        <f>VLOOKUP($D193,成品本月库存!$B:$J,2,0)</f>
        <v>#N/A</v>
      </c>
      <c r="F193" s="83" t="e">
        <f>VLOOKUP($D193,成品本月库存!$B:$J,5,0)</f>
        <v>#N/A</v>
      </c>
      <c r="G193" s="84"/>
      <c r="H193" s="83" t="e">
        <f>VLOOKUP($D193,成品本月库存!$B:$J,9,0)</f>
        <v>#N/A</v>
      </c>
      <c r="I193" s="85"/>
    </row>
    <row r="194" customHeight="1" spans="1:9">
      <c r="A194" s="72"/>
      <c r="B194" s="90"/>
      <c r="C194" s="87"/>
      <c r="D194" s="82"/>
      <c r="E194" s="83" t="e">
        <f>VLOOKUP($D194,成品本月库存!$B:$J,2,0)</f>
        <v>#N/A</v>
      </c>
      <c r="F194" s="83" t="e">
        <f>VLOOKUP($D194,成品本月库存!$B:$J,5,0)</f>
        <v>#N/A</v>
      </c>
      <c r="G194" s="84"/>
      <c r="H194" s="83" t="e">
        <f>VLOOKUP($D194,成品本月库存!$B:$J,9,0)</f>
        <v>#N/A</v>
      </c>
      <c r="I194" s="85"/>
    </row>
    <row r="195" customHeight="1" spans="1:9">
      <c r="A195" s="72"/>
      <c r="B195" s="90"/>
      <c r="C195" s="87"/>
      <c r="D195" s="82"/>
      <c r="E195" s="83" t="e">
        <f>VLOOKUP($D195,成品本月库存!$B:$J,2,0)</f>
        <v>#N/A</v>
      </c>
      <c r="F195" s="83" t="e">
        <f>VLOOKUP($D195,成品本月库存!$B:$J,5,0)</f>
        <v>#N/A</v>
      </c>
      <c r="G195" s="84"/>
      <c r="H195" s="83" t="e">
        <f>VLOOKUP($D195,成品本月库存!$B:$J,9,0)</f>
        <v>#N/A</v>
      </c>
      <c r="I195" s="85"/>
    </row>
    <row r="196" customHeight="1" spans="1:9">
      <c r="A196" s="72"/>
      <c r="B196" s="90"/>
      <c r="C196" s="87"/>
      <c r="D196" s="93"/>
      <c r="E196" s="83" t="e">
        <f>VLOOKUP($D196,成品本月库存!$B:$J,2,0)</f>
        <v>#N/A</v>
      </c>
      <c r="F196" s="83" t="e">
        <f>VLOOKUP($D196,成品本月库存!$B:$J,5,0)</f>
        <v>#N/A</v>
      </c>
      <c r="G196" s="84"/>
      <c r="H196" s="83" t="e">
        <f>VLOOKUP($D196,成品本月库存!$B:$J,9,0)</f>
        <v>#N/A</v>
      </c>
      <c r="I196" s="85"/>
    </row>
    <row r="197" customHeight="1" spans="1:9">
      <c r="A197" s="72"/>
      <c r="B197" s="90"/>
      <c r="C197" s="87"/>
      <c r="D197" s="82"/>
      <c r="E197" s="83" t="e">
        <f>VLOOKUP($D197,成品本月库存!$B:$J,2,0)</f>
        <v>#N/A</v>
      </c>
      <c r="F197" s="83" t="e">
        <f>VLOOKUP($D197,成品本月库存!$B:$J,5,0)</f>
        <v>#N/A</v>
      </c>
      <c r="G197" s="84"/>
      <c r="H197" s="83" t="e">
        <f>VLOOKUP($D197,成品本月库存!$B:$J,9,0)</f>
        <v>#N/A</v>
      </c>
      <c r="I197" s="85"/>
    </row>
    <row r="198" customHeight="1" spans="1:9">
      <c r="A198" s="72"/>
      <c r="B198" s="90"/>
      <c r="C198" s="87"/>
      <c r="D198" s="82"/>
      <c r="E198" s="83" t="e">
        <f>VLOOKUP($D198,成品本月库存!$B:$J,2,0)</f>
        <v>#N/A</v>
      </c>
      <c r="F198" s="83" t="e">
        <f>VLOOKUP($D198,成品本月库存!$B:$J,5,0)</f>
        <v>#N/A</v>
      </c>
      <c r="G198" s="84"/>
      <c r="H198" s="83" t="e">
        <f>VLOOKUP($D198,成品本月库存!$B:$J,9,0)</f>
        <v>#N/A</v>
      </c>
      <c r="I198" s="85"/>
    </row>
    <row r="199" customHeight="1" spans="1:9">
      <c r="A199" s="72"/>
      <c r="B199" s="90"/>
      <c r="C199" s="87"/>
      <c r="D199" s="82"/>
      <c r="E199" s="83" t="e">
        <f>VLOOKUP($D199,成品本月库存!$B:$J,2,0)</f>
        <v>#N/A</v>
      </c>
      <c r="F199" s="83" t="e">
        <f>VLOOKUP($D199,成品本月库存!$B:$J,5,0)</f>
        <v>#N/A</v>
      </c>
      <c r="G199" s="84"/>
      <c r="H199" s="83" t="e">
        <f>VLOOKUP($D199,成品本月库存!$B:$J,9,0)</f>
        <v>#N/A</v>
      </c>
      <c r="I199" s="85"/>
    </row>
    <row r="200" customHeight="1" spans="1:9">
      <c r="A200" s="72"/>
      <c r="B200" s="90"/>
      <c r="C200" s="87"/>
      <c r="D200" s="82"/>
      <c r="E200" s="83" t="e">
        <f>VLOOKUP($D200,成品本月库存!$B:$J,2,0)</f>
        <v>#N/A</v>
      </c>
      <c r="F200" s="83" t="e">
        <f>VLOOKUP($D200,成品本月库存!$B:$J,5,0)</f>
        <v>#N/A</v>
      </c>
      <c r="G200" s="84"/>
      <c r="H200" s="83" t="e">
        <f>VLOOKUP($D200,成品本月库存!$B:$J,9,0)</f>
        <v>#N/A</v>
      </c>
      <c r="I200" s="85"/>
    </row>
    <row r="201" customHeight="1" spans="1:9">
      <c r="A201" s="72"/>
      <c r="B201" s="90"/>
      <c r="C201" s="87"/>
      <c r="D201" s="82"/>
      <c r="E201" s="83" t="e">
        <f>VLOOKUP($D201,成品本月库存!$B:$J,2,0)</f>
        <v>#N/A</v>
      </c>
      <c r="F201" s="83" t="e">
        <f>VLOOKUP($D201,成品本月库存!$B:$J,5,0)</f>
        <v>#N/A</v>
      </c>
      <c r="G201" s="83"/>
      <c r="H201" s="83" t="e">
        <f>VLOOKUP($D201,成品本月库存!$B:$J,9,0)</f>
        <v>#N/A</v>
      </c>
      <c r="I201" s="85"/>
    </row>
    <row r="202" customHeight="1" spans="1:9">
      <c r="A202" s="72"/>
      <c r="B202" s="90"/>
      <c r="C202" s="87"/>
      <c r="D202" s="82"/>
      <c r="E202" s="83" t="e">
        <f>VLOOKUP($D202,成品本月库存!$B:$J,2,0)</f>
        <v>#N/A</v>
      </c>
      <c r="F202" s="83" t="e">
        <f>VLOOKUP($D202,成品本月库存!$B:$J,5,0)</f>
        <v>#N/A</v>
      </c>
      <c r="G202" s="84"/>
      <c r="H202" s="83" t="e">
        <f>VLOOKUP($D202,成品本月库存!$B:$J,9,0)</f>
        <v>#N/A</v>
      </c>
      <c r="I202" s="85"/>
    </row>
    <row r="203" customHeight="1" spans="1:9">
      <c r="A203" s="72"/>
      <c r="B203" s="90"/>
      <c r="C203" s="87"/>
      <c r="D203" s="82"/>
      <c r="E203" s="83" t="e">
        <f>VLOOKUP($D203,成品本月库存!$B:$J,2,0)</f>
        <v>#N/A</v>
      </c>
      <c r="F203" s="83" t="e">
        <f>VLOOKUP($D203,成品本月库存!$B:$J,5,0)</f>
        <v>#N/A</v>
      </c>
      <c r="G203" s="84"/>
      <c r="H203" s="83" t="e">
        <f>VLOOKUP($D203,成品本月库存!$B:$J,9,0)</f>
        <v>#N/A</v>
      </c>
      <c r="I203" s="85"/>
    </row>
    <row r="204" customHeight="1" spans="1:9">
      <c r="A204" s="72"/>
      <c r="B204" s="90"/>
      <c r="C204" s="87"/>
      <c r="D204" s="82"/>
      <c r="E204" s="83" t="e">
        <f>VLOOKUP($D204,成品本月库存!$B:$J,2,0)</f>
        <v>#N/A</v>
      </c>
      <c r="F204" s="83" t="e">
        <f>VLOOKUP($D204,成品本月库存!$B:$J,5,0)</f>
        <v>#N/A</v>
      </c>
      <c r="G204" s="84"/>
      <c r="H204" s="83" t="e">
        <f>VLOOKUP($D204,成品本月库存!$B:$J,9,0)</f>
        <v>#N/A</v>
      </c>
      <c r="I204" s="85"/>
    </row>
    <row r="205" customHeight="1" spans="1:9">
      <c r="A205" s="72"/>
      <c r="B205" s="90"/>
      <c r="C205" s="87"/>
      <c r="D205" s="82"/>
      <c r="E205" s="83" t="e">
        <f>VLOOKUP($D205,成品本月库存!$B:$J,2,0)</f>
        <v>#N/A</v>
      </c>
      <c r="F205" s="83" t="e">
        <f>VLOOKUP($D205,成品本月库存!$B:$J,5,0)</f>
        <v>#N/A</v>
      </c>
      <c r="G205" s="84"/>
      <c r="H205" s="83" t="e">
        <f>VLOOKUP($D205,成品本月库存!$B:$J,9,0)</f>
        <v>#N/A</v>
      </c>
      <c r="I205" s="85"/>
    </row>
    <row r="206" customHeight="1" spans="1:9">
      <c r="A206" s="72"/>
      <c r="B206" s="90"/>
      <c r="C206" s="87"/>
      <c r="D206" s="82"/>
      <c r="E206" s="83" t="e">
        <f>VLOOKUP($D206,成品本月库存!$B:$J,2,0)</f>
        <v>#N/A</v>
      </c>
      <c r="F206" s="83" t="e">
        <f>VLOOKUP($D206,成品本月库存!$B:$J,5,0)</f>
        <v>#N/A</v>
      </c>
      <c r="G206" s="84"/>
      <c r="H206" s="83" t="e">
        <f>VLOOKUP($D206,成品本月库存!$B:$J,9,0)</f>
        <v>#N/A</v>
      </c>
      <c r="I206" s="85"/>
    </row>
    <row r="207" customHeight="1" spans="1:9">
      <c r="A207" s="72"/>
      <c r="B207" s="90"/>
      <c r="C207" s="87"/>
      <c r="D207" s="82"/>
      <c r="E207" s="83" t="e">
        <f>VLOOKUP($D207,成品本月库存!$B:$J,2,0)</f>
        <v>#N/A</v>
      </c>
      <c r="F207" s="83" t="e">
        <f>VLOOKUP($D207,成品本月库存!$B:$J,5,0)</f>
        <v>#N/A</v>
      </c>
      <c r="G207" s="84"/>
      <c r="H207" s="83" t="e">
        <f>VLOOKUP($D207,成品本月库存!$B:$J,9,0)</f>
        <v>#N/A</v>
      </c>
      <c r="I207" s="85"/>
    </row>
    <row r="208" customHeight="1" spans="1:9">
      <c r="A208" s="72"/>
      <c r="B208" s="90"/>
      <c r="C208" s="87"/>
      <c r="D208" s="82"/>
      <c r="E208" s="83" t="e">
        <f>VLOOKUP($D208,成品本月库存!$B:$J,2,0)</f>
        <v>#N/A</v>
      </c>
      <c r="F208" s="83" t="e">
        <f>VLOOKUP($D208,成品本月库存!$B:$J,5,0)</f>
        <v>#N/A</v>
      </c>
      <c r="G208" s="84"/>
      <c r="H208" s="83" t="e">
        <f>VLOOKUP($D208,成品本月库存!$B:$J,9,0)</f>
        <v>#N/A</v>
      </c>
      <c r="I208" s="85"/>
    </row>
    <row r="209" customHeight="1" spans="1:10">
      <c r="A209" s="72"/>
      <c r="B209" s="90"/>
      <c r="C209" s="87"/>
      <c r="D209" s="82"/>
      <c r="E209" s="83" t="e">
        <f>VLOOKUP($D209,成品本月库存!$B:$J,2,0)</f>
        <v>#N/A</v>
      </c>
      <c r="F209" s="83" t="e">
        <f>VLOOKUP($D209,成品本月库存!$B:$J,5,0)</f>
        <v>#N/A</v>
      </c>
      <c r="G209" s="84"/>
      <c r="H209" s="83" t="e">
        <f>VLOOKUP($D209,成品本月库存!$B:$J,9,0)</f>
        <v>#N/A</v>
      </c>
      <c r="I209" s="85"/>
    </row>
    <row r="210" customHeight="1" spans="1:10">
      <c r="A210" s="72"/>
      <c r="B210" s="90"/>
      <c r="C210" s="87"/>
      <c r="D210" s="82"/>
      <c r="E210" s="83" t="e">
        <f>VLOOKUP($D210,成品本月库存!$B:$J,2,0)</f>
        <v>#N/A</v>
      </c>
      <c r="F210" s="83" t="e">
        <f>VLOOKUP($D210,成品本月库存!$B:$J,5,0)</f>
        <v>#N/A</v>
      </c>
      <c r="G210" s="84"/>
      <c r="H210" s="83" t="e">
        <f>VLOOKUP($D210,成品本月库存!$B:$J,9,0)</f>
        <v>#N/A</v>
      </c>
      <c r="I210" s="85"/>
    </row>
    <row r="211" customHeight="1" spans="1:10">
      <c r="A211" s="72"/>
      <c r="B211" s="90"/>
      <c r="C211" s="87"/>
      <c r="D211" s="82"/>
      <c r="E211" s="83" t="e">
        <f>VLOOKUP($D211,成品本月库存!$B:$J,2,0)</f>
        <v>#N/A</v>
      </c>
      <c r="F211" s="83" t="e">
        <f>VLOOKUP($D211,成品本月库存!$B:$J,5,0)</f>
        <v>#N/A</v>
      </c>
      <c r="G211" s="84"/>
      <c r="H211" s="83" t="e">
        <f>VLOOKUP($D211,成品本月库存!$B:$J,9,0)</f>
        <v>#N/A</v>
      </c>
      <c r="I211" s="85"/>
    </row>
    <row r="212" customHeight="1" spans="1:10">
      <c r="A212" s="72"/>
      <c r="B212" s="90"/>
      <c r="C212" s="87"/>
      <c r="D212" s="82"/>
      <c r="E212" s="83" t="e">
        <f>VLOOKUP($D212,成品本月库存!$B:$J,2,0)</f>
        <v>#N/A</v>
      </c>
      <c r="F212" s="83" t="e">
        <f>VLOOKUP($D212,成品本月库存!$B:$J,5,0)</f>
        <v>#N/A</v>
      </c>
      <c r="G212" s="84"/>
      <c r="H212" s="83" t="e">
        <f>VLOOKUP($D212,成品本月库存!$B:$J,9,0)</f>
        <v>#N/A</v>
      </c>
      <c r="I212" s="85"/>
    </row>
    <row r="213" customHeight="1" spans="1:10">
      <c r="A213" s="72"/>
      <c r="B213" s="90"/>
      <c r="C213" s="87"/>
      <c r="D213" s="82"/>
      <c r="E213" s="83" t="e">
        <f>VLOOKUP($D213,成品本月库存!$B:$J,2,0)</f>
        <v>#N/A</v>
      </c>
      <c r="F213" s="83" t="e">
        <f>VLOOKUP($D213,成品本月库存!$B:$J,5,0)</f>
        <v>#N/A</v>
      </c>
      <c r="G213" s="84"/>
      <c r="H213" s="83" t="e">
        <f>VLOOKUP($D213,成品本月库存!$B:$J,9,0)</f>
        <v>#N/A</v>
      </c>
      <c r="I213" s="85"/>
      <c r="J213" s="94"/>
    </row>
    <row r="214" customHeight="1" spans="1:10">
      <c r="A214" s="72"/>
      <c r="B214" s="90"/>
      <c r="C214" s="87"/>
      <c r="D214" s="82"/>
      <c r="E214" s="83" t="e">
        <f>VLOOKUP($D214,成品本月库存!$B:$J,2,0)</f>
        <v>#N/A</v>
      </c>
      <c r="F214" s="83" t="e">
        <f>VLOOKUP($D214,成品本月库存!$B:$J,5,0)</f>
        <v>#N/A</v>
      </c>
      <c r="G214" s="84"/>
      <c r="H214" s="83" t="e">
        <f>VLOOKUP($D214,成品本月库存!$B:$J,9,0)</f>
        <v>#N/A</v>
      </c>
      <c r="I214" s="85"/>
      <c r="J214" s="94"/>
    </row>
    <row r="215" customHeight="1" spans="1:10">
      <c r="A215" s="72"/>
      <c r="B215" s="90"/>
      <c r="C215" s="87"/>
      <c r="D215" s="82"/>
      <c r="E215" s="83" t="e">
        <f>VLOOKUP($D215,成品本月库存!$B:$J,2,0)</f>
        <v>#N/A</v>
      </c>
      <c r="F215" s="83" t="e">
        <f>VLOOKUP($D215,成品本月库存!$B:$J,5,0)</f>
        <v>#N/A</v>
      </c>
      <c r="G215" s="84"/>
      <c r="H215" s="83" t="e">
        <f>VLOOKUP($D215,成品本月库存!$B:$J,9,0)</f>
        <v>#N/A</v>
      </c>
      <c r="I215" s="85"/>
      <c r="J215" s="94"/>
    </row>
    <row r="216" customHeight="1" spans="1:10">
      <c r="A216" s="72"/>
      <c r="B216" s="90"/>
      <c r="C216" s="87"/>
      <c r="D216" s="82"/>
      <c r="E216" s="83" t="e">
        <f>VLOOKUP($D216,成品本月库存!$B:$J,2,0)</f>
        <v>#N/A</v>
      </c>
      <c r="F216" s="83" t="e">
        <f>VLOOKUP($D216,成品本月库存!$B:$J,5,0)</f>
        <v>#N/A</v>
      </c>
      <c r="G216" s="84"/>
      <c r="H216" s="83" t="e">
        <f>VLOOKUP($D216,成品本月库存!$B:$J,9,0)</f>
        <v>#N/A</v>
      </c>
      <c r="I216" s="85"/>
      <c r="J216" s="94"/>
    </row>
    <row r="217" customHeight="1" spans="1:10">
      <c r="A217" s="72"/>
      <c r="B217" s="90"/>
      <c r="C217" s="87"/>
      <c r="D217" s="82"/>
      <c r="E217" s="83" t="e">
        <f>VLOOKUP($D217,成品本月库存!$B:$J,2,0)</f>
        <v>#N/A</v>
      </c>
      <c r="F217" s="83" t="e">
        <f>VLOOKUP($D217,成品本月库存!$B:$J,5,0)</f>
        <v>#N/A</v>
      </c>
      <c r="G217" s="84"/>
      <c r="H217" s="83" t="e">
        <f>VLOOKUP($D217,成品本月库存!$B:$J,9,0)</f>
        <v>#N/A</v>
      </c>
      <c r="I217" s="85"/>
      <c r="J217" s="94"/>
    </row>
    <row r="218" customHeight="1" spans="1:10">
      <c r="A218" s="72"/>
      <c r="B218" s="90"/>
      <c r="C218" s="87"/>
      <c r="D218" s="82"/>
      <c r="E218" s="83" t="e">
        <f>VLOOKUP($D218,成品本月库存!$B:$J,2,0)</f>
        <v>#N/A</v>
      </c>
      <c r="F218" s="83" t="e">
        <f>VLOOKUP($D218,成品本月库存!$B:$J,5,0)</f>
        <v>#N/A</v>
      </c>
      <c r="G218" s="83"/>
      <c r="H218" s="83" t="e">
        <f>VLOOKUP($D218,成品本月库存!$B:$J,9,0)</f>
        <v>#N/A</v>
      </c>
      <c r="I218" s="85"/>
    </row>
    <row r="219" customHeight="1" spans="1:10">
      <c r="A219" s="72"/>
      <c r="B219" s="90"/>
      <c r="C219" s="87"/>
      <c r="D219" s="82"/>
      <c r="E219" s="83" t="e">
        <f>VLOOKUP($D219,成品本月库存!$B:$J,2,0)</f>
        <v>#N/A</v>
      </c>
      <c r="F219" s="83" t="e">
        <f>VLOOKUP($D219,成品本月库存!$B:$J,5,0)</f>
        <v>#N/A</v>
      </c>
      <c r="G219" s="83"/>
      <c r="H219" s="83" t="e">
        <f>VLOOKUP($D219,成品本月库存!$B:$J,9,0)</f>
        <v>#N/A</v>
      </c>
      <c r="I219" s="85"/>
    </row>
    <row r="220" customHeight="1" spans="1:10">
      <c r="A220" s="72"/>
      <c r="B220" s="90"/>
      <c r="C220" s="87"/>
      <c r="D220" s="82"/>
      <c r="E220" s="83" t="e">
        <f>VLOOKUP($D220,成品本月库存!$B:$J,2,0)</f>
        <v>#N/A</v>
      </c>
      <c r="F220" s="83" t="e">
        <f>VLOOKUP($D220,成品本月库存!$B:$J,5,0)</f>
        <v>#N/A</v>
      </c>
      <c r="G220" s="84"/>
      <c r="H220" s="83" t="e">
        <f>VLOOKUP($D220,成品本月库存!$B:$J,9,0)</f>
        <v>#N/A</v>
      </c>
      <c r="I220" s="85"/>
    </row>
    <row r="221" customHeight="1" spans="1:10">
      <c r="A221" s="72"/>
      <c r="B221" s="90"/>
      <c r="C221" s="87"/>
      <c r="D221" s="82"/>
      <c r="E221" s="83" t="e">
        <f>VLOOKUP($D221,成品本月库存!$B:$J,2,0)</f>
        <v>#N/A</v>
      </c>
      <c r="F221" s="83" t="e">
        <f>VLOOKUP($D221,成品本月库存!$B:$J,5,0)</f>
        <v>#N/A</v>
      </c>
      <c r="G221" s="84"/>
      <c r="H221" s="83" t="e">
        <f>VLOOKUP($D221,成品本月库存!$B:$J,9,0)</f>
        <v>#N/A</v>
      </c>
      <c r="I221" s="85"/>
    </row>
    <row r="222" customHeight="1" spans="1:10">
      <c r="A222" s="72"/>
      <c r="B222" s="90"/>
      <c r="C222" s="87"/>
      <c r="D222" s="82"/>
      <c r="E222" s="83" t="e">
        <f>VLOOKUP($D222,成品本月库存!$B:$J,2,0)</f>
        <v>#N/A</v>
      </c>
      <c r="F222" s="83" t="e">
        <f>VLOOKUP($D222,成品本月库存!$B:$J,5,0)</f>
        <v>#N/A</v>
      </c>
      <c r="G222" s="84"/>
      <c r="H222" s="83" t="e">
        <f>VLOOKUP($D222,成品本月库存!$B:$J,9,0)</f>
        <v>#N/A</v>
      </c>
      <c r="I222" s="85"/>
    </row>
    <row r="223" customHeight="1" spans="1:10">
      <c r="A223" s="72"/>
      <c r="B223" s="90"/>
      <c r="C223" s="87"/>
      <c r="D223" s="82"/>
      <c r="E223" s="83" t="e">
        <f>VLOOKUP($D223,成品本月库存!$B:$J,2,0)</f>
        <v>#N/A</v>
      </c>
      <c r="F223" s="83" t="e">
        <f>VLOOKUP($D223,成品本月库存!$B:$J,5,0)</f>
        <v>#N/A</v>
      </c>
      <c r="G223" s="84"/>
      <c r="H223" s="83" t="e">
        <f>VLOOKUP($D223,成品本月库存!$B:$J,9,0)</f>
        <v>#N/A</v>
      </c>
      <c r="I223" s="85"/>
    </row>
    <row r="224" customHeight="1" spans="1:10">
      <c r="A224" s="72"/>
      <c r="B224" s="90"/>
      <c r="C224" s="87"/>
      <c r="D224" s="82"/>
      <c r="E224" s="83" t="e">
        <f>VLOOKUP($D224,成品本月库存!$B:$J,2,0)</f>
        <v>#N/A</v>
      </c>
      <c r="F224" s="83" t="e">
        <f>VLOOKUP($D224,成品本月库存!$B:$J,5,0)</f>
        <v>#N/A</v>
      </c>
      <c r="G224" s="84"/>
      <c r="H224" s="83" t="e">
        <f>VLOOKUP($D224,成品本月库存!$B:$J,9,0)</f>
        <v>#N/A</v>
      </c>
      <c r="I224" s="85"/>
    </row>
    <row r="225" customHeight="1" spans="1:10">
      <c r="A225" s="72"/>
      <c r="B225" s="90"/>
      <c r="C225" s="87"/>
      <c r="D225" s="82"/>
      <c r="E225" s="83" t="e">
        <f>VLOOKUP($D225,成品本月库存!$B:$J,2,0)</f>
        <v>#N/A</v>
      </c>
      <c r="F225" s="83" t="e">
        <f>VLOOKUP($D225,成品本月库存!$B:$J,5,0)</f>
        <v>#N/A</v>
      </c>
      <c r="G225" s="84"/>
      <c r="H225" s="83" t="e">
        <f>VLOOKUP($D225,成品本月库存!$B:$J,9,0)</f>
        <v>#N/A</v>
      </c>
      <c r="I225" s="85"/>
    </row>
    <row r="226" customHeight="1" spans="1:10">
      <c r="A226" s="72"/>
      <c r="B226" s="90"/>
      <c r="C226" s="87"/>
      <c r="D226" s="82"/>
      <c r="E226" s="83" t="e">
        <f>VLOOKUP($D226,成品本月库存!$B:$J,2,0)</f>
        <v>#N/A</v>
      </c>
      <c r="F226" s="83" t="e">
        <f>VLOOKUP($D226,成品本月库存!$B:$J,5,0)</f>
        <v>#N/A</v>
      </c>
      <c r="G226" s="84"/>
      <c r="H226" s="83" t="e">
        <f>VLOOKUP($D226,成品本月库存!$B:$J,9,0)</f>
        <v>#N/A</v>
      </c>
      <c r="I226" s="85"/>
    </row>
    <row r="227" customHeight="1" spans="1:10">
      <c r="A227" s="72"/>
      <c r="B227" s="90"/>
      <c r="C227" s="87"/>
      <c r="D227" s="82"/>
      <c r="E227" s="83" t="e">
        <f>VLOOKUP($D227,成品本月库存!$B:$J,2,0)</f>
        <v>#N/A</v>
      </c>
      <c r="F227" s="83" t="e">
        <f>VLOOKUP($D227,成品本月库存!$B:$J,5,0)</f>
        <v>#N/A</v>
      </c>
      <c r="G227" s="84"/>
      <c r="H227" s="83" t="e">
        <f>VLOOKUP($D227,成品本月库存!$B:$J,9,0)</f>
        <v>#N/A</v>
      </c>
      <c r="I227" s="85"/>
    </row>
    <row r="228" customHeight="1" spans="1:10">
      <c r="A228" s="72"/>
      <c r="B228" s="90"/>
      <c r="C228" s="87"/>
      <c r="D228" s="82"/>
      <c r="E228" s="83" t="e">
        <f>VLOOKUP($D228,成品本月库存!$B:$J,2,0)</f>
        <v>#N/A</v>
      </c>
      <c r="F228" s="83" t="e">
        <f>VLOOKUP($D228,成品本月库存!$B:$J,5,0)</f>
        <v>#N/A</v>
      </c>
      <c r="G228" s="84"/>
      <c r="H228" s="83" t="e">
        <f>VLOOKUP($D228,成品本月库存!$B:$J,9,0)</f>
        <v>#N/A</v>
      </c>
      <c r="I228" s="85"/>
      <c r="J228" s="69" t="s">
        <v>53</v>
      </c>
    </row>
    <row r="229" customHeight="1" spans="1:10">
      <c r="A229" s="72"/>
      <c r="B229" s="90"/>
      <c r="C229" s="87"/>
      <c r="D229" s="82"/>
      <c r="E229" s="83" t="e">
        <f>VLOOKUP($D229,成品本月库存!$B:$J,2,0)</f>
        <v>#N/A</v>
      </c>
      <c r="F229" s="83" t="e">
        <f>VLOOKUP($D229,成品本月库存!$B:$J,5,0)</f>
        <v>#N/A</v>
      </c>
      <c r="G229" s="84"/>
      <c r="H229" s="83" t="e">
        <f>VLOOKUP($D229,成品本月库存!$B:$J,9,0)</f>
        <v>#N/A</v>
      </c>
      <c r="I229" s="85"/>
    </row>
    <row r="230" customHeight="1" spans="1:10">
      <c r="A230" s="72"/>
      <c r="B230" s="90"/>
      <c r="C230" s="87"/>
      <c r="D230" s="82"/>
      <c r="E230" s="83" t="e">
        <f>VLOOKUP($D230,成品本月库存!$B:$J,2,0)</f>
        <v>#N/A</v>
      </c>
      <c r="F230" s="83" t="e">
        <f>VLOOKUP($D230,成品本月库存!$B:$J,5,0)</f>
        <v>#N/A</v>
      </c>
      <c r="G230" s="84"/>
      <c r="H230" s="83" t="e">
        <f>VLOOKUP($D230,成品本月库存!$B:$J,9,0)</f>
        <v>#N/A</v>
      </c>
      <c r="I230" s="85"/>
    </row>
    <row r="231" customHeight="1" spans="1:10">
      <c r="A231" s="72"/>
      <c r="B231" s="90"/>
      <c r="C231" s="87"/>
      <c r="D231" s="82"/>
      <c r="E231" s="83" t="e">
        <f>VLOOKUP($D231,成品本月库存!$B:$J,2,0)</f>
        <v>#N/A</v>
      </c>
      <c r="F231" s="83" t="e">
        <f>VLOOKUP($D231,成品本月库存!$B:$J,5,0)</f>
        <v>#N/A</v>
      </c>
      <c r="G231" s="84"/>
      <c r="H231" s="83" t="e">
        <f>VLOOKUP($D231,成品本月库存!$B:$J,9,0)</f>
        <v>#N/A</v>
      </c>
      <c r="I231" s="85"/>
    </row>
    <row r="232" customHeight="1" spans="1:10">
      <c r="A232" s="72"/>
      <c r="B232" s="90"/>
      <c r="C232" s="87"/>
      <c r="D232" s="82"/>
      <c r="E232" s="83" t="e">
        <f>VLOOKUP($D232,成品本月库存!$B:$J,2,0)</f>
        <v>#N/A</v>
      </c>
      <c r="F232" s="83" t="e">
        <f>VLOOKUP($D232,成品本月库存!$B:$J,5,0)</f>
        <v>#N/A</v>
      </c>
      <c r="G232" s="84"/>
      <c r="H232" s="83" t="e">
        <f>VLOOKUP($D232,成品本月库存!$B:$J,9,0)</f>
        <v>#N/A</v>
      </c>
      <c r="I232" s="85"/>
    </row>
    <row r="233" customHeight="1" spans="1:10">
      <c r="A233" s="72"/>
      <c r="B233" s="90"/>
      <c r="C233" s="87"/>
      <c r="D233" s="82"/>
      <c r="E233" s="83" t="e">
        <f>VLOOKUP($D233,成品本月库存!$B:$J,2,0)</f>
        <v>#N/A</v>
      </c>
      <c r="F233" s="83" t="e">
        <f>VLOOKUP($D233,成品本月库存!$B:$J,5,0)</f>
        <v>#N/A</v>
      </c>
      <c r="G233" s="84"/>
      <c r="H233" s="83" t="e">
        <f>VLOOKUP($D233,成品本月库存!$B:$J,9,0)</f>
        <v>#N/A</v>
      </c>
      <c r="I233" s="85"/>
    </row>
    <row r="234" customHeight="1" spans="1:10">
      <c r="A234" s="72"/>
      <c r="B234" s="90"/>
      <c r="C234" s="87"/>
      <c r="D234" s="82"/>
      <c r="E234" s="83" t="e">
        <f>VLOOKUP($D234,成品本月库存!$B:$J,2,0)</f>
        <v>#N/A</v>
      </c>
      <c r="F234" s="83" t="e">
        <f>VLOOKUP($D234,成品本月库存!$B:$J,5,0)</f>
        <v>#N/A</v>
      </c>
      <c r="G234" s="84"/>
      <c r="H234" s="83" t="e">
        <f>VLOOKUP($D234,成品本月库存!$B:$J,9,0)</f>
        <v>#N/A</v>
      </c>
      <c r="I234" s="85"/>
    </row>
    <row r="235" customHeight="1" spans="1:10">
      <c r="A235" s="72"/>
      <c r="B235" s="90"/>
      <c r="C235" s="87"/>
      <c r="D235" s="82"/>
      <c r="E235" s="83" t="e">
        <f>VLOOKUP($D235,成品本月库存!$B:$J,2,0)</f>
        <v>#N/A</v>
      </c>
      <c r="F235" s="83" t="e">
        <f>VLOOKUP($D235,成品本月库存!$B:$J,5,0)</f>
        <v>#N/A</v>
      </c>
      <c r="G235" s="84"/>
      <c r="H235" s="83" t="e">
        <f>VLOOKUP($D235,成品本月库存!$B:$J,9,0)</f>
        <v>#N/A</v>
      </c>
      <c r="I235" s="85"/>
    </row>
    <row r="236" customHeight="1" spans="1:10">
      <c r="A236" s="72"/>
      <c r="B236" s="90"/>
      <c r="C236" s="87"/>
      <c r="D236" s="82"/>
      <c r="E236" s="83" t="e">
        <f>VLOOKUP($D236,成品本月库存!$B:$J,2,0)</f>
        <v>#N/A</v>
      </c>
      <c r="F236" s="83" t="e">
        <f>VLOOKUP($D236,成品本月库存!$B:$J,5,0)</f>
        <v>#N/A</v>
      </c>
      <c r="G236" s="84"/>
      <c r="H236" s="83" t="e">
        <f>VLOOKUP($D236,成品本月库存!$B:$J,9,0)</f>
        <v>#N/A</v>
      </c>
      <c r="I236" s="85"/>
    </row>
    <row r="237" customHeight="1" spans="1:10">
      <c r="A237" s="72"/>
      <c r="B237" s="90"/>
      <c r="C237" s="83"/>
      <c r="D237" s="82"/>
      <c r="E237" s="83" t="e">
        <f>VLOOKUP($D237,成品本月库存!$B:$J,2,0)</f>
        <v>#N/A</v>
      </c>
      <c r="F237" s="83" t="e">
        <f>VLOOKUP($D237,成品本月库存!$B:$J,5,0)</f>
        <v>#N/A</v>
      </c>
      <c r="G237" s="84"/>
      <c r="H237" s="83" t="e">
        <f>VLOOKUP($D237,成品本月库存!$B:$J,9,0)</f>
        <v>#N/A</v>
      </c>
      <c r="I237" s="85"/>
    </row>
    <row r="238" customHeight="1" spans="1:10">
      <c r="A238" s="72"/>
      <c r="B238" s="90"/>
      <c r="C238" s="83"/>
      <c r="D238" s="82"/>
      <c r="E238" s="83" t="e">
        <f>VLOOKUP($D238,成品本月库存!$B:$J,2,0)</f>
        <v>#N/A</v>
      </c>
      <c r="F238" s="83" t="e">
        <f>VLOOKUP($D238,成品本月库存!$B:$J,5,0)</f>
        <v>#N/A</v>
      </c>
      <c r="G238" s="84"/>
      <c r="H238" s="83" t="e">
        <f>VLOOKUP($D238,成品本月库存!$B:$J,9,0)</f>
        <v>#N/A</v>
      </c>
      <c r="I238" s="85"/>
    </row>
    <row r="239" customHeight="1" spans="1:10">
      <c r="A239" s="72"/>
      <c r="B239" s="90"/>
      <c r="C239" s="83"/>
      <c r="D239" s="82"/>
      <c r="E239" s="83" t="e">
        <f>VLOOKUP($D239,成品本月库存!$B:$J,2,0)</f>
        <v>#N/A</v>
      </c>
      <c r="F239" s="83" t="e">
        <f>VLOOKUP($D239,成品本月库存!$B:$J,5,0)</f>
        <v>#N/A</v>
      </c>
      <c r="G239" s="84"/>
      <c r="H239" s="83" t="e">
        <f>VLOOKUP($D239,成品本月库存!$B:$J,9,0)</f>
        <v>#N/A</v>
      </c>
      <c r="I239" s="85"/>
    </row>
    <row r="240" customHeight="1" spans="1:10">
      <c r="A240" s="72"/>
      <c r="B240" s="90"/>
      <c r="C240" s="83"/>
      <c r="D240" s="82"/>
      <c r="E240" s="83" t="e">
        <f>VLOOKUP($D240,成品本月库存!$B:$J,2,0)</f>
        <v>#N/A</v>
      </c>
      <c r="F240" s="83" t="e">
        <f>VLOOKUP($D240,成品本月库存!$B:$J,5,0)</f>
        <v>#N/A</v>
      </c>
      <c r="G240" s="84"/>
      <c r="H240" s="83" t="e">
        <f>VLOOKUP($D240,成品本月库存!$B:$J,9,0)</f>
        <v>#N/A</v>
      </c>
      <c r="I240" s="85"/>
    </row>
    <row r="241" customHeight="1" spans="1:9">
      <c r="A241" s="72"/>
      <c r="B241" s="90"/>
      <c r="C241" s="83"/>
      <c r="D241" s="82"/>
      <c r="E241" s="83" t="e">
        <f>VLOOKUP($D241,成品本月库存!$B:$J,2,0)</f>
        <v>#N/A</v>
      </c>
      <c r="F241" s="83" t="e">
        <f>VLOOKUP($D241,成品本月库存!$B:$J,5,0)</f>
        <v>#N/A</v>
      </c>
      <c r="G241" s="84"/>
      <c r="H241" s="83" t="e">
        <f>VLOOKUP($D241,成品本月库存!$B:$J,9,0)</f>
        <v>#N/A</v>
      </c>
      <c r="I241" s="85"/>
    </row>
    <row r="242" customHeight="1" spans="1:9">
      <c r="A242" s="72"/>
      <c r="B242" s="90"/>
      <c r="C242" s="83"/>
      <c r="D242" s="82"/>
      <c r="E242" s="83" t="e">
        <f>VLOOKUP($D242,成品本月库存!$B:$J,2,0)</f>
        <v>#N/A</v>
      </c>
      <c r="F242" s="83" t="e">
        <f>VLOOKUP($D242,成品本月库存!$B:$J,5,0)</f>
        <v>#N/A</v>
      </c>
      <c r="G242" s="84"/>
      <c r="H242" s="83" t="e">
        <f>VLOOKUP($D242,成品本月库存!$B:$J,9,0)</f>
        <v>#N/A</v>
      </c>
      <c r="I242" s="85"/>
    </row>
    <row r="243" customHeight="1" spans="1:9">
      <c r="A243" s="72"/>
      <c r="B243" s="90"/>
      <c r="C243" s="83"/>
      <c r="D243" s="82"/>
      <c r="E243" s="83" t="e">
        <f>VLOOKUP($D243,成品本月库存!$B:$J,2,0)</f>
        <v>#N/A</v>
      </c>
      <c r="F243" s="83" t="e">
        <f>VLOOKUP($D243,成品本月库存!$B:$J,5,0)</f>
        <v>#N/A</v>
      </c>
      <c r="G243" s="84"/>
      <c r="H243" s="83" t="e">
        <f>VLOOKUP($D243,成品本月库存!$B:$J,9,0)</f>
        <v>#N/A</v>
      </c>
      <c r="I243" s="85"/>
    </row>
    <row r="244" customHeight="1" spans="1:9">
      <c r="A244" s="72"/>
      <c r="B244" s="90"/>
      <c r="C244" s="83"/>
      <c r="D244" s="82"/>
      <c r="E244" s="83" t="e">
        <f>VLOOKUP($D244,成品本月库存!$B:$J,2,0)</f>
        <v>#N/A</v>
      </c>
      <c r="F244" s="83" t="e">
        <f>VLOOKUP($D244,成品本月库存!$B:$J,5,0)</f>
        <v>#N/A</v>
      </c>
      <c r="G244" s="83"/>
      <c r="H244" s="83" t="e">
        <f>VLOOKUP($D244,成品本月库存!$B:$J,9,0)</f>
        <v>#N/A</v>
      </c>
      <c r="I244" s="85"/>
    </row>
    <row r="245" customHeight="1" spans="1:9">
      <c r="A245" s="72"/>
      <c r="B245" s="90"/>
      <c r="C245" s="83"/>
      <c r="D245" s="82"/>
      <c r="E245" s="83" t="e">
        <f>VLOOKUP($D245,成品本月库存!$B:$J,2,0)</f>
        <v>#N/A</v>
      </c>
      <c r="F245" s="83" t="e">
        <f>VLOOKUP($D245,成品本月库存!$B:$J,5,0)</f>
        <v>#N/A</v>
      </c>
      <c r="G245" s="83"/>
      <c r="H245" s="83" t="e">
        <f>VLOOKUP($D245,成品本月库存!$B:$J,9,0)</f>
        <v>#N/A</v>
      </c>
      <c r="I245" s="85"/>
    </row>
    <row r="246" customHeight="1" spans="1:9">
      <c r="A246" s="72"/>
      <c r="B246" s="90"/>
      <c r="C246" s="83"/>
      <c r="D246" s="82"/>
      <c r="E246" s="83" t="e">
        <f>VLOOKUP($D246,成品本月库存!$B:$J,2,0)</f>
        <v>#N/A</v>
      </c>
      <c r="F246" s="83" t="e">
        <f>VLOOKUP($D246,成品本月库存!$B:$J,5,0)</f>
        <v>#N/A</v>
      </c>
      <c r="G246" s="83"/>
      <c r="H246" s="83" t="e">
        <f>VLOOKUP($D246,成品本月库存!$B:$J,9,0)</f>
        <v>#N/A</v>
      </c>
      <c r="I246" s="85"/>
    </row>
    <row r="247" customHeight="1" spans="1:9">
      <c r="A247" s="72"/>
      <c r="B247" s="90"/>
      <c r="C247" s="83"/>
      <c r="D247" s="82"/>
      <c r="E247" s="83" t="e">
        <f>VLOOKUP($D247,成品本月库存!$B:$J,2,0)</f>
        <v>#N/A</v>
      </c>
      <c r="F247" s="83" t="e">
        <f>VLOOKUP($D247,成品本月库存!$B:$J,5,0)</f>
        <v>#N/A</v>
      </c>
      <c r="G247" s="83"/>
      <c r="H247" s="83" t="e">
        <f>VLOOKUP($D247,成品本月库存!$B:$J,9,0)</f>
        <v>#N/A</v>
      </c>
      <c r="I247" s="85"/>
    </row>
    <row r="248" customHeight="1" spans="1:9">
      <c r="A248" s="72"/>
      <c r="B248" s="90"/>
      <c r="C248" s="83"/>
      <c r="D248" s="82"/>
      <c r="E248" s="83" t="e">
        <f>VLOOKUP($D248,成品本月库存!$B:$J,2,0)</f>
        <v>#N/A</v>
      </c>
      <c r="F248" s="83" t="e">
        <f>VLOOKUP($D248,成品本月库存!$B:$J,5,0)</f>
        <v>#N/A</v>
      </c>
      <c r="G248" s="84"/>
      <c r="H248" s="83" t="e">
        <f>VLOOKUP($D248,成品本月库存!$B:$J,9,0)</f>
        <v>#N/A</v>
      </c>
      <c r="I248" s="85"/>
    </row>
    <row r="249" customHeight="1" spans="1:9">
      <c r="A249" s="72"/>
      <c r="B249" s="90"/>
      <c r="C249" s="83"/>
      <c r="D249" s="82"/>
      <c r="E249" s="83" t="e">
        <f>VLOOKUP($D249,成品本月库存!$B:$J,2,0)</f>
        <v>#N/A</v>
      </c>
      <c r="F249" s="83" t="e">
        <f>VLOOKUP($D249,成品本月库存!$B:$J,5,0)</f>
        <v>#N/A</v>
      </c>
      <c r="G249" s="83"/>
      <c r="H249" s="83" t="e">
        <f>VLOOKUP($D249,成品本月库存!$B:$J,9,0)</f>
        <v>#N/A</v>
      </c>
      <c r="I249" s="85"/>
    </row>
    <row r="250" customHeight="1" spans="1:9">
      <c r="A250" s="72"/>
      <c r="B250" s="90"/>
      <c r="C250" s="83"/>
      <c r="D250" s="82"/>
      <c r="E250" s="83" t="e">
        <f>VLOOKUP($D250,成品本月库存!$B:$J,2,0)</f>
        <v>#N/A</v>
      </c>
      <c r="F250" s="83" t="e">
        <f>VLOOKUP($D250,成品本月库存!$B:$J,5,0)</f>
        <v>#N/A</v>
      </c>
      <c r="G250" s="83"/>
      <c r="H250" s="83" t="e">
        <f>VLOOKUP($D250,成品本月库存!$B:$J,9,0)</f>
        <v>#N/A</v>
      </c>
      <c r="I250" s="85"/>
    </row>
    <row r="251" customHeight="1" spans="1:9">
      <c r="A251" s="72"/>
      <c r="B251" s="90"/>
      <c r="C251" s="83"/>
      <c r="D251" s="82"/>
      <c r="E251" s="83" t="e">
        <f>VLOOKUP($D251,成品本月库存!$B:$J,2,0)</f>
        <v>#N/A</v>
      </c>
      <c r="F251" s="83" t="e">
        <f>VLOOKUP($D251,成品本月库存!$B:$J,5,0)</f>
        <v>#N/A</v>
      </c>
      <c r="G251" s="83"/>
      <c r="H251" s="83" t="e">
        <f>VLOOKUP($D251,成品本月库存!$B:$J,9,0)</f>
        <v>#N/A</v>
      </c>
      <c r="I251" s="85"/>
    </row>
    <row r="252" customHeight="1" spans="1:9">
      <c r="A252" s="72"/>
      <c r="B252" s="90"/>
      <c r="C252" s="83"/>
      <c r="D252" s="82"/>
      <c r="E252" s="83" t="e">
        <f>VLOOKUP($D252,成品本月库存!$B:$J,2,0)</f>
        <v>#N/A</v>
      </c>
      <c r="F252" s="83" t="e">
        <f>VLOOKUP($D252,成品本月库存!$B:$J,5,0)</f>
        <v>#N/A</v>
      </c>
      <c r="G252" s="84"/>
      <c r="H252" s="83" t="e">
        <f>VLOOKUP($D252,成品本月库存!$B:$J,9,0)</f>
        <v>#N/A</v>
      </c>
      <c r="I252" s="85"/>
    </row>
    <row r="253" customHeight="1" spans="1:9">
      <c r="A253" s="72"/>
      <c r="B253" s="90"/>
      <c r="C253" s="83"/>
      <c r="D253" s="82"/>
      <c r="E253" s="83" t="e">
        <f>VLOOKUP($D253,成品本月库存!$B:$J,2,0)</f>
        <v>#N/A</v>
      </c>
      <c r="F253" s="83" t="e">
        <f>VLOOKUP($D253,成品本月库存!$B:$J,5,0)</f>
        <v>#N/A</v>
      </c>
      <c r="G253" s="84"/>
      <c r="H253" s="83" t="e">
        <f>VLOOKUP($D253,成品本月库存!$B:$J,9,0)</f>
        <v>#N/A</v>
      </c>
      <c r="I253" s="85"/>
    </row>
    <row r="254" customHeight="1" spans="1:9">
      <c r="A254" s="72"/>
      <c r="B254" s="90"/>
      <c r="C254" s="83"/>
      <c r="D254" s="82"/>
      <c r="E254" s="83" t="e">
        <f>VLOOKUP($D254,成品本月库存!$B:$J,2,0)</f>
        <v>#N/A</v>
      </c>
      <c r="F254" s="83" t="e">
        <f>VLOOKUP($D254,成品本月库存!$B:$J,5,0)</f>
        <v>#N/A</v>
      </c>
      <c r="G254" s="84"/>
      <c r="H254" s="83" t="e">
        <f>VLOOKUP($D254,成品本月库存!$B:$J,9,0)</f>
        <v>#N/A</v>
      </c>
      <c r="I254" s="85"/>
    </row>
    <row r="255" customHeight="1" spans="1:9">
      <c r="A255" s="72"/>
      <c r="B255" s="90"/>
      <c r="C255" s="83"/>
      <c r="D255" s="82"/>
      <c r="E255" s="83" t="e">
        <f>VLOOKUP($D255,成品本月库存!$B:$J,2,0)</f>
        <v>#N/A</v>
      </c>
      <c r="F255" s="83" t="e">
        <f>VLOOKUP($D255,成品本月库存!$B:$J,5,0)</f>
        <v>#N/A</v>
      </c>
      <c r="G255" s="84"/>
      <c r="H255" s="83" t="e">
        <f>VLOOKUP($D255,成品本月库存!$B:$J,9,0)</f>
        <v>#N/A</v>
      </c>
      <c r="I255" s="95"/>
    </row>
    <row r="256" customHeight="1" spans="1:9">
      <c r="A256" s="72"/>
      <c r="B256" s="90"/>
      <c r="C256" s="83"/>
      <c r="D256" s="82"/>
      <c r="E256" s="83" t="e">
        <f>VLOOKUP($D256,成品本月库存!$B:$J,2,0)</f>
        <v>#N/A</v>
      </c>
      <c r="F256" s="83" t="e">
        <f>VLOOKUP($D256,成品本月库存!$B:$J,5,0)</f>
        <v>#N/A</v>
      </c>
      <c r="G256" s="84"/>
      <c r="H256" s="83" t="e">
        <f>VLOOKUP($D256,成品本月库存!$B:$J,9,0)</f>
        <v>#N/A</v>
      </c>
      <c r="I256" s="95"/>
    </row>
    <row r="257" customHeight="1" spans="1:9">
      <c r="A257" s="72"/>
      <c r="B257" s="90"/>
      <c r="C257" s="83"/>
      <c r="D257" s="82"/>
      <c r="E257" s="83" t="e">
        <f>VLOOKUP($D257,成品本月库存!$B:$J,2,0)</f>
        <v>#N/A</v>
      </c>
      <c r="F257" s="83" t="e">
        <f>VLOOKUP($D257,成品本月库存!$B:$J,5,0)</f>
        <v>#N/A</v>
      </c>
      <c r="G257" s="84"/>
      <c r="H257" s="83" t="e">
        <f>VLOOKUP($D257,成品本月库存!$B:$J,9,0)</f>
        <v>#N/A</v>
      </c>
      <c r="I257" s="95"/>
    </row>
    <row r="258" customHeight="1" spans="1:9">
      <c r="A258" s="72"/>
      <c r="B258" s="90"/>
      <c r="C258" s="83"/>
      <c r="D258" s="82"/>
      <c r="E258" s="83" t="e">
        <f>VLOOKUP($D258,成品本月库存!$B:$J,2,0)</f>
        <v>#N/A</v>
      </c>
      <c r="F258" s="83" t="e">
        <f>VLOOKUP($D258,成品本月库存!$B:$J,5,0)</f>
        <v>#N/A</v>
      </c>
      <c r="G258" s="84"/>
      <c r="H258" s="83" t="e">
        <f>VLOOKUP($D258,成品本月库存!$B:$J,9,0)</f>
        <v>#N/A</v>
      </c>
      <c r="I258" s="95"/>
    </row>
    <row r="259" customHeight="1" spans="1:9">
      <c r="A259" s="72"/>
      <c r="B259" s="90"/>
      <c r="C259" s="87"/>
      <c r="D259" s="82"/>
      <c r="E259" s="83" t="e">
        <f>VLOOKUP($D259,成品本月库存!$B:$J,2,0)</f>
        <v>#N/A</v>
      </c>
      <c r="F259" s="83" t="e">
        <f>VLOOKUP($D259,成品本月库存!$B:$J,5,0)</f>
        <v>#N/A</v>
      </c>
      <c r="G259" s="84"/>
      <c r="H259" s="83" t="e">
        <f>VLOOKUP($D259,成品本月库存!$B:$J,9,0)</f>
        <v>#N/A</v>
      </c>
      <c r="I259" s="95"/>
    </row>
    <row r="260" customHeight="1" spans="1:9">
      <c r="A260" s="72"/>
      <c r="B260" s="90"/>
      <c r="C260" s="87"/>
      <c r="D260" s="82"/>
      <c r="E260" s="83" t="e">
        <f>VLOOKUP($D260,成品本月库存!$B:$J,2,0)</f>
        <v>#N/A</v>
      </c>
      <c r="F260" s="83" t="e">
        <f>VLOOKUP($D260,成品本月库存!$B:$J,5,0)</f>
        <v>#N/A</v>
      </c>
      <c r="G260" s="84"/>
      <c r="H260" s="83" t="e">
        <f>VLOOKUP($D260,成品本月库存!$B:$J,9,0)</f>
        <v>#N/A</v>
      </c>
      <c r="I260" s="85"/>
    </row>
    <row r="261" customHeight="1" spans="1:9">
      <c r="A261" s="72"/>
      <c r="B261" s="90"/>
      <c r="C261" s="87"/>
      <c r="D261" s="82"/>
      <c r="E261" s="83" t="e">
        <f>VLOOKUP($D261,成品本月库存!$B:$J,2,0)</f>
        <v>#N/A</v>
      </c>
      <c r="F261" s="83" t="e">
        <f>VLOOKUP($D261,成品本月库存!$B:$J,5,0)</f>
        <v>#N/A</v>
      </c>
      <c r="G261" s="84"/>
      <c r="H261" s="83" t="e">
        <f>VLOOKUP($D261,成品本月库存!$B:$J,9,0)</f>
        <v>#N/A</v>
      </c>
      <c r="I261" s="95"/>
    </row>
    <row r="262" customHeight="1" spans="1:9">
      <c r="A262" s="72"/>
      <c r="B262" s="90"/>
      <c r="C262" s="87"/>
      <c r="D262" s="82"/>
      <c r="E262" s="83" t="e">
        <f>VLOOKUP($D262,成品本月库存!$B:$J,2,0)</f>
        <v>#N/A</v>
      </c>
      <c r="F262" s="83" t="e">
        <f>VLOOKUP($D262,成品本月库存!$B:$J,5,0)</f>
        <v>#N/A</v>
      </c>
      <c r="G262" s="84"/>
      <c r="H262" s="83" t="e">
        <f>VLOOKUP($D262,成品本月库存!$B:$J,9,0)</f>
        <v>#N/A</v>
      </c>
      <c r="I262" s="95"/>
    </row>
    <row r="263" customHeight="1" spans="1:9">
      <c r="A263" s="72"/>
      <c r="B263" s="90"/>
      <c r="C263" s="87"/>
      <c r="D263" s="82"/>
      <c r="E263" s="83" t="e">
        <f>VLOOKUP($D263,成品本月库存!$B:$J,2,0)</f>
        <v>#N/A</v>
      </c>
      <c r="F263" s="83" t="e">
        <f>VLOOKUP($D263,成品本月库存!$B:$J,5,0)</f>
        <v>#N/A</v>
      </c>
      <c r="G263" s="84"/>
      <c r="H263" s="83" t="e">
        <f>VLOOKUP($D263,成品本月库存!$B:$J,9,0)</f>
        <v>#N/A</v>
      </c>
      <c r="I263" s="95"/>
    </row>
    <row r="264" customHeight="1" spans="1:9">
      <c r="A264" s="72"/>
      <c r="B264" s="90"/>
      <c r="C264" s="87"/>
      <c r="D264" s="82"/>
      <c r="E264" s="83" t="e">
        <f>VLOOKUP($D264,成品本月库存!$B:$J,2,0)</f>
        <v>#N/A</v>
      </c>
      <c r="F264" s="83" t="e">
        <f>VLOOKUP($D264,成品本月库存!$B:$J,5,0)</f>
        <v>#N/A</v>
      </c>
      <c r="G264" s="84"/>
      <c r="H264" s="83" t="e">
        <f>VLOOKUP($D264,成品本月库存!$B:$J,9,0)</f>
        <v>#N/A</v>
      </c>
      <c r="I264" s="85"/>
    </row>
    <row r="265" customHeight="1" spans="1:9">
      <c r="A265" s="72"/>
      <c r="B265" s="90"/>
      <c r="C265" s="87"/>
      <c r="D265" s="82"/>
      <c r="E265" s="83" t="e">
        <f>VLOOKUP($D265,成品本月库存!$B:$J,2,0)</f>
        <v>#N/A</v>
      </c>
      <c r="F265" s="83" t="e">
        <f>VLOOKUP($D265,成品本月库存!$B:$J,5,0)</f>
        <v>#N/A</v>
      </c>
      <c r="G265" s="84"/>
      <c r="H265" s="83" t="e">
        <f>VLOOKUP($D265,成品本月库存!$B:$J,9,0)</f>
        <v>#N/A</v>
      </c>
      <c r="I265" s="85"/>
    </row>
    <row r="266" customHeight="1" spans="1:9">
      <c r="A266" s="72"/>
      <c r="B266" s="90"/>
      <c r="C266" s="87"/>
      <c r="D266" s="82"/>
      <c r="E266" s="83" t="e">
        <f>VLOOKUP($D266,成品本月库存!$B:$J,2,0)</f>
        <v>#N/A</v>
      </c>
      <c r="F266" s="83" t="e">
        <f>VLOOKUP($D266,成品本月库存!$B:$J,5,0)</f>
        <v>#N/A</v>
      </c>
      <c r="G266" s="84"/>
      <c r="H266" s="83" t="e">
        <f>VLOOKUP($D266,成品本月库存!$B:$J,9,0)</f>
        <v>#N/A</v>
      </c>
      <c r="I266" s="85"/>
    </row>
    <row r="267" customHeight="1" spans="1:9">
      <c r="A267" s="72"/>
      <c r="B267" s="90"/>
      <c r="C267" s="87"/>
      <c r="D267" s="82"/>
      <c r="E267" s="83" t="e">
        <f>VLOOKUP($D267,成品本月库存!$B:$J,2,0)</f>
        <v>#N/A</v>
      </c>
      <c r="F267" s="83" t="e">
        <f>VLOOKUP($D267,成品本月库存!$B:$J,5,0)</f>
        <v>#N/A</v>
      </c>
      <c r="G267" s="84"/>
      <c r="H267" s="83" t="e">
        <f>VLOOKUP($D267,成品本月库存!$B:$J,9,0)</f>
        <v>#N/A</v>
      </c>
      <c r="I267" s="85"/>
    </row>
    <row r="268" customHeight="1" spans="1:9">
      <c r="A268" s="72"/>
      <c r="B268" s="90"/>
      <c r="C268" s="87"/>
      <c r="D268" s="82"/>
      <c r="E268" s="83" t="e">
        <f>VLOOKUP($D268,成品本月库存!$B:$J,2,0)</f>
        <v>#N/A</v>
      </c>
      <c r="F268" s="83" t="e">
        <f>VLOOKUP($D268,成品本月库存!$B:$J,5,0)</f>
        <v>#N/A</v>
      </c>
      <c r="G268" s="84"/>
      <c r="H268" s="83" t="e">
        <f>VLOOKUP($D268,成品本月库存!$B:$J,9,0)</f>
        <v>#N/A</v>
      </c>
      <c r="I268" s="85"/>
    </row>
    <row r="269" customHeight="1" spans="1:9">
      <c r="A269" s="72"/>
      <c r="B269" s="90"/>
      <c r="C269" s="87"/>
      <c r="D269" s="82"/>
      <c r="E269" s="83" t="e">
        <f>VLOOKUP($D269,成品本月库存!$B:$J,2,0)</f>
        <v>#N/A</v>
      </c>
      <c r="F269" s="83" t="e">
        <f>VLOOKUP($D269,成品本月库存!$B:$J,5,0)</f>
        <v>#N/A</v>
      </c>
      <c r="G269" s="84"/>
      <c r="H269" s="83" t="e">
        <f>VLOOKUP($D269,成品本月库存!$B:$J,9,0)</f>
        <v>#N/A</v>
      </c>
      <c r="I269" s="95"/>
    </row>
    <row r="270" customHeight="1" spans="1:9">
      <c r="A270" s="72"/>
      <c r="B270" s="90"/>
      <c r="C270" s="87"/>
      <c r="D270" s="82"/>
      <c r="E270" s="83" t="e">
        <f>VLOOKUP($D270,成品本月库存!$B:$J,2,0)</f>
        <v>#N/A</v>
      </c>
      <c r="F270" s="83" t="e">
        <f>VLOOKUP($D270,成品本月库存!$B:$J,5,0)</f>
        <v>#N/A</v>
      </c>
      <c r="G270" s="84"/>
      <c r="H270" s="83" t="e">
        <f>VLOOKUP($D270,成品本月库存!$B:$J,9,0)</f>
        <v>#N/A</v>
      </c>
      <c r="I270" s="85"/>
    </row>
    <row r="271" customHeight="1" spans="1:9">
      <c r="A271" s="72"/>
      <c r="B271" s="90"/>
      <c r="C271" s="87"/>
      <c r="D271" s="82"/>
      <c r="E271" s="83" t="e">
        <f>VLOOKUP($D271,成品本月库存!$B:$J,2,0)</f>
        <v>#N/A</v>
      </c>
      <c r="F271" s="83" t="e">
        <f>VLOOKUP($D271,成品本月库存!$B:$J,5,0)</f>
        <v>#N/A</v>
      </c>
      <c r="G271" s="84"/>
      <c r="H271" s="83" t="e">
        <f>VLOOKUP($D271,成品本月库存!$B:$J,9,0)</f>
        <v>#N/A</v>
      </c>
      <c r="I271" s="85"/>
    </row>
    <row r="272" customHeight="1" spans="1:9">
      <c r="A272" s="72"/>
      <c r="B272" s="90"/>
      <c r="C272" s="87"/>
      <c r="D272" s="82"/>
      <c r="E272" s="83" t="e">
        <f>VLOOKUP($D272,成品本月库存!$B:$J,2,0)</f>
        <v>#N/A</v>
      </c>
      <c r="F272" s="83" t="e">
        <f>VLOOKUP($D272,成品本月库存!$B:$J,5,0)</f>
        <v>#N/A</v>
      </c>
      <c r="G272" s="84"/>
      <c r="H272" s="83" t="e">
        <f>VLOOKUP($D272,成品本月库存!$B:$J,9,0)</f>
        <v>#N/A</v>
      </c>
      <c r="I272" s="96"/>
    </row>
    <row r="273" customHeight="1" spans="1:9">
      <c r="A273" s="72"/>
      <c r="B273" s="90"/>
      <c r="C273" s="87"/>
      <c r="D273" s="82"/>
      <c r="E273" s="83" t="e">
        <f>VLOOKUP($D273,成品本月库存!$B:$J,2,0)</f>
        <v>#N/A</v>
      </c>
      <c r="F273" s="83" t="e">
        <f>VLOOKUP($D273,成品本月库存!$B:$J,5,0)</f>
        <v>#N/A</v>
      </c>
      <c r="G273" s="84"/>
      <c r="H273" s="83" t="e">
        <f>VLOOKUP($D273,成品本月库存!$B:$J,9,0)</f>
        <v>#N/A</v>
      </c>
      <c r="I273" s="96"/>
    </row>
    <row r="274" customHeight="1" spans="1:9">
      <c r="A274" s="72"/>
      <c r="B274" s="90"/>
      <c r="C274" s="87"/>
      <c r="D274" s="82"/>
      <c r="E274" s="83" t="e">
        <f>VLOOKUP($D274,成品本月库存!$B:$J,2,0)</f>
        <v>#N/A</v>
      </c>
      <c r="F274" s="83" t="e">
        <f>VLOOKUP($D274,成品本月库存!$B:$J,5,0)</f>
        <v>#N/A</v>
      </c>
      <c r="G274" s="84"/>
      <c r="H274" s="83" t="e">
        <f>VLOOKUP($D274,成品本月库存!$B:$J,9,0)</f>
        <v>#N/A</v>
      </c>
      <c r="I274" s="96"/>
    </row>
    <row r="275" customHeight="1" spans="1:9">
      <c r="A275" s="72"/>
      <c r="B275" s="90"/>
      <c r="C275" s="87"/>
      <c r="D275" s="82"/>
      <c r="E275" s="83" t="e">
        <f>VLOOKUP($D275,成品本月库存!$B:$J,2,0)</f>
        <v>#N/A</v>
      </c>
      <c r="F275" s="83" t="e">
        <f>VLOOKUP($D275,成品本月库存!$B:$J,5,0)</f>
        <v>#N/A</v>
      </c>
      <c r="G275" s="84"/>
      <c r="H275" s="83" t="e">
        <f>VLOOKUP($D275,成品本月库存!$B:$J,9,0)</f>
        <v>#N/A</v>
      </c>
      <c r="I275" s="96"/>
    </row>
    <row r="276" customHeight="1" spans="1:9">
      <c r="A276" s="72"/>
      <c r="B276" s="90"/>
      <c r="C276" s="87"/>
      <c r="D276" s="82"/>
      <c r="E276" s="83" t="e">
        <f>VLOOKUP($D276,成品本月库存!$B:$J,2,0)</f>
        <v>#N/A</v>
      </c>
      <c r="F276" s="83" t="e">
        <f>VLOOKUP($D276,成品本月库存!$B:$J,5,0)</f>
        <v>#N/A</v>
      </c>
      <c r="G276" s="84"/>
      <c r="H276" s="83" t="e">
        <f>VLOOKUP($D276,成品本月库存!$B:$J,9,0)</f>
        <v>#N/A</v>
      </c>
      <c r="I276" s="96"/>
    </row>
    <row r="277" customHeight="1" spans="1:9">
      <c r="A277" s="72"/>
      <c r="B277" s="90"/>
      <c r="C277" s="87"/>
      <c r="D277" s="82"/>
      <c r="E277" s="83" t="e">
        <f>VLOOKUP($D277,成品本月库存!$B:$J,2,0)</f>
        <v>#N/A</v>
      </c>
      <c r="F277" s="83" t="e">
        <f>VLOOKUP($D277,成品本月库存!$B:$J,5,0)</f>
        <v>#N/A</v>
      </c>
      <c r="G277" s="84"/>
      <c r="H277" s="83" t="e">
        <f>VLOOKUP($D277,成品本月库存!$B:$J,9,0)</f>
        <v>#N/A</v>
      </c>
      <c r="I277" s="85"/>
    </row>
    <row r="278" customHeight="1" spans="1:9">
      <c r="A278" s="72"/>
      <c r="B278" s="90"/>
      <c r="C278" s="87"/>
      <c r="D278" s="82"/>
      <c r="E278" s="83" t="e">
        <f>VLOOKUP($D278,成品本月库存!$B:$J,2,0)</f>
        <v>#N/A</v>
      </c>
      <c r="F278" s="83" t="e">
        <f>VLOOKUP($D278,成品本月库存!$B:$J,5,0)</f>
        <v>#N/A</v>
      </c>
      <c r="G278" s="84"/>
      <c r="H278" s="83" t="e">
        <f>VLOOKUP($D278,成品本月库存!$B:$J,9,0)</f>
        <v>#N/A</v>
      </c>
      <c r="I278" s="96"/>
    </row>
    <row r="279" customHeight="1" spans="1:9">
      <c r="A279" s="72"/>
      <c r="B279" s="90"/>
      <c r="C279" s="87"/>
      <c r="D279" s="82"/>
      <c r="E279" s="83" t="e">
        <f>VLOOKUP($D279,成品本月库存!$B:$J,2,0)</f>
        <v>#N/A</v>
      </c>
      <c r="F279" s="83" t="e">
        <f>VLOOKUP($D279,成品本月库存!$B:$J,5,0)</f>
        <v>#N/A</v>
      </c>
      <c r="G279" s="84"/>
      <c r="H279" s="83" t="e">
        <f>VLOOKUP($D279,成品本月库存!$B:$J,9,0)</f>
        <v>#N/A</v>
      </c>
      <c r="I279" s="96"/>
    </row>
    <row r="280" customHeight="1" spans="1:9">
      <c r="A280" s="72"/>
      <c r="B280" s="90"/>
      <c r="C280" s="87"/>
      <c r="D280" s="82"/>
      <c r="E280" s="83" t="e">
        <f>VLOOKUP($D280,成品本月库存!$B:$J,2,0)</f>
        <v>#N/A</v>
      </c>
      <c r="F280" s="83" t="e">
        <f>VLOOKUP($D280,成品本月库存!$B:$J,5,0)</f>
        <v>#N/A</v>
      </c>
      <c r="G280" s="84"/>
      <c r="H280" s="83" t="e">
        <f>VLOOKUP($D280,成品本月库存!$B:$J,9,0)</f>
        <v>#N/A</v>
      </c>
      <c r="I280" s="96"/>
    </row>
    <row r="281" customHeight="1" spans="1:9">
      <c r="A281" s="72"/>
      <c r="B281" s="90"/>
      <c r="C281" s="83"/>
      <c r="D281" s="82"/>
      <c r="E281" s="83" t="e">
        <f>VLOOKUP($D281,成品本月库存!$B:$J,2,0)</f>
        <v>#N/A</v>
      </c>
      <c r="F281" s="83" t="e">
        <f>VLOOKUP($D281,成品本月库存!$B:$J,5,0)</f>
        <v>#N/A</v>
      </c>
      <c r="G281" s="84"/>
      <c r="H281" s="83" t="e">
        <f>VLOOKUP($D281,成品本月库存!$B:$J,9,0)</f>
        <v>#N/A</v>
      </c>
      <c r="I281" s="85"/>
    </row>
    <row r="282" customHeight="1" spans="1:9">
      <c r="A282" s="72"/>
      <c r="B282" s="90"/>
      <c r="C282" s="83"/>
      <c r="D282" s="82"/>
      <c r="E282" s="83" t="e">
        <f>VLOOKUP($D282,成品本月库存!$B:$J,2,0)</f>
        <v>#N/A</v>
      </c>
      <c r="F282" s="83" t="e">
        <f>VLOOKUP($D282,成品本月库存!$B:$J,5,0)</f>
        <v>#N/A</v>
      </c>
      <c r="G282" s="84"/>
      <c r="H282" s="83" t="e">
        <f>VLOOKUP($D282,成品本月库存!$B:$J,9,0)</f>
        <v>#N/A</v>
      </c>
      <c r="I282" s="86"/>
    </row>
    <row r="283" customHeight="1" spans="1:9">
      <c r="A283" s="72"/>
      <c r="B283" s="90"/>
      <c r="C283" s="83"/>
      <c r="D283" s="82"/>
      <c r="E283" s="83" t="e">
        <f>VLOOKUP($D283,成品本月库存!$B:$J,2,0)</f>
        <v>#N/A</v>
      </c>
      <c r="F283" s="83" t="e">
        <f>VLOOKUP($D283,成品本月库存!$B:$J,5,0)</f>
        <v>#N/A</v>
      </c>
      <c r="G283" s="84"/>
      <c r="H283" s="83" t="e">
        <f>VLOOKUP($D283,成品本月库存!$B:$J,9,0)</f>
        <v>#N/A</v>
      </c>
    </row>
    <row r="284" customHeight="1" spans="1:9">
      <c r="A284" s="72"/>
      <c r="B284" s="90"/>
      <c r="C284" s="83"/>
      <c r="D284" s="82"/>
      <c r="E284" s="83" t="e">
        <f>VLOOKUP($D284,成品本月库存!$B:$J,2,0)</f>
        <v>#N/A</v>
      </c>
      <c r="F284" s="83" t="e">
        <f>VLOOKUP($D284,成品本月库存!$B:$J,5,0)</f>
        <v>#N/A</v>
      </c>
      <c r="G284" s="84"/>
      <c r="H284" s="83" t="e">
        <f>VLOOKUP($D284,成品本月库存!$B:$J,9,0)</f>
        <v>#N/A</v>
      </c>
      <c r="I284" s="86"/>
    </row>
    <row r="285" customHeight="1" spans="1:9">
      <c r="A285" s="72"/>
      <c r="B285" s="90"/>
      <c r="C285" s="83"/>
      <c r="D285" s="82"/>
      <c r="E285" s="83" t="e">
        <f>VLOOKUP($D285,成品本月库存!$B:$J,2,0)</f>
        <v>#N/A</v>
      </c>
      <c r="F285" s="83" t="e">
        <f>VLOOKUP($D285,成品本月库存!$B:$J,5,0)</f>
        <v>#N/A</v>
      </c>
      <c r="G285" s="84"/>
      <c r="H285" s="83" t="e">
        <f>VLOOKUP($D285,成品本月库存!$B:$J,9,0)</f>
        <v>#N/A</v>
      </c>
    </row>
    <row r="286" customHeight="1" spans="1:9">
      <c r="A286" s="72"/>
      <c r="B286" s="90"/>
      <c r="C286" s="83"/>
      <c r="D286" s="82"/>
      <c r="E286" s="83" t="e">
        <f>VLOOKUP($D286,成品本月库存!$B:$J,2,0)</f>
        <v>#N/A</v>
      </c>
      <c r="F286" s="83" t="e">
        <f>VLOOKUP($D286,成品本月库存!$B:$J,5,0)</f>
        <v>#N/A</v>
      </c>
      <c r="G286" s="84"/>
      <c r="H286" s="83" t="e">
        <f>VLOOKUP($D286,成品本月库存!$B:$J,9,0)</f>
        <v>#N/A</v>
      </c>
    </row>
    <row r="287" customHeight="1" spans="1:9">
      <c r="A287" s="72"/>
      <c r="B287" s="90"/>
      <c r="C287" s="83"/>
      <c r="D287" s="82"/>
      <c r="E287" s="83" t="e">
        <f>VLOOKUP($D287,成品本月库存!$B:$J,2,0)</f>
        <v>#N/A</v>
      </c>
      <c r="F287" s="83" t="e">
        <f>VLOOKUP($D287,成品本月库存!$B:$J,5,0)</f>
        <v>#N/A</v>
      </c>
      <c r="G287" s="84"/>
      <c r="H287" s="83" t="e">
        <f>VLOOKUP($D287,成品本月库存!$B:$J,9,0)</f>
        <v>#N/A</v>
      </c>
    </row>
    <row r="288" customHeight="1" spans="1:9">
      <c r="A288" s="72"/>
      <c r="B288" s="90"/>
      <c r="C288" s="83"/>
      <c r="D288" s="82"/>
      <c r="E288" s="83" t="e">
        <f>VLOOKUP($D288,成品本月库存!$B:$J,2,0)</f>
        <v>#N/A</v>
      </c>
      <c r="F288" s="83" t="e">
        <f>VLOOKUP($D288,成品本月库存!$B:$J,5,0)</f>
        <v>#N/A</v>
      </c>
      <c r="G288" s="84"/>
      <c r="H288" s="83" t="e">
        <f>VLOOKUP($D288,成品本月库存!$B:$J,9,0)</f>
        <v>#N/A</v>
      </c>
    </row>
    <row r="289" customHeight="1" spans="1:9">
      <c r="A289" s="72"/>
      <c r="B289" s="90"/>
      <c r="C289" s="83"/>
      <c r="D289" s="82"/>
      <c r="E289" s="83" t="e">
        <f>VLOOKUP($D289,成品本月库存!$B:$J,2,0)</f>
        <v>#N/A</v>
      </c>
      <c r="F289" s="83" t="e">
        <f>VLOOKUP($D289,成品本月库存!$B:$J,5,0)</f>
        <v>#N/A</v>
      </c>
      <c r="G289" s="84"/>
      <c r="H289" s="83" t="e">
        <f>VLOOKUP($D289,成品本月库存!$B:$J,9,0)</f>
        <v>#N/A</v>
      </c>
    </row>
    <row r="290" customHeight="1" spans="1:9">
      <c r="A290" s="72"/>
      <c r="B290" s="90"/>
      <c r="C290" s="83"/>
      <c r="D290" s="82"/>
      <c r="E290" s="83" t="e">
        <f>VLOOKUP($D290,成品本月库存!$B:$J,2,0)</f>
        <v>#N/A</v>
      </c>
      <c r="F290" s="83" t="e">
        <f>VLOOKUP($D290,成品本月库存!$B:$J,5,0)</f>
        <v>#N/A</v>
      </c>
      <c r="G290" s="84"/>
      <c r="H290" s="83" t="e">
        <f>VLOOKUP($D290,成品本月库存!$B:$J,9,0)</f>
        <v>#N/A</v>
      </c>
    </row>
    <row r="291" customHeight="1" spans="1:9">
      <c r="A291" s="72"/>
      <c r="B291" s="90"/>
      <c r="C291" s="83"/>
      <c r="D291" s="10"/>
      <c r="E291" s="83" t="e">
        <f>VLOOKUP($D291,成品本月库存!$B:$J,2,0)</f>
        <v>#N/A</v>
      </c>
      <c r="F291" s="83" t="e">
        <f>VLOOKUP($D291,成品本月库存!$B:$J,5,0)</f>
        <v>#N/A</v>
      </c>
      <c r="G291" s="84"/>
      <c r="H291" s="83" t="e">
        <f>VLOOKUP($D291,成品本月库存!$B:$J,9,0)</f>
        <v>#N/A</v>
      </c>
    </row>
    <row r="292" customHeight="1" spans="1:9">
      <c r="A292" s="72"/>
      <c r="B292" s="90"/>
      <c r="C292" s="83"/>
      <c r="D292" s="82"/>
      <c r="E292" s="83" t="e">
        <f>VLOOKUP($D292,成品本月库存!$B:$J,2,0)</f>
        <v>#N/A</v>
      </c>
      <c r="F292" s="83" t="e">
        <f>VLOOKUP($D292,成品本月库存!$B:$J,5,0)</f>
        <v>#N/A</v>
      </c>
      <c r="G292" s="84"/>
      <c r="H292" s="83" t="e">
        <f>VLOOKUP($D292,成品本月库存!$B:$J,9,0)</f>
        <v>#N/A</v>
      </c>
    </row>
    <row r="293" customHeight="1" spans="1:9">
      <c r="A293" s="72"/>
      <c r="B293" s="90"/>
      <c r="C293" s="83"/>
      <c r="D293" s="82"/>
      <c r="E293" s="83" t="e">
        <f>VLOOKUP($D293,成品本月库存!$B:$J,2,0)</f>
        <v>#N/A</v>
      </c>
      <c r="F293" s="83" t="e">
        <f>VLOOKUP($D293,成品本月库存!$B:$J,5,0)</f>
        <v>#N/A</v>
      </c>
      <c r="G293" s="84"/>
      <c r="H293" s="83" t="e">
        <f>VLOOKUP($D293,成品本月库存!$B:$J,9,0)</f>
        <v>#N/A</v>
      </c>
    </row>
    <row r="294" customHeight="1" spans="1:9">
      <c r="A294" s="72"/>
      <c r="B294" s="90"/>
      <c r="C294" s="83"/>
      <c r="D294" s="82"/>
      <c r="E294" s="83" t="e">
        <f>VLOOKUP($D294,成品本月库存!$B:$J,2,0)</f>
        <v>#N/A</v>
      </c>
      <c r="F294" s="83" t="e">
        <f>VLOOKUP($D294,成品本月库存!$B:$J,5,0)</f>
        <v>#N/A</v>
      </c>
      <c r="G294" s="84"/>
      <c r="H294" s="83" t="e">
        <f>VLOOKUP($D294,成品本月库存!$B:$J,9,0)</f>
        <v>#N/A</v>
      </c>
    </row>
    <row r="295" customHeight="1" spans="1:9">
      <c r="A295" s="72"/>
      <c r="B295" s="90"/>
      <c r="C295" s="83"/>
      <c r="D295" s="82"/>
      <c r="E295" s="83" t="e">
        <f>VLOOKUP($D295,成品本月库存!$B:$J,2,0)</f>
        <v>#N/A</v>
      </c>
      <c r="F295" s="83" t="e">
        <f>VLOOKUP($D295,成品本月库存!$B:$J,5,0)</f>
        <v>#N/A</v>
      </c>
      <c r="G295" s="84"/>
      <c r="H295" s="83" t="e">
        <f>VLOOKUP($D295,成品本月库存!$B:$J,9,0)</f>
        <v>#N/A</v>
      </c>
    </row>
    <row r="296" customHeight="1" spans="1:9">
      <c r="A296" s="72"/>
      <c r="B296" s="90"/>
      <c r="C296" s="83"/>
      <c r="D296" s="82"/>
      <c r="E296" s="83" t="e">
        <f>VLOOKUP($D296,成品本月库存!$B:$J,2,0)</f>
        <v>#N/A</v>
      </c>
      <c r="F296" s="83" t="e">
        <f>VLOOKUP($D296,成品本月库存!$B:$J,5,0)</f>
        <v>#N/A</v>
      </c>
      <c r="G296" s="84"/>
      <c r="H296" s="83" t="e">
        <f>VLOOKUP($D296,成品本月库存!$B:$J,9,0)</f>
        <v>#N/A</v>
      </c>
    </row>
    <row r="297" customHeight="1" spans="1:9">
      <c r="A297" s="72"/>
      <c r="B297" s="90"/>
      <c r="C297" s="83"/>
      <c r="D297" s="82"/>
      <c r="E297" s="83" t="e">
        <f>VLOOKUP($D297,成品本月库存!$B:$J,2,0)</f>
        <v>#N/A</v>
      </c>
      <c r="F297" s="83" t="e">
        <f>VLOOKUP($D297,成品本月库存!$B:$J,5,0)</f>
        <v>#N/A</v>
      </c>
      <c r="G297" s="84"/>
      <c r="H297" s="83" t="e">
        <f>VLOOKUP($D297,成品本月库存!$B:$J,9,0)</f>
        <v>#N/A</v>
      </c>
    </row>
    <row r="298" customHeight="1" spans="1:9">
      <c r="A298" s="72"/>
      <c r="B298" s="90"/>
      <c r="C298" s="83"/>
      <c r="D298" s="82"/>
      <c r="E298" s="83" t="e">
        <f>VLOOKUP($D298,成品本月库存!$B:$J,2,0)</f>
        <v>#N/A</v>
      </c>
      <c r="F298" s="83" t="e">
        <f>VLOOKUP($D298,成品本月库存!$B:$J,5,0)</f>
        <v>#N/A</v>
      </c>
      <c r="G298" s="84"/>
      <c r="H298" s="83" t="e">
        <f>VLOOKUP($D298,成品本月库存!$B:$J,9,0)</f>
        <v>#N/A</v>
      </c>
    </row>
    <row r="299" customHeight="1" spans="1:9">
      <c r="A299" s="72"/>
      <c r="B299" s="90"/>
      <c r="C299" s="83"/>
      <c r="D299" s="82"/>
      <c r="E299" s="83" t="e">
        <f>VLOOKUP($D299,成品本月库存!$B:$J,2,0)</f>
        <v>#N/A</v>
      </c>
      <c r="F299" s="83" t="e">
        <f>VLOOKUP($D299,成品本月库存!$B:$J,5,0)</f>
        <v>#N/A</v>
      </c>
      <c r="G299" s="84"/>
      <c r="H299" s="83" t="e">
        <f>VLOOKUP($D299,成品本月库存!$B:$J,9,0)</f>
        <v>#N/A</v>
      </c>
      <c r="I299" s="86"/>
    </row>
    <row r="300" customHeight="1" spans="1:9">
      <c r="A300" s="72"/>
      <c r="B300" s="90"/>
      <c r="C300" s="83"/>
      <c r="D300" s="82"/>
      <c r="E300" s="83" t="e">
        <f>VLOOKUP($D300,成品本月库存!$B:$J,2,0)</f>
        <v>#N/A</v>
      </c>
      <c r="F300" s="83" t="e">
        <f>VLOOKUP($D300,成品本月库存!$B:$J,5,0)</f>
        <v>#N/A</v>
      </c>
      <c r="G300" s="84"/>
      <c r="H300" s="83" t="e">
        <f>VLOOKUP($D300,成品本月库存!$B:$J,9,0)</f>
        <v>#N/A</v>
      </c>
    </row>
    <row r="301" customHeight="1" spans="1:9">
      <c r="A301" s="72"/>
      <c r="B301" s="90"/>
      <c r="C301" s="83"/>
      <c r="D301" s="82"/>
      <c r="E301" s="83" t="e">
        <f>VLOOKUP($D301,成品本月库存!$B:$J,2,0)</f>
        <v>#N/A</v>
      </c>
      <c r="F301" s="83" t="e">
        <f>VLOOKUP($D301,成品本月库存!$B:$J,5,0)</f>
        <v>#N/A</v>
      </c>
      <c r="G301" s="84"/>
      <c r="H301" s="83" t="e">
        <f>VLOOKUP($D301,成品本月库存!$B:$J,9,0)</f>
        <v>#N/A</v>
      </c>
    </row>
    <row r="302" customHeight="1" spans="1:9">
      <c r="A302" s="83"/>
      <c r="B302" s="90"/>
      <c r="C302" s="83"/>
      <c r="D302" s="82"/>
      <c r="E302" s="83" t="e">
        <f>VLOOKUP($D302,成品本月库存!$B:$J,2,0)</f>
        <v>#N/A</v>
      </c>
      <c r="F302" s="83" t="e">
        <f>VLOOKUP($D302,成品本月库存!$B:$J,5,0)</f>
        <v>#N/A</v>
      </c>
      <c r="G302" s="84"/>
      <c r="H302" s="83" t="e">
        <f>VLOOKUP($D302,成品本月库存!$B:$J,9,0)</f>
        <v>#N/A</v>
      </c>
    </row>
    <row r="303" customHeight="1" spans="1:9">
      <c r="A303" s="83"/>
      <c r="B303" s="90"/>
      <c r="C303" s="83"/>
      <c r="D303" s="82"/>
      <c r="E303" s="83" t="e">
        <f>VLOOKUP($D303,成品本月库存!$B:$J,2,0)</f>
        <v>#N/A</v>
      </c>
      <c r="F303" s="83" t="e">
        <f>VLOOKUP($D303,成品本月库存!$B:$J,5,0)</f>
        <v>#N/A</v>
      </c>
      <c r="G303" s="84"/>
      <c r="H303" s="83" t="e">
        <f>VLOOKUP($D303,成品本月库存!$B:$J,9,0)</f>
        <v>#N/A</v>
      </c>
    </row>
    <row r="304" customHeight="1" spans="1:9">
      <c r="A304" s="83"/>
      <c r="B304" s="90"/>
      <c r="C304" s="83"/>
      <c r="D304" s="82"/>
      <c r="E304" s="83" t="e">
        <f>VLOOKUP($D304,成品本月库存!$B:$J,2,0)</f>
        <v>#N/A</v>
      </c>
      <c r="F304" s="83" t="e">
        <f>VLOOKUP($D304,成品本月库存!$B:$J,5,0)</f>
        <v>#N/A</v>
      </c>
      <c r="G304" s="84"/>
      <c r="H304" s="83" t="e">
        <f>VLOOKUP($D304,成品本月库存!$B:$J,9,0)</f>
        <v>#N/A</v>
      </c>
    </row>
    <row r="305" customHeight="1" spans="1:9">
      <c r="A305" s="83"/>
      <c r="B305" s="90"/>
      <c r="C305" s="83"/>
      <c r="D305" s="82"/>
      <c r="E305" s="83" t="e">
        <f>VLOOKUP($D305,成品本月库存!$B:$J,2,0)</f>
        <v>#N/A</v>
      </c>
      <c r="F305" s="83" t="e">
        <f>VLOOKUP($D305,成品本月库存!$B:$J,5,0)</f>
        <v>#N/A</v>
      </c>
      <c r="G305" s="84"/>
      <c r="H305" s="83" t="e">
        <f>VLOOKUP($D305,成品本月库存!$B:$J,9,0)</f>
        <v>#N/A</v>
      </c>
    </row>
    <row r="306" customHeight="1" spans="1:9">
      <c r="A306" s="83"/>
      <c r="B306" s="90"/>
      <c r="C306" s="83"/>
      <c r="D306" s="93"/>
      <c r="E306" s="83" t="e">
        <f>VLOOKUP($D306,成品本月库存!$B:$J,2,0)</f>
        <v>#N/A</v>
      </c>
      <c r="F306" s="83" t="e">
        <f>VLOOKUP($D306,成品本月库存!$B:$J,5,0)</f>
        <v>#N/A</v>
      </c>
      <c r="G306" s="84"/>
      <c r="H306" s="83" t="e">
        <f>VLOOKUP($D306,成品本月库存!$B:$J,9,0)</f>
        <v>#N/A</v>
      </c>
    </row>
    <row r="307" customHeight="1" spans="1:9">
      <c r="A307" s="83"/>
      <c r="B307" s="90"/>
      <c r="C307" s="83"/>
      <c r="D307" s="82"/>
      <c r="E307" s="83" t="e">
        <f>VLOOKUP($D307,成品本月库存!$B:$J,2,0)</f>
        <v>#N/A</v>
      </c>
      <c r="F307" s="83" t="e">
        <f>VLOOKUP($D307,成品本月库存!$B:$J,5,0)</f>
        <v>#N/A</v>
      </c>
      <c r="G307" s="84"/>
      <c r="H307" s="83" t="e">
        <f>VLOOKUP($D307,成品本月库存!$B:$J,9,0)</f>
        <v>#N/A</v>
      </c>
    </row>
    <row r="308" customHeight="1" spans="1:9">
      <c r="A308" s="83"/>
      <c r="B308" s="90"/>
      <c r="C308" s="83"/>
      <c r="D308" s="82"/>
      <c r="E308" s="83" t="e">
        <f>VLOOKUP($D308,成品本月库存!$B:$J,2,0)</f>
        <v>#N/A</v>
      </c>
      <c r="F308" s="83" t="e">
        <f>VLOOKUP($D308,成品本月库存!$B:$J,5,0)</f>
        <v>#N/A</v>
      </c>
      <c r="G308" s="84"/>
      <c r="H308" s="83" t="e">
        <f>VLOOKUP($D308,成品本月库存!$B:$J,9,0)</f>
        <v>#N/A</v>
      </c>
      <c r="I308" s="86"/>
    </row>
    <row r="309" customHeight="1" spans="1:9">
      <c r="A309" s="83"/>
      <c r="B309" s="90"/>
      <c r="C309" s="83"/>
      <c r="D309" s="82"/>
      <c r="E309" s="83" t="e">
        <f>VLOOKUP($D309,成品本月库存!$B:$J,2,0)</f>
        <v>#N/A</v>
      </c>
      <c r="F309" s="83" t="e">
        <f>VLOOKUP($D309,成品本月库存!$B:$J,5,0)</f>
        <v>#N/A</v>
      </c>
      <c r="G309" s="84"/>
      <c r="H309" s="83" t="e">
        <f>VLOOKUP($D309,成品本月库存!$B:$J,9,0)</f>
        <v>#N/A</v>
      </c>
      <c r="I309" s="86"/>
    </row>
    <row r="310" customHeight="1" spans="1:9">
      <c r="A310" s="83"/>
      <c r="B310" s="90"/>
      <c r="C310" s="83"/>
      <c r="D310" s="82"/>
      <c r="E310" s="83" t="e">
        <f>VLOOKUP($D310,成品本月库存!$B:$J,2,0)</f>
        <v>#N/A</v>
      </c>
      <c r="F310" s="83" t="e">
        <f>VLOOKUP($D310,成品本月库存!$B:$J,5,0)</f>
        <v>#N/A</v>
      </c>
      <c r="G310" s="84"/>
      <c r="H310" s="83" t="e">
        <f>VLOOKUP($D310,成品本月库存!$B:$J,9,0)</f>
        <v>#N/A</v>
      </c>
    </row>
    <row r="311" customHeight="1" spans="1:9">
      <c r="A311" s="83"/>
      <c r="B311" s="90"/>
      <c r="C311" s="83"/>
      <c r="D311" s="82"/>
      <c r="E311" s="83" t="e">
        <f>VLOOKUP($D311,成品本月库存!$B:$J,2,0)</f>
        <v>#N/A</v>
      </c>
      <c r="F311" s="83" t="e">
        <f>VLOOKUP($D311,成品本月库存!$B:$J,5,0)</f>
        <v>#N/A</v>
      </c>
      <c r="G311" s="84"/>
      <c r="H311" s="83" t="e">
        <f>VLOOKUP($D311,成品本月库存!$B:$J,9,0)</f>
        <v>#N/A</v>
      </c>
      <c r="I311" s="86"/>
    </row>
    <row r="312" customHeight="1" spans="1:9">
      <c r="A312" s="83"/>
      <c r="B312" s="90"/>
      <c r="C312" s="83"/>
      <c r="D312" s="82"/>
      <c r="E312" s="83" t="e">
        <f>VLOOKUP($D312,成品本月库存!$B:$J,2,0)</f>
        <v>#N/A</v>
      </c>
      <c r="F312" s="83" t="e">
        <f>VLOOKUP($D312,成品本月库存!$B:$J,5,0)</f>
        <v>#N/A</v>
      </c>
      <c r="G312" s="84"/>
      <c r="H312" s="83" t="e">
        <f>VLOOKUP($D312,成品本月库存!$B:$J,9,0)</f>
        <v>#N/A</v>
      </c>
    </row>
    <row r="313" customHeight="1" spans="1:9">
      <c r="A313" s="83"/>
      <c r="B313" s="90"/>
      <c r="C313" s="83"/>
      <c r="D313" s="82"/>
      <c r="E313" s="83" t="e">
        <f>VLOOKUP($D313,成品本月库存!$B:$J,2,0)</f>
        <v>#N/A</v>
      </c>
      <c r="F313" s="83" t="e">
        <f>VLOOKUP($D313,成品本月库存!$B:$J,5,0)</f>
        <v>#N/A</v>
      </c>
      <c r="G313" s="84"/>
      <c r="H313" s="83" t="e">
        <f>VLOOKUP($D313,成品本月库存!$B:$J,9,0)</f>
        <v>#N/A</v>
      </c>
    </row>
    <row r="314" customHeight="1" spans="1:9">
      <c r="A314" s="83"/>
      <c r="B314" s="90"/>
      <c r="C314" s="83"/>
      <c r="D314" s="82"/>
      <c r="E314" s="83" t="e">
        <f>VLOOKUP($D314,成品本月库存!$B:$J,2,0)</f>
        <v>#N/A</v>
      </c>
      <c r="F314" s="83" t="e">
        <f>VLOOKUP($D314,成品本月库存!$B:$J,5,0)</f>
        <v>#N/A</v>
      </c>
      <c r="G314" s="84"/>
      <c r="H314" s="83" t="e">
        <f>VLOOKUP($D314,成品本月库存!$B:$J,9,0)</f>
        <v>#N/A</v>
      </c>
      <c r="I314" s="86"/>
    </row>
    <row r="315" customHeight="1" spans="1:9">
      <c r="A315" s="83"/>
      <c r="B315" s="90"/>
      <c r="C315" s="83"/>
      <c r="D315" s="82"/>
      <c r="E315" s="83" t="e">
        <f>VLOOKUP($D315,成品本月库存!$B:$J,2,0)</f>
        <v>#N/A</v>
      </c>
      <c r="F315" s="83" t="e">
        <f>VLOOKUP($D315,成品本月库存!$B:$J,5,0)</f>
        <v>#N/A</v>
      </c>
      <c r="G315" s="84"/>
      <c r="H315" s="83" t="e">
        <f>VLOOKUP($D315,成品本月库存!$B:$J,9,0)</f>
        <v>#N/A</v>
      </c>
    </row>
    <row r="316" customHeight="1" spans="1:9">
      <c r="A316" s="83"/>
      <c r="B316" s="90"/>
      <c r="C316" s="83"/>
      <c r="D316" s="82"/>
      <c r="E316" s="83" t="e">
        <f>VLOOKUP($D316,成品本月库存!$B:$J,2,0)</f>
        <v>#N/A</v>
      </c>
      <c r="F316" s="83" t="e">
        <f>VLOOKUP($D316,成品本月库存!$B:$J,5,0)</f>
        <v>#N/A</v>
      </c>
      <c r="G316" s="84"/>
      <c r="H316" s="83" t="e">
        <f>VLOOKUP($D316,成品本月库存!$B:$J,9,0)</f>
        <v>#N/A</v>
      </c>
      <c r="I316" s="86"/>
    </row>
    <row r="317" customHeight="1" spans="1:9">
      <c r="A317" s="83"/>
      <c r="B317" s="90"/>
      <c r="C317" s="83"/>
      <c r="D317" s="82"/>
      <c r="E317" s="83" t="e">
        <f>VLOOKUP($D317,成品本月库存!$B:$J,2,0)</f>
        <v>#N/A</v>
      </c>
      <c r="F317" s="83" t="e">
        <f>VLOOKUP($D317,成品本月库存!$B:$J,5,0)</f>
        <v>#N/A</v>
      </c>
      <c r="G317" s="84"/>
      <c r="H317" s="83" t="e">
        <f>VLOOKUP($D317,成品本月库存!$B:$J,9,0)</f>
        <v>#N/A</v>
      </c>
      <c r="I317" s="86"/>
    </row>
    <row r="318" customHeight="1" spans="1:9">
      <c r="A318" s="83"/>
      <c r="B318" s="90"/>
      <c r="C318" s="83"/>
      <c r="D318" s="82"/>
      <c r="E318" s="83" t="e">
        <f>VLOOKUP($D318,成品本月库存!$B:$J,2,0)</f>
        <v>#N/A</v>
      </c>
      <c r="F318" s="83" t="e">
        <f>VLOOKUP($D318,成品本月库存!$B:$J,5,0)</f>
        <v>#N/A</v>
      </c>
      <c r="G318" s="84"/>
      <c r="H318" s="83" t="e">
        <f>VLOOKUP($D318,成品本月库存!$B:$J,9,0)</f>
        <v>#N/A</v>
      </c>
    </row>
    <row r="319" customHeight="1" spans="1:9">
      <c r="A319" s="83"/>
      <c r="B319" s="90"/>
      <c r="C319" s="83"/>
      <c r="D319" s="82"/>
      <c r="E319" s="83" t="e">
        <f>VLOOKUP($D319,成品本月库存!$B:$J,2,0)</f>
        <v>#N/A</v>
      </c>
      <c r="F319" s="83" t="e">
        <f>VLOOKUP($D319,成品本月库存!$B:$J,5,0)</f>
        <v>#N/A</v>
      </c>
      <c r="G319" s="84"/>
      <c r="H319" s="83" t="e">
        <f>VLOOKUP($D319,成品本月库存!$B:$J,9,0)</f>
        <v>#N/A</v>
      </c>
      <c r="I319" s="86"/>
    </row>
    <row r="320" customHeight="1" spans="1:9">
      <c r="A320" s="83"/>
      <c r="B320" s="90"/>
      <c r="C320" s="83"/>
      <c r="D320" s="82"/>
      <c r="E320" s="83" t="e">
        <f>VLOOKUP($D320,成品本月库存!$B:$J,2,0)</f>
        <v>#N/A</v>
      </c>
      <c r="F320" s="83" t="e">
        <f>VLOOKUP($D320,成品本月库存!$B:$J,5,0)</f>
        <v>#N/A</v>
      </c>
      <c r="G320" s="84"/>
      <c r="H320" s="83" t="e">
        <f>VLOOKUP($D320,成品本月库存!$B:$J,9,0)</f>
        <v>#N/A</v>
      </c>
    </row>
    <row r="321" customHeight="1" spans="1:9">
      <c r="A321" s="83"/>
      <c r="B321" s="90"/>
      <c r="C321" s="83"/>
      <c r="D321" s="82"/>
      <c r="E321" s="83" t="e">
        <f>VLOOKUP($D321,成品本月库存!$B:$J,2,0)</f>
        <v>#N/A</v>
      </c>
      <c r="F321" s="83" t="e">
        <f>VLOOKUP($D321,成品本月库存!$B:$J,5,0)</f>
        <v>#N/A</v>
      </c>
      <c r="G321" s="84"/>
      <c r="H321" s="83" t="e">
        <f>VLOOKUP($D321,成品本月库存!$B:$J,9,0)</f>
        <v>#N/A</v>
      </c>
      <c r="I321" s="86"/>
    </row>
    <row r="322" customHeight="1" spans="1:9">
      <c r="A322" s="83"/>
      <c r="B322" s="90"/>
      <c r="C322" s="83"/>
      <c r="D322" s="82"/>
      <c r="E322" s="83" t="e">
        <f>VLOOKUP($D322,成品本月库存!$B:$J,2,0)</f>
        <v>#N/A</v>
      </c>
      <c r="F322" s="83" t="e">
        <f>VLOOKUP($D322,成品本月库存!$B:$J,5,0)</f>
        <v>#N/A</v>
      </c>
      <c r="G322" s="84"/>
      <c r="H322" s="83" t="e">
        <f>VLOOKUP($D322,成品本月库存!$B:$J,9,0)</f>
        <v>#N/A</v>
      </c>
    </row>
    <row r="323" customHeight="1" spans="1:9">
      <c r="A323" s="83"/>
      <c r="B323" s="90"/>
      <c r="C323" s="83"/>
      <c r="D323" s="82"/>
      <c r="E323" s="83" t="e">
        <f>VLOOKUP($D323,成品本月库存!$B:$J,2,0)</f>
        <v>#N/A</v>
      </c>
      <c r="F323" s="83" t="e">
        <f>VLOOKUP($D323,成品本月库存!$B:$J,5,0)</f>
        <v>#N/A</v>
      </c>
      <c r="G323" s="84"/>
      <c r="H323" s="83" t="e">
        <f>VLOOKUP($D323,成品本月库存!$B:$J,9,0)</f>
        <v>#N/A</v>
      </c>
      <c r="I323" s="86"/>
    </row>
    <row r="324" customHeight="1" spans="1:9">
      <c r="A324" s="83"/>
      <c r="B324" s="90"/>
      <c r="C324" s="83"/>
      <c r="D324" s="82"/>
      <c r="E324" s="83" t="e">
        <f>VLOOKUP($D324,成品本月库存!$B:$J,2,0)</f>
        <v>#N/A</v>
      </c>
      <c r="F324" s="83" t="e">
        <f>VLOOKUP($D324,成品本月库存!$B:$J,5,0)</f>
        <v>#N/A</v>
      </c>
      <c r="G324" s="84"/>
      <c r="H324" s="83" t="e">
        <f>VLOOKUP($D324,成品本月库存!$B:$J,9,0)</f>
        <v>#N/A</v>
      </c>
      <c r="I324" s="86"/>
    </row>
    <row r="325" customHeight="1" spans="1:9">
      <c r="A325" s="83"/>
      <c r="B325" s="97"/>
      <c r="C325" s="83"/>
      <c r="D325" s="82"/>
      <c r="E325" s="83" t="e">
        <f>VLOOKUP($D325,成品本月库存!$B:$J,2,0)</f>
        <v>#N/A</v>
      </c>
      <c r="F325" s="83" t="e">
        <f>VLOOKUP($D325,成品本月库存!$B:$J,5,0)</f>
        <v>#N/A</v>
      </c>
      <c r="G325" s="84"/>
      <c r="H325" s="83" t="e">
        <f>VLOOKUP($D325,成品本月库存!$B:$J,9,0)</f>
        <v>#N/A</v>
      </c>
      <c r="I325" s="86"/>
    </row>
    <row r="326" customHeight="1" spans="1:9">
      <c r="A326" s="83"/>
      <c r="B326" s="97"/>
      <c r="C326" s="83"/>
      <c r="D326" s="82"/>
      <c r="E326" s="83" t="e">
        <f>VLOOKUP($D326,成品本月库存!$B:$J,2,0)</f>
        <v>#N/A</v>
      </c>
      <c r="F326" s="83" t="e">
        <f>VLOOKUP($D326,成品本月库存!$B:$J,5,0)</f>
        <v>#N/A</v>
      </c>
      <c r="G326" s="84"/>
      <c r="H326" s="83" t="e">
        <f>VLOOKUP($D326,成品本月库存!$B:$J,9,0)</f>
        <v>#N/A</v>
      </c>
    </row>
    <row r="327" customHeight="1" spans="1:9">
      <c r="A327" s="83"/>
      <c r="B327" s="97"/>
      <c r="C327" s="98"/>
      <c r="D327" s="82"/>
      <c r="E327" s="83" t="e">
        <f>VLOOKUP($D327,成品本月库存!$B:$J,2,0)</f>
        <v>#N/A</v>
      </c>
      <c r="F327" s="83" t="e">
        <f>VLOOKUP($D327,成品本月库存!$B:$J,5,0)</f>
        <v>#N/A</v>
      </c>
      <c r="G327" s="84"/>
      <c r="H327" s="83" t="e">
        <f>VLOOKUP($D327,成品本月库存!$B:$J,9,0)</f>
        <v>#N/A</v>
      </c>
    </row>
    <row r="328" customHeight="1" spans="1:9">
      <c r="A328" s="83"/>
      <c r="B328" s="97"/>
      <c r="C328" s="98"/>
      <c r="D328" s="82"/>
      <c r="E328" s="83" t="e">
        <f>VLOOKUP($D328,成品本月库存!$B:$J,2,0)</f>
        <v>#N/A</v>
      </c>
      <c r="F328" s="83" t="e">
        <f>VLOOKUP($D328,成品本月库存!$B:$J,5,0)</f>
        <v>#N/A</v>
      </c>
      <c r="G328" s="84"/>
      <c r="H328" s="83" t="e">
        <f>VLOOKUP($D328,成品本月库存!$B:$J,9,0)</f>
        <v>#N/A</v>
      </c>
    </row>
    <row r="329" customHeight="1" spans="1:9">
      <c r="A329" s="83"/>
      <c r="B329" s="97"/>
      <c r="C329" s="98"/>
      <c r="D329" s="82"/>
      <c r="E329" s="83" t="e">
        <f>VLOOKUP($D329,成品本月库存!$B:$J,2,0)</f>
        <v>#N/A</v>
      </c>
      <c r="F329" s="83" t="e">
        <f>VLOOKUP($D329,成品本月库存!$B:$J,5,0)</f>
        <v>#N/A</v>
      </c>
      <c r="G329" s="84"/>
      <c r="H329" s="83" t="e">
        <f>VLOOKUP($D329,成品本月库存!$B:$J,9,0)</f>
        <v>#N/A</v>
      </c>
      <c r="I329" s="86"/>
    </row>
    <row r="330" customHeight="1" spans="1:9">
      <c r="A330" s="83"/>
      <c r="B330" s="97"/>
      <c r="C330" s="98"/>
      <c r="D330" s="82"/>
      <c r="E330" s="83" t="e">
        <f>VLOOKUP($D330,成品本月库存!$B:$J,2,0)</f>
        <v>#N/A</v>
      </c>
      <c r="F330" s="83" t="e">
        <f>VLOOKUP($D330,成品本月库存!$B:$J,5,0)</f>
        <v>#N/A</v>
      </c>
      <c r="G330" s="84"/>
      <c r="H330" s="83" t="e">
        <f>VLOOKUP($D330,成品本月库存!$B:$J,9,0)</f>
        <v>#N/A</v>
      </c>
    </row>
    <row r="331" customHeight="1" spans="1:9">
      <c r="A331" s="83"/>
      <c r="B331" s="97"/>
      <c r="C331" s="98"/>
      <c r="D331" s="82"/>
      <c r="E331" s="83" t="e">
        <f>VLOOKUP($D331,成品本月库存!$B:$J,2,0)</f>
        <v>#N/A</v>
      </c>
      <c r="F331" s="83" t="e">
        <f>VLOOKUP($D331,成品本月库存!$B:$J,5,0)</f>
        <v>#N/A</v>
      </c>
      <c r="G331" s="84"/>
      <c r="H331" s="83" t="e">
        <f>VLOOKUP($D331,成品本月库存!$B:$J,9,0)</f>
        <v>#N/A</v>
      </c>
    </row>
    <row r="332" customHeight="1" spans="1:9">
      <c r="A332" s="83"/>
      <c r="B332" s="97"/>
      <c r="C332" s="98"/>
      <c r="D332" s="82"/>
      <c r="E332" s="83" t="e">
        <f>VLOOKUP($D332,成品本月库存!$B:$J,2,0)</f>
        <v>#N/A</v>
      </c>
      <c r="F332" s="83" t="e">
        <f>VLOOKUP($D332,成品本月库存!$B:$J,5,0)</f>
        <v>#N/A</v>
      </c>
      <c r="G332" s="84"/>
      <c r="H332" s="83" t="e">
        <f>VLOOKUP($D332,成品本月库存!$B:$J,9,0)</f>
        <v>#N/A</v>
      </c>
      <c r="I332" s="86"/>
    </row>
    <row r="333" customHeight="1" spans="1:9">
      <c r="A333" s="83"/>
      <c r="B333" s="97"/>
      <c r="C333" s="98"/>
      <c r="D333" s="82"/>
      <c r="E333" s="83" t="e">
        <f>VLOOKUP($D333,成品本月库存!$B:$J,2,0)</f>
        <v>#N/A</v>
      </c>
      <c r="F333" s="83" t="e">
        <f>VLOOKUP($D333,成品本月库存!$B:$J,5,0)</f>
        <v>#N/A</v>
      </c>
      <c r="G333" s="84"/>
      <c r="H333" s="83" t="e">
        <f>VLOOKUP($D333,成品本月库存!$B:$J,9,0)</f>
        <v>#N/A</v>
      </c>
      <c r="I333" s="86"/>
    </row>
    <row r="334" customHeight="1" spans="1:9">
      <c r="A334" s="83"/>
      <c r="B334" s="97"/>
      <c r="C334" s="98"/>
      <c r="D334" s="82"/>
      <c r="E334" s="83" t="e">
        <f>VLOOKUP($D334,成品本月库存!$B:$J,2,0)</f>
        <v>#N/A</v>
      </c>
      <c r="F334" s="83" t="e">
        <f>VLOOKUP($D334,成品本月库存!$B:$J,5,0)</f>
        <v>#N/A</v>
      </c>
      <c r="G334" s="84"/>
      <c r="H334" s="83" t="e">
        <f>VLOOKUP($D334,成品本月库存!$B:$J,9,0)</f>
        <v>#N/A</v>
      </c>
    </row>
    <row r="335" customHeight="1" spans="1:9">
      <c r="A335" s="83"/>
      <c r="B335" s="97"/>
      <c r="C335" s="98"/>
      <c r="D335" s="82"/>
      <c r="E335" s="83" t="e">
        <f>VLOOKUP($D335,成品本月库存!$B:$J,2,0)</f>
        <v>#N/A</v>
      </c>
      <c r="F335" s="83" t="e">
        <f>VLOOKUP($D335,成品本月库存!$B:$J,5,0)</f>
        <v>#N/A</v>
      </c>
      <c r="G335" s="84"/>
      <c r="H335" s="83" t="e">
        <f>VLOOKUP($D335,成品本月库存!$B:$J,9,0)</f>
        <v>#N/A</v>
      </c>
      <c r="I335" s="86"/>
    </row>
    <row r="336" customHeight="1" spans="1:9">
      <c r="A336" s="83"/>
      <c r="B336" s="97"/>
      <c r="C336" s="98"/>
      <c r="D336" s="82"/>
      <c r="E336" s="83" t="e">
        <f>VLOOKUP($D336,成品本月库存!$B:$J,2,0)</f>
        <v>#N/A</v>
      </c>
      <c r="F336" s="83" t="e">
        <f>VLOOKUP($D336,成品本月库存!$B:$J,5,0)</f>
        <v>#N/A</v>
      </c>
      <c r="G336" s="84"/>
      <c r="H336" s="83" t="e">
        <f>VLOOKUP($D336,成品本月库存!$B:$J,9,0)</f>
        <v>#N/A</v>
      </c>
      <c r="I336" s="86"/>
    </row>
    <row r="337" customHeight="1" spans="1:9">
      <c r="A337" s="83"/>
      <c r="B337" s="97"/>
      <c r="C337" s="98"/>
      <c r="D337" s="82"/>
      <c r="E337" s="83" t="e">
        <f>VLOOKUP($D337,成品本月库存!$B:$J,2,0)</f>
        <v>#N/A</v>
      </c>
      <c r="F337" s="83" t="e">
        <f>VLOOKUP($D337,成品本月库存!$B:$J,5,0)</f>
        <v>#N/A</v>
      </c>
      <c r="G337" s="84"/>
      <c r="H337" s="83" t="e">
        <f>VLOOKUP($D337,成品本月库存!$B:$J,9,0)</f>
        <v>#N/A</v>
      </c>
    </row>
    <row r="338" customHeight="1" spans="1:9">
      <c r="A338" s="83"/>
      <c r="B338" s="97"/>
      <c r="C338" s="98"/>
      <c r="D338" s="82"/>
      <c r="E338" s="83" t="e">
        <f>VLOOKUP($D338,成品本月库存!$B:$J,2,0)</f>
        <v>#N/A</v>
      </c>
      <c r="F338" s="83" t="e">
        <f>VLOOKUP($D338,成品本月库存!$B:$J,5,0)</f>
        <v>#N/A</v>
      </c>
      <c r="G338" s="84"/>
      <c r="H338" s="83" t="e">
        <f>VLOOKUP($D338,成品本月库存!$B:$J,9,0)</f>
        <v>#N/A</v>
      </c>
    </row>
    <row r="339" customHeight="1" spans="1:9">
      <c r="A339" s="83"/>
      <c r="B339" s="97"/>
      <c r="C339" s="98"/>
      <c r="D339" s="82"/>
      <c r="E339" s="83" t="e">
        <f>VLOOKUP($D339,成品本月库存!$B:$J,2,0)</f>
        <v>#N/A</v>
      </c>
      <c r="F339" s="83" t="e">
        <f>VLOOKUP($D339,成品本月库存!$B:$J,5,0)</f>
        <v>#N/A</v>
      </c>
      <c r="G339" s="84"/>
      <c r="H339" s="83" t="e">
        <f>VLOOKUP($D339,成品本月库存!$B:$J,9,0)</f>
        <v>#N/A</v>
      </c>
    </row>
    <row r="340" customHeight="1" spans="1:9">
      <c r="A340" s="83"/>
      <c r="B340" s="97"/>
      <c r="C340" s="98"/>
      <c r="D340" s="82"/>
      <c r="E340" s="83" t="e">
        <f>VLOOKUP($D340,成品本月库存!$B:$J,2,0)</f>
        <v>#N/A</v>
      </c>
      <c r="F340" s="83" t="e">
        <f>VLOOKUP($D340,成品本月库存!$B:$J,5,0)</f>
        <v>#N/A</v>
      </c>
      <c r="G340" s="84"/>
      <c r="H340" s="83" t="e">
        <f>VLOOKUP($D340,成品本月库存!$B:$J,9,0)</f>
        <v>#N/A</v>
      </c>
    </row>
    <row r="341" customHeight="1" spans="1:9">
      <c r="A341" s="83"/>
      <c r="B341" s="97"/>
      <c r="C341" s="83"/>
      <c r="D341" s="82"/>
      <c r="E341" s="83" t="e">
        <f>VLOOKUP($D341,成品本月库存!$B:$J,2,0)</f>
        <v>#N/A</v>
      </c>
      <c r="F341" s="83" t="e">
        <f>VLOOKUP($D341,成品本月库存!$B:$J,5,0)</f>
        <v>#N/A</v>
      </c>
      <c r="G341" s="84"/>
      <c r="H341" s="83" t="e">
        <f>VLOOKUP($D341,成品本月库存!$B:$J,9,0)</f>
        <v>#N/A</v>
      </c>
      <c r="I341" s="86"/>
    </row>
    <row r="342" customHeight="1" spans="1:9">
      <c r="A342" s="83"/>
      <c r="B342" s="97"/>
      <c r="C342" s="83"/>
      <c r="D342" s="82"/>
      <c r="E342" s="83" t="e">
        <f>VLOOKUP($D342,成品本月库存!$B:$J,2,0)</f>
        <v>#N/A</v>
      </c>
      <c r="F342" s="83" t="e">
        <f>VLOOKUP($D342,成品本月库存!$B:$J,5,0)</f>
        <v>#N/A</v>
      </c>
      <c r="G342" s="84"/>
      <c r="H342" s="83" t="e">
        <f>VLOOKUP($D342,成品本月库存!$B:$J,9,0)</f>
        <v>#N/A</v>
      </c>
      <c r="I342" s="86"/>
    </row>
    <row r="343" customHeight="1" spans="1:9">
      <c r="A343" s="83"/>
      <c r="B343" s="97"/>
      <c r="C343" s="83"/>
      <c r="D343" s="82"/>
      <c r="E343" s="83" t="e">
        <f>VLOOKUP($D343,成品本月库存!$B:$J,2,0)</f>
        <v>#N/A</v>
      </c>
      <c r="F343" s="83" t="e">
        <f>VLOOKUP($D343,成品本月库存!$B:$J,5,0)</f>
        <v>#N/A</v>
      </c>
      <c r="G343" s="84"/>
      <c r="H343" s="83" t="e">
        <f>VLOOKUP($D343,成品本月库存!$B:$J,9,0)</f>
        <v>#N/A</v>
      </c>
      <c r="I343" s="86"/>
    </row>
    <row r="344" customHeight="1" spans="1:9">
      <c r="A344" s="83"/>
      <c r="B344" s="97"/>
      <c r="C344" s="83"/>
      <c r="D344" s="82"/>
      <c r="E344" s="83" t="e">
        <f>VLOOKUP($D344,成品本月库存!$B:$J,2,0)</f>
        <v>#N/A</v>
      </c>
      <c r="F344" s="83" t="e">
        <f>VLOOKUP($D344,成品本月库存!$B:$J,5,0)</f>
        <v>#N/A</v>
      </c>
      <c r="G344" s="84"/>
      <c r="H344" s="83" t="e">
        <f>VLOOKUP($D344,成品本月库存!$B:$J,9,0)</f>
        <v>#N/A</v>
      </c>
      <c r="I344" s="86"/>
    </row>
    <row r="345" customHeight="1" spans="1:9">
      <c r="A345" s="83"/>
      <c r="B345" s="81"/>
      <c r="C345" s="83"/>
      <c r="D345" s="82"/>
      <c r="E345" s="83" t="e">
        <f>VLOOKUP($D345,成品本月库存!$B:$J,2,0)</f>
        <v>#N/A</v>
      </c>
      <c r="F345" s="83" t="e">
        <f>VLOOKUP($D345,成品本月库存!$B:$J,5,0)</f>
        <v>#N/A</v>
      </c>
      <c r="G345" s="84"/>
      <c r="H345" s="83" t="e">
        <f>VLOOKUP($D345,成品本月库存!$B:$J,9,0)</f>
        <v>#N/A</v>
      </c>
      <c r="I345" s="86"/>
    </row>
    <row r="346" customHeight="1" spans="1:9">
      <c r="A346" s="83"/>
      <c r="B346" s="81"/>
      <c r="C346" s="83"/>
      <c r="D346" s="82"/>
      <c r="E346" s="83" t="e">
        <f>VLOOKUP($D346,成品本月库存!$B:$J,2,0)</f>
        <v>#N/A</v>
      </c>
      <c r="F346" s="83" t="e">
        <f>VLOOKUP($D346,成品本月库存!$B:$J,5,0)</f>
        <v>#N/A</v>
      </c>
      <c r="G346" s="84"/>
      <c r="H346" s="83" t="e">
        <f>VLOOKUP($D346,成品本月库存!$B:$J,9,0)</f>
        <v>#N/A</v>
      </c>
    </row>
    <row r="347" customHeight="1" spans="1:9">
      <c r="A347" s="83"/>
      <c r="B347" s="81"/>
      <c r="C347" s="83"/>
      <c r="D347" s="82"/>
      <c r="E347" s="83" t="e">
        <f>VLOOKUP($D347,成品本月库存!$B:$J,2,0)</f>
        <v>#N/A</v>
      </c>
      <c r="F347" s="83" t="e">
        <f>VLOOKUP($D347,成品本月库存!$B:$J,5,0)</f>
        <v>#N/A</v>
      </c>
      <c r="G347" s="84"/>
      <c r="H347" s="83" t="e">
        <f>VLOOKUP($D347,成品本月库存!$B:$J,9,0)</f>
        <v>#N/A</v>
      </c>
    </row>
    <row r="348" customHeight="1" spans="1:9">
      <c r="A348" s="83"/>
      <c r="B348" s="81"/>
      <c r="C348" s="83"/>
      <c r="D348" s="82"/>
      <c r="E348" s="83" t="e">
        <f>VLOOKUP($D348,成品本月库存!$B:$J,2,0)</f>
        <v>#N/A</v>
      </c>
      <c r="F348" s="83" t="e">
        <f>VLOOKUP($D348,成品本月库存!$B:$J,5,0)</f>
        <v>#N/A</v>
      </c>
      <c r="G348" s="84"/>
      <c r="H348" s="83" t="e">
        <f>VLOOKUP($D348,成品本月库存!$B:$J,9,0)</f>
        <v>#N/A</v>
      </c>
    </row>
    <row r="349" customHeight="1" spans="1:9">
      <c r="A349" s="83"/>
      <c r="B349" s="81"/>
      <c r="C349" s="83"/>
      <c r="D349" s="82"/>
      <c r="E349" s="83" t="e">
        <f>VLOOKUP($D349,成品本月库存!$B:$J,2,0)</f>
        <v>#N/A</v>
      </c>
      <c r="F349" s="83" t="e">
        <f>VLOOKUP($D349,成品本月库存!$B:$J,5,0)</f>
        <v>#N/A</v>
      </c>
      <c r="G349" s="84"/>
      <c r="H349" s="83" t="e">
        <f>VLOOKUP($D349,成品本月库存!$B:$J,9,0)</f>
        <v>#N/A</v>
      </c>
    </row>
    <row r="350" customHeight="1" spans="1:9">
      <c r="A350" s="83"/>
      <c r="B350" s="81"/>
      <c r="C350" s="83"/>
      <c r="D350" s="82"/>
      <c r="E350" s="83" t="e">
        <f>VLOOKUP($D350,成品本月库存!$B:$J,2,0)</f>
        <v>#N/A</v>
      </c>
      <c r="F350" s="83" t="e">
        <f>VLOOKUP($D350,成品本月库存!$B:$J,5,0)</f>
        <v>#N/A</v>
      </c>
      <c r="G350" s="84"/>
      <c r="H350" s="83" t="e">
        <f>VLOOKUP($D350,成品本月库存!$B:$J,9,0)</f>
        <v>#N/A</v>
      </c>
    </row>
    <row r="351" customHeight="1" spans="1:9">
      <c r="A351" s="83"/>
      <c r="B351" s="81"/>
      <c r="C351" s="83"/>
      <c r="D351" s="82"/>
      <c r="E351" s="83" t="e">
        <f>VLOOKUP($D351,成品本月库存!$B:$J,2,0)</f>
        <v>#N/A</v>
      </c>
      <c r="F351" s="83" t="e">
        <f>VLOOKUP($D351,成品本月库存!$B:$J,5,0)</f>
        <v>#N/A</v>
      </c>
      <c r="G351" s="84"/>
      <c r="H351" s="83" t="e">
        <f>VLOOKUP($D351,成品本月库存!$B:$J,9,0)</f>
        <v>#N/A</v>
      </c>
      <c r="I351" s="86"/>
    </row>
    <row r="352" customHeight="1" spans="1:9">
      <c r="A352" s="83"/>
      <c r="B352" s="81"/>
      <c r="C352" s="83"/>
      <c r="D352" s="82"/>
      <c r="E352" s="83" t="e">
        <f>VLOOKUP($D352,成品本月库存!$B:$J,2,0)</f>
        <v>#N/A</v>
      </c>
      <c r="F352" s="83" t="e">
        <f>VLOOKUP($D352,成品本月库存!$B:$J,5,0)</f>
        <v>#N/A</v>
      </c>
      <c r="G352" s="84"/>
      <c r="H352" s="83" t="e">
        <f>VLOOKUP($D352,成品本月库存!$B:$J,9,0)</f>
        <v>#N/A</v>
      </c>
      <c r="I352" s="86"/>
    </row>
    <row r="353" customHeight="1" spans="1:9">
      <c r="A353" s="83"/>
      <c r="B353" s="97"/>
      <c r="C353" s="83"/>
      <c r="D353" s="82"/>
      <c r="E353" s="83" t="e">
        <f>VLOOKUP($D353,成品本月库存!$B:$J,2,0)</f>
        <v>#N/A</v>
      </c>
      <c r="F353" s="83" t="e">
        <f>VLOOKUP($D353,成品本月库存!$B:$J,5,0)</f>
        <v>#N/A</v>
      </c>
      <c r="G353" s="84"/>
      <c r="H353" s="83" t="e">
        <f>VLOOKUP($D353,成品本月库存!$B:$J,9,0)</f>
        <v>#N/A</v>
      </c>
      <c r="I353" s="86"/>
    </row>
    <row r="354" customHeight="1" spans="1:9">
      <c r="A354" s="83"/>
      <c r="B354" s="97"/>
      <c r="C354" s="83"/>
      <c r="D354" s="82"/>
      <c r="E354" s="83" t="e">
        <f>VLOOKUP($D354,成品本月库存!$B:$J,2,0)</f>
        <v>#N/A</v>
      </c>
      <c r="F354" s="83" t="e">
        <f>VLOOKUP($D354,成品本月库存!$B:$J,5,0)</f>
        <v>#N/A</v>
      </c>
      <c r="G354" s="84"/>
      <c r="H354" s="83" t="e">
        <f>VLOOKUP($D354,成品本月库存!$B:$J,9,0)</f>
        <v>#N/A</v>
      </c>
      <c r="I354" s="86"/>
    </row>
    <row r="355" customHeight="1" spans="1:9">
      <c r="A355" s="83"/>
      <c r="B355" s="97"/>
      <c r="C355" s="83"/>
      <c r="D355" s="82"/>
      <c r="E355" s="83" t="e">
        <f>VLOOKUP($D355,成品本月库存!$B:$J,2,0)</f>
        <v>#N/A</v>
      </c>
      <c r="F355" s="83" t="e">
        <f>VLOOKUP($D355,成品本月库存!$B:$J,5,0)</f>
        <v>#N/A</v>
      </c>
      <c r="G355" s="84"/>
      <c r="H355" s="83" t="e">
        <f>VLOOKUP($D355,成品本月库存!$B:$J,9,0)</f>
        <v>#N/A</v>
      </c>
      <c r="I355" s="86"/>
    </row>
    <row r="356" customHeight="1" spans="1:9">
      <c r="A356" s="83"/>
      <c r="B356" s="97"/>
      <c r="C356" s="83"/>
      <c r="D356" s="82"/>
      <c r="E356" s="83" t="e">
        <f>VLOOKUP($D356,成品本月库存!$B:$J,2,0)</f>
        <v>#N/A</v>
      </c>
      <c r="F356" s="83" t="e">
        <f>VLOOKUP($D356,成品本月库存!$B:$J,5,0)</f>
        <v>#N/A</v>
      </c>
      <c r="G356" s="84"/>
      <c r="H356" s="83" t="e">
        <f>VLOOKUP($D356,成品本月库存!$B:$J,9,0)</f>
        <v>#N/A</v>
      </c>
      <c r="I356" s="86"/>
    </row>
    <row r="357" customHeight="1" spans="1:9">
      <c r="A357" s="83"/>
      <c r="B357" s="97"/>
      <c r="C357" s="83"/>
      <c r="D357" s="82"/>
      <c r="E357" s="83" t="e">
        <f>VLOOKUP($D357,成品本月库存!$B:$J,2,0)</f>
        <v>#N/A</v>
      </c>
      <c r="F357" s="83" t="e">
        <f>VLOOKUP($D357,成品本月库存!$B:$J,5,0)</f>
        <v>#N/A</v>
      </c>
      <c r="G357" s="84"/>
      <c r="H357" s="83" t="e">
        <f>VLOOKUP($D357,成品本月库存!$B:$J,9,0)</f>
        <v>#N/A</v>
      </c>
    </row>
    <row r="358" customHeight="1" spans="1:9">
      <c r="A358" s="83"/>
      <c r="B358" s="97"/>
      <c r="C358" s="83"/>
      <c r="D358" s="82"/>
      <c r="E358" s="83" t="e">
        <f>VLOOKUP($D358,成品本月库存!$B:$J,2,0)</f>
        <v>#N/A</v>
      </c>
      <c r="F358" s="83" t="e">
        <f>VLOOKUP($D358,成品本月库存!$B:$J,5,0)</f>
        <v>#N/A</v>
      </c>
      <c r="G358" s="84"/>
      <c r="H358" s="83" t="e">
        <f>VLOOKUP($D358,成品本月库存!$B:$J,9,0)</f>
        <v>#N/A</v>
      </c>
    </row>
    <row r="359" customHeight="1" spans="1:9">
      <c r="A359" s="83"/>
      <c r="B359" s="97"/>
      <c r="C359" s="83"/>
      <c r="D359" s="82"/>
      <c r="E359" s="83" t="e">
        <f>VLOOKUP($D359,成品本月库存!$B:$J,2,0)</f>
        <v>#N/A</v>
      </c>
      <c r="F359" s="83" t="e">
        <f>VLOOKUP($D359,成品本月库存!$B:$J,5,0)</f>
        <v>#N/A</v>
      </c>
      <c r="G359" s="84"/>
      <c r="H359" s="83" t="e">
        <f>VLOOKUP($D359,成品本月库存!$B:$J,9,0)</f>
        <v>#N/A</v>
      </c>
    </row>
    <row r="360" customHeight="1" spans="1:9">
      <c r="A360" s="83"/>
      <c r="B360" s="97"/>
      <c r="C360" s="83"/>
      <c r="D360" s="82"/>
      <c r="E360" s="83" t="e">
        <f>VLOOKUP($D360,成品本月库存!$B:$J,2,0)</f>
        <v>#N/A</v>
      </c>
      <c r="F360" s="83" t="e">
        <f>VLOOKUP($D360,成品本月库存!$B:$J,5,0)</f>
        <v>#N/A</v>
      </c>
      <c r="G360" s="84"/>
      <c r="H360" s="83" t="e">
        <f>VLOOKUP($D360,成品本月库存!$B:$J,9,0)</f>
        <v>#N/A</v>
      </c>
    </row>
    <row r="361" customHeight="1" spans="1:9">
      <c r="A361" s="83"/>
      <c r="B361" s="97"/>
      <c r="C361" s="83"/>
      <c r="D361" s="82"/>
      <c r="E361" s="83" t="e">
        <f>VLOOKUP($D361,成品本月库存!$B:$J,2,0)</f>
        <v>#N/A</v>
      </c>
      <c r="F361" s="83" t="e">
        <f>VLOOKUP($D361,成品本月库存!$B:$J,5,0)</f>
        <v>#N/A</v>
      </c>
      <c r="G361" s="84"/>
      <c r="H361" s="83" t="e">
        <f>VLOOKUP($D361,成品本月库存!$B:$J,9,0)</f>
        <v>#N/A</v>
      </c>
      <c r="I361" s="99"/>
    </row>
    <row r="362" customHeight="1" spans="1:9">
      <c r="A362" s="83"/>
      <c r="B362" s="97"/>
      <c r="C362" s="83"/>
      <c r="D362" s="82"/>
      <c r="E362" s="83" t="e">
        <f>VLOOKUP($D362,成品本月库存!$B:$J,2,0)</f>
        <v>#N/A</v>
      </c>
      <c r="F362" s="83" t="e">
        <f>VLOOKUP($D362,成品本月库存!$B:$J,5,0)</f>
        <v>#N/A</v>
      </c>
      <c r="G362" s="84"/>
      <c r="H362" s="83" t="e">
        <f>VLOOKUP($D362,成品本月库存!$B:$J,9,0)</f>
        <v>#N/A</v>
      </c>
    </row>
    <row r="363" customHeight="1" spans="1:9">
      <c r="A363" s="83"/>
      <c r="B363" s="97"/>
      <c r="C363" s="83"/>
      <c r="D363" s="82"/>
      <c r="E363" s="83" t="e">
        <f>VLOOKUP($D363,成品本月库存!$B:$J,2,0)</f>
        <v>#N/A</v>
      </c>
      <c r="F363" s="83" t="e">
        <f>VLOOKUP($D363,成品本月库存!$B:$J,5,0)</f>
        <v>#N/A</v>
      </c>
      <c r="G363" s="84"/>
      <c r="H363" s="83" t="e">
        <f>VLOOKUP($D363,成品本月库存!$B:$J,9,0)</f>
        <v>#N/A</v>
      </c>
    </row>
    <row r="364" customHeight="1" spans="1:9">
      <c r="A364" s="83"/>
      <c r="B364" s="97"/>
      <c r="C364" s="83"/>
      <c r="D364" s="82"/>
      <c r="E364" s="83" t="e">
        <f>VLOOKUP($D364,成品本月库存!$B:$J,2,0)</f>
        <v>#N/A</v>
      </c>
      <c r="F364" s="83" t="e">
        <f>VLOOKUP($D364,成品本月库存!$B:$J,5,0)</f>
        <v>#N/A</v>
      </c>
      <c r="G364" s="84"/>
      <c r="H364" s="83" t="e">
        <f>VLOOKUP($D364,成品本月库存!$B:$J,9,0)</f>
        <v>#N/A</v>
      </c>
    </row>
    <row r="365" customHeight="1" spans="1:9">
      <c r="A365" s="83"/>
      <c r="B365" s="97"/>
      <c r="C365" s="83"/>
      <c r="D365" s="82"/>
      <c r="E365" s="83" t="e">
        <f>VLOOKUP($D365,成品本月库存!$B:$J,2,0)</f>
        <v>#N/A</v>
      </c>
      <c r="F365" s="83" t="e">
        <f>VLOOKUP($D365,成品本月库存!$B:$J,5,0)</f>
        <v>#N/A</v>
      </c>
      <c r="G365" s="84"/>
      <c r="H365" s="83" t="e">
        <f>VLOOKUP($D365,成品本月库存!$B:$J,9,0)</f>
        <v>#N/A</v>
      </c>
      <c r="I365" s="86"/>
    </row>
    <row r="366" customHeight="1" spans="1:9">
      <c r="A366" s="83"/>
      <c r="B366" s="97"/>
      <c r="C366" s="83"/>
      <c r="D366" s="82"/>
      <c r="E366" s="83" t="e">
        <f>VLOOKUP($D366,成品本月库存!$B:$J,2,0)</f>
        <v>#N/A</v>
      </c>
      <c r="F366" s="83" t="e">
        <f>VLOOKUP($D366,成品本月库存!$B:$J,5,0)</f>
        <v>#N/A</v>
      </c>
      <c r="G366" s="84"/>
      <c r="H366" s="83" t="e">
        <f>VLOOKUP($D366,成品本月库存!$B:$J,9,0)</f>
        <v>#N/A</v>
      </c>
    </row>
    <row r="367" customHeight="1" spans="1:9">
      <c r="A367" s="83"/>
      <c r="B367" s="97"/>
      <c r="C367" s="83"/>
      <c r="D367" s="82"/>
      <c r="E367" s="83" t="e">
        <f>VLOOKUP($D367,成品本月库存!$B:$J,2,0)</f>
        <v>#N/A</v>
      </c>
      <c r="F367" s="83" t="e">
        <f>VLOOKUP($D367,成品本月库存!$B:$J,5,0)</f>
        <v>#N/A</v>
      </c>
      <c r="G367" s="84"/>
      <c r="H367" s="83" t="e">
        <f>VLOOKUP($D367,成品本月库存!$B:$J,9,0)</f>
        <v>#N/A</v>
      </c>
    </row>
    <row r="368" customHeight="1" spans="1:9">
      <c r="A368" s="83"/>
      <c r="B368" s="97"/>
      <c r="C368" s="83"/>
      <c r="D368" s="82"/>
      <c r="E368" s="83" t="e">
        <f>VLOOKUP($D368,成品本月库存!$B:$J,2,0)</f>
        <v>#N/A</v>
      </c>
      <c r="F368" s="83" t="e">
        <f>VLOOKUP($D368,成品本月库存!$B:$J,5,0)</f>
        <v>#N/A</v>
      </c>
      <c r="G368" s="84"/>
      <c r="H368" s="83" t="e">
        <f>VLOOKUP($D368,成品本月库存!$B:$J,9,0)</f>
        <v>#N/A</v>
      </c>
    </row>
    <row r="369" customHeight="1" spans="1:9">
      <c r="A369" s="83"/>
      <c r="B369" s="97"/>
      <c r="C369" s="83"/>
      <c r="D369" s="82"/>
      <c r="E369" s="83" t="e">
        <f>VLOOKUP($D369,成品本月库存!$B:$J,2,0)</f>
        <v>#N/A</v>
      </c>
      <c r="F369" s="83" t="e">
        <f>VLOOKUP($D369,成品本月库存!$B:$J,5,0)</f>
        <v>#N/A</v>
      </c>
      <c r="G369" s="84"/>
      <c r="H369" s="83" t="e">
        <f>VLOOKUP($D369,成品本月库存!$B:$J,9,0)</f>
        <v>#N/A</v>
      </c>
    </row>
    <row r="370" customHeight="1" spans="1:9">
      <c r="A370" s="83"/>
      <c r="B370" s="97"/>
      <c r="C370" s="83"/>
      <c r="D370" s="82"/>
      <c r="E370" s="83" t="e">
        <f>VLOOKUP($D370,成品本月库存!$B:$J,2,0)</f>
        <v>#N/A</v>
      </c>
      <c r="F370" s="83" t="e">
        <f>VLOOKUP($D370,成品本月库存!$B:$J,5,0)</f>
        <v>#N/A</v>
      </c>
      <c r="G370" s="84"/>
      <c r="H370" s="83" t="e">
        <f>VLOOKUP($D370,成品本月库存!$B:$J,9,0)</f>
        <v>#N/A</v>
      </c>
    </row>
    <row r="371" customHeight="1" spans="1:9">
      <c r="A371" s="83"/>
      <c r="B371" s="97"/>
      <c r="C371" s="83"/>
      <c r="D371" s="82"/>
      <c r="E371" s="83" t="e">
        <f>VLOOKUP($D371,成品本月库存!$B:$J,2,0)</f>
        <v>#N/A</v>
      </c>
      <c r="F371" s="83" t="e">
        <f>VLOOKUP($D371,成品本月库存!$B:$J,5,0)</f>
        <v>#N/A</v>
      </c>
      <c r="G371" s="84"/>
      <c r="H371" s="83" t="e">
        <f>VLOOKUP($D371,成品本月库存!$B:$J,9,0)</f>
        <v>#N/A</v>
      </c>
    </row>
    <row r="372" customHeight="1" spans="1:9">
      <c r="A372" s="83"/>
      <c r="B372" s="97"/>
      <c r="C372" s="83"/>
      <c r="D372" s="82"/>
      <c r="E372" s="83" t="e">
        <f>VLOOKUP($D372,成品本月库存!$B:$J,2,0)</f>
        <v>#N/A</v>
      </c>
      <c r="F372" s="83" t="e">
        <f>VLOOKUP($D372,成品本月库存!$B:$J,5,0)</f>
        <v>#N/A</v>
      </c>
      <c r="G372" s="84"/>
      <c r="H372" s="83" t="e">
        <f>VLOOKUP($D372,成品本月库存!$B:$J,9,0)</f>
        <v>#N/A</v>
      </c>
      <c r="I372" s="86"/>
    </row>
    <row r="373" customHeight="1" spans="1:9">
      <c r="A373" s="83"/>
      <c r="B373" s="97"/>
      <c r="C373" s="83"/>
      <c r="D373" s="82"/>
      <c r="E373" s="83" t="e">
        <f>VLOOKUP($D373,成品本月库存!$B:$J,2,0)</f>
        <v>#N/A</v>
      </c>
      <c r="F373" s="83" t="e">
        <f>VLOOKUP($D373,成品本月库存!$B:$J,5,0)</f>
        <v>#N/A</v>
      </c>
      <c r="G373" s="84"/>
      <c r="H373" s="83" t="e">
        <f>VLOOKUP($D373,成品本月库存!$B:$J,9,0)</f>
        <v>#N/A</v>
      </c>
    </row>
    <row r="374" customHeight="1" spans="1:9">
      <c r="A374" s="83"/>
      <c r="B374" s="97"/>
      <c r="C374" s="83"/>
      <c r="D374" s="82"/>
      <c r="E374" s="83" t="e">
        <f>VLOOKUP($D374,成品本月库存!$B:$J,2,0)</f>
        <v>#N/A</v>
      </c>
      <c r="F374" s="83" t="e">
        <f>VLOOKUP($D374,成品本月库存!$B:$J,5,0)</f>
        <v>#N/A</v>
      </c>
      <c r="G374" s="84"/>
      <c r="H374" s="83" t="e">
        <f>VLOOKUP($D374,成品本月库存!$B:$J,9,0)</f>
        <v>#N/A</v>
      </c>
    </row>
    <row r="375" customHeight="1" spans="1:9">
      <c r="A375" s="83"/>
      <c r="B375" s="97"/>
      <c r="C375" s="83"/>
      <c r="D375" s="82"/>
      <c r="E375" s="83" t="e">
        <f>VLOOKUP($D375,成品本月库存!$B:$J,2,0)</f>
        <v>#N/A</v>
      </c>
      <c r="F375" s="83" t="e">
        <f>VLOOKUP($D375,成品本月库存!$B:$J,5,0)</f>
        <v>#N/A</v>
      </c>
      <c r="G375" s="84"/>
      <c r="H375" s="83" t="e">
        <f>VLOOKUP($D375,成品本月库存!$B:$J,9,0)</f>
        <v>#N/A</v>
      </c>
    </row>
    <row r="376" customHeight="1" spans="1:9">
      <c r="A376" s="83"/>
      <c r="B376" s="97"/>
      <c r="C376" s="83"/>
      <c r="D376" s="82"/>
      <c r="E376" s="83" t="e">
        <f>VLOOKUP($D376,成品本月库存!$B:$J,2,0)</f>
        <v>#N/A</v>
      </c>
      <c r="F376" s="83" t="e">
        <f>VLOOKUP($D376,成品本月库存!$B:$J,5,0)</f>
        <v>#N/A</v>
      </c>
      <c r="G376" s="84"/>
      <c r="H376" s="83" t="e">
        <f>VLOOKUP($D376,成品本月库存!$B:$J,9,0)</f>
        <v>#N/A</v>
      </c>
    </row>
    <row r="377" customHeight="1" spans="1:9">
      <c r="A377" s="83"/>
      <c r="B377" s="97"/>
      <c r="C377" s="83"/>
      <c r="D377" s="82"/>
      <c r="E377" s="83" t="e">
        <f>VLOOKUP($D377,成品本月库存!$B:$J,2,0)</f>
        <v>#N/A</v>
      </c>
      <c r="F377" s="83" t="e">
        <f>VLOOKUP($D377,成品本月库存!$B:$J,5,0)</f>
        <v>#N/A</v>
      </c>
      <c r="G377" s="84"/>
      <c r="H377" s="83" t="e">
        <f>VLOOKUP($D377,成品本月库存!$B:$J,9,0)</f>
        <v>#N/A</v>
      </c>
    </row>
    <row r="378" customHeight="1" spans="1:9">
      <c r="A378" s="83"/>
      <c r="B378" s="97"/>
      <c r="C378" s="83"/>
      <c r="D378" s="82"/>
      <c r="E378" s="83" t="e">
        <f>VLOOKUP($D378,成品本月库存!$B:$J,2,0)</f>
        <v>#N/A</v>
      </c>
      <c r="F378" s="83" t="e">
        <f>VLOOKUP($D378,成品本月库存!$B:$J,5,0)</f>
        <v>#N/A</v>
      </c>
      <c r="G378" s="84"/>
      <c r="H378" s="83" t="e">
        <f>VLOOKUP($D378,成品本月库存!$B:$J,9,0)</f>
        <v>#N/A</v>
      </c>
    </row>
    <row r="379" customHeight="1" spans="1:9">
      <c r="A379" s="83"/>
      <c r="B379" s="97"/>
      <c r="C379" s="83"/>
      <c r="D379" s="82"/>
      <c r="E379" s="83" t="e">
        <f>VLOOKUP($D379,成品本月库存!$B:$J,2,0)</f>
        <v>#N/A</v>
      </c>
      <c r="F379" s="83" t="e">
        <f>VLOOKUP($D379,成品本月库存!$B:$J,5,0)</f>
        <v>#N/A</v>
      </c>
      <c r="G379" s="84"/>
      <c r="H379" s="83" t="e">
        <f>VLOOKUP($D379,成品本月库存!$B:$J,9,0)</f>
        <v>#N/A</v>
      </c>
    </row>
    <row r="380" customHeight="1" spans="1:9">
      <c r="A380" s="83"/>
      <c r="B380" s="97"/>
      <c r="C380" s="83"/>
      <c r="D380" s="82"/>
      <c r="E380" s="83" t="e">
        <f>VLOOKUP($D380,成品本月库存!$B:$J,2,0)</f>
        <v>#N/A</v>
      </c>
      <c r="F380" s="83" t="e">
        <f>VLOOKUP($D380,成品本月库存!$B:$J,5,0)</f>
        <v>#N/A</v>
      </c>
      <c r="G380" s="84"/>
      <c r="H380" s="83" t="e">
        <f>VLOOKUP($D380,成品本月库存!$B:$J,9,0)</f>
        <v>#N/A</v>
      </c>
    </row>
    <row r="381" customHeight="1" spans="1:9">
      <c r="A381" s="83"/>
      <c r="B381" s="97"/>
      <c r="C381" s="83"/>
      <c r="D381" s="82"/>
      <c r="E381" s="83" t="e">
        <f>VLOOKUP($D381,成品本月库存!$B:$J,2,0)</f>
        <v>#N/A</v>
      </c>
      <c r="F381" s="83" t="e">
        <f>VLOOKUP($D381,成品本月库存!$B:$J,5,0)</f>
        <v>#N/A</v>
      </c>
      <c r="G381" s="84"/>
      <c r="H381" s="83" t="e">
        <f>VLOOKUP($D381,成品本月库存!$B:$J,9,0)</f>
        <v>#N/A</v>
      </c>
    </row>
    <row r="382" customHeight="1" spans="1:9">
      <c r="A382" s="83"/>
      <c r="B382" s="97"/>
      <c r="D382" s="82"/>
      <c r="E382" s="83" t="e">
        <f>VLOOKUP($D382,成品本月库存!$B:$J,2,0)</f>
        <v>#N/A</v>
      </c>
      <c r="F382" s="83" t="e">
        <f>VLOOKUP($D382,成品本月库存!$B:$J,5,0)</f>
        <v>#N/A</v>
      </c>
      <c r="G382" s="84"/>
      <c r="H382" s="83" t="e">
        <f>VLOOKUP($D382,成品本月库存!$B:$J,9,0)</f>
        <v>#N/A</v>
      </c>
    </row>
    <row r="383" customHeight="1" spans="1:9">
      <c r="A383" s="83"/>
      <c r="B383" s="97"/>
      <c r="D383" s="82"/>
      <c r="E383" s="83" t="e">
        <f>VLOOKUP($D383,成品本月库存!$B:$J,2,0)</f>
        <v>#N/A</v>
      </c>
      <c r="F383" s="83" t="e">
        <f>VLOOKUP($D383,成品本月库存!$B:$J,5,0)</f>
        <v>#N/A</v>
      </c>
      <c r="G383" s="84"/>
      <c r="H383" s="83" t="e">
        <f>VLOOKUP($D383,成品本月库存!$B:$J,9,0)</f>
        <v>#N/A</v>
      </c>
    </row>
    <row r="384" customHeight="1" spans="1:9">
      <c r="A384" s="83"/>
      <c r="B384" s="97"/>
      <c r="D384" s="82"/>
      <c r="E384" s="83" t="e">
        <f>VLOOKUP($D384,成品本月库存!$B:$J,2,0)</f>
        <v>#N/A</v>
      </c>
      <c r="F384" s="83" t="e">
        <f>VLOOKUP($D384,成品本月库存!$B:$J,5,0)</f>
        <v>#N/A</v>
      </c>
      <c r="G384" s="84"/>
      <c r="H384" s="83" t="e">
        <f>VLOOKUP($D384,成品本月库存!$B:$J,9,0)</f>
        <v>#N/A</v>
      </c>
    </row>
    <row r="385" customHeight="1" spans="1:9">
      <c r="A385" s="83"/>
      <c r="B385" s="97"/>
      <c r="D385" s="82"/>
      <c r="E385" s="83" t="e">
        <f>VLOOKUP($D385,成品本月库存!$B:$J,2,0)</f>
        <v>#N/A</v>
      </c>
      <c r="F385" s="83" t="e">
        <f>VLOOKUP($D385,成品本月库存!$B:$J,5,0)</f>
        <v>#N/A</v>
      </c>
      <c r="G385" s="84"/>
      <c r="H385" s="83" t="e">
        <f>VLOOKUP($D385,成品本月库存!$B:$J,9,0)</f>
        <v>#N/A</v>
      </c>
    </row>
    <row r="386" customHeight="1" spans="1:9">
      <c r="A386" s="83"/>
      <c r="B386" s="97"/>
      <c r="D386" s="82"/>
      <c r="E386" s="83" t="e">
        <f>VLOOKUP($D386,成品本月库存!$B:$J,2,0)</f>
        <v>#N/A</v>
      </c>
      <c r="F386" s="83" t="e">
        <f>VLOOKUP($D386,成品本月库存!$B:$J,5,0)</f>
        <v>#N/A</v>
      </c>
      <c r="G386" s="84"/>
      <c r="H386" s="83" t="e">
        <f>VLOOKUP($D386,成品本月库存!$B:$J,9,0)</f>
        <v>#N/A</v>
      </c>
    </row>
    <row r="387" customHeight="1" spans="1:9">
      <c r="A387" s="83"/>
      <c r="B387" s="97"/>
      <c r="D387" s="82"/>
      <c r="E387" s="83" t="e">
        <f>VLOOKUP($D387,成品本月库存!$B:$J,2,0)</f>
        <v>#N/A</v>
      </c>
      <c r="F387" s="83" t="e">
        <f>VLOOKUP($D387,成品本月库存!$B:$J,5,0)</f>
        <v>#N/A</v>
      </c>
      <c r="G387" s="84"/>
      <c r="H387" s="83" t="e">
        <f>VLOOKUP($D387,成品本月库存!$B:$J,9,0)</f>
        <v>#N/A</v>
      </c>
      <c r="I387" s="86"/>
    </row>
    <row r="388" customHeight="1" spans="1:9">
      <c r="A388" s="83"/>
      <c r="B388" s="97"/>
      <c r="D388" s="82"/>
      <c r="E388" s="83" t="e">
        <f>VLOOKUP($D388,成品本月库存!$B:$J,2,0)</f>
        <v>#N/A</v>
      </c>
      <c r="F388" s="83" t="e">
        <f>VLOOKUP($D388,成品本月库存!$B:$J,5,0)</f>
        <v>#N/A</v>
      </c>
      <c r="G388" s="84"/>
      <c r="H388" s="83" t="e">
        <f>VLOOKUP($D388,成品本月库存!$B:$J,9,0)</f>
        <v>#N/A</v>
      </c>
      <c r="I388" s="86"/>
    </row>
    <row r="389" customHeight="1" spans="1:9">
      <c r="A389" s="83"/>
      <c r="B389" s="97"/>
      <c r="D389" s="82"/>
      <c r="E389" s="83" t="e">
        <f>VLOOKUP($D389,成品本月库存!$B:$J,2,0)</f>
        <v>#N/A</v>
      </c>
      <c r="F389" s="83" t="e">
        <f>VLOOKUP($D389,成品本月库存!$B:$J,5,0)</f>
        <v>#N/A</v>
      </c>
      <c r="G389" s="84"/>
      <c r="H389" s="83" t="e">
        <f>VLOOKUP($D389,成品本月库存!$B:$J,9,0)</f>
        <v>#N/A</v>
      </c>
    </row>
    <row r="390" customHeight="1" spans="1:9">
      <c r="A390" s="83"/>
      <c r="B390" s="81"/>
      <c r="D390" s="82"/>
      <c r="E390" s="83" t="e">
        <f>VLOOKUP($D390,成品本月库存!$B:$J,2,0)</f>
        <v>#N/A</v>
      </c>
      <c r="F390" s="83" t="e">
        <f>VLOOKUP($D390,成品本月库存!$B:$J,5,0)</f>
        <v>#N/A</v>
      </c>
      <c r="G390" s="84"/>
      <c r="H390" s="83" t="e">
        <f>VLOOKUP($D390,成品本月库存!$B:$J,9,0)</f>
        <v>#N/A</v>
      </c>
    </row>
    <row r="391" customHeight="1" spans="1:9">
      <c r="A391" s="83"/>
      <c r="B391" s="81"/>
      <c r="D391" s="82"/>
      <c r="E391" s="83" t="e">
        <f>VLOOKUP($D391,成品本月库存!$B:$J,2,0)</f>
        <v>#N/A</v>
      </c>
      <c r="F391" s="83" t="e">
        <f>VLOOKUP($D391,成品本月库存!$B:$J,5,0)</f>
        <v>#N/A</v>
      </c>
      <c r="G391" s="84"/>
      <c r="H391" s="83" t="e">
        <f>VLOOKUP($D391,成品本月库存!$B:$J,9,0)</f>
        <v>#N/A</v>
      </c>
      <c r="I391" s="86"/>
    </row>
    <row r="392" customHeight="1" spans="1:9">
      <c r="A392" s="83"/>
      <c r="B392" s="81"/>
      <c r="D392" s="82"/>
      <c r="E392" s="83" t="e">
        <f>VLOOKUP($D392,成品本月库存!$B:$J,2,0)</f>
        <v>#N/A</v>
      </c>
      <c r="F392" s="83" t="e">
        <f>VLOOKUP($D392,成品本月库存!$B:$J,5,0)</f>
        <v>#N/A</v>
      </c>
      <c r="G392" s="84"/>
      <c r="H392" s="83" t="e">
        <f>VLOOKUP($D392,成品本月库存!$B:$J,9,0)</f>
        <v>#N/A</v>
      </c>
      <c r="I392" s="86"/>
    </row>
    <row r="393" customHeight="1" spans="1:9">
      <c r="A393" s="83"/>
      <c r="B393" s="81"/>
      <c r="D393" s="82"/>
      <c r="E393" s="83" t="e">
        <f>VLOOKUP($D393,成品本月库存!$B:$J,2,0)</f>
        <v>#N/A</v>
      </c>
      <c r="F393" s="83" t="e">
        <f>VLOOKUP($D393,成品本月库存!$B:$J,5,0)</f>
        <v>#N/A</v>
      </c>
      <c r="G393" s="84"/>
      <c r="H393" s="83" t="e">
        <f>VLOOKUP($D393,成品本月库存!$B:$J,9,0)</f>
        <v>#N/A</v>
      </c>
    </row>
    <row r="394" customHeight="1" spans="1:9">
      <c r="A394" s="83"/>
      <c r="B394" s="81"/>
      <c r="D394" s="82"/>
      <c r="E394" s="83" t="e">
        <f>VLOOKUP($D394,成品本月库存!$B:$J,2,0)</f>
        <v>#N/A</v>
      </c>
      <c r="F394" s="83" t="e">
        <f>VLOOKUP($D394,成品本月库存!$B:$J,5,0)</f>
        <v>#N/A</v>
      </c>
      <c r="G394" s="84"/>
      <c r="H394" s="83" t="e">
        <f>VLOOKUP($D394,成品本月库存!$B:$J,9,0)</f>
        <v>#N/A</v>
      </c>
    </row>
    <row r="395" customHeight="1" spans="1:9">
      <c r="A395" s="83"/>
      <c r="B395" s="81"/>
      <c r="D395" s="82"/>
      <c r="E395" s="83" t="e">
        <f>VLOOKUP($D395,成品本月库存!$B:$J,2,0)</f>
        <v>#N/A</v>
      </c>
      <c r="F395" s="83" t="e">
        <f>VLOOKUP($D395,成品本月库存!$B:$J,5,0)</f>
        <v>#N/A</v>
      </c>
      <c r="G395" s="84"/>
      <c r="H395" s="83" t="e">
        <f>VLOOKUP($D395,成品本月库存!$B:$J,9,0)</f>
        <v>#N/A</v>
      </c>
    </row>
    <row r="396" customHeight="1" spans="1:9">
      <c r="A396" s="83"/>
      <c r="B396" s="81"/>
      <c r="C396" s="83"/>
      <c r="D396" s="10"/>
      <c r="E396" s="83" t="e">
        <f>VLOOKUP($D396,成品本月库存!$B:$J,2,0)</f>
        <v>#N/A</v>
      </c>
      <c r="F396" s="83" t="e">
        <f>VLOOKUP($D396,成品本月库存!$B:$J,5,0)</f>
        <v>#N/A</v>
      </c>
      <c r="G396" s="84"/>
      <c r="H396" s="83" t="e">
        <f>VLOOKUP($D396,成品本月库存!$B:$J,9,0)</f>
        <v>#N/A</v>
      </c>
      <c r="I396" s="86"/>
    </row>
    <row r="397" customHeight="1" spans="1:9">
      <c r="A397" s="83"/>
      <c r="B397" s="81"/>
      <c r="D397" s="10"/>
      <c r="E397" s="83" t="e">
        <f>VLOOKUP($D397,成品本月库存!$B:$J,2,0)</f>
        <v>#N/A</v>
      </c>
      <c r="F397" s="83" t="e">
        <f>VLOOKUP($D397,成品本月库存!$B:$J,5,0)</f>
        <v>#N/A</v>
      </c>
      <c r="G397" s="84"/>
      <c r="H397" s="83" t="e">
        <f>VLOOKUP($D397,成品本月库存!$B:$J,9,0)</f>
        <v>#N/A</v>
      </c>
      <c r="I397" s="86"/>
    </row>
    <row r="398" customHeight="1" spans="1:9">
      <c r="A398" s="83"/>
      <c r="B398" s="81"/>
      <c r="D398" s="10"/>
      <c r="E398" s="83" t="e">
        <f>VLOOKUP($D398,成品本月库存!$B:$J,2,0)</f>
        <v>#N/A</v>
      </c>
      <c r="F398" s="83" t="e">
        <f>VLOOKUP($D398,成品本月库存!$B:$J,5,0)</f>
        <v>#N/A</v>
      </c>
      <c r="G398" s="84"/>
      <c r="H398" s="83" t="e">
        <f>VLOOKUP($D398,成品本月库存!$B:$J,9,0)</f>
        <v>#N/A</v>
      </c>
      <c r="I398" s="86"/>
    </row>
    <row r="399" customHeight="1" spans="1:9">
      <c r="A399" s="83"/>
      <c r="B399" s="81"/>
      <c r="D399" s="10"/>
      <c r="E399" s="83" t="e">
        <f>VLOOKUP($D399,成品本月库存!$B:$J,2,0)</f>
        <v>#N/A</v>
      </c>
      <c r="F399" s="83" t="e">
        <f>VLOOKUP($D399,成品本月库存!$B:$J,5,0)</f>
        <v>#N/A</v>
      </c>
      <c r="G399" s="84"/>
      <c r="H399" s="83" t="e">
        <f>VLOOKUP($D399,成品本月库存!$B:$J,9,0)</f>
        <v>#N/A</v>
      </c>
      <c r="I399" s="86"/>
    </row>
    <row r="400" customHeight="1" spans="1:9">
      <c r="A400" s="83"/>
      <c r="B400" s="81"/>
      <c r="D400" s="10"/>
      <c r="E400" s="83" t="e">
        <f>VLOOKUP($D400,成品本月库存!$B:$J,2,0)</f>
        <v>#N/A</v>
      </c>
      <c r="F400" s="83" t="e">
        <f>VLOOKUP($D400,成品本月库存!$B:$J,5,0)</f>
        <v>#N/A</v>
      </c>
      <c r="G400" s="84"/>
      <c r="H400" s="83" t="e">
        <f>VLOOKUP($D400,成品本月库存!$B:$J,9,0)</f>
        <v>#N/A</v>
      </c>
      <c r="I400" s="86"/>
    </row>
    <row r="401" customHeight="1" spans="1:9">
      <c r="A401" s="83"/>
      <c r="B401" s="81"/>
      <c r="D401" s="10"/>
      <c r="E401" s="83" t="e">
        <f>VLOOKUP($D401,成品本月库存!$B:$J,2,0)</f>
        <v>#N/A</v>
      </c>
      <c r="F401" s="83" t="e">
        <f>VLOOKUP($D401,成品本月库存!$B:$J,5,0)</f>
        <v>#N/A</v>
      </c>
      <c r="G401" s="84"/>
      <c r="H401" s="83" t="e">
        <f>VLOOKUP($D401,成品本月库存!$B:$J,9,0)</f>
        <v>#N/A</v>
      </c>
      <c r="I401" s="86"/>
    </row>
    <row r="402" customHeight="1" spans="1:9">
      <c r="A402" s="72"/>
      <c r="B402" s="90"/>
      <c r="C402" s="83"/>
      <c r="D402" s="10"/>
      <c r="E402" s="83" t="e">
        <f>VLOOKUP($D402,成品本月库存!$B:$J,2,0)</f>
        <v>#N/A</v>
      </c>
      <c r="F402" s="83" t="e">
        <f>VLOOKUP($D402,成品本月库存!$B:$J,5,0)</f>
        <v>#N/A</v>
      </c>
      <c r="G402" s="84"/>
      <c r="H402" s="83" t="e">
        <f>VLOOKUP($D402,成品本月库存!$B:$J,9,0)</f>
        <v>#N/A</v>
      </c>
      <c r="I402" s="86"/>
    </row>
    <row r="403" customHeight="1" spans="1:9">
      <c r="A403" s="88"/>
      <c r="B403" s="88"/>
      <c r="C403" s="83"/>
      <c r="D403" s="10"/>
      <c r="E403" s="83" t="e">
        <f>VLOOKUP($D403,成品本月库存!$B:$J,2,0)</f>
        <v>#N/A</v>
      </c>
      <c r="F403" s="83" t="e">
        <f>VLOOKUP($D403,成品本月库存!$B:$J,5,0)</f>
        <v>#N/A</v>
      </c>
      <c r="G403" s="84"/>
      <c r="H403" s="83" t="e">
        <f>VLOOKUP($D403,成品本月库存!$B:$J,9,0)</f>
        <v>#N/A</v>
      </c>
      <c r="I403" s="86"/>
    </row>
    <row r="404" customHeight="1" spans="1:9">
      <c r="A404" s="83"/>
      <c r="B404" s="88"/>
      <c r="D404" s="10"/>
      <c r="E404" s="83" t="e">
        <f>VLOOKUP($D404,成品本月库存!$B:$J,2,0)</f>
        <v>#N/A</v>
      </c>
      <c r="F404" s="83" t="e">
        <f>VLOOKUP($D404,成品本月库存!$B:$J,5,0)</f>
        <v>#N/A</v>
      </c>
      <c r="G404" s="84"/>
      <c r="H404" s="83" t="e">
        <f>VLOOKUP($D404,成品本月库存!$B:$J,9,0)</f>
        <v>#N/A</v>
      </c>
      <c r="I404" s="86"/>
    </row>
    <row r="405" customHeight="1" spans="1:9">
      <c r="A405" s="83"/>
      <c r="B405" s="88"/>
      <c r="D405" s="10"/>
      <c r="E405" s="83" t="e">
        <f>VLOOKUP($D405,成品本月库存!$B:$J,2,0)</f>
        <v>#N/A</v>
      </c>
      <c r="F405" s="83" t="e">
        <f>VLOOKUP($D405,成品本月库存!$B:$J,5,0)</f>
        <v>#N/A</v>
      </c>
      <c r="G405" s="84"/>
      <c r="H405" s="83" t="e">
        <f>VLOOKUP($D405,成品本月库存!$B:$J,9,0)</f>
        <v>#N/A</v>
      </c>
      <c r="I405" s="86"/>
    </row>
    <row r="406" customHeight="1" spans="1:9">
      <c r="A406" s="83"/>
      <c r="B406" s="88"/>
      <c r="D406" s="10"/>
      <c r="E406" s="83" t="e">
        <f>VLOOKUP($D406,成品本月库存!$B:$J,2,0)</f>
        <v>#N/A</v>
      </c>
      <c r="F406" s="83" t="e">
        <f>VLOOKUP($D406,成品本月库存!$B:$J,5,0)</f>
        <v>#N/A</v>
      </c>
      <c r="G406" s="84"/>
      <c r="H406" s="83" t="e">
        <f>VLOOKUP($D406,成品本月库存!$B:$J,9,0)</f>
        <v>#N/A</v>
      </c>
      <c r="I406" s="86"/>
    </row>
    <row r="407" customHeight="1" spans="1:9">
      <c r="A407" s="83"/>
      <c r="B407" s="88"/>
      <c r="D407" s="10"/>
      <c r="E407" s="83" t="e">
        <f>VLOOKUP($D407,成品本月库存!$B:$J,2,0)</f>
        <v>#N/A</v>
      </c>
      <c r="F407" s="83" t="e">
        <f>VLOOKUP($D407,成品本月库存!$B:$J,5,0)</f>
        <v>#N/A</v>
      </c>
      <c r="G407" s="84"/>
      <c r="H407" s="83" t="e">
        <f>VLOOKUP($D407,成品本月库存!$B:$J,9,0)</f>
        <v>#N/A</v>
      </c>
      <c r="I407" s="86"/>
    </row>
    <row r="408" customHeight="1" spans="1:9">
      <c r="A408" s="83"/>
      <c r="B408" s="88"/>
      <c r="D408" s="10"/>
      <c r="E408" s="83" t="e">
        <f>VLOOKUP($D408,成品本月库存!$B:$J,2,0)</f>
        <v>#N/A</v>
      </c>
      <c r="F408" s="83" t="e">
        <f>VLOOKUP($D408,成品本月库存!$B:$J,5,0)</f>
        <v>#N/A</v>
      </c>
      <c r="G408" s="84"/>
      <c r="H408" s="83" t="e">
        <f>VLOOKUP($D408,成品本月库存!$B:$J,9,0)</f>
        <v>#N/A</v>
      </c>
      <c r="I408" s="86"/>
    </row>
    <row r="409" customHeight="1" spans="1:9">
      <c r="A409" s="83"/>
      <c r="B409" s="88"/>
      <c r="D409" s="10"/>
      <c r="E409" s="83" t="e">
        <f>VLOOKUP($D409,成品本月库存!$B:$J,2,0)</f>
        <v>#N/A</v>
      </c>
      <c r="F409" s="83" t="e">
        <f>VLOOKUP($D409,成品本月库存!$B:$J,5,0)</f>
        <v>#N/A</v>
      </c>
      <c r="G409" s="84"/>
      <c r="H409" s="83" t="e">
        <f>VLOOKUP($D409,成品本月库存!$B:$J,9,0)</f>
        <v>#N/A</v>
      </c>
      <c r="I409" s="86"/>
    </row>
    <row r="410" customHeight="1" spans="1:9">
      <c r="A410" s="83"/>
      <c r="B410" s="88"/>
      <c r="D410" s="10"/>
      <c r="E410" s="83" t="e">
        <f>VLOOKUP($D410,成品本月库存!$B:$J,2,0)</f>
        <v>#N/A</v>
      </c>
      <c r="F410" s="83" t="e">
        <f>VLOOKUP($D410,成品本月库存!$B:$J,5,0)</f>
        <v>#N/A</v>
      </c>
      <c r="G410" s="84"/>
      <c r="H410" s="83" t="e">
        <f>VLOOKUP($D410,成品本月库存!$B:$J,9,0)</f>
        <v>#N/A</v>
      </c>
      <c r="I410" s="86"/>
    </row>
    <row r="411" customHeight="1" spans="1:9">
      <c r="A411" s="83"/>
      <c r="B411" s="88"/>
      <c r="D411" s="10"/>
      <c r="E411" s="83" t="e">
        <f>VLOOKUP($D411,成品本月库存!$B:$J,2,0)</f>
        <v>#N/A</v>
      </c>
      <c r="F411" s="83" t="e">
        <f>VLOOKUP($D411,成品本月库存!$B:$J,5,0)</f>
        <v>#N/A</v>
      </c>
      <c r="G411" s="84"/>
      <c r="H411" s="83" t="e">
        <f>VLOOKUP($D411,成品本月库存!$B:$J,9,0)</f>
        <v>#N/A</v>
      </c>
      <c r="I411" s="86"/>
    </row>
    <row r="412" customHeight="1" spans="1:9">
      <c r="A412" s="83"/>
      <c r="B412" s="88"/>
      <c r="D412" s="10"/>
      <c r="E412" s="83" t="e">
        <f>VLOOKUP($D412,成品本月库存!$B:$J,2,0)</f>
        <v>#N/A</v>
      </c>
      <c r="F412" s="83" t="e">
        <f>VLOOKUP($D412,成品本月库存!$B:$J,5,0)</f>
        <v>#N/A</v>
      </c>
      <c r="G412" s="84"/>
      <c r="H412" s="83" t="e">
        <f>VLOOKUP($D412,成品本月库存!$B:$J,9,0)</f>
        <v>#N/A</v>
      </c>
      <c r="I412" s="86"/>
    </row>
    <row r="413" customHeight="1" spans="1:9">
      <c r="A413" s="83"/>
      <c r="B413" s="88"/>
      <c r="D413" s="10"/>
      <c r="E413" s="83" t="e">
        <f>VLOOKUP($D413,成品本月库存!$B:$J,2,0)</f>
        <v>#N/A</v>
      </c>
      <c r="F413" s="83" t="e">
        <f>VLOOKUP($D413,成品本月库存!$B:$J,5,0)</f>
        <v>#N/A</v>
      </c>
      <c r="G413" s="84"/>
      <c r="H413" s="83" t="e">
        <f>VLOOKUP($D413,成品本月库存!$B:$J,9,0)</f>
        <v>#N/A</v>
      </c>
      <c r="I413" s="86"/>
    </row>
    <row r="414" customHeight="1" spans="1:9">
      <c r="A414" s="83"/>
      <c r="B414" s="88"/>
      <c r="D414" s="10"/>
      <c r="E414" s="83" t="e">
        <f>VLOOKUP($D414,成品本月库存!$B:$J,2,0)</f>
        <v>#N/A</v>
      </c>
      <c r="F414" s="83" t="e">
        <f>VLOOKUP($D414,成品本月库存!$B:$J,5,0)</f>
        <v>#N/A</v>
      </c>
      <c r="G414" s="84"/>
      <c r="H414" s="83" t="e">
        <f>VLOOKUP($D414,成品本月库存!$B:$J,9,0)</f>
        <v>#N/A</v>
      </c>
      <c r="I414" s="86"/>
    </row>
    <row r="415" customHeight="1" spans="1:9">
      <c r="A415" s="83"/>
      <c r="B415" s="88"/>
      <c r="D415" s="10"/>
      <c r="E415" s="83" t="e">
        <f>VLOOKUP($D415,成品本月库存!$B:$J,2,0)</f>
        <v>#N/A</v>
      </c>
      <c r="F415" s="83" t="e">
        <f>VLOOKUP($D415,成品本月库存!$B:$J,5,0)</f>
        <v>#N/A</v>
      </c>
      <c r="G415" s="84"/>
      <c r="H415" s="83" t="e">
        <f>VLOOKUP($D415,成品本月库存!$B:$J,9,0)</f>
        <v>#N/A</v>
      </c>
      <c r="I415" s="86"/>
    </row>
    <row r="416" customHeight="1" spans="1:9">
      <c r="A416" s="83"/>
      <c r="B416" s="88"/>
      <c r="D416" s="10"/>
      <c r="E416" s="83" t="e">
        <f>VLOOKUP($D416,成品本月库存!$B:$J,2,0)</f>
        <v>#N/A</v>
      </c>
      <c r="F416" s="83" t="e">
        <f>VLOOKUP($D416,成品本月库存!$B:$J,5,0)</f>
        <v>#N/A</v>
      </c>
      <c r="G416" s="84"/>
      <c r="H416" s="83" t="e">
        <f>VLOOKUP($D416,成品本月库存!$B:$J,9,0)</f>
        <v>#N/A</v>
      </c>
      <c r="I416" s="86"/>
    </row>
    <row r="417" customHeight="1" spans="1:9">
      <c r="A417" s="72"/>
      <c r="B417" s="81"/>
      <c r="C417" s="83"/>
      <c r="D417" s="10"/>
      <c r="E417" s="83" t="e">
        <f>VLOOKUP($D417,成品本月库存!$B:$J,2,0)</f>
        <v>#N/A</v>
      </c>
      <c r="F417" s="83" t="e">
        <f>VLOOKUP($D417,成品本月库存!$B:$J,5,0)</f>
        <v>#N/A</v>
      </c>
      <c r="G417" s="84"/>
      <c r="H417" s="83" t="e">
        <f>VLOOKUP($D417,成品本月库存!$B:$J,9,0)</f>
        <v>#N/A</v>
      </c>
      <c r="I417" s="86"/>
    </row>
    <row r="418" customHeight="1" spans="1:9">
      <c r="A418" s="72"/>
      <c r="B418" s="81"/>
      <c r="C418" s="83"/>
      <c r="D418" s="10"/>
      <c r="E418" s="83" t="e">
        <f>VLOOKUP($D418,成品本月库存!$B:$J,2,0)</f>
        <v>#N/A</v>
      </c>
      <c r="F418" s="83" t="e">
        <f>VLOOKUP($D418,成品本月库存!$B:$J,5,0)</f>
        <v>#N/A</v>
      </c>
      <c r="G418" s="84"/>
      <c r="H418" s="83" t="e">
        <f>VLOOKUP($D418,成品本月库存!$B:$J,9,0)</f>
        <v>#N/A</v>
      </c>
      <c r="I418" s="86"/>
    </row>
    <row r="419" customHeight="1" spans="1:9">
      <c r="A419" s="72"/>
      <c r="B419" s="81"/>
      <c r="C419" s="83"/>
      <c r="D419" s="10"/>
      <c r="E419" s="83" t="e">
        <f>VLOOKUP($D419,成品本月库存!$B:$J,2,0)</f>
        <v>#N/A</v>
      </c>
      <c r="F419" s="83" t="e">
        <f>VLOOKUP($D419,成品本月库存!$B:$J,5,0)</f>
        <v>#N/A</v>
      </c>
      <c r="G419" s="84"/>
      <c r="H419" s="83" t="e">
        <f>VLOOKUP($D419,成品本月库存!$B:$J,9,0)</f>
        <v>#N/A</v>
      </c>
      <c r="I419" s="86"/>
    </row>
    <row r="420" customHeight="1" spans="1:9">
      <c r="A420" s="72"/>
      <c r="B420" s="81"/>
      <c r="C420" s="83"/>
      <c r="D420" s="10"/>
      <c r="E420" s="83" t="e">
        <f>VLOOKUP($D420,成品本月库存!$B:$J,2,0)</f>
        <v>#N/A</v>
      </c>
      <c r="F420" s="83" t="e">
        <f>VLOOKUP($D420,成品本月库存!$B:$J,5,0)</f>
        <v>#N/A</v>
      </c>
      <c r="G420" s="84"/>
      <c r="H420" s="83" t="e">
        <f>VLOOKUP($D420,成品本月库存!$B:$J,9,0)</f>
        <v>#N/A</v>
      </c>
      <c r="I420" s="86"/>
    </row>
    <row r="421" customHeight="1" spans="1:9">
      <c r="A421" s="72"/>
      <c r="B421" s="81"/>
      <c r="C421" s="83"/>
      <c r="D421" s="10"/>
      <c r="E421" s="83" t="e">
        <f>VLOOKUP($D421,成品本月库存!$B:$J,2,0)</f>
        <v>#N/A</v>
      </c>
      <c r="F421" s="83" t="e">
        <f>VLOOKUP($D421,成品本月库存!$B:$J,5,0)</f>
        <v>#N/A</v>
      </c>
      <c r="G421" s="84"/>
      <c r="H421" s="83" t="e">
        <f>VLOOKUP($D421,成品本月库存!$B:$J,9,0)</f>
        <v>#N/A</v>
      </c>
      <c r="I421" s="86"/>
    </row>
    <row r="422" customHeight="1" spans="1:9">
      <c r="A422" s="72"/>
      <c r="B422" s="81"/>
      <c r="C422" s="83"/>
      <c r="D422" s="10"/>
      <c r="E422" s="83" t="e">
        <f>VLOOKUP($D422,成品本月库存!$B:$J,2,0)</f>
        <v>#N/A</v>
      </c>
      <c r="F422" s="83" t="e">
        <f>VLOOKUP($D422,成品本月库存!$B:$J,5,0)</f>
        <v>#N/A</v>
      </c>
      <c r="G422" s="84"/>
      <c r="H422" s="83" t="e">
        <f>VLOOKUP($D422,成品本月库存!$B:$J,9,0)</f>
        <v>#N/A</v>
      </c>
      <c r="I422" s="86"/>
    </row>
    <row r="423" customHeight="1" spans="1:9">
      <c r="A423" s="72"/>
      <c r="B423" s="81"/>
      <c r="C423" s="83"/>
      <c r="D423" s="10"/>
      <c r="E423" s="83" t="e">
        <f>VLOOKUP($D423,成品本月库存!$B:$J,2,0)</f>
        <v>#N/A</v>
      </c>
      <c r="F423" s="83" t="e">
        <f>VLOOKUP($D423,成品本月库存!$B:$J,5,0)</f>
        <v>#N/A</v>
      </c>
      <c r="G423" s="84"/>
      <c r="H423" s="83" t="e">
        <f>VLOOKUP($D423,成品本月库存!$B:$J,9,0)</f>
        <v>#N/A</v>
      </c>
    </row>
    <row r="424" customHeight="1" spans="1:9">
      <c r="A424" s="72"/>
      <c r="B424" s="81"/>
      <c r="C424" s="83"/>
      <c r="D424" s="10"/>
      <c r="E424" s="83" t="e">
        <f>VLOOKUP($D424,成品本月库存!$B:$J,2,0)</f>
        <v>#N/A</v>
      </c>
      <c r="F424" s="83" t="e">
        <f>VLOOKUP($D424,成品本月库存!$B:$J,5,0)</f>
        <v>#N/A</v>
      </c>
      <c r="G424" s="84"/>
      <c r="H424" s="83" t="e">
        <f>VLOOKUP($D424,成品本月库存!$B:$J,9,0)</f>
        <v>#N/A</v>
      </c>
      <c r="I424" s="86"/>
    </row>
    <row r="425" customHeight="1" spans="1:9">
      <c r="A425" s="72"/>
      <c r="B425" s="81"/>
      <c r="C425" s="83"/>
      <c r="D425" s="10"/>
      <c r="E425" s="83" t="e">
        <f>VLOOKUP($D425,成品本月库存!$B:$J,2,0)</f>
        <v>#N/A</v>
      </c>
      <c r="F425" s="83" t="e">
        <f>VLOOKUP($D425,成品本月库存!$B:$J,5,0)</f>
        <v>#N/A</v>
      </c>
      <c r="G425" s="84"/>
      <c r="H425" s="83" t="e">
        <f>VLOOKUP($D425,成品本月库存!$B:$J,9,0)</f>
        <v>#N/A</v>
      </c>
      <c r="I425" s="86"/>
    </row>
    <row r="426" customHeight="1" spans="1:9">
      <c r="A426" s="72"/>
      <c r="B426" s="81"/>
      <c r="C426" s="83"/>
      <c r="D426" s="10"/>
      <c r="E426" s="83" t="e">
        <f>VLOOKUP($D426,成品本月库存!$B:$J,2,0)</f>
        <v>#N/A</v>
      </c>
      <c r="F426" s="83" t="e">
        <f>VLOOKUP($D426,成品本月库存!$B:$J,5,0)</f>
        <v>#N/A</v>
      </c>
      <c r="G426" s="84"/>
      <c r="H426" s="83" t="e">
        <f>VLOOKUP($D426,成品本月库存!$B:$J,9,0)</f>
        <v>#N/A</v>
      </c>
      <c r="I426" s="86"/>
    </row>
    <row r="427" customHeight="1" spans="1:9">
      <c r="A427" s="72"/>
      <c r="B427" s="81"/>
      <c r="C427" s="83"/>
      <c r="D427" s="82"/>
      <c r="E427" s="83" t="e">
        <f>VLOOKUP($D427,成品本月库存!$B:$J,2,0)</f>
        <v>#N/A</v>
      </c>
      <c r="F427" s="83" t="e">
        <f>VLOOKUP($D427,成品本月库存!$B:$J,5,0)</f>
        <v>#N/A</v>
      </c>
      <c r="G427" s="84"/>
      <c r="H427" s="83" t="e">
        <f>VLOOKUP($D427,成品本月库存!$B:$J,9,0)</f>
        <v>#N/A</v>
      </c>
      <c r="I427" s="86"/>
    </row>
    <row r="428" customHeight="1" spans="1:9">
      <c r="A428" s="72"/>
      <c r="B428" s="81"/>
      <c r="C428" s="83"/>
      <c r="D428" s="82"/>
      <c r="E428" s="83" t="e">
        <f>VLOOKUP($D428,成品本月库存!$B:$J,2,0)</f>
        <v>#N/A</v>
      </c>
      <c r="F428" s="83" t="e">
        <f>VLOOKUP($D428,成品本月库存!$B:$J,5,0)</f>
        <v>#N/A</v>
      </c>
      <c r="G428" s="84"/>
      <c r="H428" s="83" t="e">
        <f>VLOOKUP($D428,成品本月库存!$B:$J,9,0)</f>
        <v>#N/A</v>
      </c>
      <c r="I428" s="86"/>
    </row>
    <row r="429" customHeight="1" spans="1:9">
      <c r="A429" s="72"/>
      <c r="B429" s="81"/>
      <c r="C429" s="83"/>
      <c r="D429" s="82"/>
      <c r="E429" s="83" t="e">
        <f>VLOOKUP($D429,成品本月库存!$B:$J,2,0)</f>
        <v>#N/A</v>
      </c>
      <c r="F429" s="83" t="e">
        <f>VLOOKUP($D429,成品本月库存!$B:$J,5,0)</f>
        <v>#N/A</v>
      </c>
      <c r="G429" s="84"/>
      <c r="H429" s="83" t="e">
        <f>VLOOKUP($D429,成品本月库存!$B:$J,9,0)</f>
        <v>#N/A</v>
      </c>
      <c r="I429" s="86"/>
    </row>
    <row r="430" customHeight="1" spans="1:9">
      <c r="A430" s="72"/>
      <c r="B430" s="81"/>
      <c r="C430" s="83"/>
      <c r="D430" s="82"/>
      <c r="E430" s="83" t="e">
        <f>VLOOKUP($D430,成品本月库存!$B:$J,2,0)</f>
        <v>#N/A</v>
      </c>
      <c r="F430" s="83" t="e">
        <f>VLOOKUP($D430,成品本月库存!$B:$J,5,0)</f>
        <v>#N/A</v>
      </c>
      <c r="G430" s="84"/>
      <c r="H430" s="83" t="e">
        <f>VLOOKUP($D430,成品本月库存!$B:$J,9,0)</f>
        <v>#N/A</v>
      </c>
      <c r="I430" s="86"/>
    </row>
    <row r="431" customHeight="1" spans="1:9">
      <c r="A431" s="72"/>
      <c r="B431" s="81"/>
      <c r="C431" s="83"/>
      <c r="D431" s="82"/>
      <c r="E431" s="83" t="e">
        <f>VLOOKUP($D431,成品本月库存!$B:$J,2,0)</f>
        <v>#N/A</v>
      </c>
      <c r="F431" s="83" t="e">
        <f>VLOOKUP($D431,成品本月库存!$B:$J,5,0)</f>
        <v>#N/A</v>
      </c>
      <c r="G431" s="84"/>
      <c r="H431" s="83" t="e">
        <f>VLOOKUP($D431,成品本月库存!$B:$J,9,0)</f>
        <v>#N/A</v>
      </c>
      <c r="I431" s="86"/>
    </row>
    <row r="432" customHeight="1" spans="1:9">
      <c r="A432" s="72"/>
      <c r="B432" s="81"/>
      <c r="C432" s="83"/>
      <c r="D432" s="82"/>
      <c r="E432" s="83" t="e">
        <f>VLOOKUP($D432,成品本月库存!$B:$J,2,0)</f>
        <v>#N/A</v>
      </c>
      <c r="F432" s="83" t="e">
        <f>VLOOKUP($D432,成品本月库存!$B:$J,5,0)</f>
        <v>#N/A</v>
      </c>
      <c r="G432" s="84"/>
      <c r="H432" s="83" t="e">
        <f>VLOOKUP($D432,成品本月库存!$B:$J,9,0)</f>
        <v>#N/A</v>
      </c>
      <c r="I432" s="86"/>
    </row>
    <row r="433" customHeight="1" spans="1:9">
      <c r="A433" s="72"/>
      <c r="B433" s="81"/>
      <c r="C433" s="83"/>
      <c r="D433" s="82"/>
      <c r="E433" s="83" t="e">
        <f>VLOOKUP($D433,成品本月库存!$B:$J,2,0)</f>
        <v>#N/A</v>
      </c>
      <c r="F433" s="83" t="e">
        <f>VLOOKUP($D433,成品本月库存!$B:$J,5,0)</f>
        <v>#N/A</v>
      </c>
      <c r="G433" s="84"/>
      <c r="H433" s="83" t="e">
        <f>VLOOKUP($D433,成品本月库存!$B:$J,9,0)</f>
        <v>#N/A</v>
      </c>
      <c r="I433" s="86"/>
    </row>
    <row r="434" customHeight="1" spans="1:9">
      <c r="A434" s="72"/>
      <c r="B434" s="81"/>
      <c r="C434" s="83"/>
      <c r="D434" s="82"/>
      <c r="E434" s="83" t="e">
        <f>VLOOKUP($D434,成品本月库存!$B:$J,2,0)</f>
        <v>#N/A</v>
      </c>
      <c r="F434" s="83" t="e">
        <f>VLOOKUP($D434,成品本月库存!$B:$J,5,0)</f>
        <v>#N/A</v>
      </c>
      <c r="G434" s="84"/>
      <c r="H434" s="83" t="e">
        <f>VLOOKUP($D434,成品本月库存!$B:$J,9,0)</f>
        <v>#N/A</v>
      </c>
      <c r="I434" s="86"/>
    </row>
    <row r="435" customHeight="1" spans="1:9">
      <c r="A435" s="72"/>
      <c r="B435" s="81"/>
      <c r="C435" s="83"/>
      <c r="D435" s="82"/>
      <c r="E435" s="83" t="e">
        <f>VLOOKUP($D435,成品本月库存!$B:$J,2,0)</f>
        <v>#N/A</v>
      </c>
      <c r="F435" s="83" t="e">
        <f>VLOOKUP($D435,成品本月库存!$B:$J,5,0)</f>
        <v>#N/A</v>
      </c>
      <c r="G435" s="84"/>
      <c r="H435" s="83" t="e">
        <f>VLOOKUP($D435,成品本月库存!$B:$J,9,0)</f>
        <v>#N/A</v>
      </c>
      <c r="I435" s="86"/>
    </row>
    <row r="436" customHeight="1" spans="1:9">
      <c r="A436" s="72"/>
      <c r="B436" s="90"/>
      <c r="C436" s="83"/>
      <c r="D436" s="82"/>
      <c r="E436" s="83" t="e">
        <f>VLOOKUP($D436,成品本月库存!$B:$J,2,0)</f>
        <v>#N/A</v>
      </c>
      <c r="F436" s="83" t="e">
        <f>VLOOKUP($D436,成品本月库存!$B:$J,5,0)</f>
        <v>#N/A</v>
      </c>
      <c r="G436" s="84"/>
      <c r="H436" s="83" t="e">
        <f>VLOOKUP($D436,成品本月库存!$B:$J,9,0)</f>
        <v>#N/A</v>
      </c>
      <c r="I436" s="86"/>
    </row>
    <row r="437" customHeight="1" spans="1:9">
      <c r="A437" s="72"/>
      <c r="B437" s="90"/>
      <c r="C437" s="83"/>
      <c r="D437" s="82"/>
      <c r="E437" s="83" t="e">
        <f>VLOOKUP($D437,成品本月库存!$B:$J,2,0)</f>
        <v>#N/A</v>
      </c>
      <c r="F437" s="83" t="e">
        <f>VLOOKUP($D437,成品本月库存!$B:$J,5,0)</f>
        <v>#N/A</v>
      </c>
      <c r="G437" s="84"/>
      <c r="H437" s="83" t="e">
        <f>VLOOKUP($D437,成品本月库存!$B:$J,9,0)</f>
        <v>#N/A</v>
      </c>
      <c r="I437" s="86"/>
    </row>
    <row r="438" customHeight="1" spans="1:9">
      <c r="A438" s="72"/>
      <c r="B438" s="90"/>
      <c r="C438" s="83"/>
      <c r="D438" s="82"/>
      <c r="E438" s="83" t="e">
        <f>VLOOKUP($D438,成品本月库存!$B:$J,2,0)</f>
        <v>#N/A</v>
      </c>
      <c r="F438" s="83" t="e">
        <f>VLOOKUP($D438,成品本月库存!$B:$J,5,0)</f>
        <v>#N/A</v>
      </c>
      <c r="G438" s="84"/>
      <c r="H438" s="83" t="e">
        <f>VLOOKUP($D438,成品本月库存!$B:$J,9,0)</f>
        <v>#N/A</v>
      </c>
      <c r="I438" s="86"/>
    </row>
    <row r="439" customHeight="1" spans="1:9">
      <c r="A439" s="72"/>
      <c r="B439" s="90"/>
      <c r="C439" s="83"/>
      <c r="D439" s="82"/>
      <c r="E439" s="83" t="e">
        <f>VLOOKUP($D439,成品本月库存!$B:$J,2,0)</f>
        <v>#N/A</v>
      </c>
      <c r="F439" s="83" t="e">
        <f>VLOOKUP($D439,成品本月库存!$B:$J,5,0)</f>
        <v>#N/A</v>
      </c>
      <c r="G439" s="84"/>
      <c r="H439" s="83" t="e">
        <f>VLOOKUP($D439,成品本月库存!$B:$J,9,0)</f>
        <v>#N/A</v>
      </c>
      <c r="I439" s="86"/>
    </row>
    <row r="440" customHeight="1" spans="1:9">
      <c r="A440" s="72"/>
      <c r="B440" s="90"/>
      <c r="C440" s="83"/>
      <c r="D440" s="82"/>
      <c r="E440" s="83" t="e">
        <f>VLOOKUP($D440,成品本月库存!$B:$J,2,0)</f>
        <v>#N/A</v>
      </c>
      <c r="F440" s="83" t="e">
        <f>VLOOKUP($D440,成品本月库存!$B:$J,5,0)</f>
        <v>#N/A</v>
      </c>
      <c r="G440" s="84"/>
      <c r="H440" s="83" t="e">
        <f>VLOOKUP($D440,成品本月库存!$B:$J,9,0)</f>
        <v>#N/A</v>
      </c>
      <c r="I440" s="86"/>
    </row>
    <row r="441" customHeight="1" spans="1:9">
      <c r="A441" s="72"/>
      <c r="B441" s="90"/>
      <c r="C441" s="83"/>
      <c r="D441" s="82"/>
      <c r="E441" s="83" t="e">
        <f>VLOOKUP($D441,成品本月库存!$B:$J,2,0)</f>
        <v>#N/A</v>
      </c>
      <c r="F441" s="83" t="e">
        <f>VLOOKUP($D441,成品本月库存!$B:$J,5,0)</f>
        <v>#N/A</v>
      </c>
      <c r="G441" s="84"/>
      <c r="H441" s="83" t="e">
        <f>VLOOKUP($D441,成品本月库存!$B:$J,9,0)</f>
        <v>#N/A</v>
      </c>
      <c r="I441" s="86"/>
    </row>
    <row r="442" customHeight="1" spans="1:9">
      <c r="A442" s="72"/>
      <c r="B442" s="90"/>
      <c r="C442" s="83"/>
      <c r="D442" s="82"/>
      <c r="E442" s="83" t="e">
        <f>VLOOKUP($D442,成品本月库存!$B:$J,2,0)</f>
        <v>#N/A</v>
      </c>
      <c r="F442" s="83" t="e">
        <f>VLOOKUP($D442,成品本月库存!$B:$J,5,0)</f>
        <v>#N/A</v>
      </c>
      <c r="G442" s="84"/>
      <c r="H442" s="83" t="e">
        <f>VLOOKUP($D442,成品本月库存!$B:$J,9,0)</f>
        <v>#N/A</v>
      </c>
      <c r="I442" s="86"/>
    </row>
    <row r="443" customHeight="1" spans="1:9">
      <c r="A443" s="72"/>
      <c r="B443" s="90"/>
      <c r="C443" s="83"/>
      <c r="D443" s="82"/>
      <c r="E443" s="83" t="e">
        <f>VLOOKUP($D443,成品本月库存!$B:$J,2,0)</f>
        <v>#N/A</v>
      </c>
      <c r="F443" s="83" t="e">
        <f>VLOOKUP($D443,成品本月库存!$B:$J,5,0)</f>
        <v>#N/A</v>
      </c>
      <c r="G443" s="84"/>
      <c r="H443" s="83" t="e">
        <f>VLOOKUP($D443,成品本月库存!$B:$J,9,0)</f>
        <v>#N/A</v>
      </c>
      <c r="I443" s="86"/>
    </row>
    <row r="444" customHeight="1" spans="1:9">
      <c r="B444" s="90"/>
      <c r="D444" s="82"/>
      <c r="E444" s="83" t="e">
        <f>VLOOKUP($D444,成品本月库存!$B:$J,2,0)</f>
        <v>#N/A</v>
      </c>
      <c r="F444" s="83" t="e">
        <f>VLOOKUP($D444,成品本月库存!$B:$J,5,0)</f>
        <v>#N/A</v>
      </c>
      <c r="G444" s="84"/>
      <c r="H444" s="83" t="e">
        <f>VLOOKUP($D444,成品本月库存!$B:$J,9,0)</f>
        <v>#N/A</v>
      </c>
      <c r="I444" s="86"/>
    </row>
    <row r="445" customHeight="1" spans="1:9">
      <c r="B445" s="90"/>
      <c r="D445" s="82"/>
      <c r="E445" s="83" t="e">
        <f>VLOOKUP($D445,成品本月库存!$B:$J,2,0)</f>
        <v>#N/A</v>
      </c>
      <c r="F445" s="83" t="e">
        <f>VLOOKUP($D445,成品本月库存!$B:$J,5,0)</f>
        <v>#N/A</v>
      </c>
      <c r="G445" s="84"/>
      <c r="H445" s="83" t="e">
        <f>VLOOKUP($D445,成品本月库存!$B:$J,9,0)</f>
        <v>#N/A</v>
      </c>
      <c r="I445" s="86"/>
    </row>
    <row r="446" customHeight="1" spans="1:9">
      <c r="B446" s="90"/>
      <c r="D446" s="82"/>
      <c r="E446" s="83" t="e">
        <f>VLOOKUP($D446,成品本月库存!$B:$J,2,0)</f>
        <v>#N/A</v>
      </c>
      <c r="F446" s="83" t="e">
        <f>VLOOKUP($D446,成品本月库存!$B:$J,5,0)</f>
        <v>#N/A</v>
      </c>
      <c r="G446" s="84"/>
      <c r="H446" s="83" t="e">
        <f>VLOOKUP($D446,成品本月库存!$B:$J,9,0)</f>
        <v>#N/A</v>
      </c>
      <c r="I446" s="86"/>
    </row>
    <row r="447" customHeight="1" spans="1:9">
      <c r="B447" s="90"/>
      <c r="D447" s="82"/>
      <c r="E447" s="83" t="e">
        <f>VLOOKUP($D447,成品本月库存!$B:$J,2,0)</f>
        <v>#N/A</v>
      </c>
      <c r="F447" s="83" t="e">
        <f>VLOOKUP($D447,成品本月库存!$B:$J,5,0)</f>
        <v>#N/A</v>
      </c>
      <c r="G447" s="84"/>
      <c r="H447" s="83" t="e">
        <f>VLOOKUP($D447,成品本月库存!$B:$J,9,0)</f>
        <v>#N/A</v>
      </c>
      <c r="I447" s="86"/>
    </row>
    <row r="448" customHeight="1" spans="1:9">
      <c r="B448" s="90"/>
      <c r="D448" s="82"/>
      <c r="E448" s="83" t="e">
        <f>VLOOKUP($D448,成品本月库存!$B:$J,2,0)</f>
        <v>#N/A</v>
      </c>
      <c r="F448" s="83" t="e">
        <f>VLOOKUP($D448,成品本月库存!$B:$J,5,0)</f>
        <v>#N/A</v>
      </c>
      <c r="G448" s="84"/>
      <c r="H448" s="83" t="e">
        <f>VLOOKUP($D448,成品本月库存!$B:$J,9,0)</f>
        <v>#N/A</v>
      </c>
      <c r="I448" s="86"/>
    </row>
    <row r="449" customHeight="1" spans="1:9">
      <c r="A449" s="80"/>
      <c r="B449" s="90"/>
      <c r="D449" s="82"/>
      <c r="E449" s="83" t="e">
        <f>VLOOKUP($D449,成品本月库存!$B:$J,2,0)</f>
        <v>#N/A</v>
      </c>
      <c r="F449" s="83" t="e">
        <f>VLOOKUP($D449,成品本月库存!$B:$J,5,0)</f>
        <v>#N/A</v>
      </c>
      <c r="G449" s="84"/>
      <c r="H449" s="83" t="e">
        <f>VLOOKUP($D449,成品本月库存!$B:$J,9,0)</f>
        <v>#N/A</v>
      </c>
      <c r="I449" s="86"/>
    </row>
    <row r="450" customHeight="1" spans="1:9">
      <c r="A450" s="80"/>
      <c r="B450" s="90"/>
      <c r="D450" s="82"/>
      <c r="E450" s="83" t="e">
        <f>VLOOKUP($D450,成品本月库存!$B:$J,2,0)</f>
        <v>#N/A</v>
      </c>
      <c r="F450" s="83" t="e">
        <f>VLOOKUP($D450,成品本月库存!$B:$J,5,0)</f>
        <v>#N/A</v>
      </c>
      <c r="G450" s="84"/>
      <c r="H450" s="83" t="e">
        <f>VLOOKUP($D450,成品本月库存!$B:$J,9,0)</f>
        <v>#N/A</v>
      </c>
      <c r="I450" s="86"/>
    </row>
    <row r="451" customHeight="1" spans="1:9">
      <c r="A451" s="80"/>
      <c r="B451" s="90"/>
      <c r="D451" s="82"/>
      <c r="E451" s="83" t="e">
        <f>VLOOKUP($D451,成品本月库存!$B:$J,2,0)</f>
        <v>#N/A</v>
      </c>
      <c r="F451" s="83" t="e">
        <f>VLOOKUP($D451,成品本月库存!$B:$J,5,0)</f>
        <v>#N/A</v>
      </c>
      <c r="G451" s="84"/>
      <c r="H451" s="83" t="e">
        <f>VLOOKUP($D451,成品本月库存!$B:$J,9,0)</f>
        <v>#N/A</v>
      </c>
      <c r="I451" s="86"/>
    </row>
    <row r="452" customHeight="1" spans="1:9">
      <c r="A452" s="80"/>
      <c r="B452" s="90"/>
      <c r="D452" s="82"/>
      <c r="E452" s="83" t="e">
        <f>VLOOKUP($D452,成品本月库存!$B:$J,2,0)</f>
        <v>#N/A</v>
      </c>
      <c r="F452" s="83" t="e">
        <f>VLOOKUP($D452,成品本月库存!$B:$J,5,0)</f>
        <v>#N/A</v>
      </c>
      <c r="G452" s="84"/>
      <c r="H452" s="83" t="e">
        <f>VLOOKUP($D452,成品本月库存!$B:$J,9,0)</f>
        <v>#N/A</v>
      </c>
      <c r="I452" s="86"/>
    </row>
    <row r="453" customHeight="1" spans="1:9">
      <c r="A453" s="80"/>
      <c r="B453" s="90"/>
      <c r="D453" s="82"/>
      <c r="E453" s="83" t="e">
        <f>VLOOKUP($D453,成品本月库存!$B:$J,2,0)</f>
        <v>#N/A</v>
      </c>
      <c r="F453" s="83" t="e">
        <f>VLOOKUP($D453,成品本月库存!$B:$J,5,0)</f>
        <v>#N/A</v>
      </c>
      <c r="G453" s="84"/>
      <c r="H453" s="83" t="e">
        <f>VLOOKUP($D453,成品本月库存!$B:$J,9,0)</f>
        <v>#N/A</v>
      </c>
      <c r="I453" s="99"/>
    </row>
    <row r="454" customHeight="1" spans="1:9">
      <c r="A454" s="80"/>
      <c r="B454" s="90"/>
      <c r="D454" s="82"/>
      <c r="E454" s="83" t="e">
        <f>VLOOKUP($D454,成品本月库存!$B:$J,2,0)</f>
        <v>#N/A</v>
      </c>
      <c r="F454" s="83" t="e">
        <f>VLOOKUP($D454,成品本月库存!$B:$J,5,0)</f>
        <v>#N/A</v>
      </c>
      <c r="G454" s="84"/>
      <c r="H454" s="83" t="e">
        <f>VLOOKUP($D454,成品本月库存!$B:$J,9,0)</f>
        <v>#N/A</v>
      </c>
      <c r="I454" s="99"/>
    </row>
    <row r="455" customHeight="1" spans="1:9">
      <c r="A455" s="80"/>
      <c r="B455" s="90"/>
      <c r="D455" s="82"/>
      <c r="E455" s="83" t="e">
        <f>VLOOKUP($D455,成品本月库存!$B:$J,2,0)</f>
        <v>#N/A</v>
      </c>
      <c r="F455" s="83" t="e">
        <f>VLOOKUP($D455,成品本月库存!$B:$J,5,0)</f>
        <v>#N/A</v>
      </c>
      <c r="G455" s="84"/>
      <c r="H455" s="83" t="e">
        <f>VLOOKUP($D455,成品本月库存!$B:$J,9,0)</f>
        <v>#N/A</v>
      </c>
      <c r="I455" s="99"/>
    </row>
    <row r="456" customHeight="1" spans="1:9">
      <c r="A456" s="80"/>
      <c r="B456" s="88"/>
      <c r="C456" s="83"/>
      <c r="D456" s="82"/>
      <c r="E456" s="83" t="e">
        <f>VLOOKUP($D456,成品本月库存!$B:$J,2,0)</f>
        <v>#N/A</v>
      </c>
      <c r="F456" s="83" t="e">
        <f>VLOOKUP($D456,成品本月库存!$B:$J,5,0)</f>
        <v>#N/A</v>
      </c>
      <c r="G456" s="84"/>
      <c r="H456" s="83" t="e">
        <f>VLOOKUP($D456,成品本月库存!$B:$J,9,0)</f>
        <v>#N/A</v>
      </c>
      <c r="I456" s="99"/>
    </row>
    <row r="457" customHeight="1" spans="1:9">
      <c r="A457" s="80"/>
      <c r="B457" s="88"/>
      <c r="C457" s="83"/>
      <c r="D457" s="82"/>
      <c r="E457" s="83" t="e">
        <f>VLOOKUP($D457,成品本月库存!$B:$J,2,0)</f>
        <v>#N/A</v>
      </c>
      <c r="F457" s="83" t="e">
        <f>VLOOKUP($D457,成品本月库存!$B:$J,5,0)</f>
        <v>#N/A</v>
      </c>
      <c r="G457" s="84"/>
      <c r="H457" s="83" t="e">
        <f>VLOOKUP($D457,成品本月库存!$B:$J,9,0)</f>
        <v>#N/A</v>
      </c>
      <c r="I457" s="99"/>
    </row>
    <row r="458" customHeight="1" spans="1:9">
      <c r="A458" s="80"/>
      <c r="B458" s="88"/>
      <c r="C458" s="83"/>
      <c r="D458" s="82"/>
      <c r="E458" s="83" t="e">
        <f>VLOOKUP($D458,成品本月库存!$B:$J,2,0)</f>
        <v>#N/A</v>
      </c>
      <c r="F458" s="83" t="e">
        <f>VLOOKUP($D458,成品本月库存!$B:$J,5,0)</f>
        <v>#N/A</v>
      </c>
      <c r="G458" s="84"/>
      <c r="H458" s="83" t="e">
        <f>VLOOKUP($D458,成品本月库存!$B:$J,9,0)</f>
        <v>#N/A</v>
      </c>
      <c r="I458" s="100"/>
    </row>
    <row r="459" customHeight="1" spans="1:9">
      <c r="A459" s="80"/>
      <c r="B459" s="88"/>
      <c r="C459" s="83"/>
      <c r="D459" s="82"/>
      <c r="E459" s="83" t="e">
        <f>VLOOKUP($D459,成品本月库存!$B:$J,2,0)</f>
        <v>#N/A</v>
      </c>
      <c r="F459" s="83" t="e">
        <f>VLOOKUP($D459,成品本月库存!$B:$J,5,0)</f>
        <v>#N/A</v>
      </c>
      <c r="G459" s="84"/>
      <c r="H459" s="83" t="e">
        <f>VLOOKUP($D459,成品本月库存!$B:$J,9,0)</f>
        <v>#N/A</v>
      </c>
      <c r="I459" s="99"/>
    </row>
    <row r="460" customHeight="1" spans="1:9">
      <c r="A460" s="88"/>
      <c r="B460" s="88"/>
      <c r="C460" s="83"/>
      <c r="D460" s="82"/>
      <c r="E460" s="83" t="e">
        <f>VLOOKUP($D460,成品本月库存!$B:$J,2,0)</f>
        <v>#N/A</v>
      </c>
      <c r="F460" s="83" t="e">
        <f>VLOOKUP($D460,成品本月库存!$B:$J,5,0)</f>
        <v>#N/A</v>
      </c>
      <c r="G460" s="84"/>
      <c r="H460" s="83" t="e">
        <f>VLOOKUP($D460,成品本月库存!$B:$J,9,0)</f>
        <v>#N/A</v>
      </c>
      <c r="I460" s="99"/>
    </row>
    <row r="461" customHeight="1" spans="1:9">
      <c r="A461" s="88"/>
      <c r="B461" s="88"/>
      <c r="C461" s="83"/>
      <c r="D461" s="82"/>
      <c r="E461" s="83" t="e">
        <f>VLOOKUP($D461,成品本月库存!$B:$J,2,0)</f>
        <v>#N/A</v>
      </c>
      <c r="F461" s="83" t="e">
        <f>VLOOKUP($D461,成品本月库存!$B:$J,5,0)</f>
        <v>#N/A</v>
      </c>
      <c r="G461" s="84"/>
      <c r="H461" s="83" t="e">
        <f>VLOOKUP($D461,成品本月库存!$B:$J,9,0)</f>
        <v>#N/A</v>
      </c>
      <c r="I461" s="99"/>
    </row>
    <row r="462" customHeight="1" spans="1:9">
      <c r="A462" s="88"/>
      <c r="B462" s="88"/>
      <c r="C462" s="83"/>
      <c r="D462" s="82"/>
      <c r="E462" s="83" t="e">
        <f>VLOOKUP($D462,成品本月库存!$B:$J,2,0)</f>
        <v>#N/A</v>
      </c>
      <c r="F462" s="83" t="e">
        <f>VLOOKUP($D462,成品本月库存!$B:$J,5,0)</f>
        <v>#N/A</v>
      </c>
      <c r="G462" s="84"/>
      <c r="H462" s="83" t="e">
        <f>VLOOKUP($D462,成品本月库存!$B:$J,9,0)</f>
        <v>#N/A</v>
      </c>
      <c r="I462" s="99"/>
    </row>
    <row r="463" customHeight="1" spans="1:9">
      <c r="A463" s="88"/>
      <c r="B463" s="88"/>
      <c r="C463" s="83"/>
      <c r="D463" s="82"/>
      <c r="E463" s="83" t="e">
        <f>VLOOKUP($D463,成品本月库存!$B:$J,2,0)</f>
        <v>#N/A</v>
      </c>
      <c r="F463" s="83" t="e">
        <f>VLOOKUP($D463,成品本月库存!$B:$J,5,0)</f>
        <v>#N/A</v>
      </c>
      <c r="G463" s="84"/>
      <c r="H463" s="83" t="e">
        <f>VLOOKUP($D463,成品本月库存!$B:$J,9,0)</f>
        <v>#N/A</v>
      </c>
      <c r="I463" s="99"/>
    </row>
    <row r="464" customHeight="1" spans="1:9">
      <c r="A464" s="101"/>
      <c r="B464" s="88"/>
      <c r="C464" s="101"/>
      <c r="D464" s="82"/>
      <c r="E464" s="83" t="e">
        <f>VLOOKUP($D464,成品本月库存!$B:$J,2,0)</f>
        <v>#N/A</v>
      </c>
      <c r="F464" s="83" t="e">
        <f>VLOOKUP($D464,成品本月库存!$B:$J,5,0)</f>
        <v>#N/A</v>
      </c>
      <c r="G464" s="84"/>
      <c r="H464" s="83" t="e">
        <f>VLOOKUP($D464,成品本月库存!$B:$J,9,0)</f>
        <v>#N/A</v>
      </c>
      <c r="I464" s="99"/>
    </row>
    <row r="465" customHeight="1" spans="1:9">
      <c r="A465" s="101"/>
      <c r="B465" s="88"/>
      <c r="C465" s="101"/>
      <c r="D465" s="82"/>
      <c r="E465" s="83" t="e">
        <f>VLOOKUP($D465,成品本月库存!$B:$J,2,0)</f>
        <v>#N/A</v>
      </c>
      <c r="F465" s="83" t="e">
        <f>VLOOKUP($D465,成品本月库存!$B:$J,5,0)</f>
        <v>#N/A</v>
      </c>
      <c r="G465" s="84"/>
      <c r="H465" s="83" t="e">
        <f>VLOOKUP($D465,成品本月库存!$B:$J,9,0)</f>
        <v>#N/A</v>
      </c>
      <c r="I465" s="99"/>
    </row>
    <row r="466" customHeight="1" spans="1:9">
      <c r="A466" s="101"/>
      <c r="B466" s="88"/>
      <c r="C466" s="101"/>
      <c r="D466" s="82"/>
      <c r="E466" s="83" t="e">
        <f>VLOOKUP($D466,成品本月库存!$B:$J,2,0)</f>
        <v>#N/A</v>
      </c>
      <c r="F466" s="83" t="e">
        <f>VLOOKUP($D466,成品本月库存!$B:$J,5,0)</f>
        <v>#N/A</v>
      </c>
      <c r="G466" s="84"/>
      <c r="H466" s="83" t="e">
        <f>VLOOKUP($D466,成品本月库存!$B:$J,9,0)</f>
        <v>#N/A</v>
      </c>
      <c r="I466" s="99"/>
    </row>
    <row r="467" customHeight="1" spans="1:9">
      <c r="A467" s="101"/>
      <c r="B467" s="88"/>
      <c r="C467" s="101"/>
      <c r="D467" s="82"/>
      <c r="E467" s="83" t="e">
        <f>VLOOKUP($D467,成品本月库存!$B:$J,2,0)</f>
        <v>#N/A</v>
      </c>
      <c r="F467" s="83" t="e">
        <f>VLOOKUP($D467,成品本月库存!$B:$J,5,0)</f>
        <v>#N/A</v>
      </c>
      <c r="G467" s="84"/>
      <c r="H467" s="83" t="e">
        <f>VLOOKUP($D467,成品本月库存!$B:$J,9,0)</f>
        <v>#N/A</v>
      </c>
      <c r="I467" s="99"/>
    </row>
    <row r="468" customHeight="1" spans="1:9">
      <c r="A468" s="101"/>
      <c r="B468" s="88"/>
      <c r="C468" s="101"/>
      <c r="D468" s="82"/>
      <c r="E468" s="83" t="e">
        <f>VLOOKUP($D468,成品本月库存!$B:$J,2,0)</f>
        <v>#N/A</v>
      </c>
      <c r="F468" s="83" t="e">
        <f>VLOOKUP($D468,成品本月库存!$B:$J,5,0)</f>
        <v>#N/A</v>
      </c>
      <c r="G468" s="84"/>
      <c r="H468" s="83" t="e">
        <f>VLOOKUP($D468,成品本月库存!$B:$J,9,0)</f>
        <v>#N/A</v>
      </c>
      <c r="I468" s="99"/>
    </row>
    <row r="469" customHeight="1" spans="1:9">
      <c r="A469" s="101"/>
      <c r="B469" s="88"/>
      <c r="C469" s="101"/>
      <c r="D469" s="82"/>
      <c r="E469" s="83" t="e">
        <f>VLOOKUP($D469,成品本月库存!$B:$J,2,0)</f>
        <v>#N/A</v>
      </c>
      <c r="F469" s="83" t="e">
        <f>VLOOKUP($D469,成品本月库存!$B:$J,5,0)</f>
        <v>#N/A</v>
      </c>
      <c r="G469" s="84"/>
      <c r="H469" s="83" t="e">
        <f>VLOOKUP($D469,成品本月库存!$B:$J,9,0)</f>
        <v>#N/A</v>
      </c>
      <c r="I469" s="99"/>
    </row>
    <row r="470" customHeight="1" spans="1:9">
      <c r="A470" s="101"/>
      <c r="B470" s="88"/>
      <c r="C470" s="101"/>
      <c r="D470" s="82"/>
      <c r="E470" s="83" t="e">
        <f>VLOOKUP($D470,成品本月库存!$B:$J,2,0)</f>
        <v>#N/A</v>
      </c>
      <c r="F470" s="83" t="e">
        <f>VLOOKUP($D470,成品本月库存!$B:$J,5,0)</f>
        <v>#N/A</v>
      </c>
      <c r="G470" s="84"/>
      <c r="H470" s="83" t="e">
        <f>VLOOKUP($D470,成品本月库存!$B:$J,9,0)</f>
        <v>#N/A</v>
      </c>
      <c r="I470" s="99"/>
    </row>
    <row r="471" customHeight="1" spans="1:9">
      <c r="A471" s="101"/>
      <c r="B471" s="88"/>
      <c r="C471" s="101"/>
      <c r="D471" s="82"/>
      <c r="E471" s="83" t="e">
        <f>VLOOKUP($D471,成品本月库存!$B:$J,2,0)</f>
        <v>#N/A</v>
      </c>
      <c r="F471" s="83" t="e">
        <f>VLOOKUP($D471,成品本月库存!$B:$J,5,0)</f>
        <v>#N/A</v>
      </c>
      <c r="G471" s="84"/>
      <c r="H471" s="83" t="e">
        <f>VLOOKUP($D471,成品本月库存!$B:$J,9,0)</f>
        <v>#N/A</v>
      </c>
      <c r="I471" s="99"/>
    </row>
    <row r="472" customHeight="1" spans="1:9">
      <c r="A472" s="101"/>
      <c r="B472" s="88"/>
      <c r="C472" s="101"/>
      <c r="D472" s="82"/>
      <c r="E472" s="83" t="e">
        <f>VLOOKUP($D472,成品本月库存!$B:$J,2,0)</f>
        <v>#N/A</v>
      </c>
      <c r="F472" s="83" t="e">
        <f>VLOOKUP($D472,成品本月库存!$B:$J,5,0)</f>
        <v>#N/A</v>
      </c>
      <c r="G472" s="84"/>
      <c r="H472" s="83" t="e">
        <f>VLOOKUP($D472,成品本月库存!$B:$J,9,0)</f>
        <v>#N/A</v>
      </c>
      <c r="I472" s="99"/>
    </row>
    <row r="473" customHeight="1" spans="1:9">
      <c r="A473" s="101"/>
      <c r="B473" s="88"/>
      <c r="C473" s="101"/>
      <c r="D473" s="93"/>
      <c r="E473" s="83" t="e">
        <f>VLOOKUP($D473,成品本月库存!$B:$J,2,0)</f>
        <v>#N/A</v>
      </c>
      <c r="F473" s="83" t="e">
        <f>VLOOKUP($D473,成品本月库存!$B:$J,5,0)</f>
        <v>#N/A</v>
      </c>
      <c r="G473" s="84"/>
      <c r="H473" s="83" t="e">
        <f>VLOOKUP($D473,成品本月库存!$B:$J,9,0)</f>
        <v>#N/A</v>
      </c>
      <c r="I473" s="99"/>
    </row>
    <row r="474" customHeight="1" spans="1:9">
      <c r="A474" s="101"/>
      <c r="B474" s="88"/>
      <c r="C474" s="101"/>
      <c r="D474" s="82"/>
      <c r="E474" s="83" t="e">
        <f>VLOOKUP($D474,成品本月库存!$B:$J,2,0)</f>
        <v>#N/A</v>
      </c>
      <c r="F474" s="83" t="e">
        <f>VLOOKUP($D474,成品本月库存!$B:$J,5,0)</f>
        <v>#N/A</v>
      </c>
      <c r="G474" s="84"/>
      <c r="H474" s="83" t="e">
        <f>VLOOKUP($D474,成品本月库存!$B:$J,9,0)</f>
        <v>#N/A</v>
      </c>
      <c r="I474" s="99"/>
    </row>
    <row r="475" customHeight="1" spans="1:9">
      <c r="A475" s="101"/>
      <c r="B475" s="88"/>
      <c r="C475" s="101"/>
      <c r="D475" s="82"/>
      <c r="E475" s="83" t="e">
        <f>VLOOKUP($D475,成品本月库存!$B:$J,2,0)</f>
        <v>#N/A</v>
      </c>
      <c r="F475" s="83" t="e">
        <f>VLOOKUP($D475,成品本月库存!$B:$J,5,0)</f>
        <v>#N/A</v>
      </c>
      <c r="G475" s="84"/>
      <c r="H475" s="83" t="e">
        <f>VLOOKUP($D475,成品本月库存!$B:$J,9,0)</f>
        <v>#N/A</v>
      </c>
      <c r="I475" s="72"/>
    </row>
    <row r="476" customHeight="1" spans="1:9">
      <c r="A476" s="101"/>
      <c r="B476" s="88"/>
      <c r="D476" s="82"/>
      <c r="E476" s="83" t="e">
        <f>VLOOKUP($D476,成品本月库存!$B:$J,2,0)</f>
        <v>#N/A</v>
      </c>
      <c r="F476" s="83" t="e">
        <f>VLOOKUP($D476,成品本月库存!$B:$J,5,0)</f>
        <v>#N/A</v>
      </c>
      <c r="G476" s="84"/>
      <c r="H476" s="83" t="e">
        <f>VLOOKUP($D476,成品本月库存!$B:$J,9,0)</f>
        <v>#N/A</v>
      </c>
      <c r="I476" s="72"/>
    </row>
    <row r="477" customHeight="1" spans="1:9">
      <c r="A477" s="101"/>
      <c r="B477" s="88"/>
      <c r="D477" s="82"/>
      <c r="E477" s="83" t="e">
        <f>VLOOKUP($D477,成品本月库存!$B:$J,2,0)</f>
        <v>#N/A</v>
      </c>
      <c r="F477" s="83" t="e">
        <f>VLOOKUP($D477,成品本月库存!$B:$J,5,0)</f>
        <v>#N/A</v>
      </c>
      <c r="G477" s="84"/>
      <c r="H477" s="83" t="e">
        <f>VLOOKUP($D477,成品本月库存!$B:$J,9,0)</f>
        <v>#N/A</v>
      </c>
      <c r="I477" s="99"/>
    </row>
    <row r="478" customHeight="1" spans="1:9">
      <c r="A478" s="101"/>
      <c r="B478" s="88"/>
      <c r="D478" s="82"/>
      <c r="E478" s="83" t="e">
        <f>VLOOKUP($D478,成品本月库存!$B:$J,2,0)</f>
        <v>#N/A</v>
      </c>
      <c r="F478" s="83" t="e">
        <f>VLOOKUP($D478,成品本月库存!$B:$J,5,0)</f>
        <v>#N/A</v>
      </c>
      <c r="G478" s="84"/>
      <c r="H478" s="83" t="e">
        <f>VLOOKUP($D478,成品本月库存!$B:$J,9,0)</f>
        <v>#N/A</v>
      </c>
      <c r="I478" s="99"/>
    </row>
    <row r="479" customHeight="1" spans="1:9">
      <c r="A479" s="80"/>
      <c r="B479" s="88"/>
      <c r="D479" s="82"/>
      <c r="E479" s="83" t="e">
        <f>VLOOKUP($D479,成品本月库存!$B:$J,2,0)</f>
        <v>#N/A</v>
      </c>
      <c r="F479" s="83" t="e">
        <f>VLOOKUP($D479,成品本月库存!$B:$J,5,0)</f>
        <v>#N/A</v>
      </c>
      <c r="G479" s="84"/>
      <c r="H479" s="83" t="e">
        <f>VLOOKUP($D479,成品本月库存!$B:$J,9,0)</f>
        <v>#N/A</v>
      </c>
      <c r="I479" s="99"/>
    </row>
    <row r="480" customHeight="1" spans="1:9">
      <c r="A480" s="80"/>
      <c r="B480" s="88"/>
      <c r="D480" s="82"/>
      <c r="E480" s="83" t="e">
        <f>VLOOKUP($D480,成品本月库存!$B:$J,2,0)</f>
        <v>#N/A</v>
      </c>
      <c r="F480" s="83" t="e">
        <f>VLOOKUP($D480,成品本月库存!$B:$J,5,0)</f>
        <v>#N/A</v>
      </c>
      <c r="G480" s="84"/>
      <c r="H480" s="83" t="e">
        <f>VLOOKUP($D480,成品本月库存!$B:$J,9,0)</f>
        <v>#N/A</v>
      </c>
      <c r="I480" s="99"/>
    </row>
    <row r="481" customHeight="1" spans="1:9">
      <c r="A481" s="80"/>
      <c r="B481" s="88"/>
      <c r="D481" s="82"/>
      <c r="E481" s="83" t="e">
        <f>VLOOKUP($D481,成品本月库存!$B:$J,2,0)</f>
        <v>#N/A</v>
      </c>
      <c r="F481" s="83" t="e">
        <f>VLOOKUP($D481,成品本月库存!$B:$J,5,0)</f>
        <v>#N/A</v>
      </c>
      <c r="G481" s="84"/>
      <c r="H481" s="83" t="e">
        <f>VLOOKUP($D481,成品本月库存!$B:$J,9,0)</f>
        <v>#N/A</v>
      </c>
      <c r="I481" s="99"/>
    </row>
    <row r="482" customHeight="1" spans="1:9">
      <c r="B482" s="81"/>
      <c r="D482" s="82"/>
      <c r="E482" s="83" t="e">
        <f>VLOOKUP($D482,成品本月库存!$B:$J,2,0)</f>
        <v>#N/A</v>
      </c>
      <c r="F482" s="83" t="e">
        <f>VLOOKUP($D482,成品本月库存!$B:$J,5,0)</f>
        <v>#N/A</v>
      </c>
      <c r="G482" s="84"/>
      <c r="H482" s="83" t="e">
        <f>VLOOKUP($D482,成品本月库存!$B:$J,9,0)</f>
        <v>#N/A</v>
      </c>
      <c r="I482" s="72"/>
    </row>
    <row r="483" customHeight="1" spans="1:9">
      <c r="B483" s="81"/>
      <c r="D483" s="82"/>
      <c r="E483" s="83" t="e">
        <f>VLOOKUP($D483,成品本月库存!$B:$J,2,0)</f>
        <v>#N/A</v>
      </c>
      <c r="F483" s="83" t="e">
        <f>VLOOKUP($D483,成品本月库存!$B:$J,5,0)</f>
        <v>#N/A</v>
      </c>
      <c r="G483" s="84"/>
      <c r="H483" s="83" t="e">
        <f>VLOOKUP($D483,成品本月库存!$B:$J,9,0)</f>
        <v>#N/A</v>
      </c>
      <c r="I483" s="72"/>
    </row>
    <row r="484" customHeight="1" spans="1:9">
      <c r="B484" s="81"/>
      <c r="D484" s="82"/>
      <c r="E484" s="83" t="e">
        <f>VLOOKUP($D484,成品本月库存!$B:$J,2,0)</f>
        <v>#N/A</v>
      </c>
      <c r="F484" s="83" t="e">
        <f>VLOOKUP($D484,成品本月库存!$B:$J,5,0)</f>
        <v>#N/A</v>
      </c>
      <c r="G484" s="84"/>
      <c r="H484" s="83" t="e">
        <f>VLOOKUP($D484,成品本月库存!$B:$J,9,0)</f>
        <v>#N/A</v>
      </c>
      <c r="I484" s="72"/>
    </row>
    <row r="485" customHeight="1" spans="1:9">
      <c r="B485" s="81"/>
      <c r="D485" s="82"/>
      <c r="E485" s="83" t="e">
        <f>VLOOKUP($D485,成品本月库存!$B:$J,2,0)</f>
        <v>#N/A</v>
      </c>
      <c r="F485" s="83" t="e">
        <f>VLOOKUP($D485,成品本月库存!$B:$J,5,0)</f>
        <v>#N/A</v>
      </c>
      <c r="G485" s="84"/>
      <c r="H485" s="83" t="e">
        <f>VLOOKUP($D485,成品本月库存!$B:$J,9,0)</f>
        <v>#N/A</v>
      </c>
      <c r="I485" s="72"/>
    </row>
    <row r="486" customHeight="1" spans="1:9">
      <c r="B486" s="81"/>
      <c r="D486" s="82"/>
      <c r="E486" s="83" t="e">
        <f>VLOOKUP($D486,成品本月库存!$B:$J,2,0)</f>
        <v>#N/A</v>
      </c>
      <c r="F486" s="83" t="e">
        <f>VLOOKUP($D486,成品本月库存!$B:$J,5,0)</f>
        <v>#N/A</v>
      </c>
      <c r="G486" s="84"/>
      <c r="H486" s="83" t="e">
        <f>VLOOKUP($D486,成品本月库存!$B:$J,9,0)</f>
        <v>#N/A</v>
      </c>
      <c r="I486" s="72"/>
    </row>
    <row r="487" customHeight="1" spans="1:9">
      <c r="B487" s="81"/>
      <c r="D487" s="82"/>
      <c r="E487" s="83" t="e">
        <f>VLOOKUP($D487,成品本月库存!$B:$J,2,0)</f>
        <v>#N/A</v>
      </c>
      <c r="F487" s="83" t="e">
        <f>VLOOKUP($D487,成品本月库存!$B:$J,5,0)</f>
        <v>#N/A</v>
      </c>
      <c r="G487" s="84"/>
      <c r="H487" s="83" t="e">
        <f>VLOOKUP($D487,成品本月库存!$B:$J,9,0)</f>
        <v>#N/A</v>
      </c>
      <c r="I487" s="72"/>
    </row>
    <row r="488" customHeight="1" spans="1:9">
      <c r="B488" s="81"/>
      <c r="D488" s="82"/>
      <c r="E488" s="83" t="e">
        <f>VLOOKUP($D488,成品本月库存!$B:$J,2,0)</f>
        <v>#N/A</v>
      </c>
      <c r="F488" s="83" t="e">
        <f>VLOOKUP($D488,成品本月库存!$B:$J,5,0)</f>
        <v>#N/A</v>
      </c>
      <c r="G488" s="84"/>
      <c r="H488" s="83" t="e">
        <f>VLOOKUP($D488,成品本月库存!$B:$J,9,0)</f>
        <v>#N/A</v>
      </c>
      <c r="I488" s="72"/>
    </row>
    <row r="489" customHeight="1" spans="1:9">
      <c r="B489" s="81"/>
      <c r="D489" s="82"/>
      <c r="E489" s="83" t="e">
        <f>VLOOKUP($D489,成品本月库存!$B:$J,2,0)</f>
        <v>#N/A</v>
      </c>
      <c r="F489" s="83" t="e">
        <f>VLOOKUP($D489,成品本月库存!$B:$J,5,0)</f>
        <v>#N/A</v>
      </c>
      <c r="G489" s="84"/>
      <c r="H489" s="83" t="e">
        <f>VLOOKUP($D489,成品本月库存!$B:$J,9,0)</f>
        <v>#N/A</v>
      </c>
      <c r="I489" s="72"/>
    </row>
    <row r="490" customHeight="1" spans="1:9">
      <c r="B490" s="81"/>
      <c r="D490" s="82"/>
      <c r="E490" s="83" t="e">
        <f>VLOOKUP($D490,成品本月库存!$B:$J,2,0)</f>
        <v>#N/A</v>
      </c>
      <c r="F490" s="83" t="e">
        <f>VLOOKUP($D490,成品本月库存!$B:$J,5,0)</f>
        <v>#N/A</v>
      </c>
      <c r="G490" s="84"/>
      <c r="H490" s="83" t="e">
        <f>VLOOKUP($D490,成品本月库存!$B:$J,9,0)</f>
        <v>#N/A</v>
      </c>
      <c r="I490" s="72"/>
    </row>
    <row r="491" customHeight="1" spans="1:9">
      <c r="B491" s="81"/>
      <c r="D491" s="82"/>
      <c r="E491" s="83" t="e">
        <f>VLOOKUP($D491,成品本月库存!$B:$J,2,0)</f>
        <v>#N/A</v>
      </c>
      <c r="F491" s="83" t="e">
        <f>VLOOKUP($D491,成品本月库存!$B:$J,5,0)</f>
        <v>#N/A</v>
      </c>
      <c r="G491" s="84"/>
      <c r="H491" s="83" t="e">
        <f>VLOOKUP($D491,成品本月库存!$B:$J,9,0)</f>
        <v>#N/A</v>
      </c>
      <c r="I491" s="72"/>
    </row>
    <row r="492" customHeight="1" spans="1:9">
      <c r="B492" s="81"/>
      <c r="D492" s="82"/>
      <c r="E492" s="83" t="e">
        <f>VLOOKUP($D492,成品本月库存!$B:$J,2,0)</f>
        <v>#N/A</v>
      </c>
      <c r="F492" s="83" t="e">
        <f>VLOOKUP($D492,成品本月库存!$B:$J,5,0)</f>
        <v>#N/A</v>
      </c>
      <c r="G492" s="84"/>
      <c r="H492" s="83" t="e">
        <f>VLOOKUP($D492,成品本月库存!$B:$J,9,0)</f>
        <v>#N/A</v>
      </c>
      <c r="I492" s="72"/>
    </row>
    <row r="493" customHeight="1" spans="1:9">
      <c r="B493" s="81"/>
      <c r="D493" s="82"/>
      <c r="E493" s="83" t="e">
        <f>VLOOKUP($D493,成品本月库存!$B:$J,2,0)</f>
        <v>#N/A</v>
      </c>
      <c r="F493" s="83" t="e">
        <f>VLOOKUP($D493,成品本月库存!$B:$J,5,0)</f>
        <v>#N/A</v>
      </c>
      <c r="G493" s="84"/>
      <c r="H493" s="83" t="e">
        <f>VLOOKUP($D493,成品本月库存!$B:$J,9,0)</f>
        <v>#N/A</v>
      </c>
      <c r="I493" s="72"/>
    </row>
    <row r="494" customHeight="1" spans="1:9">
      <c r="B494" s="81"/>
      <c r="D494" s="82"/>
      <c r="E494" s="83" t="e">
        <f>VLOOKUP($D494,成品本月库存!$B:$J,2,0)</f>
        <v>#N/A</v>
      </c>
      <c r="F494" s="83" t="e">
        <f>VLOOKUP($D494,成品本月库存!$B:$J,5,0)</f>
        <v>#N/A</v>
      </c>
      <c r="G494" s="84"/>
      <c r="H494" s="83" t="e">
        <f>VLOOKUP($D494,成品本月库存!$B:$J,9,0)</f>
        <v>#N/A</v>
      </c>
      <c r="I494" s="72"/>
    </row>
    <row r="495" customHeight="1" spans="1:9">
      <c r="B495" s="81"/>
      <c r="D495" s="82"/>
      <c r="E495" s="83" t="e">
        <f>VLOOKUP($D495,成品本月库存!$B:$J,2,0)</f>
        <v>#N/A</v>
      </c>
      <c r="F495" s="83" t="e">
        <f>VLOOKUP($D495,成品本月库存!$B:$J,5,0)</f>
        <v>#N/A</v>
      </c>
      <c r="G495" s="84"/>
      <c r="H495" s="83" t="e">
        <f>VLOOKUP($D495,成品本月库存!$B:$J,9,0)</f>
        <v>#N/A</v>
      </c>
      <c r="I495" s="72"/>
    </row>
    <row r="496" customHeight="1" spans="1:9">
      <c r="B496" s="81"/>
      <c r="D496" s="82"/>
      <c r="E496" s="83" t="e">
        <f>VLOOKUP($D496,成品本月库存!$B:$J,2,0)</f>
        <v>#N/A</v>
      </c>
      <c r="F496" s="83" t="e">
        <f>VLOOKUP($D496,成品本月库存!$B:$J,5,0)</f>
        <v>#N/A</v>
      </c>
      <c r="G496" s="84"/>
      <c r="H496" s="83" t="e">
        <f>VLOOKUP($D496,成品本月库存!$B:$J,9,0)</f>
        <v>#N/A</v>
      </c>
      <c r="I496" s="72"/>
    </row>
    <row r="497" customHeight="1" spans="2:9">
      <c r="B497" s="81"/>
      <c r="D497" s="82"/>
      <c r="E497" s="83" t="e">
        <f>VLOOKUP($D497,成品本月库存!$B:$J,2,0)</f>
        <v>#N/A</v>
      </c>
      <c r="F497" s="83" t="e">
        <f>VLOOKUP($D497,成品本月库存!$B:$J,5,0)</f>
        <v>#N/A</v>
      </c>
      <c r="G497" s="84"/>
      <c r="H497" s="83" t="e">
        <f>VLOOKUP($D497,成品本月库存!$B:$J,9,0)</f>
        <v>#N/A</v>
      </c>
      <c r="I497" s="72"/>
    </row>
    <row r="498" customHeight="1" spans="2:9">
      <c r="B498" s="81"/>
      <c r="D498" s="82"/>
      <c r="E498" s="83" t="e">
        <f>VLOOKUP($D498,成品本月库存!$B:$J,2,0)</f>
        <v>#N/A</v>
      </c>
      <c r="F498" s="83" t="e">
        <f>VLOOKUP($D498,成品本月库存!$B:$J,5,0)</f>
        <v>#N/A</v>
      </c>
      <c r="G498" s="84"/>
      <c r="H498" s="83" t="e">
        <f>VLOOKUP($D498,成品本月库存!$B:$J,9,0)</f>
        <v>#N/A</v>
      </c>
      <c r="I498" s="72"/>
    </row>
    <row r="499" customHeight="1" spans="2:9">
      <c r="B499" s="81"/>
      <c r="D499" s="82"/>
      <c r="E499" s="83" t="e">
        <f>VLOOKUP($D499,成品本月库存!$B:$J,2,0)</f>
        <v>#N/A</v>
      </c>
      <c r="F499" s="83" t="e">
        <f>VLOOKUP($D499,成品本月库存!$B:$J,5,0)</f>
        <v>#N/A</v>
      </c>
      <c r="G499" s="84"/>
      <c r="H499" s="83" t="e">
        <f>VLOOKUP($D499,成品本月库存!$B:$J,9,0)</f>
        <v>#N/A</v>
      </c>
      <c r="I499" s="72"/>
    </row>
    <row r="500" customHeight="1" spans="2:9">
      <c r="B500" s="81"/>
      <c r="D500" s="82"/>
      <c r="E500" s="83" t="e">
        <f>VLOOKUP($D500,成品本月库存!$B:$J,2,0)</f>
        <v>#N/A</v>
      </c>
      <c r="F500" s="83" t="e">
        <f>VLOOKUP($D500,成品本月库存!$B:$J,5,0)</f>
        <v>#N/A</v>
      </c>
      <c r="G500" s="84"/>
      <c r="H500" s="83" t="e">
        <f>VLOOKUP($D500,成品本月库存!$B:$J,9,0)</f>
        <v>#N/A</v>
      </c>
      <c r="I500" s="72"/>
    </row>
    <row r="501" customHeight="1" spans="2:9">
      <c r="E501" s="83" t="e">
        <f>VLOOKUP($D501,成品本月库存!$B:$J,2,0)</f>
        <v>#N/A</v>
      </c>
      <c r="F501" s="83" t="e">
        <f>VLOOKUP($D501,成品本月库存!$B:$J,5,0)</f>
        <v>#N/A</v>
      </c>
      <c r="H501" s="83" t="e">
        <f>VLOOKUP($D501,成品本月库存!$B:$J,9,0)</f>
        <v>#N/A</v>
      </c>
    </row>
    <row r="502" customHeight="1" spans="2:9">
      <c r="H502" s="83" t="e">
        <f>VLOOKUP($D502,成品本月库存!$B:$J,9,0)</f>
        <v>#N/A</v>
      </c>
    </row>
  </sheetData>
  <pageMargins left="0.699305555555556" right="0.699305555555556" top="0.75" bottom="0.75" header="0.3" footer="0.3"/>
  <pageSetup paperSize="9" scale="63" orientation="portrait"/>
  <headerFooter/>
  <colBreaks count="1" manualBreakCount="1">
    <brk id="8" max="100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96"/>
  <sheetViews>
    <sheetView showGridLines="0" workbookViewId="0">
      <pane ySplit="1" topLeftCell="A2" activePane="bottomLeft" state="frozen"/>
      <selection/>
      <selection pane="bottomLeft" activeCell="J6" sqref="J6"/>
    </sheetView>
  </sheetViews>
  <sheetFormatPr defaultColWidth="9" defaultRowHeight="14.25"/>
  <cols>
    <col min="1" max="1" width="10.875" style="44" customWidth="1"/>
    <col min="2" max="2" width="10.375" style="44"/>
    <col min="3" max="3" width="14.625" style="44" customWidth="1"/>
    <col min="4" max="4" width="12.7166666666667" style="44" customWidth="1"/>
    <col min="5" max="5" width="43.25" style="45" customWidth="1"/>
    <col min="6" max="6" width="5.625" style="45" customWidth="1"/>
    <col min="7" max="7" width="13.5" style="44" customWidth="1"/>
    <col min="8" max="8" width="9.875" style="45" customWidth="1"/>
    <col min="9" max="9" width="27.875" style="45" customWidth="1"/>
    <col min="10" max="16384" width="9" style="45"/>
  </cols>
  <sheetData>
    <row r="1" ht="22" customHeight="1" spans="1:9">
      <c r="A1" s="46" t="s">
        <v>317</v>
      </c>
      <c r="B1" s="47" t="s">
        <v>293</v>
      </c>
      <c r="C1" s="48" t="s">
        <v>294</v>
      </c>
      <c r="D1" s="48" t="s">
        <v>3</v>
      </c>
      <c r="E1" s="49" t="s">
        <v>4</v>
      </c>
      <c r="F1" s="46" t="s">
        <v>5</v>
      </c>
      <c r="G1" s="46" t="s">
        <v>6</v>
      </c>
      <c r="H1" s="50" t="s">
        <v>8</v>
      </c>
    </row>
    <row r="2" ht="15.75" spans="1:9">
      <c r="A2" s="20" t="s">
        <v>318</v>
      </c>
      <c r="B2" s="51">
        <v>46209</v>
      </c>
      <c r="C2" s="52"/>
      <c r="D2" s="10" t="s">
        <v>127</v>
      </c>
      <c r="E2" s="53" t="str">
        <f>VLOOKUP($D2,成品本月库存!$B:$J,2,0)</f>
        <v>HH8513旋钮</v>
      </c>
      <c r="F2" s="54" t="str">
        <f>VLOOKUP($D2,成品本月库存!$B:$J,5,0)</f>
        <v>PCS</v>
      </c>
      <c r="G2" s="55">
        <v>-4917</v>
      </c>
      <c r="H2" s="53">
        <f>VLOOKUP($D2,成品本月库存!$B:$J,9,0)</f>
        <v>14190</v>
      </c>
      <c r="I2" s="56" t="s">
        <v>319</v>
      </c>
    </row>
    <row r="3" ht="15.75" spans="1:9">
      <c r="A3" s="20" t="s">
        <v>320</v>
      </c>
      <c r="B3" s="51">
        <v>46209</v>
      </c>
      <c r="C3" s="52"/>
      <c r="D3" s="10" t="s">
        <v>37</v>
      </c>
      <c r="E3" s="53" t="str">
        <f>VLOOKUP($D3,成品本月库存!$B:$J,2,0)</f>
        <v>DUD3500D1</v>
      </c>
      <c r="F3" s="54" t="str">
        <f>VLOOKUP($D3,成品本月库存!$B:$J,5,0)</f>
        <v>PCS</v>
      </c>
      <c r="G3" s="55">
        <v>3</v>
      </c>
      <c r="H3" s="53">
        <f>VLOOKUP($D3,成品本月库存!$B:$J,9,0)</f>
        <v>149</v>
      </c>
      <c r="I3" s="56" t="s">
        <v>321</v>
      </c>
    </row>
    <row r="4" ht="15.75" spans="1:9">
      <c r="A4" s="20" t="s">
        <v>322</v>
      </c>
      <c r="B4" s="51">
        <v>46209</v>
      </c>
      <c r="C4" s="57"/>
      <c r="D4" s="10" t="s">
        <v>240</v>
      </c>
      <c r="E4" s="53" t="str">
        <f>VLOOKUP($D4,成品本月库存!$B:$J,2,0)</f>
        <v>双目支架</v>
      </c>
      <c r="F4" s="54" t="str">
        <f>VLOOKUP($D4,成品本月库存!$B:$J,5,0)</f>
        <v>PCS</v>
      </c>
      <c r="G4" s="55">
        <v>3120</v>
      </c>
      <c r="H4" s="53">
        <f>VLOOKUP($D4,成品本月库存!$B:$J,9,0)</f>
        <v>16091</v>
      </c>
      <c r="I4" s="56"/>
    </row>
    <row r="5" ht="15.75" spans="1:9">
      <c r="A5" s="20" t="s">
        <v>323</v>
      </c>
      <c r="B5" s="51">
        <v>46209</v>
      </c>
      <c r="C5" s="57"/>
      <c r="D5" s="10" t="s">
        <v>58</v>
      </c>
      <c r="E5" s="53" t="str">
        <f>VLOOKUP($D5,成品本月库存!$B:$J,2,0)</f>
        <v>T93-13</v>
      </c>
      <c r="F5" s="54" t="str">
        <f>VLOOKUP($D5,成品本月库存!$B:$J,5,0)</f>
        <v>PCS</v>
      </c>
      <c r="G5" s="55">
        <v>1350</v>
      </c>
      <c r="H5" s="53">
        <f>VLOOKUP($D5,成品本月库存!$B:$J,9,0)</f>
        <v>1278</v>
      </c>
      <c r="I5" s="56"/>
    </row>
    <row r="6" ht="15.75" spans="1:9">
      <c r="A6" s="20" t="s">
        <v>323</v>
      </c>
      <c r="B6" s="51">
        <v>46209</v>
      </c>
      <c r="C6" s="57"/>
      <c r="D6" s="10" t="s">
        <v>60</v>
      </c>
      <c r="E6" s="53" t="str">
        <f>VLOOKUP($D6,成品本月库存!$B:$J,2,0)</f>
        <v>T93-20</v>
      </c>
      <c r="F6" s="54" t="str">
        <f>VLOOKUP($D6,成品本月库存!$B:$J,5,0)</f>
        <v>PCS</v>
      </c>
      <c r="G6" s="55">
        <v>7020</v>
      </c>
      <c r="H6" s="53">
        <f>VLOOKUP($D6,成品本月库存!$B:$J,9,0)</f>
        <v>3846</v>
      </c>
      <c r="I6" s="56"/>
    </row>
    <row r="7" ht="15.75" spans="1:9">
      <c r="A7" s="20" t="s">
        <v>323</v>
      </c>
      <c r="B7" s="51">
        <v>46209</v>
      </c>
      <c r="C7" s="57"/>
      <c r="D7" s="10" t="s">
        <v>73</v>
      </c>
      <c r="E7" s="53" t="str">
        <f>VLOOKUP($D7,成品本月库存!$B:$J,2,0)</f>
        <v>T93-29镭雕</v>
      </c>
      <c r="F7" s="54" t="str">
        <f>VLOOKUP($D7,成品本月库存!$B:$J,5,0)</f>
        <v>PCS</v>
      </c>
      <c r="G7" s="55">
        <v>1350</v>
      </c>
      <c r="H7" s="53">
        <f>VLOOKUP($D7,成品本月库存!$B:$J,9,0)</f>
        <v>877</v>
      </c>
      <c r="I7" s="56"/>
    </row>
    <row r="8" ht="15.75" spans="1:9">
      <c r="A8" s="20" t="s">
        <v>323</v>
      </c>
      <c r="B8" s="51">
        <v>46209</v>
      </c>
      <c r="C8" s="57"/>
      <c r="D8" s="10" t="s">
        <v>76</v>
      </c>
      <c r="E8" s="53" t="str">
        <f>VLOOKUP($D8,成品本月库存!$B:$J,2,0)</f>
        <v>JK111-03机壳（无牙）</v>
      </c>
      <c r="F8" s="54" t="str">
        <f>VLOOKUP($D8,成品本月库存!$B:$J,5,0)</f>
        <v>PCS</v>
      </c>
      <c r="G8" s="55">
        <v>1350</v>
      </c>
      <c r="H8" s="53">
        <f>VLOOKUP($D8,成品本月库存!$B:$J,9,0)</f>
        <v>7933</v>
      </c>
      <c r="I8" s="56"/>
    </row>
    <row r="9" ht="15.75" spans="1:9">
      <c r="A9" s="20" t="s">
        <v>324</v>
      </c>
      <c r="B9" s="51">
        <v>46210</v>
      </c>
      <c r="C9" s="57"/>
      <c r="D9" s="10" t="s">
        <v>91</v>
      </c>
      <c r="E9" s="53" t="str">
        <f>VLOOKUP($D9,成品本月库存!$B:$J,2,0)</f>
        <v>G2124DM11B01</v>
      </c>
      <c r="F9" s="54" t="str">
        <f>VLOOKUP($D9,成品本月库存!$B:$J,5,0)</f>
        <v>PCS</v>
      </c>
      <c r="G9" s="55">
        <v>1200</v>
      </c>
      <c r="H9" s="53">
        <f>VLOOKUP($D9,成品本月库存!$B:$J,9,0)</f>
        <v>6376</v>
      </c>
      <c r="I9" s="56"/>
    </row>
    <row r="10" ht="15.75" spans="1:9">
      <c r="A10" s="20" t="s">
        <v>298</v>
      </c>
      <c r="B10" s="51">
        <v>46209</v>
      </c>
      <c r="C10" s="134" t="s">
        <v>325</v>
      </c>
      <c r="D10" s="10" t="s">
        <v>60</v>
      </c>
      <c r="E10" s="53" t="str">
        <f>VLOOKUP($D10,成品本月库存!$B:$J,2,0)</f>
        <v>T93-20</v>
      </c>
      <c r="F10" s="54" t="str">
        <f>VLOOKUP($D10,成品本月库存!$B:$J,5,0)</f>
        <v>PCS</v>
      </c>
      <c r="G10" s="55">
        <v>149</v>
      </c>
      <c r="H10" s="53">
        <f>VLOOKUP($D10,成品本月库存!$B:$J,9,0)</f>
        <v>3846</v>
      </c>
      <c r="I10" s="56"/>
    </row>
    <row r="11" ht="15.75" spans="1:9">
      <c r="A11" s="20" t="s">
        <v>298</v>
      </c>
      <c r="B11" s="51">
        <v>46209</v>
      </c>
      <c r="C11" s="134" t="s">
        <v>325</v>
      </c>
      <c r="D11" s="10" t="s">
        <v>202</v>
      </c>
      <c r="E11" s="53" t="str">
        <f>VLOOKUP($D11,成品本月库存!$B:$J,2,0)</f>
        <v>扳手810STK2头壳</v>
      </c>
      <c r="F11" s="54" t="str">
        <f>VLOOKUP($D11,成品本月库存!$B:$J,5,0)</f>
        <v>PCS</v>
      </c>
      <c r="G11" s="55">
        <v>2</v>
      </c>
      <c r="H11" s="53">
        <f>VLOOKUP($D11,成品本月库存!$B:$J,9,0)</f>
        <v>-7</v>
      </c>
      <c r="I11" s="56"/>
    </row>
    <row r="12" ht="15.75" spans="1:9">
      <c r="A12" s="20" t="s">
        <v>298</v>
      </c>
      <c r="B12" s="51">
        <v>46209</v>
      </c>
      <c r="C12" s="134" t="s">
        <v>325</v>
      </c>
      <c r="D12" s="10" t="s">
        <v>179</v>
      </c>
      <c r="E12" s="53" t="str">
        <f>VLOOKUP($D12,成品本月库存!$B:$J,2,0)</f>
        <v>扳手818头壳（带花纹含轴套）</v>
      </c>
      <c r="F12" s="54" t="str">
        <f>VLOOKUP($D12,成品本月库存!$B:$J,5,0)</f>
        <v>PCS</v>
      </c>
      <c r="G12" s="55">
        <v>4</v>
      </c>
      <c r="H12" s="53">
        <f>VLOOKUP($D12,成品本月库存!$B:$J,9,0)</f>
        <v>4258</v>
      </c>
      <c r="I12" s="56"/>
    </row>
    <row r="13" ht="15.75" spans="1:9">
      <c r="A13" s="20" t="s">
        <v>298</v>
      </c>
      <c r="B13" s="51">
        <v>46209</v>
      </c>
      <c r="C13" s="134" t="s">
        <v>325</v>
      </c>
      <c r="D13" s="10" t="s">
        <v>173</v>
      </c>
      <c r="E13" s="53" t="str">
        <f>VLOOKUP($D13,成品本月库存!$B:$J,2,0)</f>
        <v>扳手809头壳(含轴套)</v>
      </c>
      <c r="F13" s="54" t="str">
        <f>VLOOKUP($D13,成品本月库存!$B:$J,5,0)</f>
        <v>PCS</v>
      </c>
      <c r="G13" s="55">
        <v>178</v>
      </c>
      <c r="H13" s="53">
        <f>VLOOKUP($D13,成品本月库存!$B:$J,9,0)</f>
        <v>1675</v>
      </c>
      <c r="I13" s="56"/>
    </row>
    <row r="14" ht="15.75" spans="1:9">
      <c r="A14" s="20" t="s">
        <v>298</v>
      </c>
      <c r="B14" s="51">
        <v>46209</v>
      </c>
      <c r="C14" s="134" t="s">
        <v>325</v>
      </c>
      <c r="D14" s="10" t="s">
        <v>220</v>
      </c>
      <c r="E14" s="53" t="str">
        <f>VLOOKUP($D14,成品本月库存!$B:$J,2,0)</f>
        <v>黄油枪HY01A齿轮箱</v>
      </c>
      <c r="F14" s="54" t="str">
        <f>VLOOKUP($D14,成品本月库存!$B:$J,5,0)</f>
        <v>PCS</v>
      </c>
      <c r="G14" s="55">
        <v>5</v>
      </c>
      <c r="H14" s="53">
        <f>VLOOKUP($D14,成品本月库存!$B:$J,9,0)</f>
        <v>4</v>
      </c>
      <c r="I14" s="56"/>
    </row>
    <row r="15" ht="15.75" spans="1:9">
      <c r="A15" s="20" t="s">
        <v>298</v>
      </c>
      <c r="B15" s="51">
        <v>46209</v>
      </c>
      <c r="C15" s="134" t="s">
        <v>325</v>
      </c>
      <c r="D15" s="10" t="s">
        <v>202</v>
      </c>
      <c r="E15" s="53" t="str">
        <f>VLOOKUP($D15,成品本月库存!$B:$J,2,0)</f>
        <v>扳手810STK2头壳</v>
      </c>
      <c r="F15" s="54" t="str">
        <f>VLOOKUP($D15,成品本月库存!$B:$J,5,0)</f>
        <v>PCS</v>
      </c>
      <c r="G15" s="55">
        <v>14</v>
      </c>
      <c r="H15" s="53">
        <f>VLOOKUP($D15,成品本月库存!$B:$J,9,0)</f>
        <v>-7</v>
      </c>
      <c r="I15" s="56"/>
    </row>
    <row r="16" ht="15.75" spans="1:9">
      <c r="A16" s="20" t="s">
        <v>298</v>
      </c>
      <c r="B16" s="51">
        <v>46209</v>
      </c>
      <c r="C16" s="134" t="s">
        <v>325</v>
      </c>
      <c r="D16" s="10" t="s">
        <v>297</v>
      </c>
      <c r="E16" s="53" t="str">
        <f>VLOOKUP($D16,成品本月库存!$B:$J,2,0)</f>
        <v>扳手810端盖--黑色</v>
      </c>
      <c r="F16" s="54" t="str">
        <f>VLOOKUP($D16,成品本月库存!$B:$J,5,0)</f>
        <v>PCS</v>
      </c>
      <c r="G16" s="55">
        <v>13</v>
      </c>
      <c r="H16" s="53">
        <f>VLOOKUP($D16,成品本月库存!$B:$J,9,0)</f>
        <v>842</v>
      </c>
      <c r="I16" s="56"/>
    </row>
    <row r="17" ht="15.75" spans="1:9">
      <c r="A17" s="20" t="s">
        <v>298</v>
      </c>
      <c r="B17" s="51">
        <v>46209</v>
      </c>
      <c r="C17" s="134" t="s">
        <v>325</v>
      </c>
      <c r="D17" s="10" t="s">
        <v>297</v>
      </c>
      <c r="E17" s="53" t="str">
        <f>VLOOKUP($D17,成品本月库存!$B:$J,2,0)</f>
        <v>扳手810端盖--黑色</v>
      </c>
      <c r="F17" s="54" t="str">
        <f>VLOOKUP($D17,成品本月库存!$B:$J,5,0)</f>
        <v>PCS</v>
      </c>
      <c r="G17" s="55">
        <v>97</v>
      </c>
      <c r="H17" s="53">
        <f>VLOOKUP($D17,成品本月库存!$B:$J,9,0)</f>
        <v>842</v>
      </c>
      <c r="I17" s="56"/>
    </row>
    <row r="18" ht="15.75" spans="1:9">
      <c r="A18" s="20" t="s">
        <v>298</v>
      </c>
      <c r="B18" s="51">
        <v>46210</v>
      </c>
      <c r="C18" s="134" t="s">
        <v>326</v>
      </c>
      <c r="D18" s="10" t="s">
        <v>74</v>
      </c>
      <c r="E18" s="53" t="str">
        <f>VLOOKUP($D18,成品本月库存!$B:$J,2,0)</f>
        <v>T93-33镭雕（4孔）</v>
      </c>
      <c r="F18" s="54" t="str">
        <f>VLOOKUP($D18,成品本月库存!$B:$J,5,0)</f>
        <v>PCS</v>
      </c>
      <c r="G18" s="55">
        <v>19</v>
      </c>
      <c r="H18" s="53">
        <f>VLOOKUP($D18,成品本月库存!$B:$J,9,0)</f>
        <v>887</v>
      </c>
      <c r="I18" s="56"/>
    </row>
    <row r="19" ht="15.75" spans="1:9">
      <c r="A19" s="20" t="s">
        <v>298</v>
      </c>
      <c r="B19" s="51">
        <v>46210</v>
      </c>
      <c r="C19" s="134" t="s">
        <v>326</v>
      </c>
      <c r="D19" s="10" t="s">
        <v>74</v>
      </c>
      <c r="E19" s="53" t="str">
        <f>VLOOKUP($D19,成品本月库存!$B:$J,2,0)</f>
        <v>T93-33镭雕（4孔）</v>
      </c>
      <c r="F19" s="54" t="str">
        <f>VLOOKUP($D19,成品本月库存!$B:$J,5,0)</f>
        <v>PCS</v>
      </c>
      <c r="G19" s="55">
        <v>6</v>
      </c>
      <c r="H19" s="53">
        <f>VLOOKUP($D19,成品本月库存!$B:$J,9,0)</f>
        <v>887</v>
      </c>
      <c r="I19" s="56"/>
    </row>
    <row r="20" ht="15.75" spans="1:9">
      <c r="A20" s="20" t="s">
        <v>298</v>
      </c>
      <c r="B20" s="51">
        <v>46210</v>
      </c>
      <c r="C20" s="134" t="s">
        <v>326</v>
      </c>
      <c r="D20" s="10" t="s">
        <v>73</v>
      </c>
      <c r="E20" s="53" t="str">
        <f>VLOOKUP($D20,成品本月库存!$B:$J,2,0)</f>
        <v>T93-29镭雕</v>
      </c>
      <c r="F20" s="54" t="str">
        <f>VLOOKUP($D20,成品本月库存!$B:$J,5,0)</f>
        <v>PCS</v>
      </c>
      <c r="G20" s="55">
        <v>24</v>
      </c>
      <c r="H20" s="53">
        <f>VLOOKUP($D20,成品本月库存!$B:$J,9,0)</f>
        <v>877</v>
      </c>
      <c r="I20" s="56"/>
    </row>
    <row r="21" ht="15.75" spans="1:9">
      <c r="A21" s="20" t="s">
        <v>298</v>
      </c>
      <c r="B21" s="51">
        <v>46210</v>
      </c>
      <c r="C21" s="134" t="s">
        <v>326</v>
      </c>
      <c r="D21" s="10" t="s">
        <v>73</v>
      </c>
      <c r="E21" s="53" t="str">
        <f>VLOOKUP($D21,成品本月库存!$B:$J,2,0)</f>
        <v>T93-29镭雕</v>
      </c>
      <c r="F21" s="54" t="str">
        <f>VLOOKUP($D21,成品本月库存!$B:$J,5,0)</f>
        <v>PCS</v>
      </c>
      <c r="G21" s="55">
        <v>11</v>
      </c>
      <c r="H21" s="53">
        <f>VLOOKUP($D21,成品本月库存!$B:$J,9,0)</f>
        <v>877</v>
      </c>
      <c r="I21" s="56"/>
    </row>
    <row r="22" ht="15.75" spans="1:9">
      <c r="A22" s="20" t="s">
        <v>298</v>
      </c>
      <c r="B22" s="51">
        <v>46210</v>
      </c>
      <c r="C22" s="134" t="s">
        <v>326</v>
      </c>
      <c r="D22" s="10" t="s">
        <v>76</v>
      </c>
      <c r="E22" s="53" t="str">
        <f>VLOOKUP($D22,成品本月库存!$B:$J,2,0)</f>
        <v>JK111-03机壳（无牙）</v>
      </c>
      <c r="F22" s="54" t="str">
        <f>VLOOKUP($D22,成品本月库存!$B:$J,5,0)</f>
        <v>PCS</v>
      </c>
      <c r="G22" s="55">
        <v>11</v>
      </c>
      <c r="H22" s="53">
        <f>VLOOKUP($D22,成品本月库存!$B:$J,9,0)</f>
        <v>7933</v>
      </c>
      <c r="I22" s="56"/>
    </row>
    <row r="23" ht="15.75" spans="1:9">
      <c r="A23" s="20" t="s">
        <v>298</v>
      </c>
      <c r="B23" s="51">
        <v>46210</v>
      </c>
      <c r="C23" s="134" t="s">
        <v>326</v>
      </c>
      <c r="D23" s="10" t="s">
        <v>76</v>
      </c>
      <c r="E23" s="53" t="str">
        <f>VLOOKUP($D23,成品本月库存!$B:$J,2,0)</f>
        <v>JK111-03机壳（无牙）</v>
      </c>
      <c r="F23" s="54" t="str">
        <f>VLOOKUP($D23,成品本月库存!$B:$J,5,0)</f>
        <v>PCS</v>
      </c>
      <c r="G23" s="55">
        <v>96</v>
      </c>
      <c r="H23" s="53">
        <f>VLOOKUP($D23,成品本月库存!$B:$J,9,0)</f>
        <v>7933</v>
      </c>
      <c r="I23" s="56"/>
    </row>
    <row r="24" ht="15.75" spans="1:9">
      <c r="A24" s="20" t="s">
        <v>298</v>
      </c>
      <c r="B24" s="51">
        <v>46210</v>
      </c>
      <c r="C24" s="134" t="s">
        <v>326</v>
      </c>
      <c r="D24" s="10" t="s">
        <v>91</v>
      </c>
      <c r="E24" s="53" t="str">
        <f>VLOOKUP($D24,成品本月库存!$B:$J,2,0)</f>
        <v>G2124DM11B01</v>
      </c>
      <c r="F24" s="54" t="str">
        <f>VLOOKUP($D24,成品本月库存!$B:$J,5,0)</f>
        <v>PCS</v>
      </c>
      <c r="G24" s="55">
        <v>54</v>
      </c>
      <c r="H24" s="53">
        <f>VLOOKUP($D24,成品本月库存!$B:$J,9,0)</f>
        <v>6376</v>
      </c>
      <c r="I24" s="56"/>
    </row>
    <row r="25" ht="15.75" spans="1:9">
      <c r="A25" s="20" t="s">
        <v>298</v>
      </c>
      <c r="B25" s="51">
        <v>46210</v>
      </c>
      <c r="C25" s="134" t="s">
        <v>326</v>
      </c>
      <c r="D25" s="10" t="s">
        <v>91</v>
      </c>
      <c r="E25" s="53" t="str">
        <f>VLOOKUP($D25,成品本月库存!$B:$J,2,0)</f>
        <v>G2124DM11B01</v>
      </c>
      <c r="F25" s="54" t="str">
        <f>VLOOKUP($D25,成品本月库存!$B:$J,5,0)</f>
        <v>PCS</v>
      </c>
      <c r="G25" s="55">
        <v>8</v>
      </c>
      <c r="H25" s="53">
        <f>VLOOKUP($D25,成品本月库存!$B:$J,9,0)</f>
        <v>6376</v>
      </c>
      <c r="I25" s="56"/>
    </row>
    <row r="26" ht="15.75" spans="1:9">
      <c r="A26" s="20" t="s">
        <v>327</v>
      </c>
      <c r="B26" s="51">
        <v>46211</v>
      </c>
      <c r="C26" s="134" t="s">
        <v>328</v>
      </c>
      <c r="D26" s="10" t="s">
        <v>329</v>
      </c>
      <c r="E26" s="53" t="str">
        <f>VLOOKUP($D26,成品本月库存!$B:$J,2,0)</f>
        <v>M3 Sus TS brt LS 左摆臂</v>
      </c>
      <c r="F26" s="54" t="str">
        <f>VLOOKUP($D26,成品本月库存!$B:$J,5,0)</f>
        <v>PCS</v>
      </c>
      <c r="G26" s="55">
        <v>-761</v>
      </c>
      <c r="H26" s="53">
        <f>VLOOKUP($D26,成品本月库存!$B:$J,9,0)</f>
        <v>761</v>
      </c>
      <c r="I26" s="56" t="s">
        <v>319</v>
      </c>
    </row>
    <row r="27" ht="15.75" spans="1:9">
      <c r="A27" s="20" t="s">
        <v>327</v>
      </c>
      <c r="B27" s="51">
        <v>46211</v>
      </c>
      <c r="C27" s="134" t="s">
        <v>328</v>
      </c>
      <c r="D27" s="10" t="s">
        <v>330</v>
      </c>
      <c r="E27" s="53" t="str">
        <f>VLOOKUP($D27,成品本月库存!$B:$J,2,0)</f>
        <v>M3 Sus TS brt RS 右摆臂</v>
      </c>
      <c r="F27" s="54" t="str">
        <f>VLOOKUP($D27,成品本月库存!$B:$J,5,0)</f>
        <v>PCS</v>
      </c>
      <c r="G27" s="55">
        <v>-360</v>
      </c>
      <c r="H27" s="53">
        <f>VLOOKUP($D27,成品本月库存!$B:$J,9,0)</f>
        <v>360</v>
      </c>
      <c r="I27" s="56" t="s">
        <v>319</v>
      </c>
    </row>
    <row r="28" ht="15.75" spans="1:9">
      <c r="A28" s="20" t="s">
        <v>318</v>
      </c>
      <c r="B28" s="51">
        <v>46211</v>
      </c>
      <c r="C28" s="57"/>
      <c r="D28" s="10" t="s">
        <v>128</v>
      </c>
      <c r="E28" s="53" t="str">
        <f>VLOOKUP($D28,成品本月库存!$B:$J,2,0)</f>
        <v>铝压盖/8526</v>
      </c>
      <c r="F28" s="54" t="str">
        <f>VLOOKUP($D28,成品本月库存!$B:$J,5,0)</f>
        <v>PCS</v>
      </c>
      <c r="G28" s="55">
        <v>10</v>
      </c>
      <c r="H28" s="53">
        <f>VLOOKUP($D28,成品本月库存!$B:$J,9,0)</f>
        <v>1824</v>
      </c>
      <c r="I28" s="56" t="s">
        <v>331</v>
      </c>
    </row>
    <row r="29" ht="15.75" spans="1:9">
      <c r="A29" s="20" t="s">
        <v>318</v>
      </c>
      <c r="B29" s="51">
        <v>46211</v>
      </c>
      <c r="C29" s="57"/>
      <c r="D29" s="10" t="s">
        <v>129</v>
      </c>
      <c r="E29" s="53" t="str">
        <f>VLOOKUP($D29,成品本月库存!$B:$J,2,0)</f>
        <v>8527旋钮</v>
      </c>
      <c r="F29" s="54" t="str">
        <f>VLOOKUP($D29,成品本月库存!$B:$J,5,0)</f>
        <v>PCS</v>
      </c>
      <c r="G29" s="55">
        <v>10</v>
      </c>
      <c r="H29" s="53">
        <f>VLOOKUP($D29,成品本月库存!$B:$J,9,0)</f>
        <v>104</v>
      </c>
      <c r="I29" s="56"/>
    </row>
    <row r="30" ht="15.75" spans="1:9">
      <c r="A30" s="20" t="s">
        <v>318</v>
      </c>
      <c r="B30" s="51">
        <v>46211</v>
      </c>
      <c r="C30" s="57"/>
      <c r="D30" s="10" t="s">
        <v>129</v>
      </c>
      <c r="E30" s="53" t="str">
        <f>VLOOKUP($D30,成品本月库存!$B:$J,2,0)</f>
        <v>8527旋钮</v>
      </c>
      <c r="F30" s="54" t="str">
        <f>VLOOKUP($D30,成品本月库存!$B:$J,5,0)</f>
        <v>PCS</v>
      </c>
      <c r="G30" s="55">
        <v>10</v>
      </c>
      <c r="H30" s="53">
        <f>VLOOKUP($D30,成品本月库存!$B:$J,9,0)</f>
        <v>104</v>
      </c>
    </row>
    <row r="31" ht="15.75" spans="1:9">
      <c r="A31" s="20" t="s">
        <v>318</v>
      </c>
      <c r="B31" s="51">
        <v>46211</v>
      </c>
      <c r="C31" s="57"/>
      <c r="D31" s="10" t="s">
        <v>129</v>
      </c>
      <c r="E31" s="53" t="str">
        <f>VLOOKUP($D31,成品本月库存!$B:$J,2,0)</f>
        <v>8527旋钮</v>
      </c>
      <c r="F31" s="54" t="str">
        <f>VLOOKUP($D31,成品本月库存!$B:$J,5,0)</f>
        <v>PCS</v>
      </c>
      <c r="G31" s="55">
        <v>10</v>
      </c>
      <c r="H31" s="53">
        <f>VLOOKUP($D31,成品本月库存!$B:$J,9,0)</f>
        <v>104</v>
      </c>
      <c r="I31" s="56"/>
    </row>
    <row r="32" ht="15.75" spans="1:9">
      <c r="A32" s="20" t="s">
        <v>332</v>
      </c>
      <c r="B32" s="51">
        <v>46211</v>
      </c>
      <c r="C32" s="57"/>
      <c r="D32" s="10" t="s">
        <v>302</v>
      </c>
      <c r="E32" s="53" t="str">
        <f>VLOOKUP($D32,成品本月库存!$B:$J,2,0)</f>
        <v>双嘴钳</v>
      </c>
      <c r="F32" s="54" t="str">
        <f>VLOOKUP($D32,成品本月库存!$B:$J,5,0)</f>
        <v>PCS</v>
      </c>
      <c r="G32" s="55">
        <v>5095</v>
      </c>
      <c r="H32" s="53">
        <f>VLOOKUP($D32,成品本月库存!$B:$J,9,0)</f>
        <v>-7</v>
      </c>
      <c r="I32" s="56"/>
    </row>
    <row r="33" ht="15.75" spans="1:9">
      <c r="A33" s="20" t="s">
        <v>333</v>
      </c>
      <c r="B33" s="51">
        <v>46211</v>
      </c>
      <c r="C33" s="57"/>
      <c r="D33" s="10" t="s">
        <v>173</v>
      </c>
      <c r="E33" s="53" t="str">
        <f>VLOOKUP($D33,成品本月库存!$B:$J,2,0)</f>
        <v>扳手809头壳(含轴套)</v>
      </c>
      <c r="F33" s="54" t="str">
        <f>VLOOKUP($D33,成品本月库存!$B:$J,5,0)</f>
        <v>PCS</v>
      </c>
      <c r="G33" s="55">
        <v>3363</v>
      </c>
      <c r="H33" s="53">
        <f>VLOOKUP($D33,成品本月库存!$B:$J,9,0)</f>
        <v>1675</v>
      </c>
      <c r="I33" s="56"/>
    </row>
    <row r="34" ht="15.75" spans="1:9">
      <c r="A34" s="20" t="s">
        <v>333</v>
      </c>
      <c r="B34" s="51">
        <v>46211</v>
      </c>
      <c r="C34" s="57"/>
      <c r="D34" s="10" t="s">
        <v>202</v>
      </c>
      <c r="E34" s="53" t="str">
        <f>VLOOKUP($D34,成品本月库存!$B:$J,2,0)</f>
        <v>扳手810STK2头壳</v>
      </c>
      <c r="F34" s="54" t="str">
        <f>VLOOKUP($D34,成品本月库存!$B:$J,5,0)</f>
        <v>PCS</v>
      </c>
      <c r="G34" s="55">
        <v>3369</v>
      </c>
      <c r="H34" s="53">
        <f>VLOOKUP($D34,成品本月库存!$B:$J,9,0)</f>
        <v>-7</v>
      </c>
      <c r="I34" s="56"/>
    </row>
    <row r="35" ht="15.75" spans="1:9">
      <c r="A35" s="20" t="s">
        <v>333</v>
      </c>
      <c r="B35" s="51">
        <v>46211</v>
      </c>
      <c r="C35" s="57"/>
      <c r="D35" s="10" t="s">
        <v>209</v>
      </c>
      <c r="E35" s="53" t="str">
        <f>VLOOKUP($D35,成品本月库存!$B:$J,2,0)</f>
        <v>扳手809S 头壳 世达款</v>
      </c>
      <c r="F35" s="54" t="str">
        <f>VLOOKUP($D35,成品本月库存!$B:$J,5,0)</f>
        <v>PCS</v>
      </c>
      <c r="G35" s="55">
        <v>707</v>
      </c>
      <c r="H35" s="53">
        <f>VLOOKUP($D35,成品本月库存!$B:$J,9,0)</f>
        <v>0</v>
      </c>
      <c r="I35" s="56"/>
    </row>
    <row r="36" ht="15.75" spans="1:9">
      <c r="A36" s="20" t="s">
        <v>333</v>
      </c>
      <c r="B36" s="51">
        <v>46211</v>
      </c>
      <c r="C36" s="57"/>
      <c r="D36" s="10" t="s">
        <v>220</v>
      </c>
      <c r="E36" s="53" t="str">
        <f>VLOOKUP($D36,成品本月库存!$B:$J,2,0)</f>
        <v>黄油枪HY01A齿轮箱</v>
      </c>
      <c r="F36" s="54" t="str">
        <f>VLOOKUP($D36,成品本月库存!$B:$J,5,0)</f>
        <v>PCS</v>
      </c>
      <c r="G36" s="55">
        <v>336</v>
      </c>
      <c r="H36" s="53">
        <f>VLOOKUP($D36,成品本月库存!$B:$J,9,0)</f>
        <v>4</v>
      </c>
      <c r="I36" s="56"/>
    </row>
    <row r="37" ht="15.75" spans="1:9">
      <c r="A37" s="20" t="s">
        <v>333</v>
      </c>
      <c r="B37" s="51">
        <v>46211</v>
      </c>
      <c r="C37" s="57"/>
      <c r="D37" s="10" t="s">
        <v>175</v>
      </c>
      <c r="E37" s="53" t="str">
        <f>VLOOKUP($D37,成品本月库存!$B:$J,2,0)</f>
        <v>起子机2108-W头壳（230N头壳无轴套）</v>
      </c>
      <c r="F37" s="54" t="str">
        <f>VLOOKUP($D37,成品本月库存!$B:$J,5,0)</f>
        <v>PCS</v>
      </c>
      <c r="G37" s="55">
        <v>200</v>
      </c>
      <c r="H37" s="53">
        <f>VLOOKUP($D37,成品本月库存!$B:$J,9,0)</f>
        <v>1670</v>
      </c>
      <c r="I37" s="56"/>
    </row>
    <row r="38" ht="15.75" spans="1:9">
      <c r="A38" s="20" t="s">
        <v>333</v>
      </c>
      <c r="B38" s="51">
        <v>46212</v>
      </c>
      <c r="C38" s="57"/>
      <c r="D38" s="10" t="s">
        <v>284</v>
      </c>
      <c r="E38" s="53" t="str">
        <f>VLOOKUP($D38,成品本月库存!$B:$J,2,0)</f>
        <v>扳手806S头壳 SD</v>
      </c>
      <c r="F38" s="54" t="str">
        <f>VLOOKUP($D38,成品本月库存!$B:$J,5,0)</f>
        <v>PCS</v>
      </c>
      <c r="G38" s="55">
        <v>2679</v>
      </c>
      <c r="H38" s="53">
        <f>VLOOKUP($D38,成品本月库存!$B:$J,9,0)</f>
        <v>-247</v>
      </c>
      <c r="I38" s="56"/>
    </row>
    <row r="39" ht="15.75" spans="1:9">
      <c r="A39" s="20" t="s">
        <v>333</v>
      </c>
      <c r="B39" s="51">
        <v>46212</v>
      </c>
      <c r="C39" s="57"/>
      <c r="D39" s="10" t="s">
        <v>204</v>
      </c>
      <c r="E39" s="53" t="str">
        <f>VLOOKUP($D39,成品本月库存!$B:$J,2,0)</f>
        <v>扳手810STK2头壳-黑色</v>
      </c>
      <c r="F39" s="54" t="str">
        <f>VLOOKUP($D39,成品本月库存!$B:$J,5,0)</f>
        <v>PCS</v>
      </c>
      <c r="G39" s="55">
        <v>2051</v>
      </c>
      <c r="H39" s="53">
        <f>VLOOKUP($D39,成品本月库存!$B:$J,9,0)</f>
        <v>2</v>
      </c>
      <c r="I39" s="56"/>
    </row>
    <row r="40" ht="15.75" spans="1:9">
      <c r="A40" s="20" t="s">
        <v>333</v>
      </c>
      <c r="B40" s="51">
        <v>46212</v>
      </c>
      <c r="C40" s="57"/>
      <c r="D40" s="10" t="s">
        <v>297</v>
      </c>
      <c r="E40" s="53" t="str">
        <f>VLOOKUP($D40,成品本月库存!$B:$J,2,0)</f>
        <v>扳手810端盖--黑色</v>
      </c>
      <c r="F40" s="54" t="str">
        <f>VLOOKUP($D40,成品本月库存!$B:$J,5,0)</f>
        <v>PCS</v>
      </c>
      <c r="G40" s="55">
        <v>2033</v>
      </c>
      <c r="H40" s="53">
        <f>VLOOKUP($D40,成品本月库存!$B:$J,9,0)</f>
        <v>842</v>
      </c>
      <c r="I40" s="56"/>
    </row>
    <row r="41" ht="15.75" spans="1:9">
      <c r="A41" s="20" t="s">
        <v>333</v>
      </c>
      <c r="B41" s="51">
        <v>46212</v>
      </c>
      <c r="C41" s="57"/>
      <c r="D41" s="10" t="s">
        <v>211</v>
      </c>
      <c r="E41" s="53" t="str">
        <f>VLOOKUP($D41,成品本月库存!$B:$J,2,0)</f>
        <v>扳手818S 头壳 世达款</v>
      </c>
      <c r="F41" s="54" t="str">
        <f>VLOOKUP($D41,成品本月库存!$B:$J,5,0)</f>
        <v>PCS</v>
      </c>
      <c r="G41" s="55">
        <v>728</v>
      </c>
      <c r="H41" s="53">
        <f>VLOOKUP($D41,成品本月库存!$B:$J,9,0)</f>
        <v>-718</v>
      </c>
      <c r="I41" s="56"/>
    </row>
    <row r="42" ht="15.75" spans="1:9">
      <c r="A42" s="20" t="s">
        <v>333</v>
      </c>
      <c r="B42" s="51">
        <v>46212</v>
      </c>
      <c r="C42" s="57"/>
      <c r="D42" s="10" t="s">
        <v>212</v>
      </c>
      <c r="E42" s="53" t="str">
        <f>VLOOKUP($D42,成品本月库存!$B:$J,2,0)</f>
        <v>扳手818S 端盖 世达款</v>
      </c>
      <c r="F42" s="54" t="str">
        <f>VLOOKUP($D42,成品本月库存!$B:$J,5,0)</f>
        <v>PCS</v>
      </c>
      <c r="G42" s="55">
        <v>888</v>
      </c>
      <c r="H42" s="53">
        <f>VLOOKUP($D42,成品本月库存!$B:$J,9,0)</f>
        <v>0</v>
      </c>
      <c r="I42" s="56"/>
    </row>
    <row r="43" ht="15.75" spans="1:9">
      <c r="A43" s="20" t="s">
        <v>323</v>
      </c>
      <c r="B43" s="51">
        <v>46212</v>
      </c>
      <c r="C43" s="57"/>
      <c r="D43" s="10" t="s">
        <v>76</v>
      </c>
      <c r="E43" s="53" t="str">
        <f>VLOOKUP($D43,成品本月库存!$B:$J,2,0)</f>
        <v>JK111-03机壳（无牙）</v>
      </c>
      <c r="F43" s="54" t="str">
        <f>VLOOKUP($D43,成品本月库存!$B:$J,5,0)</f>
        <v>PCS</v>
      </c>
      <c r="G43" s="55">
        <v>1350</v>
      </c>
      <c r="H43" s="53">
        <f>VLOOKUP($D43,成品本月库存!$B:$J,9,0)</f>
        <v>7933</v>
      </c>
      <c r="I43" s="56"/>
    </row>
    <row r="44" ht="15.75" spans="1:9">
      <c r="A44" s="20" t="s">
        <v>323</v>
      </c>
      <c r="B44" s="51">
        <v>46212</v>
      </c>
      <c r="C44" s="57"/>
      <c r="D44" s="10" t="s">
        <v>72</v>
      </c>
      <c r="E44" s="53" t="str">
        <f>VLOOKUP($D44,成品本月库存!$B:$J,2,0)</f>
        <v>JK111-04机壳（无牙）</v>
      </c>
      <c r="F44" s="54" t="str">
        <f>VLOOKUP($D44,成品本月库存!$B:$J,5,0)</f>
        <v>PCS</v>
      </c>
      <c r="G44" s="55">
        <v>675</v>
      </c>
      <c r="H44" s="53">
        <f>VLOOKUP($D44,成品本月库存!$B:$J,9,0)</f>
        <v>280</v>
      </c>
      <c r="I44" s="56"/>
    </row>
    <row r="45" ht="15.75" spans="1:9">
      <c r="A45" s="20" t="s">
        <v>323</v>
      </c>
      <c r="B45" s="51">
        <v>46212</v>
      </c>
      <c r="C45" s="57"/>
      <c r="D45" s="10" t="s">
        <v>74</v>
      </c>
      <c r="E45" s="53" t="str">
        <f>VLOOKUP($D45,成品本月库存!$B:$J,2,0)</f>
        <v>T93-33镭雕（4孔）</v>
      </c>
      <c r="F45" s="54" t="str">
        <f>VLOOKUP($D45,成品本月库存!$B:$J,5,0)</f>
        <v>PCS</v>
      </c>
      <c r="G45" s="55">
        <v>1350</v>
      </c>
      <c r="H45" s="53">
        <f>VLOOKUP($D45,成品本月库存!$B:$J,9,0)</f>
        <v>887</v>
      </c>
      <c r="I45" s="56"/>
    </row>
    <row r="46" ht="15.75" spans="1:9">
      <c r="A46" s="20" t="s">
        <v>323</v>
      </c>
      <c r="B46" s="51">
        <v>46212</v>
      </c>
      <c r="C46" s="57"/>
      <c r="D46" s="10" t="s">
        <v>60</v>
      </c>
      <c r="E46" s="53" t="str">
        <f>VLOOKUP($D46,成品本月库存!$B:$J,2,0)</f>
        <v>T93-20</v>
      </c>
      <c r="F46" s="54" t="str">
        <f>VLOOKUP($D46,成品本月库存!$B:$J,5,0)</f>
        <v>PCS</v>
      </c>
      <c r="G46" s="55">
        <v>3510</v>
      </c>
      <c r="H46" s="53">
        <f>VLOOKUP($D46,成品本月库存!$B:$J,9,0)</f>
        <v>3846</v>
      </c>
      <c r="I46" s="56"/>
    </row>
    <row r="47" ht="15.75" spans="1:9">
      <c r="A47" s="20" t="s">
        <v>323</v>
      </c>
      <c r="B47" s="51">
        <v>46212</v>
      </c>
      <c r="C47" s="57"/>
      <c r="D47" s="10" t="s">
        <v>73</v>
      </c>
      <c r="E47" s="53" t="str">
        <f>VLOOKUP($D47,成品本月库存!$B:$J,2,0)</f>
        <v>T93-29镭雕</v>
      </c>
      <c r="F47" s="54" t="str">
        <f>VLOOKUP($D47,成品本月库存!$B:$J,5,0)</f>
        <v>PCS</v>
      </c>
      <c r="G47" s="55">
        <v>1350</v>
      </c>
      <c r="H47" s="53">
        <f>VLOOKUP($D47,成品本月库存!$B:$J,9,0)</f>
        <v>877</v>
      </c>
      <c r="I47" s="56"/>
    </row>
    <row r="48" ht="15.75" spans="1:9">
      <c r="A48" s="20" t="s">
        <v>322</v>
      </c>
      <c r="B48" s="51">
        <v>46212</v>
      </c>
      <c r="C48" s="57"/>
      <c r="D48" s="10" t="s">
        <v>240</v>
      </c>
      <c r="E48" s="53" t="str">
        <f>VLOOKUP($D48,成品本月库存!$B:$J,2,0)</f>
        <v>双目支架</v>
      </c>
      <c r="F48" s="54" t="str">
        <f>VLOOKUP($D48,成品本月库存!$B:$J,5,0)</f>
        <v>PCS</v>
      </c>
      <c r="G48" s="55">
        <v>-3085</v>
      </c>
      <c r="H48" s="53">
        <f>VLOOKUP($D48,成品本月库存!$B:$J,9,0)</f>
        <v>16091</v>
      </c>
      <c r="I48" s="56" t="s">
        <v>319</v>
      </c>
    </row>
    <row r="49" ht="15.75" spans="1:9">
      <c r="A49" s="20"/>
      <c r="B49" s="51"/>
      <c r="C49" s="57"/>
      <c r="D49" s="10"/>
      <c r="E49" s="53" t="e">
        <f>VLOOKUP($D49,成品本月库存!$B:$J,2,0)</f>
        <v>#N/A</v>
      </c>
      <c r="F49" s="54" t="e">
        <f>VLOOKUP($D49,成品本月库存!$B:$J,5,0)</f>
        <v>#N/A</v>
      </c>
      <c r="G49" s="55"/>
      <c r="H49" s="53" t="e">
        <f>VLOOKUP($D49,成品本月库存!$B:$J,9,0)</f>
        <v>#N/A</v>
      </c>
      <c r="I49" s="56"/>
    </row>
    <row r="50" ht="15.75" spans="1:9">
      <c r="A50" s="20"/>
      <c r="B50" s="51"/>
      <c r="C50" s="57"/>
      <c r="D50" s="10"/>
      <c r="E50" s="53" t="e">
        <f>VLOOKUP($D50,成品本月库存!$B:$J,2,0)</f>
        <v>#N/A</v>
      </c>
      <c r="F50" s="54" t="e">
        <f>VLOOKUP($D50,成品本月库存!$B:$J,5,0)</f>
        <v>#N/A</v>
      </c>
      <c r="G50" s="55"/>
      <c r="H50" s="53" t="e">
        <f>VLOOKUP($D50,成品本月库存!$B:$J,9,0)</f>
        <v>#N/A</v>
      </c>
      <c r="I50" s="56"/>
    </row>
    <row r="51" ht="15.75" spans="1:9">
      <c r="A51" s="20"/>
      <c r="B51" s="51"/>
      <c r="C51" s="57"/>
      <c r="D51" s="10"/>
      <c r="E51" s="53" t="e">
        <f>VLOOKUP($D51,成品本月库存!$B:$J,2,0)</f>
        <v>#N/A</v>
      </c>
      <c r="F51" s="54" t="e">
        <f>VLOOKUP($D51,成品本月库存!$B:$J,5,0)</f>
        <v>#N/A</v>
      </c>
      <c r="G51" s="55"/>
      <c r="H51" s="53" t="e">
        <f>VLOOKUP($D51,成品本月库存!$B:$J,9,0)</f>
        <v>#N/A</v>
      </c>
      <c r="I51" s="56"/>
    </row>
    <row r="52" ht="15.75" spans="1:9">
      <c r="A52" s="20"/>
      <c r="B52" s="51"/>
      <c r="C52" s="57"/>
      <c r="D52" s="10"/>
      <c r="E52" s="53" t="e">
        <f>VLOOKUP($D52,成品本月库存!$B:$J,2,0)</f>
        <v>#N/A</v>
      </c>
      <c r="F52" s="54" t="e">
        <f>VLOOKUP($D52,成品本月库存!$B:$J,5,0)</f>
        <v>#N/A</v>
      </c>
      <c r="G52" s="55"/>
      <c r="H52" s="53" t="e">
        <f>VLOOKUP($D52,成品本月库存!$B:$J,9,0)</f>
        <v>#N/A</v>
      </c>
      <c r="I52" s="56"/>
    </row>
    <row r="53" ht="15.75" spans="1:9">
      <c r="A53" s="20"/>
      <c r="B53" s="51"/>
      <c r="C53" s="57"/>
      <c r="D53" s="10"/>
      <c r="E53" s="53" t="e">
        <f>VLOOKUP($D53,成品本月库存!$B:$J,2,0)</f>
        <v>#N/A</v>
      </c>
      <c r="F53" s="54" t="e">
        <f>VLOOKUP($D53,成品本月库存!$B:$J,5,0)</f>
        <v>#N/A</v>
      </c>
      <c r="G53" s="55"/>
      <c r="H53" s="53" t="e">
        <f>VLOOKUP($D53,成品本月库存!$B:$J,9,0)</f>
        <v>#N/A</v>
      </c>
      <c r="I53" s="56"/>
    </row>
    <row r="54" ht="15.75" spans="1:9">
      <c r="A54" s="20"/>
      <c r="B54" s="51"/>
      <c r="C54" s="57"/>
      <c r="D54" s="10"/>
      <c r="E54" s="53" t="e">
        <f>VLOOKUP($D54,成品本月库存!$B:$J,2,0)</f>
        <v>#N/A</v>
      </c>
      <c r="F54" s="54" t="e">
        <f>VLOOKUP($D54,成品本月库存!$B:$J,5,0)</f>
        <v>#N/A</v>
      </c>
      <c r="G54" s="55"/>
      <c r="H54" s="53" t="e">
        <f>VLOOKUP($D54,成品本月库存!$B:$J,9,0)</f>
        <v>#N/A</v>
      </c>
      <c r="I54" s="56"/>
    </row>
    <row r="55" ht="15.75" spans="1:9">
      <c r="A55" s="20"/>
      <c r="B55" s="51"/>
      <c r="C55" s="57"/>
      <c r="D55" s="10"/>
      <c r="E55" s="53" t="e">
        <f>VLOOKUP($D55,成品本月库存!$B:$J,2,0)</f>
        <v>#N/A</v>
      </c>
      <c r="F55" s="54" t="e">
        <f>VLOOKUP($D55,成品本月库存!$B:$J,5,0)</f>
        <v>#N/A</v>
      </c>
      <c r="G55" s="55"/>
      <c r="H55" s="53" t="e">
        <f>VLOOKUP($D55,成品本月库存!$B:$J,9,0)</f>
        <v>#N/A</v>
      </c>
    </row>
    <row r="56" ht="15.75" spans="1:9">
      <c r="A56" s="20"/>
      <c r="B56" s="51"/>
      <c r="C56" s="57"/>
      <c r="D56" s="10"/>
      <c r="E56" s="53" t="e">
        <f>VLOOKUP($D56,成品本月库存!$B:$J,2,0)</f>
        <v>#N/A</v>
      </c>
      <c r="F56" s="54" t="e">
        <f>VLOOKUP($D56,成品本月库存!$B:$J,5,0)</f>
        <v>#N/A</v>
      </c>
      <c r="G56" s="55"/>
      <c r="H56" s="53" t="e">
        <f>VLOOKUP($D56,成品本月库存!$B:$J,9,0)</f>
        <v>#N/A</v>
      </c>
      <c r="I56" s="56"/>
    </row>
    <row r="57" ht="15.75" spans="1:9">
      <c r="A57" s="20"/>
      <c r="B57" s="51"/>
      <c r="C57" s="57"/>
      <c r="D57" s="10"/>
      <c r="E57" s="53" t="e">
        <f>VLOOKUP($D57,成品本月库存!$B:$J,2,0)</f>
        <v>#N/A</v>
      </c>
      <c r="F57" s="54" t="e">
        <f>VLOOKUP($D57,成品本月库存!$B:$J,5,0)</f>
        <v>#N/A</v>
      </c>
      <c r="G57" s="55"/>
      <c r="H57" s="53" t="e">
        <f>VLOOKUP($D57,成品本月库存!$B:$J,9,0)</f>
        <v>#N/A</v>
      </c>
      <c r="I57" s="56"/>
    </row>
    <row r="58" ht="15.75" spans="1:9">
      <c r="A58" s="20"/>
      <c r="B58" s="51"/>
      <c r="C58" s="57"/>
      <c r="D58" s="10"/>
      <c r="E58" s="53" t="e">
        <f>VLOOKUP($D58,成品本月库存!$B:$J,2,0)</f>
        <v>#N/A</v>
      </c>
      <c r="F58" s="54" t="e">
        <f>VLOOKUP($D58,成品本月库存!$B:$J,5,0)</f>
        <v>#N/A</v>
      </c>
      <c r="G58" s="55"/>
      <c r="H58" s="53" t="e">
        <f>VLOOKUP($D58,成品本月库存!$B:$J,9,0)</f>
        <v>#N/A</v>
      </c>
      <c r="I58" s="56"/>
    </row>
    <row r="59" ht="15.75" spans="1:9">
      <c r="A59" s="20"/>
      <c r="B59" s="51"/>
      <c r="C59" s="57"/>
      <c r="D59" s="10"/>
      <c r="E59" s="53" t="e">
        <f>VLOOKUP($D59,成品本月库存!$B:$J,2,0)</f>
        <v>#N/A</v>
      </c>
      <c r="F59" s="54" t="e">
        <f>VLOOKUP($D59,成品本月库存!$B:$J,5,0)</f>
        <v>#N/A</v>
      </c>
      <c r="G59" s="55"/>
      <c r="H59" s="53" t="e">
        <f>VLOOKUP($D59,成品本月库存!$B:$J,9,0)</f>
        <v>#N/A</v>
      </c>
      <c r="I59" s="56"/>
    </row>
    <row r="60" ht="15.75" spans="1:9">
      <c r="A60" s="20"/>
      <c r="B60" s="51"/>
      <c r="C60" s="57"/>
      <c r="D60" s="10"/>
      <c r="E60" s="53" t="e">
        <f>VLOOKUP($D60,成品本月库存!$B:$J,2,0)</f>
        <v>#N/A</v>
      </c>
      <c r="F60" s="54" t="e">
        <f>VLOOKUP($D60,成品本月库存!$B:$J,5,0)</f>
        <v>#N/A</v>
      </c>
      <c r="G60" s="55"/>
      <c r="H60" s="53" t="e">
        <f>VLOOKUP($D60,成品本月库存!$B:$J,9,0)</f>
        <v>#N/A</v>
      </c>
      <c r="I60" s="56"/>
    </row>
    <row r="61" ht="15.75" spans="1:9">
      <c r="A61" s="20"/>
      <c r="B61" s="51"/>
      <c r="C61" s="57"/>
      <c r="D61" s="10"/>
      <c r="E61" s="53" t="e">
        <f>VLOOKUP($D61,成品本月库存!$B:$J,2,0)</f>
        <v>#N/A</v>
      </c>
      <c r="F61" s="54" t="e">
        <f>VLOOKUP($D61,成品本月库存!$B:$J,5,0)</f>
        <v>#N/A</v>
      </c>
      <c r="G61" s="55"/>
      <c r="H61" s="53" t="e">
        <f>VLOOKUP($D61,成品本月库存!$B:$J,9,0)</f>
        <v>#N/A</v>
      </c>
      <c r="I61" s="56"/>
    </row>
    <row r="62" ht="15.75" spans="1:9">
      <c r="A62" s="20"/>
      <c r="B62" s="51"/>
      <c r="C62" s="57"/>
      <c r="D62" s="10"/>
      <c r="E62" s="53" t="e">
        <f>VLOOKUP($D62,成品本月库存!$B:$J,2,0)</f>
        <v>#N/A</v>
      </c>
      <c r="F62" s="54" t="e">
        <f>VLOOKUP($D62,成品本月库存!$B:$J,5,0)</f>
        <v>#N/A</v>
      </c>
      <c r="G62" s="55"/>
      <c r="H62" s="53" t="e">
        <f>VLOOKUP($D62,成品本月库存!$B:$J,9,0)</f>
        <v>#N/A</v>
      </c>
      <c r="I62" s="56"/>
    </row>
    <row r="63" ht="15.75" spans="1:9">
      <c r="A63" s="20"/>
      <c r="B63" s="51"/>
      <c r="C63" s="57"/>
      <c r="D63" s="10"/>
      <c r="E63" s="53" t="e">
        <f>VLOOKUP($D63,成品本月库存!$B:$J,2,0)</f>
        <v>#N/A</v>
      </c>
      <c r="F63" s="54" t="e">
        <f>VLOOKUP($D63,成品本月库存!$B:$J,5,0)</f>
        <v>#N/A</v>
      </c>
      <c r="G63" s="55"/>
      <c r="H63" s="53" t="e">
        <f>VLOOKUP($D63,成品本月库存!$B:$J,9,0)</f>
        <v>#N/A</v>
      </c>
      <c r="I63" s="56"/>
    </row>
    <row r="64" ht="15.75" spans="1:9">
      <c r="A64" s="20"/>
      <c r="B64" s="51"/>
      <c r="C64" s="57"/>
      <c r="D64" s="10"/>
      <c r="E64" s="53" t="e">
        <f>VLOOKUP($D64,成品本月库存!$B:$J,2,0)</f>
        <v>#N/A</v>
      </c>
      <c r="F64" s="54" t="e">
        <f>VLOOKUP($D64,成品本月库存!$B:$J,5,0)</f>
        <v>#N/A</v>
      </c>
      <c r="G64" s="55"/>
      <c r="H64" s="53" t="e">
        <f>VLOOKUP($D64,成品本月库存!$B:$J,9,0)</f>
        <v>#N/A</v>
      </c>
      <c r="I64" s="56"/>
    </row>
    <row r="65" ht="15.75" spans="1:9">
      <c r="A65" s="20"/>
      <c r="B65" s="51"/>
      <c r="C65" s="57"/>
      <c r="D65" s="10"/>
      <c r="E65" s="53" t="e">
        <f>VLOOKUP($D65,成品本月库存!$B:$J,2,0)</f>
        <v>#N/A</v>
      </c>
      <c r="F65" s="54" t="e">
        <f>VLOOKUP($D65,成品本月库存!$B:$J,5,0)</f>
        <v>#N/A</v>
      </c>
      <c r="G65" s="55"/>
      <c r="H65" s="53" t="e">
        <f>VLOOKUP($D65,成品本月库存!$B:$J,9,0)</f>
        <v>#N/A</v>
      </c>
      <c r="I65" s="56"/>
    </row>
    <row r="66" ht="15.75" spans="1:9">
      <c r="A66" s="20"/>
      <c r="B66" s="51"/>
      <c r="C66" s="57"/>
      <c r="D66" s="10"/>
      <c r="E66" s="53" t="e">
        <f>VLOOKUP($D66,成品本月库存!$B:$J,2,0)</f>
        <v>#N/A</v>
      </c>
      <c r="F66" s="54" t="e">
        <f>VLOOKUP($D66,成品本月库存!$B:$J,5,0)</f>
        <v>#N/A</v>
      </c>
      <c r="G66" s="55"/>
      <c r="H66" s="53" t="e">
        <f>VLOOKUP($D66,成品本月库存!$B:$J,9,0)</f>
        <v>#N/A</v>
      </c>
      <c r="I66" s="56"/>
    </row>
    <row r="67" ht="15" customHeight="1" spans="1:9">
      <c r="A67" s="20"/>
      <c r="B67" s="51"/>
      <c r="C67" s="57"/>
      <c r="D67" s="10"/>
      <c r="E67" s="53" t="e">
        <f>VLOOKUP($D67,成品本月库存!$B:$J,2,0)</f>
        <v>#N/A</v>
      </c>
      <c r="F67" s="54" t="e">
        <f>VLOOKUP($D67,成品本月库存!$B:$J,5,0)</f>
        <v>#N/A</v>
      </c>
      <c r="G67" s="55"/>
      <c r="H67" s="53" t="e">
        <f>VLOOKUP($D67,成品本月库存!$B:$J,9,0)</f>
        <v>#N/A</v>
      </c>
      <c r="I67" s="56"/>
    </row>
    <row r="68" ht="15.75" spans="1:9">
      <c r="A68" s="20"/>
      <c r="B68" s="51"/>
      <c r="C68" s="57"/>
      <c r="D68" s="10"/>
      <c r="E68" s="53" t="e">
        <f>VLOOKUP($D68,成品本月库存!$B:$J,2,0)</f>
        <v>#N/A</v>
      </c>
      <c r="F68" s="54" t="e">
        <f>VLOOKUP($D68,成品本月库存!$B:$J,5,0)</f>
        <v>#N/A</v>
      </c>
      <c r="G68" s="55"/>
      <c r="H68" s="53" t="e">
        <f>VLOOKUP($D68,成品本月库存!$B:$J,9,0)</f>
        <v>#N/A</v>
      </c>
      <c r="I68" s="56"/>
    </row>
    <row r="69" ht="15.75" spans="1:9">
      <c r="A69" s="20"/>
      <c r="B69" s="51"/>
      <c r="C69" s="57"/>
      <c r="D69" s="10"/>
      <c r="E69" s="53" t="e">
        <f>VLOOKUP($D69,成品本月库存!$B:$J,2,0)</f>
        <v>#N/A</v>
      </c>
      <c r="F69" s="54" t="e">
        <f>VLOOKUP($D69,成品本月库存!$B:$J,5,0)</f>
        <v>#N/A</v>
      </c>
      <c r="G69" s="55"/>
      <c r="H69" s="53" t="e">
        <f>VLOOKUP($D69,成品本月库存!$B:$J,9,0)</f>
        <v>#N/A</v>
      </c>
      <c r="I69" s="56"/>
    </row>
    <row r="70" ht="15.75" spans="1:9">
      <c r="A70" s="20"/>
      <c r="B70" s="51"/>
      <c r="C70" s="57"/>
      <c r="D70" s="10"/>
      <c r="E70" s="53" t="e">
        <f>VLOOKUP($D70,成品本月库存!$B:$J,2,0)</f>
        <v>#N/A</v>
      </c>
      <c r="F70" s="54" t="e">
        <f>VLOOKUP($D70,成品本月库存!$B:$J,5,0)</f>
        <v>#N/A</v>
      </c>
      <c r="G70" s="55"/>
      <c r="H70" s="53" t="e">
        <f>VLOOKUP($D70,成品本月库存!$B:$J,9,0)</f>
        <v>#N/A</v>
      </c>
      <c r="I70" s="56"/>
    </row>
    <row r="71" ht="15.75" spans="1:9">
      <c r="A71" s="20"/>
      <c r="B71" s="51"/>
      <c r="C71" s="57"/>
      <c r="D71" s="10"/>
      <c r="E71" s="53" t="e">
        <f>VLOOKUP($D71,成品本月库存!$B:$J,2,0)</f>
        <v>#N/A</v>
      </c>
      <c r="F71" s="54" t="e">
        <f>VLOOKUP($D71,成品本月库存!$B:$J,5,0)</f>
        <v>#N/A</v>
      </c>
      <c r="G71" s="55"/>
      <c r="H71" s="53" t="e">
        <f>VLOOKUP($D71,成品本月库存!$B:$J,9,0)</f>
        <v>#N/A</v>
      </c>
      <c r="I71" s="56"/>
    </row>
    <row r="72" ht="15.75" spans="1:9">
      <c r="A72" s="20"/>
      <c r="B72" s="51"/>
      <c r="C72" s="57"/>
      <c r="D72" s="10"/>
      <c r="E72" s="53" t="e">
        <f>VLOOKUP($D72,成品本月库存!$B:$J,2,0)</f>
        <v>#N/A</v>
      </c>
      <c r="F72" s="54" t="e">
        <f>VLOOKUP($D72,成品本月库存!$B:$J,5,0)</f>
        <v>#N/A</v>
      </c>
      <c r="G72" s="55"/>
      <c r="H72" s="53" t="e">
        <f>VLOOKUP($D72,成品本月库存!$B:$J,9,0)</f>
        <v>#N/A</v>
      </c>
      <c r="I72" s="56"/>
    </row>
    <row r="73" ht="15.75" spans="1:9">
      <c r="A73" s="20"/>
      <c r="B73" s="51"/>
      <c r="C73" s="57"/>
      <c r="D73" s="10"/>
      <c r="E73" s="53" t="e">
        <f>VLOOKUP($D73,成品本月库存!$B:$J,2,0)</f>
        <v>#N/A</v>
      </c>
      <c r="F73" s="54" t="e">
        <f>VLOOKUP($D73,成品本月库存!$B:$J,5,0)</f>
        <v>#N/A</v>
      </c>
      <c r="G73" s="55"/>
      <c r="H73" s="53" t="e">
        <f>VLOOKUP($D73,成品本月库存!$B:$J,9,0)</f>
        <v>#N/A</v>
      </c>
      <c r="I73" s="56"/>
    </row>
    <row r="74" ht="15.75" spans="1:9">
      <c r="A74" s="20"/>
      <c r="B74" s="51"/>
      <c r="C74" s="57"/>
      <c r="D74" s="10"/>
      <c r="E74" s="53" t="e">
        <f>VLOOKUP($D74,成品本月库存!$B:$J,2,0)</f>
        <v>#N/A</v>
      </c>
      <c r="F74" s="54" t="e">
        <f>VLOOKUP($D74,成品本月库存!$B:$J,5,0)</f>
        <v>#N/A</v>
      </c>
      <c r="G74" s="55"/>
      <c r="H74" s="53" t="e">
        <f>VLOOKUP($D74,成品本月库存!$B:$J,9,0)</f>
        <v>#N/A</v>
      </c>
      <c r="I74" s="56"/>
    </row>
    <row r="75" ht="15.75" spans="1:9">
      <c r="A75" s="20"/>
      <c r="B75" s="51"/>
      <c r="C75" s="57"/>
      <c r="D75" s="10"/>
      <c r="E75" s="53" t="e">
        <f>VLOOKUP($D75,成品本月库存!$B:$J,2,0)</f>
        <v>#N/A</v>
      </c>
      <c r="F75" s="54" t="e">
        <f>VLOOKUP($D75,成品本月库存!$B:$J,5,0)</f>
        <v>#N/A</v>
      </c>
      <c r="G75" s="55"/>
      <c r="H75" s="53" t="e">
        <f>VLOOKUP($D75,成品本月库存!$B:$J,9,0)</f>
        <v>#N/A</v>
      </c>
      <c r="I75" s="56"/>
    </row>
    <row r="76" ht="15.75" spans="1:9">
      <c r="A76" s="20"/>
      <c r="B76" s="51"/>
      <c r="C76" s="57"/>
      <c r="D76" s="10"/>
      <c r="E76" s="53" t="e">
        <f>VLOOKUP($D76,成品本月库存!$B:$J,2,0)</f>
        <v>#N/A</v>
      </c>
      <c r="F76" s="54" t="e">
        <f>VLOOKUP($D76,成品本月库存!$B:$J,5,0)</f>
        <v>#N/A</v>
      </c>
      <c r="G76" s="55"/>
      <c r="H76" s="53" t="e">
        <f>VLOOKUP($D76,成品本月库存!$B:$J,9,0)</f>
        <v>#N/A</v>
      </c>
      <c r="I76" s="56"/>
    </row>
    <row r="77" ht="15.75" spans="1:9">
      <c r="A77" s="20"/>
      <c r="B77" s="51"/>
      <c r="C77" s="57"/>
      <c r="D77" s="10"/>
      <c r="E77" s="53" t="e">
        <f>VLOOKUP($D77,成品本月库存!$B:$J,2,0)</f>
        <v>#N/A</v>
      </c>
      <c r="F77" s="54" t="e">
        <f>VLOOKUP($D77,成品本月库存!$B:$J,5,0)</f>
        <v>#N/A</v>
      </c>
      <c r="G77" s="55"/>
      <c r="H77" s="53" t="e">
        <f>VLOOKUP($D77,成品本月库存!$B:$J,9,0)</f>
        <v>#N/A</v>
      </c>
      <c r="I77" s="56"/>
    </row>
    <row r="78" ht="15.75" spans="1:9">
      <c r="A78" s="20"/>
      <c r="B78" s="51"/>
      <c r="C78" s="57"/>
      <c r="D78" s="10"/>
      <c r="E78" s="53" t="e">
        <f>VLOOKUP($D78,成品本月库存!$B:$J,2,0)</f>
        <v>#N/A</v>
      </c>
      <c r="F78" s="54" t="e">
        <f>VLOOKUP($D78,成品本月库存!$B:$J,5,0)</f>
        <v>#N/A</v>
      </c>
      <c r="G78" s="55"/>
      <c r="H78" s="53" t="e">
        <f>VLOOKUP($D78,成品本月库存!$B:$J,9,0)</f>
        <v>#N/A</v>
      </c>
      <c r="I78" s="56"/>
    </row>
    <row r="79" ht="15.75" spans="1:9">
      <c r="A79" s="20"/>
      <c r="B79" s="51"/>
      <c r="C79" s="57"/>
      <c r="D79" s="10"/>
      <c r="E79" s="53" t="e">
        <f>VLOOKUP($D79,成品本月库存!$B:$J,2,0)</f>
        <v>#N/A</v>
      </c>
      <c r="F79" s="54" t="e">
        <f>VLOOKUP($D79,成品本月库存!$B:$J,5,0)</f>
        <v>#N/A</v>
      </c>
      <c r="G79" s="55"/>
      <c r="H79" s="53" t="e">
        <f>VLOOKUP($D79,成品本月库存!$B:$J,9,0)</f>
        <v>#N/A</v>
      </c>
      <c r="I79" s="56"/>
    </row>
    <row r="80" ht="15.75" spans="1:9">
      <c r="A80" s="20"/>
      <c r="B80" s="51"/>
      <c r="C80" s="57"/>
      <c r="D80" s="10"/>
      <c r="E80" s="53" t="e">
        <f>VLOOKUP($D80,成品本月库存!$B:$J,2,0)</f>
        <v>#N/A</v>
      </c>
      <c r="F80" s="54" t="e">
        <f>VLOOKUP($D80,成品本月库存!$B:$J,5,0)</f>
        <v>#N/A</v>
      </c>
      <c r="G80" s="55"/>
      <c r="H80" s="53" t="e">
        <f>VLOOKUP($D80,成品本月库存!$B:$J,9,0)</f>
        <v>#N/A</v>
      </c>
      <c r="I80" s="56"/>
    </row>
    <row r="81" ht="17" customHeight="1" spans="1:9">
      <c r="A81" s="20"/>
      <c r="B81" s="51"/>
      <c r="C81" s="57"/>
      <c r="D81" s="10"/>
      <c r="E81" s="53" t="e">
        <f>VLOOKUP($D81,成品本月库存!$B:$J,2,0)</f>
        <v>#N/A</v>
      </c>
      <c r="F81" s="54" t="e">
        <f>VLOOKUP($D81,成品本月库存!$B:$J,5,0)</f>
        <v>#N/A</v>
      </c>
      <c r="G81" s="55"/>
      <c r="H81" s="53" t="e">
        <f>VLOOKUP($D81,成品本月库存!$B:$J,9,0)</f>
        <v>#N/A</v>
      </c>
      <c r="I81" s="56"/>
    </row>
    <row r="82" ht="15.75" spans="1:9">
      <c r="A82" s="20"/>
      <c r="B82" s="51"/>
      <c r="C82" s="57"/>
      <c r="D82" s="10"/>
      <c r="E82" s="53" t="e">
        <f>VLOOKUP($D82,成品本月库存!$B:$J,2,0)</f>
        <v>#N/A</v>
      </c>
      <c r="F82" s="54" t="e">
        <f>VLOOKUP($D82,成品本月库存!$B:$J,5,0)</f>
        <v>#N/A</v>
      </c>
      <c r="G82" s="55"/>
      <c r="H82" s="53" t="e">
        <f>VLOOKUP($D82,成品本月库存!$B:$J,9,0)</f>
        <v>#N/A</v>
      </c>
      <c r="I82" s="56"/>
    </row>
    <row r="83" ht="15.75" spans="1:9">
      <c r="A83" s="20"/>
      <c r="B83" s="51"/>
      <c r="C83" s="57"/>
      <c r="D83" s="10"/>
      <c r="E83" s="53" t="e">
        <f>VLOOKUP($D83,成品本月库存!$B:$J,2,0)</f>
        <v>#N/A</v>
      </c>
      <c r="F83" s="54" t="e">
        <f>VLOOKUP($D83,成品本月库存!$B:$J,5,0)</f>
        <v>#N/A</v>
      </c>
      <c r="G83" s="55"/>
      <c r="H83" s="53" t="e">
        <f>VLOOKUP($D83,成品本月库存!$B:$J,9,0)</f>
        <v>#N/A</v>
      </c>
      <c r="I83" s="56"/>
    </row>
    <row r="84" ht="15.75" spans="1:9">
      <c r="A84" s="20"/>
      <c r="B84" s="51"/>
      <c r="C84" s="57"/>
      <c r="D84" s="10"/>
      <c r="E84" s="53" t="e">
        <f>VLOOKUP($D84,成品本月库存!$B:$J,2,0)</f>
        <v>#N/A</v>
      </c>
      <c r="F84" s="54" t="e">
        <f>VLOOKUP($D84,成品本月库存!$B:$J,5,0)</f>
        <v>#N/A</v>
      </c>
      <c r="G84" s="55"/>
      <c r="H84" s="53" t="e">
        <f>VLOOKUP($D84,成品本月库存!$B:$J,9,0)</f>
        <v>#N/A</v>
      </c>
      <c r="I84" s="56"/>
    </row>
    <row r="85" ht="15.75" spans="1:9">
      <c r="A85" s="20"/>
      <c r="B85" s="51"/>
      <c r="C85" s="57"/>
      <c r="D85" s="10"/>
      <c r="E85" s="53" t="e">
        <f>VLOOKUP($D85,成品本月库存!$B:$J,2,0)</f>
        <v>#N/A</v>
      </c>
      <c r="F85" s="54" t="e">
        <f>VLOOKUP($D85,成品本月库存!$B:$J,5,0)</f>
        <v>#N/A</v>
      </c>
      <c r="G85" s="55"/>
      <c r="H85" s="53" t="e">
        <f>VLOOKUP($D85,成品本月库存!$B:$J,9,0)</f>
        <v>#N/A</v>
      </c>
      <c r="I85" s="56"/>
    </row>
    <row r="86" ht="15.75" spans="1:9">
      <c r="A86" s="20"/>
      <c r="B86" s="51"/>
      <c r="C86" s="57"/>
      <c r="D86" s="10"/>
      <c r="E86" s="53" t="e">
        <f>VLOOKUP($D86,成品本月库存!$B:$J,2,0)</f>
        <v>#N/A</v>
      </c>
      <c r="F86" s="54" t="e">
        <f>VLOOKUP($D86,成品本月库存!$B:$J,5,0)</f>
        <v>#N/A</v>
      </c>
      <c r="G86" s="55"/>
      <c r="H86" s="53" t="e">
        <f>VLOOKUP($D86,成品本月库存!$B:$J,9,0)</f>
        <v>#N/A</v>
      </c>
      <c r="I86" s="56"/>
    </row>
    <row r="87" ht="15.75" spans="1:9">
      <c r="A87" s="20"/>
      <c r="B87" s="51"/>
      <c r="C87" s="57"/>
      <c r="D87" s="10"/>
      <c r="E87" s="53" t="e">
        <f>VLOOKUP($D87,成品本月库存!$B:$J,2,0)</f>
        <v>#N/A</v>
      </c>
      <c r="F87" s="54" t="e">
        <f>VLOOKUP($D87,成品本月库存!$B:$J,5,0)</f>
        <v>#N/A</v>
      </c>
      <c r="G87" s="55"/>
      <c r="H87" s="53" t="e">
        <f>VLOOKUP($D87,成品本月库存!$B:$J,9,0)</f>
        <v>#N/A</v>
      </c>
      <c r="I87" s="56"/>
    </row>
    <row r="88" ht="15.75" spans="1:9">
      <c r="A88" s="20"/>
      <c r="B88" s="51"/>
      <c r="C88" s="57"/>
      <c r="D88" s="10"/>
      <c r="E88" s="53" t="e">
        <f>VLOOKUP($D88,成品本月库存!$B:$J,2,0)</f>
        <v>#N/A</v>
      </c>
      <c r="F88" s="54" t="e">
        <f>VLOOKUP($D88,成品本月库存!$B:$J,5,0)</f>
        <v>#N/A</v>
      </c>
      <c r="G88" s="55"/>
      <c r="H88" s="53" t="e">
        <f>VLOOKUP($D88,成品本月库存!$B:$J,9,0)</f>
        <v>#N/A</v>
      </c>
      <c r="I88" s="56"/>
    </row>
    <row r="89" ht="15.75" spans="1:9">
      <c r="A89" s="20"/>
      <c r="B89" s="51"/>
      <c r="C89" s="57"/>
      <c r="D89" s="10"/>
      <c r="E89" s="53" t="e">
        <f>VLOOKUP($D89,成品本月库存!$B:$J,2,0)</f>
        <v>#N/A</v>
      </c>
      <c r="F89" s="54" t="e">
        <f>VLOOKUP($D89,成品本月库存!$B:$J,5,0)</f>
        <v>#N/A</v>
      </c>
      <c r="G89" s="55"/>
      <c r="H89" s="53" t="e">
        <f>VLOOKUP($D89,成品本月库存!$B:$J,9,0)</f>
        <v>#N/A</v>
      </c>
      <c r="I89" s="56"/>
    </row>
    <row r="90" ht="15.75" spans="1:9">
      <c r="A90" s="20"/>
      <c r="B90" s="51"/>
      <c r="C90" s="57"/>
      <c r="D90" s="10"/>
      <c r="E90" s="53" t="e">
        <f>VLOOKUP($D90,成品本月库存!$B:$J,2,0)</f>
        <v>#N/A</v>
      </c>
      <c r="F90" s="54" t="e">
        <f>VLOOKUP($D90,成品本月库存!$B:$J,5,0)</f>
        <v>#N/A</v>
      </c>
      <c r="G90" s="55"/>
      <c r="H90" s="53" t="e">
        <f>VLOOKUP($D90,成品本月库存!$B:$J,9,0)</f>
        <v>#N/A</v>
      </c>
      <c r="I90" s="56"/>
    </row>
    <row r="91" ht="15.75" spans="1:9">
      <c r="A91" s="20"/>
      <c r="B91" s="51"/>
      <c r="C91" s="57"/>
      <c r="D91" s="10"/>
      <c r="E91" s="53" t="e">
        <f>VLOOKUP($D91,成品本月库存!$B:$J,2,0)</f>
        <v>#N/A</v>
      </c>
      <c r="F91" s="54" t="e">
        <f>VLOOKUP($D91,成品本月库存!$B:$J,5,0)</f>
        <v>#N/A</v>
      </c>
      <c r="G91" s="55"/>
      <c r="H91" s="53" t="e">
        <f>VLOOKUP($D91,成品本月库存!$B:$J,9,0)</f>
        <v>#N/A</v>
      </c>
      <c r="I91" s="56"/>
    </row>
    <row r="92" ht="15.75" spans="1:9">
      <c r="A92" s="20"/>
      <c r="B92" s="51"/>
      <c r="C92" s="57"/>
      <c r="D92" s="10"/>
      <c r="E92" s="53" t="e">
        <f>VLOOKUP($D92,成品本月库存!$B:$J,2,0)</f>
        <v>#N/A</v>
      </c>
      <c r="F92" s="54" t="e">
        <f>VLOOKUP($D92,成品本月库存!$B:$J,5,0)</f>
        <v>#N/A</v>
      </c>
      <c r="G92" s="55"/>
      <c r="H92" s="53" t="e">
        <f>VLOOKUP($D92,成品本月库存!$B:$J,9,0)</f>
        <v>#N/A</v>
      </c>
      <c r="I92" s="56"/>
    </row>
    <row r="93" ht="15.75" spans="1:9">
      <c r="A93" s="20"/>
      <c r="B93" s="51"/>
      <c r="C93" s="57"/>
      <c r="D93" s="10"/>
      <c r="E93" s="53" t="e">
        <f>VLOOKUP($D93,成品本月库存!$B:$J,2,0)</f>
        <v>#N/A</v>
      </c>
      <c r="F93" s="54" t="e">
        <f>VLOOKUP($D93,成品本月库存!$B:$J,5,0)</f>
        <v>#N/A</v>
      </c>
      <c r="G93" s="55"/>
      <c r="H93" s="53" t="e">
        <f>VLOOKUP($D93,成品本月库存!$B:$J,9,0)</f>
        <v>#N/A</v>
      </c>
      <c r="I93" s="56"/>
    </row>
    <row r="94" ht="15.75" spans="1:9">
      <c r="A94" s="20"/>
      <c r="B94" s="51"/>
      <c r="C94" s="57"/>
      <c r="D94" s="10"/>
      <c r="E94" s="53" t="e">
        <f>VLOOKUP($D94,成品本月库存!$B:$J,2,0)</f>
        <v>#N/A</v>
      </c>
      <c r="F94" s="54" t="e">
        <f>VLOOKUP($D94,成品本月库存!$B:$J,5,0)</f>
        <v>#N/A</v>
      </c>
      <c r="G94" s="55"/>
      <c r="H94" s="53" t="e">
        <f>VLOOKUP($D94,成品本月库存!$B:$J,9,0)</f>
        <v>#N/A</v>
      </c>
      <c r="I94" s="56"/>
    </row>
    <row r="95" ht="15.75" spans="1:9">
      <c r="A95" s="20"/>
      <c r="B95" s="51"/>
      <c r="C95" s="57"/>
      <c r="D95" s="10"/>
      <c r="E95" s="53" t="e">
        <f>VLOOKUP($D95,成品本月库存!$B:$J,2,0)</f>
        <v>#N/A</v>
      </c>
      <c r="F95" s="54" t="e">
        <f>VLOOKUP($D95,成品本月库存!$B:$J,5,0)</f>
        <v>#N/A</v>
      </c>
      <c r="G95" s="55"/>
      <c r="H95" s="53" t="e">
        <f>VLOOKUP($D95,成品本月库存!$B:$J,9,0)</f>
        <v>#N/A</v>
      </c>
      <c r="I95" s="56"/>
    </row>
    <row r="96" ht="15.75" spans="1:9">
      <c r="A96" s="20"/>
      <c r="B96" s="51"/>
      <c r="C96" s="57"/>
      <c r="D96" s="10"/>
      <c r="E96" s="53" t="e">
        <f>VLOOKUP($D96,成品本月库存!$B:$J,2,0)</f>
        <v>#N/A</v>
      </c>
      <c r="F96" s="54" t="e">
        <f>VLOOKUP($D96,成品本月库存!$B:$J,5,0)</f>
        <v>#N/A</v>
      </c>
      <c r="G96" s="55"/>
      <c r="H96" s="53" t="e">
        <f>VLOOKUP($D96,成品本月库存!$B:$J,9,0)</f>
        <v>#N/A</v>
      </c>
      <c r="I96" s="56"/>
    </row>
    <row r="97" ht="15.75" spans="1:9">
      <c r="A97" s="20"/>
      <c r="B97" s="51"/>
      <c r="C97" s="57"/>
      <c r="D97" s="10"/>
      <c r="E97" s="53" t="e">
        <f>VLOOKUP($D97,成品本月库存!$B:$J,2,0)</f>
        <v>#N/A</v>
      </c>
      <c r="F97" s="54" t="e">
        <f>VLOOKUP($D97,成品本月库存!$B:$J,5,0)</f>
        <v>#N/A</v>
      </c>
      <c r="G97" s="55"/>
      <c r="H97" s="53" t="e">
        <f>VLOOKUP($D97,成品本月库存!$B:$J,9,0)</f>
        <v>#N/A</v>
      </c>
      <c r="I97" s="56"/>
    </row>
    <row r="98" ht="15.75" spans="1:9">
      <c r="A98" s="20"/>
      <c r="B98" s="51"/>
      <c r="C98" s="57"/>
      <c r="D98" s="10"/>
      <c r="E98" s="53" t="e">
        <f>VLOOKUP($D98,成品本月库存!$B:$J,2,0)</f>
        <v>#N/A</v>
      </c>
      <c r="F98" s="54" t="e">
        <f>VLOOKUP($D98,成品本月库存!$B:$J,5,0)</f>
        <v>#N/A</v>
      </c>
      <c r="G98" s="55"/>
      <c r="H98" s="53" t="e">
        <f>VLOOKUP($D98,成品本月库存!$B:$J,9,0)</f>
        <v>#N/A</v>
      </c>
      <c r="I98" s="56"/>
    </row>
    <row r="99" ht="15.75" spans="1:9">
      <c r="A99" s="20"/>
      <c r="B99" s="51"/>
      <c r="C99" s="57"/>
      <c r="D99" s="10"/>
      <c r="E99" s="53" t="e">
        <f>VLOOKUP($D99,成品本月库存!$B:$J,2,0)</f>
        <v>#N/A</v>
      </c>
      <c r="F99" s="54" t="e">
        <f>VLOOKUP($D99,成品本月库存!$B:$J,5,0)</f>
        <v>#N/A</v>
      </c>
      <c r="G99" s="55"/>
      <c r="H99" s="53" t="e">
        <f>VLOOKUP($D99,成品本月库存!$B:$J,9,0)</f>
        <v>#N/A</v>
      </c>
      <c r="I99" s="56"/>
    </row>
    <row r="100" ht="15.75" spans="1:9">
      <c r="A100" s="20"/>
      <c r="B100" s="51"/>
      <c r="C100" s="57"/>
      <c r="D100" s="10"/>
      <c r="E100" s="53" t="e">
        <f>VLOOKUP($D100,成品本月库存!$B:$J,2,0)</f>
        <v>#N/A</v>
      </c>
      <c r="F100" s="54" t="e">
        <f>VLOOKUP($D100,成品本月库存!$B:$J,5,0)</f>
        <v>#N/A</v>
      </c>
      <c r="G100" s="55"/>
      <c r="H100" s="53" t="e">
        <f>VLOOKUP($D100,成品本月库存!$B:$J,9,0)</f>
        <v>#N/A</v>
      </c>
      <c r="I100" s="56"/>
    </row>
    <row r="101" ht="15.75" spans="1:9">
      <c r="A101" s="20"/>
      <c r="B101" s="51"/>
      <c r="C101" s="57"/>
      <c r="D101" s="10"/>
      <c r="E101" s="53" t="e">
        <f>VLOOKUP($D101,成品本月库存!$B:$J,2,0)</f>
        <v>#N/A</v>
      </c>
      <c r="F101" s="54" t="e">
        <f>VLOOKUP($D101,成品本月库存!$B:$J,5,0)</f>
        <v>#N/A</v>
      </c>
      <c r="G101" s="55"/>
      <c r="H101" s="53" t="e">
        <f>VLOOKUP($D101,成品本月库存!$B:$J,9,0)</f>
        <v>#N/A</v>
      </c>
      <c r="I101" s="56"/>
    </row>
    <row r="102" ht="15.75" spans="1:9">
      <c r="A102" s="20"/>
      <c r="B102" s="51"/>
      <c r="C102" s="57"/>
      <c r="D102" s="10"/>
      <c r="E102" s="53" t="e">
        <f>VLOOKUP($D102,成品本月库存!$B:$J,2,0)</f>
        <v>#N/A</v>
      </c>
      <c r="F102" s="54" t="e">
        <f>VLOOKUP($D102,成品本月库存!$B:$J,5,0)</f>
        <v>#N/A</v>
      </c>
      <c r="G102" s="55"/>
      <c r="H102" s="53" t="e">
        <f>VLOOKUP($D102,成品本月库存!$B:$J,9,0)</f>
        <v>#N/A</v>
      </c>
      <c r="I102" s="56"/>
    </row>
    <row r="103" ht="15.75" spans="1:9">
      <c r="A103" s="20"/>
      <c r="B103" s="51"/>
      <c r="C103" s="57"/>
      <c r="D103" s="10"/>
      <c r="E103" s="53" t="e">
        <f>VLOOKUP($D103,成品本月库存!$B:$J,2,0)</f>
        <v>#N/A</v>
      </c>
      <c r="F103" s="54" t="e">
        <f>VLOOKUP($D103,成品本月库存!$B:$J,5,0)</f>
        <v>#N/A</v>
      </c>
      <c r="G103" s="55"/>
      <c r="H103" s="53" t="e">
        <f>VLOOKUP($D103,成品本月库存!$B:$J,9,0)</f>
        <v>#N/A</v>
      </c>
      <c r="I103" s="56"/>
    </row>
    <row r="104" ht="15.75" spans="1:9">
      <c r="A104" s="20"/>
      <c r="B104" s="51"/>
      <c r="C104" s="57"/>
      <c r="D104" s="10"/>
      <c r="E104" s="53" t="e">
        <f>VLOOKUP($D104,成品本月库存!$B:$J,2,0)</f>
        <v>#N/A</v>
      </c>
      <c r="F104" s="54" t="e">
        <f>VLOOKUP($D104,成品本月库存!$B:$J,5,0)</f>
        <v>#N/A</v>
      </c>
      <c r="G104" s="55"/>
      <c r="H104" s="53" t="e">
        <f>VLOOKUP($D104,成品本月库存!$B:$J,9,0)</f>
        <v>#N/A</v>
      </c>
      <c r="I104" s="56"/>
    </row>
    <row r="105" ht="15.75" spans="1:9">
      <c r="A105" s="20"/>
      <c r="B105" s="51"/>
      <c r="C105" s="57"/>
      <c r="D105" s="10"/>
      <c r="E105" s="53" t="e">
        <f>VLOOKUP($D105,成品本月库存!$B:$J,2,0)</f>
        <v>#N/A</v>
      </c>
      <c r="F105" s="54" t="e">
        <f>VLOOKUP($D105,成品本月库存!$B:$J,5,0)</f>
        <v>#N/A</v>
      </c>
      <c r="G105" s="55"/>
      <c r="H105" s="53" t="e">
        <f>VLOOKUP($D105,成品本月库存!$B:$J,9,0)</f>
        <v>#N/A</v>
      </c>
      <c r="I105" s="56"/>
    </row>
    <row r="106" ht="15.75" spans="1:9">
      <c r="A106" s="20"/>
      <c r="B106" s="51"/>
      <c r="C106" s="57"/>
      <c r="D106" s="10"/>
      <c r="E106" s="53" t="e">
        <f>VLOOKUP($D106,成品本月库存!$B:$J,2,0)</f>
        <v>#N/A</v>
      </c>
      <c r="F106" s="54" t="e">
        <f>VLOOKUP($D106,成品本月库存!$B:$J,5,0)</f>
        <v>#N/A</v>
      </c>
      <c r="G106" s="55"/>
      <c r="H106" s="53" t="e">
        <f>VLOOKUP($D106,成品本月库存!$B:$J,9,0)</f>
        <v>#N/A</v>
      </c>
      <c r="I106" s="56"/>
    </row>
    <row r="107" ht="15.75" spans="1:9">
      <c r="A107" s="20"/>
      <c r="B107" s="51"/>
      <c r="C107" s="57"/>
      <c r="D107" s="10"/>
      <c r="E107" s="53" t="e">
        <f>VLOOKUP($D107,成品本月库存!$B:$J,2,0)</f>
        <v>#N/A</v>
      </c>
      <c r="F107" s="54" t="e">
        <f>VLOOKUP($D107,成品本月库存!$B:$J,5,0)</f>
        <v>#N/A</v>
      </c>
      <c r="G107" s="55"/>
      <c r="H107" s="53" t="e">
        <f>VLOOKUP($D107,成品本月库存!$B:$J,9,0)</f>
        <v>#N/A</v>
      </c>
      <c r="I107" s="56"/>
    </row>
    <row r="108" ht="15.75" spans="1:9">
      <c r="A108" s="20"/>
      <c r="B108" s="51"/>
      <c r="C108" s="57"/>
      <c r="D108" s="10"/>
      <c r="E108" s="53" t="e">
        <f>VLOOKUP($D108,成品本月库存!$B:$J,2,0)</f>
        <v>#N/A</v>
      </c>
      <c r="F108" s="54" t="e">
        <f>VLOOKUP($D108,成品本月库存!$B:$J,5,0)</f>
        <v>#N/A</v>
      </c>
      <c r="G108" s="55"/>
      <c r="H108" s="53" t="e">
        <f>VLOOKUP($D108,成品本月库存!$B:$J,9,0)</f>
        <v>#N/A</v>
      </c>
      <c r="I108" s="56"/>
    </row>
    <row r="109" ht="15.75" spans="1:9">
      <c r="A109" s="20"/>
      <c r="B109" s="51"/>
      <c r="C109" s="57"/>
      <c r="D109" s="4"/>
      <c r="E109" s="53" t="e">
        <f>VLOOKUP($D109,成品本月库存!$B:$J,2,0)</f>
        <v>#N/A</v>
      </c>
      <c r="F109" s="54" t="e">
        <f>VLOOKUP($D109,成品本月库存!$B:$J,5,0)</f>
        <v>#N/A</v>
      </c>
      <c r="G109" s="55"/>
      <c r="H109" s="53" t="e">
        <f>VLOOKUP($D109,成品本月库存!$B:$J,9,0)</f>
        <v>#N/A</v>
      </c>
      <c r="I109" s="56"/>
    </row>
    <row r="110" ht="15.75" spans="1:9">
      <c r="A110" s="20"/>
      <c r="B110" s="51"/>
      <c r="C110" s="57"/>
      <c r="D110" s="4"/>
      <c r="E110" s="53" t="e">
        <f>VLOOKUP($D110,成品本月库存!$B:$J,2,0)</f>
        <v>#N/A</v>
      </c>
      <c r="F110" s="54" t="e">
        <f>VLOOKUP($D110,成品本月库存!$B:$J,5,0)</f>
        <v>#N/A</v>
      </c>
      <c r="G110" s="55"/>
      <c r="H110" s="53" t="e">
        <f>VLOOKUP($D110,成品本月库存!$B:$J,9,0)</f>
        <v>#N/A</v>
      </c>
      <c r="I110" s="56"/>
    </row>
    <row r="111" ht="15.75" spans="1:9">
      <c r="A111" s="20"/>
      <c r="B111" s="51"/>
      <c r="C111" s="57"/>
      <c r="D111" s="10"/>
      <c r="E111" s="53" t="e">
        <f>VLOOKUP($D111,成品本月库存!$B:$J,2,0)</f>
        <v>#N/A</v>
      </c>
      <c r="F111" s="54" t="e">
        <f>VLOOKUP($D111,成品本月库存!$B:$J,5,0)</f>
        <v>#N/A</v>
      </c>
      <c r="G111" s="55"/>
      <c r="H111" s="53" t="e">
        <f>VLOOKUP($D111,成品本月库存!$B:$J,9,0)</f>
        <v>#N/A</v>
      </c>
      <c r="I111" s="56"/>
    </row>
    <row r="112" ht="15.75" spans="1:9">
      <c r="A112" s="20"/>
      <c r="B112" s="51"/>
      <c r="C112" s="57"/>
      <c r="D112" s="10"/>
      <c r="E112" s="53" t="e">
        <f>VLOOKUP($D112,成品本月库存!$B:$J,2,0)</f>
        <v>#N/A</v>
      </c>
      <c r="F112" s="54" t="e">
        <f>VLOOKUP($D112,成品本月库存!$B:$J,5,0)</f>
        <v>#N/A</v>
      </c>
      <c r="G112" s="55"/>
      <c r="H112" s="53" t="e">
        <f>VLOOKUP($D112,成品本月库存!$B:$J,9,0)</f>
        <v>#N/A</v>
      </c>
      <c r="I112" s="56"/>
    </row>
    <row r="113" ht="15.75" spans="1:9">
      <c r="A113" s="20"/>
      <c r="B113" s="51"/>
      <c r="C113" s="57"/>
      <c r="D113" s="10"/>
      <c r="E113" s="53" t="e">
        <f>VLOOKUP($D113,成品本月库存!$B:$J,2,0)</f>
        <v>#N/A</v>
      </c>
      <c r="F113" s="54" t="e">
        <f>VLOOKUP($D113,成品本月库存!$B:$J,5,0)</f>
        <v>#N/A</v>
      </c>
      <c r="G113" s="55"/>
      <c r="H113" s="53" t="e">
        <f>VLOOKUP($D113,成品本月库存!$B:$J,9,0)</f>
        <v>#N/A</v>
      </c>
      <c r="I113" s="56"/>
    </row>
    <row r="114" ht="15.75" spans="1:9">
      <c r="A114" s="20"/>
      <c r="B114" s="51"/>
      <c r="C114" s="57"/>
      <c r="D114" s="10"/>
      <c r="E114" s="53" t="e">
        <f>VLOOKUP($D114,成品本月库存!$B:$J,2,0)</f>
        <v>#N/A</v>
      </c>
      <c r="F114" s="54" t="e">
        <f>VLOOKUP($D114,成品本月库存!$B:$J,5,0)</f>
        <v>#N/A</v>
      </c>
      <c r="G114" s="55"/>
      <c r="H114" s="53" t="e">
        <f>VLOOKUP($D114,成品本月库存!$B:$J,9,0)</f>
        <v>#N/A</v>
      </c>
      <c r="I114" s="56"/>
    </row>
    <row r="115" ht="15.75" spans="1:9">
      <c r="A115" s="20"/>
      <c r="B115" s="51"/>
      <c r="C115" s="57"/>
      <c r="D115" s="10"/>
      <c r="E115" s="53" t="e">
        <f>VLOOKUP($D115,成品本月库存!$B:$J,2,0)</f>
        <v>#N/A</v>
      </c>
      <c r="F115" s="54" t="e">
        <f>VLOOKUP($D115,成品本月库存!$B:$J,5,0)</f>
        <v>#N/A</v>
      </c>
      <c r="G115" s="55"/>
      <c r="H115" s="53" t="e">
        <f>VLOOKUP($D115,成品本月库存!$B:$J,9,0)</f>
        <v>#N/A</v>
      </c>
      <c r="I115" s="56"/>
    </row>
    <row r="116" ht="15.75" spans="1:9">
      <c r="A116" s="20"/>
      <c r="B116" s="51"/>
      <c r="C116" s="57"/>
      <c r="D116" s="10"/>
      <c r="E116" s="53" t="e">
        <f>VLOOKUP($D116,成品本月库存!$B:$J,2,0)</f>
        <v>#N/A</v>
      </c>
      <c r="F116" s="54" t="e">
        <f>VLOOKUP($D116,成品本月库存!$B:$J,5,0)</f>
        <v>#N/A</v>
      </c>
      <c r="G116" s="55"/>
      <c r="H116" s="53" t="e">
        <f>VLOOKUP($D116,成品本月库存!$B:$J,9,0)</f>
        <v>#N/A</v>
      </c>
      <c r="I116" s="56"/>
    </row>
    <row r="117" ht="15.75" spans="1:9">
      <c r="A117" s="20"/>
      <c r="B117" s="51"/>
      <c r="C117" s="57"/>
      <c r="D117" s="10"/>
      <c r="E117" s="53" t="e">
        <f>VLOOKUP($D117,成品本月库存!$B:$J,2,0)</f>
        <v>#N/A</v>
      </c>
      <c r="F117" s="54" t="e">
        <f>VLOOKUP($D117,成品本月库存!$B:$J,5,0)</f>
        <v>#N/A</v>
      </c>
      <c r="G117" s="55"/>
      <c r="H117" s="53" t="e">
        <f>VLOOKUP($D117,成品本月库存!$B:$J,9,0)</f>
        <v>#N/A</v>
      </c>
      <c r="I117" s="56"/>
    </row>
    <row r="118" ht="15.75" spans="1:9">
      <c r="A118" s="20"/>
      <c r="B118" s="51"/>
      <c r="C118" s="57"/>
      <c r="D118" s="10"/>
      <c r="E118" s="53" t="e">
        <f>VLOOKUP($D118,成品本月库存!$B:$J,2,0)</f>
        <v>#N/A</v>
      </c>
      <c r="F118" s="54" t="e">
        <f>VLOOKUP($D118,成品本月库存!$B:$J,5,0)</f>
        <v>#N/A</v>
      </c>
      <c r="G118" s="55"/>
      <c r="H118" s="53" t="e">
        <f>VLOOKUP($D118,成品本月库存!$B:$J,9,0)</f>
        <v>#N/A</v>
      </c>
      <c r="I118" s="56"/>
    </row>
    <row r="119" ht="15.75" spans="1:9">
      <c r="A119" s="20"/>
      <c r="B119" s="51"/>
      <c r="C119" s="57"/>
      <c r="D119" s="10"/>
      <c r="E119" s="53" t="e">
        <f>VLOOKUP($D119,成品本月库存!$B:$J,2,0)</f>
        <v>#N/A</v>
      </c>
      <c r="F119" s="54" t="e">
        <f>VLOOKUP($D119,成品本月库存!$B:$J,5,0)</f>
        <v>#N/A</v>
      </c>
      <c r="G119" s="55"/>
      <c r="H119" s="53" t="e">
        <f>VLOOKUP($D119,成品本月库存!$B:$J,9,0)</f>
        <v>#N/A</v>
      </c>
      <c r="I119" s="56"/>
    </row>
    <row r="120" ht="15.75" spans="1:9">
      <c r="A120" s="20"/>
      <c r="B120" s="51"/>
      <c r="C120" s="57"/>
      <c r="D120" s="10"/>
      <c r="E120" s="53" t="e">
        <f>VLOOKUP($D120,成品本月库存!$B:$J,2,0)</f>
        <v>#N/A</v>
      </c>
      <c r="F120" s="54" t="e">
        <f>VLOOKUP($D120,成品本月库存!$B:$J,5,0)</f>
        <v>#N/A</v>
      </c>
      <c r="G120" s="55"/>
      <c r="H120" s="53" t="e">
        <f>VLOOKUP($D120,成品本月库存!$B:$J,9,0)</f>
        <v>#N/A</v>
      </c>
      <c r="I120" s="56"/>
    </row>
    <row r="121" ht="15.75" spans="1:9">
      <c r="A121" s="20"/>
      <c r="B121" s="51"/>
      <c r="C121" s="57"/>
      <c r="D121" s="10"/>
      <c r="E121" s="53" t="e">
        <f>VLOOKUP($D121,成品本月库存!$B:$J,2,0)</f>
        <v>#N/A</v>
      </c>
      <c r="F121" s="54" t="e">
        <f>VLOOKUP($D121,成品本月库存!$B:$J,5,0)</f>
        <v>#N/A</v>
      </c>
      <c r="G121" s="55"/>
      <c r="H121" s="53" t="e">
        <f>VLOOKUP($D121,成品本月库存!$B:$J,9,0)</f>
        <v>#N/A</v>
      </c>
      <c r="I121" s="56"/>
    </row>
    <row r="122" ht="15.75" spans="1:9">
      <c r="A122" s="20"/>
      <c r="B122" s="51"/>
      <c r="C122" s="57"/>
      <c r="D122" s="10"/>
      <c r="E122" s="53" t="e">
        <f>VLOOKUP($D122,成品本月库存!$B:$J,2,0)</f>
        <v>#N/A</v>
      </c>
      <c r="F122" s="54" t="e">
        <f>VLOOKUP($D122,成品本月库存!$B:$J,5,0)</f>
        <v>#N/A</v>
      </c>
      <c r="G122" s="55"/>
      <c r="H122" s="53" t="e">
        <f>VLOOKUP($D122,成品本月库存!$B:$J,9,0)</f>
        <v>#N/A</v>
      </c>
      <c r="I122" s="56"/>
    </row>
    <row r="123" ht="15.75" spans="1:9">
      <c r="A123" s="20"/>
      <c r="B123" s="51"/>
      <c r="C123" s="57"/>
      <c r="D123" s="10"/>
      <c r="E123" s="53" t="e">
        <f>VLOOKUP($D123,成品本月库存!$B:$J,2,0)</f>
        <v>#N/A</v>
      </c>
      <c r="F123" s="54" t="e">
        <f>VLOOKUP($D123,成品本月库存!$B:$J,5,0)</f>
        <v>#N/A</v>
      </c>
      <c r="G123" s="55"/>
      <c r="H123" s="53" t="e">
        <f>VLOOKUP($D123,成品本月库存!$B:$J,9,0)</f>
        <v>#N/A</v>
      </c>
      <c r="I123" s="56"/>
    </row>
    <row r="124" ht="15.75" spans="1:9">
      <c r="A124" s="20"/>
      <c r="B124" s="51"/>
      <c r="C124" s="57"/>
      <c r="D124" s="10"/>
      <c r="E124" s="53" t="e">
        <f>VLOOKUP($D124,成品本月库存!$B:$J,2,0)</f>
        <v>#N/A</v>
      </c>
      <c r="F124" s="54" t="e">
        <f>VLOOKUP($D124,成品本月库存!$B:$J,5,0)</f>
        <v>#N/A</v>
      </c>
      <c r="G124" s="55"/>
      <c r="H124" s="53" t="e">
        <f>VLOOKUP($D124,成品本月库存!$B:$J,9,0)</f>
        <v>#N/A</v>
      </c>
      <c r="I124" s="56"/>
    </row>
    <row r="125" ht="15.75" spans="1:9">
      <c r="A125" s="20"/>
      <c r="B125" s="51"/>
      <c r="C125" s="57"/>
      <c r="D125" s="10"/>
      <c r="E125" s="53" t="e">
        <f>VLOOKUP($D125,成品本月库存!$B:$J,2,0)</f>
        <v>#N/A</v>
      </c>
      <c r="F125" s="54" t="e">
        <f>VLOOKUP($D125,成品本月库存!$B:$J,5,0)</f>
        <v>#N/A</v>
      </c>
      <c r="G125" s="55"/>
      <c r="H125" s="53" t="e">
        <f>VLOOKUP($D125,成品本月库存!$B:$J,9,0)</f>
        <v>#N/A</v>
      </c>
      <c r="I125" s="56"/>
    </row>
    <row r="126" ht="15.75" spans="1:9">
      <c r="A126" s="20"/>
      <c r="B126" s="51"/>
      <c r="C126" s="57"/>
      <c r="D126" s="10"/>
      <c r="E126" s="53" t="e">
        <f>VLOOKUP($D126,成品本月库存!$B:$J,2,0)</f>
        <v>#N/A</v>
      </c>
      <c r="F126" s="54" t="e">
        <f>VLOOKUP($D126,成品本月库存!$B:$J,5,0)</f>
        <v>#N/A</v>
      </c>
      <c r="G126" s="55"/>
      <c r="H126" s="53" t="e">
        <f>VLOOKUP($D126,成品本月库存!$B:$J,9,0)</f>
        <v>#N/A</v>
      </c>
      <c r="I126" s="56"/>
    </row>
    <row r="127" ht="15.75" spans="1:9">
      <c r="A127" s="20"/>
      <c r="B127" s="51"/>
      <c r="C127" s="57"/>
      <c r="D127" s="10"/>
      <c r="E127" s="53" t="e">
        <f>VLOOKUP($D127,成品本月库存!$B:$J,2,0)</f>
        <v>#N/A</v>
      </c>
      <c r="F127" s="54" t="e">
        <f>VLOOKUP($D127,成品本月库存!$B:$J,5,0)</f>
        <v>#N/A</v>
      </c>
      <c r="G127" s="55"/>
      <c r="H127" s="53" t="e">
        <f>VLOOKUP($D127,成品本月库存!$B:$J,9,0)</f>
        <v>#N/A</v>
      </c>
      <c r="I127" s="56"/>
    </row>
    <row r="128" ht="15.75" spans="1:9">
      <c r="A128" s="20"/>
      <c r="B128" s="51"/>
      <c r="C128" s="57"/>
      <c r="D128" s="10"/>
      <c r="E128" s="53" t="e">
        <f>VLOOKUP($D128,成品本月库存!$B:$J,2,0)</f>
        <v>#N/A</v>
      </c>
      <c r="F128" s="54" t="e">
        <f>VLOOKUP($D128,成品本月库存!$B:$J,5,0)</f>
        <v>#N/A</v>
      </c>
      <c r="G128" s="55"/>
      <c r="H128" s="53" t="e">
        <f>VLOOKUP($D128,成品本月库存!$B:$J,9,0)</f>
        <v>#N/A</v>
      </c>
      <c r="I128" s="56"/>
    </row>
    <row r="129" ht="15.75" spans="1:9">
      <c r="A129" s="20"/>
      <c r="B129" s="51"/>
      <c r="C129" s="57"/>
      <c r="D129" s="10"/>
      <c r="E129" s="53" t="e">
        <f>VLOOKUP($D129,成品本月库存!$B:$J,2,0)</f>
        <v>#N/A</v>
      </c>
      <c r="F129" s="54" t="e">
        <f>VLOOKUP($D129,成品本月库存!$B:$J,5,0)</f>
        <v>#N/A</v>
      </c>
      <c r="G129" s="55"/>
      <c r="H129" s="53" t="e">
        <f>VLOOKUP($D129,成品本月库存!$B:$J,9,0)</f>
        <v>#N/A</v>
      </c>
      <c r="I129" s="56"/>
    </row>
    <row r="130" ht="15.75" spans="1:9">
      <c r="A130" s="20"/>
      <c r="B130" s="51"/>
      <c r="C130" s="57"/>
      <c r="D130" s="10"/>
      <c r="E130" s="53" t="e">
        <f>VLOOKUP($D130,成品本月库存!$B:$J,2,0)</f>
        <v>#N/A</v>
      </c>
      <c r="F130" s="54" t="e">
        <f>VLOOKUP($D130,成品本月库存!$B:$J,5,0)</f>
        <v>#N/A</v>
      </c>
      <c r="G130" s="55"/>
      <c r="H130" s="53" t="e">
        <f>VLOOKUP($D130,成品本月库存!$B:$J,9,0)</f>
        <v>#N/A</v>
      </c>
      <c r="I130" s="56"/>
    </row>
    <row r="131" ht="15.75" spans="1:9">
      <c r="A131" s="20"/>
      <c r="B131" s="51"/>
      <c r="C131" s="57"/>
      <c r="D131" s="10"/>
      <c r="E131" s="53" t="e">
        <f>VLOOKUP($D131,成品本月库存!$B:$J,2,0)</f>
        <v>#N/A</v>
      </c>
      <c r="F131" s="54" t="e">
        <f>VLOOKUP($D131,成品本月库存!$B:$J,5,0)</f>
        <v>#N/A</v>
      </c>
      <c r="G131" s="55"/>
      <c r="H131" s="53" t="e">
        <f>VLOOKUP($D131,成品本月库存!$B:$J,9,0)</f>
        <v>#N/A</v>
      </c>
      <c r="I131" s="56"/>
    </row>
    <row r="132" ht="15.75" spans="1:9">
      <c r="A132" s="20"/>
      <c r="B132" s="51"/>
      <c r="C132" s="57"/>
      <c r="D132" s="10"/>
      <c r="E132" s="53" t="e">
        <f>VLOOKUP($D132,成品本月库存!$B:$J,2,0)</f>
        <v>#N/A</v>
      </c>
      <c r="F132" s="54" t="e">
        <f>VLOOKUP($D132,成品本月库存!$B:$J,5,0)</f>
        <v>#N/A</v>
      </c>
      <c r="G132" s="55"/>
      <c r="H132" s="53" t="e">
        <f>VLOOKUP($D132,成品本月库存!$B:$J,9,0)</f>
        <v>#N/A</v>
      </c>
      <c r="I132" s="56"/>
    </row>
    <row r="133" ht="15.75" spans="1:9">
      <c r="A133" s="20"/>
      <c r="B133" s="51"/>
      <c r="C133" s="57"/>
      <c r="D133" s="10"/>
      <c r="E133" s="53" t="e">
        <f>VLOOKUP($D133,成品本月库存!$B:$J,2,0)</f>
        <v>#N/A</v>
      </c>
      <c r="F133" s="54" t="e">
        <f>VLOOKUP($D133,成品本月库存!$B:$J,5,0)</f>
        <v>#N/A</v>
      </c>
      <c r="G133" s="55"/>
      <c r="H133" s="53" t="e">
        <f>VLOOKUP($D133,成品本月库存!$B:$J,9,0)</f>
        <v>#N/A</v>
      </c>
      <c r="I133" s="56"/>
    </row>
    <row r="134" ht="15.75" spans="1:9">
      <c r="A134" s="20"/>
      <c r="B134" s="51"/>
      <c r="C134" s="57"/>
      <c r="D134" s="10"/>
      <c r="E134" s="53" t="e">
        <f>VLOOKUP($D134,成品本月库存!$B:$J,2,0)</f>
        <v>#N/A</v>
      </c>
      <c r="F134" s="54" t="e">
        <f>VLOOKUP($D134,成品本月库存!$B:$J,5,0)</f>
        <v>#N/A</v>
      </c>
      <c r="G134" s="55"/>
      <c r="H134" s="53" t="e">
        <f>VLOOKUP($D134,成品本月库存!$B:$J,9,0)</f>
        <v>#N/A</v>
      </c>
      <c r="I134" s="56"/>
    </row>
    <row r="135" ht="15.75" spans="1:9">
      <c r="A135" s="20"/>
      <c r="B135" s="51"/>
      <c r="C135" s="57"/>
      <c r="D135" s="10"/>
      <c r="E135" s="53" t="e">
        <f>VLOOKUP($D135,成品本月库存!$B:$J,2,0)</f>
        <v>#N/A</v>
      </c>
      <c r="F135" s="54" t="e">
        <f>VLOOKUP($D135,成品本月库存!$B:$J,5,0)</f>
        <v>#N/A</v>
      </c>
      <c r="G135" s="55"/>
      <c r="H135" s="53" t="e">
        <f>VLOOKUP($D135,成品本月库存!$B:$J,9,0)</f>
        <v>#N/A</v>
      </c>
      <c r="I135" s="56"/>
    </row>
    <row r="136" ht="15.75" spans="1:9">
      <c r="A136" s="20"/>
      <c r="B136" s="51"/>
      <c r="C136" s="57"/>
      <c r="D136" s="10"/>
      <c r="E136" s="53" t="e">
        <f>VLOOKUP($D136,成品本月库存!$B:$J,2,0)</f>
        <v>#N/A</v>
      </c>
      <c r="F136" s="54" t="e">
        <f>VLOOKUP($D136,成品本月库存!$B:$J,5,0)</f>
        <v>#N/A</v>
      </c>
      <c r="G136" s="55"/>
      <c r="H136" s="53" t="e">
        <f>VLOOKUP($D136,成品本月库存!$B:$J,9,0)</f>
        <v>#N/A</v>
      </c>
      <c r="I136" s="56"/>
    </row>
    <row r="137" ht="15.75" spans="1:9">
      <c r="A137" s="20"/>
      <c r="B137" s="51"/>
      <c r="C137" s="57"/>
      <c r="D137" s="10"/>
      <c r="E137" s="53" t="e">
        <f>VLOOKUP($D137,成品本月库存!$B:$J,2,0)</f>
        <v>#N/A</v>
      </c>
      <c r="F137" s="54" t="e">
        <f>VLOOKUP($D137,成品本月库存!$B:$J,5,0)</f>
        <v>#N/A</v>
      </c>
      <c r="G137" s="55"/>
      <c r="H137" s="53" t="e">
        <f>VLOOKUP($D137,成品本月库存!$B:$J,9,0)</f>
        <v>#N/A</v>
      </c>
      <c r="I137" s="56"/>
    </row>
    <row r="138" ht="15.75" spans="1:9">
      <c r="A138" s="20"/>
      <c r="B138" s="51"/>
      <c r="C138" s="57"/>
      <c r="D138" s="10"/>
      <c r="E138" s="53" t="e">
        <f>VLOOKUP($D138,成品本月库存!$B:$J,2,0)</f>
        <v>#N/A</v>
      </c>
      <c r="F138" s="54" t="e">
        <f>VLOOKUP($D138,成品本月库存!$B:$J,5,0)</f>
        <v>#N/A</v>
      </c>
      <c r="G138" s="55"/>
      <c r="H138" s="53" t="e">
        <f>VLOOKUP($D138,成品本月库存!$B:$J,9,0)</f>
        <v>#N/A</v>
      </c>
      <c r="I138" s="56"/>
    </row>
    <row r="139" ht="15.75" spans="1:9">
      <c r="A139" s="20"/>
      <c r="B139" s="51"/>
      <c r="C139" s="57"/>
      <c r="D139" s="10"/>
      <c r="E139" s="53" t="e">
        <f>VLOOKUP($D139,成品本月库存!$B:$J,2,0)</f>
        <v>#N/A</v>
      </c>
      <c r="F139" s="54" t="e">
        <f>VLOOKUP($D139,成品本月库存!$B:$J,5,0)</f>
        <v>#N/A</v>
      </c>
      <c r="G139" s="55"/>
      <c r="H139" s="53" t="e">
        <f>VLOOKUP($D139,成品本月库存!$B:$J,9,0)</f>
        <v>#N/A</v>
      </c>
      <c r="I139" s="56"/>
    </row>
    <row r="140" ht="15.75" spans="1:9">
      <c r="A140" s="20"/>
      <c r="B140" s="51"/>
      <c r="C140" s="57"/>
      <c r="D140" s="10"/>
      <c r="E140" s="53" t="e">
        <f>VLOOKUP($D140,成品本月库存!$B:$J,2,0)</f>
        <v>#N/A</v>
      </c>
      <c r="F140" s="54" t="e">
        <f>VLOOKUP($D140,成品本月库存!$B:$J,5,0)</f>
        <v>#N/A</v>
      </c>
      <c r="G140" s="55"/>
      <c r="H140" s="53" t="e">
        <f>VLOOKUP($D140,成品本月库存!$B:$J,9,0)</f>
        <v>#N/A</v>
      </c>
      <c r="I140" s="56"/>
    </row>
    <row r="141" ht="15.75" spans="1:9">
      <c r="A141" s="20"/>
      <c r="B141" s="51"/>
      <c r="C141" s="57"/>
      <c r="D141" s="10"/>
      <c r="E141" s="53" t="e">
        <f>VLOOKUP($D141,成品本月库存!$B:$J,2,0)</f>
        <v>#N/A</v>
      </c>
      <c r="F141" s="54" t="e">
        <f>VLOOKUP($D141,成品本月库存!$B:$J,5,0)</f>
        <v>#N/A</v>
      </c>
      <c r="G141" s="55"/>
      <c r="H141" s="53" t="e">
        <f>VLOOKUP($D141,成品本月库存!$B:$J,9,0)</f>
        <v>#N/A</v>
      </c>
      <c r="I141" s="56"/>
    </row>
    <row r="142" ht="15.75" spans="1:9">
      <c r="A142" s="20"/>
      <c r="B142" s="51"/>
      <c r="C142" s="57"/>
      <c r="D142" s="10"/>
      <c r="E142" s="53" t="e">
        <f>VLOOKUP($D142,成品本月库存!$B:$J,2,0)</f>
        <v>#N/A</v>
      </c>
      <c r="F142" s="54" t="e">
        <f>VLOOKUP($D142,成品本月库存!$B:$J,5,0)</f>
        <v>#N/A</v>
      </c>
      <c r="G142" s="55"/>
      <c r="H142" s="53" t="e">
        <f>VLOOKUP($D142,成品本月库存!$B:$J,9,0)</f>
        <v>#N/A</v>
      </c>
      <c r="I142" s="56"/>
    </row>
    <row r="143" ht="15.75" spans="1:9">
      <c r="A143" s="20"/>
      <c r="B143" s="51"/>
      <c r="C143" s="57"/>
      <c r="D143" s="10"/>
      <c r="E143" s="53" t="e">
        <f>VLOOKUP($D143,成品本月库存!$B:$J,2,0)</f>
        <v>#N/A</v>
      </c>
      <c r="F143" s="54" t="e">
        <f>VLOOKUP($D143,成品本月库存!$B:$J,5,0)</f>
        <v>#N/A</v>
      </c>
      <c r="G143" s="55"/>
      <c r="H143" s="53" t="e">
        <f>VLOOKUP($D143,成品本月库存!$B:$J,9,0)</f>
        <v>#N/A</v>
      </c>
      <c r="I143" s="56"/>
    </row>
    <row r="144" ht="15.75" spans="1:9">
      <c r="A144" s="20"/>
      <c r="B144" s="51"/>
      <c r="C144" s="57"/>
      <c r="D144" s="4"/>
      <c r="E144" s="53" t="e">
        <f>VLOOKUP($D144,成品本月库存!$B:$J,2,0)</f>
        <v>#N/A</v>
      </c>
      <c r="F144" s="54" t="e">
        <f>VLOOKUP($D144,成品本月库存!$B:$J,5,0)</f>
        <v>#N/A</v>
      </c>
      <c r="G144" s="55"/>
      <c r="H144" s="53" t="e">
        <f>VLOOKUP($D144,成品本月库存!$B:$J,9,0)</f>
        <v>#N/A</v>
      </c>
      <c r="I144" s="56"/>
    </row>
    <row r="145" ht="15.75" spans="1:9">
      <c r="A145" s="20"/>
      <c r="B145" s="51"/>
      <c r="C145" s="57"/>
      <c r="D145" s="10"/>
      <c r="E145" s="53" t="e">
        <f>VLOOKUP($D145,成品本月库存!$B:$J,2,0)</f>
        <v>#N/A</v>
      </c>
      <c r="F145" s="54" t="e">
        <f>VLOOKUP($D145,成品本月库存!$B:$J,5,0)</f>
        <v>#N/A</v>
      </c>
      <c r="G145" s="55"/>
      <c r="H145" s="53" t="e">
        <f>VLOOKUP($D145,成品本月库存!$B:$J,9,0)</f>
        <v>#N/A</v>
      </c>
      <c r="I145" s="56"/>
    </row>
    <row r="146" ht="15.75" spans="1:9">
      <c r="A146" s="20"/>
      <c r="B146" s="51"/>
      <c r="C146" s="57"/>
      <c r="D146" s="10"/>
      <c r="E146" s="53" t="e">
        <f>VLOOKUP($D146,成品本月库存!$B:$J,2,0)</f>
        <v>#N/A</v>
      </c>
      <c r="F146" s="54" t="e">
        <f>VLOOKUP($D146,成品本月库存!$B:$J,5,0)</f>
        <v>#N/A</v>
      </c>
      <c r="G146" s="55"/>
      <c r="H146" s="53" t="e">
        <f>VLOOKUP($D146,成品本月库存!$B:$J,9,0)</f>
        <v>#N/A</v>
      </c>
      <c r="I146" s="56"/>
    </row>
    <row r="147" ht="15.75" spans="1:9">
      <c r="A147" s="20"/>
      <c r="B147" s="51"/>
      <c r="C147" s="57"/>
      <c r="D147" s="10"/>
      <c r="E147" s="53" t="e">
        <f>VLOOKUP($D147,成品本月库存!$B:$J,2,0)</f>
        <v>#N/A</v>
      </c>
      <c r="F147" s="54" t="e">
        <f>VLOOKUP($D147,成品本月库存!$B:$J,5,0)</f>
        <v>#N/A</v>
      </c>
      <c r="G147" s="55"/>
      <c r="H147" s="53" t="e">
        <f>VLOOKUP($D147,成品本月库存!$B:$J,9,0)</f>
        <v>#N/A</v>
      </c>
      <c r="I147" s="56"/>
    </row>
    <row r="148" ht="15.75" spans="1:9">
      <c r="A148" s="20"/>
      <c r="B148" s="51"/>
      <c r="C148" s="52"/>
      <c r="D148" s="10"/>
      <c r="E148" s="53" t="e">
        <f>VLOOKUP($D148,成品本月库存!$B:$J,2,0)</f>
        <v>#N/A</v>
      </c>
      <c r="F148" s="54" t="e">
        <f>VLOOKUP($D148,成品本月库存!$B:$J,5,0)</f>
        <v>#N/A</v>
      </c>
      <c r="G148" s="55"/>
      <c r="H148" s="53" t="e">
        <f>VLOOKUP($D148,成品本月库存!$B:$J,9,0)</f>
        <v>#N/A</v>
      </c>
      <c r="I148" s="56"/>
    </row>
    <row r="149" ht="15.75" spans="1:9">
      <c r="A149" s="20"/>
      <c r="B149" s="51"/>
      <c r="C149" s="52"/>
      <c r="D149" s="10"/>
      <c r="E149" s="53" t="e">
        <f>VLOOKUP($D149,成品本月库存!$B:$J,2,0)</f>
        <v>#N/A</v>
      </c>
      <c r="F149" s="54" t="e">
        <f>VLOOKUP($D149,成品本月库存!$B:$J,5,0)</f>
        <v>#N/A</v>
      </c>
      <c r="G149" s="55"/>
      <c r="H149" s="53" t="e">
        <f>VLOOKUP($D149,成品本月库存!$B:$J,9,0)</f>
        <v>#N/A</v>
      </c>
      <c r="I149" s="56"/>
    </row>
    <row r="150" ht="15.75" spans="1:9">
      <c r="A150" s="20"/>
      <c r="B150" s="51"/>
      <c r="C150" s="57"/>
      <c r="D150" s="10"/>
      <c r="E150" s="53" t="e">
        <f>VLOOKUP($D150,成品本月库存!$B:$J,2,0)</f>
        <v>#N/A</v>
      </c>
      <c r="F150" s="54" t="e">
        <f>VLOOKUP($D150,成品本月库存!$B:$J,5,0)</f>
        <v>#N/A</v>
      </c>
      <c r="G150" s="55"/>
      <c r="H150" s="53" t="e">
        <f>VLOOKUP($D150,成品本月库存!$B:$J,9,0)</f>
        <v>#N/A</v>
      </c>
      <c r="I150" s="56"/>
    </row>
    <row r="151" ht="15.75" spans="1:9">
      <c r="A151" s="20"/>
      <c r="B151" s="51"/>
      <c r="C151" s="57"/>
      <c r="D151" s="10"/>
      <c r="E151" s="53" t="e">
        <f>VLOOKUP($D151,成品本月库存!$B:$J,2,0)</f>
        <v>#N/A</v>
      </c>
      <c r="F151" s="54" t="e">
        <f>VLOOKUP($D151,成品本月库存!$B:$J,5,0)</f>
        <v>#N/A</v>
      </c>
      <c r="G151" s="55"/>
      <c r="H151" s="53" t="e">
        <f>VLOOKUP($D151,成品本月库存!$B:$J,9,0)</f>
        <v>#N/A</v>
      </c>
      <c r="I151" s="56"/>
    </row>
    <row r="152" ht="15.75" spans="1:9">
      <c r="A152" s="20"/>
      <c r="B152" s="51"/>
      <c r="C152" s="57"/>
      <c r="D152" s="10"/>
      <c r="E152" s="53" t="e">
        <f>VLOOKUP($D152,成品本月库存!$B:$J,2,0)</f>
        <v>#N/A</v>
      </c>
      <c r="F152" s="54" t="e">
        <f>VLOOKUP($D152,成品本月库存!$B:$J,5,0)</f>
        <v>#N/A</v>
      </c>
      <c r="G152" s="55"/>
      <c r="H152" s="53" t="e">
        <f>VLOOKUP($D152,成品本月库存!$B:$J,9,0)</f>
        <v>#N/A</v>
      </c>
      <c r="I152" s="56"/>
    </row>
    <row r="153" ht="15.75" spans="1:9">
      <c r="A153" s="20"/>
      <c r="B153" s="51"/>
      <c r="C153" s="57"/>
      <c r="D153" s="10"/>
      <c r="E153" s="53" t="e">
        <f>VLOOKUP($D153,成品本月库存!$B:$J,2,0)</f>
        <v>#N/A</v>
      </c>
      <c r="F153" s="54" t="e">
        <f>VLOOKUP($D153,成品本月库存!$B:$J,5,0)</f>
        <v>#N/A</v>
      </c>
      <c r="G153" s="55"/>
      <c r="H153" s="53" t="e">
        <f>VLOOKUP($D153,成品本月库存!$B:$J,9,0)</f>
        <v>#N/A</v>
      </c>
      <c r="I153" s="56"/>
    </row>
    <row r="154" ht="15.75" spans="1:9">
      <c r="A154" s="20"/>
      <c r="B154" s="51"/>
      <c r="C154" s="57"/>
      <c r="D154" s="10"/>
      <c r="E154" s="53" t="e">
        <f>VLOOKUP($D154,成品本月库存!$B:$J,2,0)</f>
        <v>#N/A</v>
      </c>
      <c r="F154" s="54" t="e">
        <f>VLOOKUP($D154,成品本月库存!$B:$J,5,0)</f>
        <v>#N/A</v>
      </c>
      <c r="G154" s="55"/>
      <c r="H154" s="53" t="e">
        <f>VLOOKUP($D154,成品本月库存!$B:$J,9,0)</f>
        <v>#N/A</v>
      </c>
      <c r="I154" s="56"/>
    </row>
    <row r="155" ht="15.75" spans="1:9">
      <c r="A155" s="20"/>
      <c r="B155" s="51"/>
      <c r="C155" s="57"/>
      <c r="D155" s="10"/>
      <c r="E155" s="53" t="e">
        <f>VLOOKUP($D155,成品本月库存!$B:$J,2,0)</f>
        <v>#N/A</v>
      </c>
      <c r="F155" s="54" t="e">
        <f>VLOOKUP($D155,成品本月库存!$B:$J,5,0)</f>
        <v>#N/A</v>
      </c>
      <c r="G155" s="55"/>
      <c r="H155" s="53" t="e">
        <f>VLOOKUP($D155,成品本月库存!$B:$J,9,0)</f>
        <v>#N/A</v>
      </c>
      <c r="I155" s="56"/>
    </row>
    <row r="156" ht="15.75" spans="1:9">
      <c r="A156" s="20"/>
      <c r="B156" s="51"/>
      <c r="C156" s="57"/>
      <c r="D156" s="10"/>
      <c r="E156" s="53" t="e">
        <f>VLOOKUP($D156,成品本月库存!$B:$J,2,0)</f>
        <v>#N/A</v>
      </c>
      <c r="F156" s="54" t="e">
        <f>VLOOKUP($D156,成品本月库存!$B:$J,5,0)</f>
        <v>#N/A</v>
      </c>
      <c r="G156" s="55"/>
      <c r="H156" s="53" t="e">
        <f>VLOOKUP($D156,成品本月库存!$B:$J,9,0)</f>
        <v>#N/A</v>
      </c>
      <c r="I156" s="56"/>
    </row>
    <row r="157" ht="15.75" spans="1:9">
      <c r="A157" s="20"/>
      <c r="B157" s="51"/>
      <c r="C157" s="57"/>
      <c r="D157" s="10"/>
      <c r="E157" s="53" t="e">
        <f>VLOOKUP($D157,成品本月库存!$B:$J,2,0)</f>
        <v>#N/A</v>
      </c>
      <c r="F157" s="54" t="e">
        <f>VLOOKUP($D157,成品本月库存!$B:$J,5,0)</f>
        <v>#N/A</v>
      </c>
      <c r="G157" s="55"/>
      <c r="H157" s="53" t="e">
        <f>VLOOKUP($D157,成品本月库存!$B:$J,9,0)</f>
        <v>#N/A</v>
      </c>
      <c r="I157" s="56"/>
    </row>
    <row r="158" ht="15.75" spans="1:9">
      <c r="A158" s="20"/>
      <c r="B158" s="51"/>
      <c r="C158" s="57"/>
      <c r="D158" s="10"/>
      <c r="E158" s="53" t="e">
        <f>VLOOKUP($D158,成品本月库存!$B:$J,2,0)</f>
        <v>#N/A</v>
      </c>
      <c r="F158" s="54" t="e">
        <f>VLOOKUP($D158,成品本月库存!$B:$J,5,0)</f>
        <v>#N/A</v>
      </c>
      <c r="G158" s="55"/>
      <c r="H158" s="53" t="e">
        <f>VLOOKUP($D158,成品本月库存!$B:$J,9,0)</f>
        <v>#N/A</v>
      </c>
      <c r="I158" s="56"/>
    </row>
    <row r="159" ht="15.75" spans="1:9">
      <c r="A159" s="20"/>
      <c r="B159" s="51"/>
      <c r="C159" s="57"/>
      <c r="D159" s="10"/>
      <c r="E159" s="53" t="e">
        <f>VLOOKUP($D159,成品本月库存!$B:$J,2,0)</f>
        <v>#N/A</v>
      </c>
      <c r="F159" s="54" t="e">
        <f>VLOOKUP($D159,成品本月库存!$B:$J,5,0)</f>
        <v>#N/A</v>
      </c>
      <c r="G159" s="55"/>
      <c r="H159" s="53" t="e">
        <f>VLOOKUP($D159,成品本月库存!$B:$J,9,0)</f>
        <v>#N/A</v>
      </c>
      <c r="I159" s="56"/>
    </row>
    <row r="160" ht="15.75" spans="1:9">
      <c r="A160" s="20"/>
      <c r="B160" s="51"/>
      <c r="C160" s="57"/>
      <c r="D160" s="10"/>
      <c r="E160" s="53" t="e">
        <f>VLOOKUP($D160,成品本月库存!$B:$J,2,0)</f>
        <v>#N/A</v>
      </c>
      <c r="F160" s="54" t="e">
        <f>VLOOKUP($D160,成品本月库存!$B:$J,5,0)</f>
        <v>#N/A</v>
      </c>
      <c r="G160" s="55"/>
      <c r="H160" s="53" t="e">
        <f>VLOOKUP($D160,成品本月库存!$B:$J,9,0)</f>
        <v>#N/A</v>
      </c>
      <c r="I160" s="56"/>
    </row>
    <row r="161" ht="15.75" spans="1:9">
      <c r="A161" s="20"/>
      <c r="B161" s="51"/>
      <c r="C161" s="57"/>
      <c r="D161" s="10"/>
      <c r="E161" s="53" t="e">
        <f>VLOOKUP($D161,成品本月库存!$B:$J,2,0)</f>
        <v>#N/A</v>
      </c>
      <c r="F161" s="54" t="e">
        <f>VLOOKUP($D161,成品本月库存!$B:$J,5,0)</f>
        <v>#N/A</v>
      </c>
      <c r="G161" s="55"/>
      <c r="H161" s="53" t="e">
        <f>VLOOKUP($D161,成品本月库存!$B:$J,9,0)</f>
        <v>#N/A</v>
      </c>
      <c r="I161" s="56"/>
    </row>
    <row r="162" ht="15.75" spans="1:9">
      <c r="A162" s="20"/>
      <c r="B162" s="51"/>
      <c r="C162" s="57"/>
      <c r="D162" s="10"/>
      <c r="E162" s="53" t="e">
        <f>VLOOKUP($D162,成品本月库存!$B:$J,2,0)</f>
        <v>#N/A</v>
      </c>
      <c r="F162" s="54" t="e">
        <f>VLOOKUP($D162,成品本月库存!$B:$J,5,0)</f>
        <v>#N/A</v>
      </c>
      <c r="G162" s="55"/>
      <c r="H162" s="53" t="e">
        <f>VLOOKUP($D162,成品本月库存!$B:$J,9,0)</f>
        <v>#N/A</v>
      </c>
      <c r="I162" s="56"/>
    </row>
    <row r="163" ht="15.75" spans="1:9">
      <c r="A163" s="20"/>
      <c r="B163" s="51"/>
      <c r="C163" s="57"/>
      <c r="D163" s="10"/>
      <c r="E163" s="53" t="e">
        <f>VLOOKUP($D163,成品本月库存!$B:$J,2,0)</f>
        <v>#N/A</v>
      </c>
      <c r="F163" s="54" t="e">
        <f>VLOOKUP($D163,成品本月库存!$B:$J,5,0)</f>
        <v>#N/A</v>
      </c>
      <c r="G163" s="55"/>
      <c r="H163" s="53" t="e">
        <f>VLOOKUP($D163,成品本月库存!$B:$J,9,0)</f>
        <v>#N/A</v>
      </c>
      <c r="I163" s="58"/>
    </row>
    <row r="164" ht="15.75" spans="1:9">
      <c r="A164" s="20"/>
      <c r="B164" s="51"/>
      <c r="C164" s="57"/>
      <c r="D164" s="10"/>
      <c r="E164" s="53" t="e">
        <f>VLOOKUP($D164,成品本月库存!$B:$J,2,0)</f>
        <v>#N/A</v>
      </c>
      <c r="F164" s="54" t="e">
        <f>VLOOKUP($D164,成品本月库存!$B:$J,5,0)</f>
        <v>#N/A</v>
      </c>
      <c r="G164" s="55"/>
      <c r="H164" s="53" t="e">
        <f>VLOOKUP($D164,成品本月库存!$B:$J,9,0)</f>
        <v>#N/A</v>
      </c>
      <c r="I164" s="58"/>
    </row>
    <row r="165" ht="15.75" spans="1:9">
      <c r="A165" s="20"/>
      <c r="B165" s="51"/>
      <c r="C165" s="57"/>
      <c r="D165" s="10"/>
      <c r="E165" s="53" t="e">
        <f>VLOOKUP($D165,成品本月库存!$B:$J,2,0)</f>
        <v>#N/A</v>
      </c>
      <c r="F165" s="54" t="e">
        <f>VLOOKUP($D165,成品本月库存!$B:$J,5,0)</f>
        <v>#N/A</v>
      </c>
      <c r="G165" s="55"/>
      <c r="H165" s="53" t="e">
        <f>VLOOKUP($D165,成品本月库存!$B:$J,9,0)</f>
        <v>#N/A</v>
      </c>
      <c r="I165" s="58"/>
    </row>
    <row r="166" ht="15.75" spans="1:9">
      <c r="A166" s="20"/>
      <c r="B166" s="51"/>
      <c r="C166" s="57"/>
      <c r="D166" s="10"/>
      <c r="E166" s="53" t="e">
        <f>VLOOKUP($D166,成品本月库存!$B:$J,2,0)</f>
        <v>#N/A</v>
      </c>
      <c r="F166" s="54" t="e">
        <f>VLOOKUP($D166,成品本月库存!$B:$J,5,0)</f>
        <v>#N/A</v>
      </c>
      <c r="G166" s="55"/>
      <c r="H166" s="53" t="e">
        <f>VLOOKUP($D166,成品本月库存!$B:$J,9,0)</f>
        <v>#N/A</v>
      </c>
      <c r="I166" s="58"/>
    </row>
    <row r="167" ht="15.75" spans="1:9">
      <c r="A167" s="20"/>
      <c r="B167" s="51"/>
      <c r="C167" s="57"/>
      <c r="D167" s="10"/>
      <c r="E167" s="53" t="e">
        <f>VLOOKUP($D167,成品本月库存!$B:$J,2,0)</f>
        <v>#N/A</v>
      </c>
      <c r="F167" s="54" t="e">
        <f>VLOOKUP($D167,成品本月库存!$B:$J,5,0)</f>
        <v>#N/A</v>
      </c>
      <c r="G167" s="55"/>
      <c r="H167" s="53" t="e">
        <f>VLOOKUP($D167,成品本月库存!$B:$J,9,0)</f>
        <v>#N/A</v>
      </c>
      <c r="I167" s="58"/>
    </row>
    <row r="168" ht="15.75" spans="1:9">
      <c r="A168" s="20"/>
      <c r="B168" s="51"/>
      <c r="C168" s="57"/>
      <c r="D168" s="10"/>
      <c r="E168" s="53" t="e">
        <f>VLOOKUP($D168,成品本月库存!$B:$J,2,0)</f>
        <v>#N/A</v>
      </c>
      <c r="F168" s="54" t="e">
        <f>VLOOKUP($D168,成品本月库存!$B:$J,5,0)</f>
        <v>#N/A</v>
      </c>
      <c r="G168" s="55"/>
      <c r="H168" s="53" t="e">
        <f>VLOOKUP($D168,成品本月库存!$B:$J,9,0)</f>
        <v>#N/A</v>
      </c>
      <c r="I168" s="58"/>
    </row>
    <row r="169" ht="15.75" spans="1:9">
      <c r="A169" s="20"/>
      <c r="B169" s="51"/>
      <c r="C169" s="57"/>
      <c r="D169" s="10"/>
      <c r="E169" s="53" t="e">
        <f>VLOOKUP($D169,成品本月库存!$B:$J,2,0)</f>
        <v>#N/A</v>
      </c>
      <c r="F169" s="54" t="e">
        <f>VLOOKUP($D169,成品本月库存!$B:$J,5,0)</f>
        <v>#N/A</v>
      </c>
      <c r="G169" s="55"/>
      <c r="H169" s="53" t="e">
        <f>VLOOKUP($D169,成品本月库存!$B:$J,9,0)</f>
        <v>#N/A</v>
      </c>
      <c r="I169" s="58"/>
    </row>
    <row r="170" ht="15.75" spans="1:9">
      <c r="A170" s="20"/>
      <c r="B170" s="51"/>
      <c r="C170" s="57"/>
      <c r="D170" s="10"/>
      <c r="E170" s="53" t="e">
        <f>VLOOKUP($D170,成品本月库存!$B:$J,2,0)</f>
        <v>#N/A</v>
      </c>
      <c r="F170" s="54" t="e">
        <f>VLOOKUP($D170,成品本月库存!$B:$J,5,0)</f>
        <v>#N/A</v>
      </c>
      <c r="G170" s="55"/>
      <c r="H170" s="53" t="e">
        <f>VLOOKUP($D170,成品本月库存!$B:$J,9,0)</f>
        <v>#N/A</v>
      </c>
      <c r="I170" s="58"/>
    </row>
    <row r="171" ht="15.75" spans="1:9">
      <c r="A171" s="20"/>
      <c r="B171" s="51"/>
      <c r="C171" s="57"/>
      <c r="D171" s="10"/>
      <c r="E171" s="53" t="e">
        <f>VLOOKUP($D171,成品本月库存!$B:$J,2,0)</f>
        <v>#N/A</v>
      </c>
      <c r="F171" s="54" t="e">
        <f>VLOOKUP($D171,成品本月库存!$B:$J,5,0)</f>
        <v>#N/A</v>
      </c>
      <c r="G171" s="55"/>
      <c r="H171" s="53" t="e">
        <f>VLOOKUP($D171,成品本月库存!$B:$J,9,0)</f>
        <v>#N/A</v>
      </c>
      <c r="I171" s="58"/>
    </row>
    <row r="172" ht="15.75" spans="1:9">
      <c r="A172" s="20"/>
      <c r="B172" s="51"/>
      <c r="C172" s="57"/>
      <c r="D172" s="10"/>
      <c r="E172" s="53" t="e">
        <f>VLOOKUP($D172,成品本月库存!$B:$J,2,0)</f>
        <v>#N/A</v>
      </c>
      <c r="F172" s="54" t="e">
        <f>VLOOKUP($D172,成品本月库存!$B:$J,5,0)</f>
        <v>#N/A</v>
      </c>
      <c r="G172" s="55"/>
      <c r="H172" s="53" t="e">
        <f>VLOOKUP($D172,成品本月库存!$B:$J,9,0)</f>
        <v>#N/A</v>
      </c>
      <c r="I172" s="56"/>
    </row>
    <row r="173" ht="15.75" spans="1:9">
      <c r="A173" s="20"/>
      <c r="B173" s="51"/>
      <c r="C173" s="57"/>
      <c r="D173" s="10"/>
      <c r="E173" s="53" t="e">
        <f>VLOOKUP($D173,成品本月库存!$B:$J,2,0)</f>
        <v>#N/A</v>
      </c>
      <c r="F173" s="54" t="e">
        <f>VLOOKUP($D173,成品本月库存!$B:$J,5,0)</f>
        <v>#N/A</v>
      </c>
      <c r="G173" s="55"/>
      <c r="H173" s="53" t="e">
        <f>VLOOKUP($D173,成品本月库存!$B:$J,9,0)</f>
        <v>#N/A</v>
      </c>
      <c r="I173" s="56"/>
    </row>
    <row r="174" ht="15.75" spans="1:9">
      <c r="A174" s="20"/>
      <c r="B174" s="51"/>
      <c r="C174" s="57"/>
      <c r="D174" s="10"/>
      <c r="E174" s="53" t="e">
        <f>VLOOKUP($D174,成品本月库存!$B:$J,2,0)</f>
        <v>#N/A</v>
      </c>
      <c r="F174" s="54" t="e">
        <f>VLOOKUP($D174,成品本月库存!$B:$J,5,0)</f>
        <v>#N/A</v>
      </c>
      <c r="G174" s="55"/>
      <c r="H174" s="53" t="e">
        <f>VLOOKUP($D174,成品本月库存!$B:$J,9,0)</f>
        <v>#N/A</v>
      </c>
      <c r="I174" s="58"/>
    </row>
    <row r="175" ht="15.75" spans="1:9">
      <c r="A175" s="20"/>
      <c r="B175" s="51"/>
      <c r="C175" s="57"/>
      <c r="D175" s="10"/>
      <c r="E175" s="53" t="e">
        <f>VLOOKUP($D175,成品本月库存!$B:$J,2,0)</f>
        <v>#N/A</v>
      </c>
      <c r="F175" s="54" t="e">
        <f>VLOOKUP($D175,成品本月库存!$B:$J,5,0)</f>
        <v>#N/A</v>
      </c>
      <c r="G175" s="55"/>
      <c r="H175" s="53" t="e">
        <f>VLOOKUP($D175,成品本月库存!$B:$J,9,0)</f>
        <v>#N/A</v>
      </c>
      <c r="I175" s="58"/>
    </row>
    <row r="176" ht="15.75" spans="1:9">
      <c r="A176" s="20"/>
      <c r="B176" s="51"/>
      <c r="C176" s="57"/>
      <c r="D176" s="10"/>
      <c r="E176" s="53" t="e">
        <f>VLOOKUP($D176,成品本月库存!$B:$J,2,0)</f>
        <v>#N/A</v>
      </c>
      <c r="F176" s="54" t="e">
        <f>VLOOKUP($D176,成品本月库存!$B:$J,5,0)</f>
        <v>#N/A</v>
      </c>
      <c r="G176" s="55"/>
      <c r="H176" s="53" t="e">
        <f>VLOOKUP($D176,成品本月库存!$B:$J,9,0)</f>
        <v>#N/A</v>
      </c>
      <c r="I176" s="58"/>
    </row>
    <row r="177" ht="15.75" spans="1:9">
      <c r="A177" s="20"/>
      <c r="B177" s="51"/>
      <c r="C177" s="57"/>
      <c r="D177" s="10"/>
      <c r="E177" s="53" t="e">
        <f>VLOOKUP($D177,成品本月库存!$B:$J,2,0)</f>
        <v>#N/A</v>
      </c>
      <c r="F177" s="54" t="e">
        <f>VLOOKUP($D177,成品本月库存!$B:$J,5,0)</f>
        <v>#N/A</v>
      </c>
      <c r="G177" s="55"/>
      <c r="H177" s="53" t="e">
        <f>VLOOKUP($D177,成品本月库存!$B:$J,9,0)</f>
        <v>#N/A</v>
      </c>
      <c r="I177" s="58"/>
    </row>
    <row r="178" ht="15.75" spans="1:9">
      <c r="A178" s="20"/>
      <c r="B178" s="51"/>
      <c r="C178" s="57"/>
      <c r="D178" s="10"/>
      <c r="E178" s="53" t="e">
        <f>VLOOKUP($D178,成品本月库存!$B:$J,2,0)</f>
        <v>#N/A</v>
      </c>
      <c r="F178" s="54" t="e">
        <f>VLOOKUP($D178,成品本月库存!$B:$J,5,0)</f>
        <v>#N/A</v>
      </c>
      <c r="G178" s="55"/>
      <c r="H178" s="53" t="e">
        <f>VLOOKUP($D178,成品本月库存!$B:$J,9,0)</f>
        <v>#N/A</v>
      </c>
      <c r="I178" s="58"/>
    </row>
    <row r="179" ht="15.75" spans="1:9">
      <c r="A179" s="20"/>
      <c r="B179" s="51"/>
      <c r="C179" s="57"/>
      <c r="D179" s="10"/>
      <c r="E179" s="53" t="e">
        <f>VLOOKUP($D179,成品本月库存!$B:$J,2,0)</f>
        <v>#N/A</v>
      </c>
      <c r="F179" s="54" t="e">
        <f>VLOOKUP($D179,成品本月库存!$B:$J,5,0)</f>
        <v>#N/A</v>
      </c>
      <c r="G179" s="55"/>
      <c r="H179" s="53" t="e">
        <f>VLOOKUP($D179,成品本月库存!$B:$J,9,0)</f>
        <v>#N/A</v>
      </c>
      <c r="I179" s="58"/>
    </row>
    <row r="180" ht="15.75" spans="1:9">
      <c r="A180" s="20"/>
      <c r="B180" s="51"/>
      <c r="C180" s="57"/>
      <c r="D180" s="10"/>
      <c r="E180" s="53" t="e">
        <f>VLOOKUP($D180,成品本月库存!$B:$J,2,0)</f>
        <v>#N/A</v>
      </c>
      <c r="F180" s="54" t="e">
        <f>VLOOKUP($D180,成品本月库存!$B:$J,5,0)</f>
        <v>#N/A</v>
      </c>
      <c r="G180" s="55"/>
      <c r="H180" s="53" t="e">
        <f>VLOOKUP($D180,成品本月库存!$B:$J,9,0)</f>
        <v>#N/A</v>
      </c>
      <c r="I180" s="58"/>
    </row>
    <row r="181" ht="15.75" spans="1:9">
      <c r="A181" s="20"/>
      <c r="B181" s="51"/>
      <c r="C181" s="57"/>
      <c r="D181" s="10"/>
      <c r="E181" s="53" t="e">
        <f>VLOOKUP($D181,成品本月库存!$B:$J,2,0)</f>
        <v>#N/A</v>
      </c>
      <c r="F181" s="54" t="e">
        <f>VLOOKUP($D181,成品本月库存!$B:$J,5,0)</f>
        <v>#N/A</v>
      </c>
      <c r="G181" s="55"/>
      <c r="H181" s="53" t="e">
        <f>VLOOKUP($D181,成品本月库存!$B:$J,9,0)</f>
        <v>#N/A</v>
      </c>
      <c r="I181" s="58"/>
    </row>
    <row r="182" ht="15.75" spans="1:9">
      <c r="A182" s="20"/>
      <c r="B182" s="51"/>
      <c r="C182" s="57"/>
      <c r="D182" s="10"/>
      <c r="E182" s="53" t="e">
        <f>VLOOKUP($D182,成品本月库存!$B:$J,2,0)</f>
        <v>#N/A</v>
      </c>
      <c r="F182" s="54" t="e">
        <f>VLOOKUP($D182,成品本月库存!$B:$J,5,0)</f>
        <v>#N/A</v>
      </c>
      <c r="G182" s="55"/>
      <c r="H182" s="53" t="e">
        <f>VLOOKUP($D182,成品本月库存!$B:$J,9,0)</f>
        <v>#N/A</v>
      </c>
      <c r="I182" s="58"/>
    </row>
    <row r="183" ht="15.75" spans="1:9">
      <c r="A183" s="20"/>
      <c r="B183" s="51"/>
      <c r="C183" s="57"/>
      <c r="D183" s="10"/>
      <c r="E183" s="53" t="e">
        <f>VLOOKUP($D183,成品本月库存!$B:$J,2,0)</f>
        <v>#N/A</v>
      </c>
      <c r="F183" s="54" t="e">
        <f>VLOOKUP($D183,成品本月库存!$B:$J,5,0)</f>
        <v>#N/A</v>
      </c>
      <c r="G183" s="55"/>
      <c r="H183" s="53" t="e">
        <f>VLOOKUP($D183,成品本月库存!$B:$J,9,0)</f>
        <v>#N/A</v>
      </c>
      <c r="I183" s="58"/>
    </row>
    <row r="184" ht="15.75" spans="1:9">
      <c r="A184" s="20"/>
      <c r="B184" s="51"/>
      <c r="C184" s="57"/>
      <c r="D184" s="10"/>
      <c r="E184" s="53" t="e">
        <f>VLOOKUP($D184,成品本月库存!$B:$J,2,0)</f>
        <v>#N/A</v>
      </c>
      <c r="F184" s="54" t="e">
        <f>VLOOKUP($D184,成品本月库存!$B:$J,5,0)</f>
        <v>#N/A</v>
      </c>
      <c r="G184" s="55"/>
      <c r="H184" s="53" t="e">
        <f>VLOOKUP($D184,成品本月库存!$B:$J,9,0)</f>
        <v>#N/A</v>
      </c>
      <c r="I184" s="58"/>
    </row>
    <row r="185" ht="15.75" spans="1:9">
      <c r="A185" s="20"/>
      <c r="B185" s="51"/>
      <c r="C185" s="57"/>
      <c r="D185" s="10"/>
      <c r="E185" s="53" t="e">
        <f>VLOOKUP($D185,成品本月库存!$B:$J,2,0)</f>
        <v>#N/A</v>
      </c>
      <c r="F185" s="54" t="e">
        <f>VLOOKUP($D185,成品本月库存!$B:$J,5,0)</f>
        <v>#N/A</v>
      </c>
      <c r="G185" s="55"/>
      <c r="H185" s="53" t="e">
        <f>VLOOKUP($D185,成品本月库存!$B:$J,9,0)</f>
        <v>#N/A</v>
      </c>
      <c r="I185" s="58"/>
    </row>
    <row r="186" ht="15.75" spans="1:9">
      <c r="A186" s="20"/>
      <c r="B186" s="51"/>
      <c r="C186" s="57"/>
      <c r="D186" s="10"/>
      <c r="E186" s="53" t="e">
        <f>VLOOKUP($D186,成品本月库存!$B:$J,2,0)</f>
        <v>#N/A</v>
      </c>
      <c r="F186" s="54" t="e">
        <f>VLOOKUP($D186,成品本月库存!$B:$J,5,0)</f>
        <v>#N/A</v>
      </c>
      <c r="G186" s="55"/>
      <c r="H186" s="53" t="e">
        <f>VLOOKUP($D186,成品本月库存!$B:$J,9,0)</f>
        <v>#N/A</v>
      </c>
      <c r="I186" s="58"/>
    </row>
    <row r="187" ht="15.75" spans="1:9">
      <c r="A187" s="20"/>
      <c r="B187" s="51"/>
      <c r="C187" s="57"/>
      <c r="D187" s="10"/>
      <c r="E187" s="53" t="e">
        <f>VLOOKUP($D187,成品本月库存!$B:$J,2,0)</f>
        <v>#N/A</v>
      </c>
      <c r="F187" s="54" t="e">
        <f>VLOOKUP($D187,成品本月库存!$B:$J,5,0)</f>
        <v>#N/A</v>
      </c>
      <c r="G187" s="55"/>
      <c r="H187" s="53" t="e">
        <f>VLOOKUP($D187,成品本月库存!$B:$J,9,0)</f>
        <v>#N/A</v>
      </c>
      <c r="I187" s="58"/>
    </row>
    <row r="188" ht="15.75" spans="1:9">
      <c r="A188" s="20"/>
      <c r="B188" s="51"/>
      <c r="C188" s="57"/>
      <c r="D188" s="10"/>
      <c r="E188" s="53" t="e">
        <f>VLOOKUP($D188,成品本月库存!$B:$J,2,0)</f>
        <v>#N/A</v>
      </c>
      <c r="F188" s="54" t="e">
        <f>VLOOKUP($D188,成品本月库存!$B:$J,5,0)</f>
        <v>#N/A</v>
      </c>
      <c r="G188" s="55"/>
      <c r="H188" s="53" t="e">
        <f>VLOOKUP($D188,成品本月库存!$B:$J,9,0)</f>
        <v>#N/A</v>
      </c>
      <c r="I188" s="58"/>
    </row>
    <row r="189" ht="15.75" spans="1:9">
      <c r="A189" s="20"/>
      <c r="B189" s="51"/>
      <c r="C189" s="57"/>
      <c r="D189" s="10"/>
      <c r="E189" s="53" t="e">
        <f>VLOOKUP($D189,成品本月库存!$B:$J,2,0)</f>
        <v>#N/A</v>
      </c>
      <c r="F189" s="54" t="e">
        <f>VLOOKUP($D189,成品本月库存!$B:$J,5,0)</f>
        <v>#N/A</v>
      </c>
      <c r="G189" s="55"/>
      <c r="H189" s="53" t="e">
        <f>VLOOKUP($D189,成品本月库存!$B:$J,9,0)</f>
        <v>#N/A</v>
      </c>
      <c r="I189" s="56"/>
    </row>
    <row r="190" ht="15.75" spans="1:9">
      <c r="A190" s="20"/>
      <c r="B190" s="51"/>
      <c r="C190" s="57"/>
      <c r="D190" s="10"/>
      <c r="E190" s="53" t="e">
        <f>VLOOKUP($D190,成品本月库存!$B:$J,2,0)</f>
        <v>#N/A</v>
      </c>
      <c r="F190" s="54" t="e">
        <f>VLOOKUP($D190,成品本月库存!$B:$J,5,0)</f>
        <v>#N/A</v>
      </c>
      <c r="G190" s="55"/>
      <c r="H190" s="53" t="e">
        <f>VLOOKUP($D190,成品本月库存!$B:$J,9,0)</f>
        <v>#N/A</v>
      </c>
      <c r="I190" s="56"/>
    </row>
    <row r="191" ht="15.75" spans="1:9">
      <c r="A191" s="20"/>
      <c r="B191" s="51"/>
      <c r="C191" s="57"/>
      <c r="D191" s="10"/>
      <c r="E191" s="53" t="e">
        <f>VLOOKUP($D191,成品本月库存!$B:$J,2,0)</f>
        <v>#N/A</v>
      </c>
      <c r="F191" s="54" t="e">
        <f>VLOOKUP($D191,成品本月库存!$B:$J,5,0)</f>
        <v>#N/A</v>
      </c>
      <c r="G191" s="55"/>
      <c r="H191" s="53" t="e">
        <f>VLOOKUP($D191,成品本月库存!$B:$J,9,0)</f>
        <v>#N/A</v>
      </c>
      <c r="I191" s="56"/>
    </row>
    <row r="192" ht="15.75" spans="1:9">
      <c r="A192" s="20"/>
      <c r="B192" s="51"/>
      <c r="C192" s="57"/>
      <c r="D192" s="10"/>
      <c r="E192" s="53" t="e">
        <f>VLOOKUP($D192,成品本月库存!$B:$J,2,0)</f>
        <v>#N/A</v>
      </c>
      <c r="F192" s="54" t="e">
        <f>VLOOKUP($D192,成品本月库存!$B:$J,5,0)</f>
        <v>#N/A</v>
      </c>
      <c r="G192" s="55"/>
      <c r="H192" s="53" t="e">
        <f>VLOOKUP($D192,成品本月库存!$B:$J,9,0)</f>
        <v>#N/A</v>
      </c>
      <c r="I192" s="56"/>
    </row>
    <row r="193" ht="15.75" spans="1:9">
      <c r="A193" s="20"/>
      <c r="B193" s="51"/>
      <c r="C193" s="57"/>
      <c r="D193" s="10"/>
      <c r="E193" s="53" t="e">
        <f>VLOOKUP($D193,成品本月库存!$B:$J,2,0)</f>
        <v>#N/A</v>
      </c>
      <c r="F193" s="54" t="e">
        <f>VLOOKUP($D193,成品本月库存!$B:$J,5,0)</f>
        <v>#N/A</v>
      </c>
      <c r="G193" s="55"/>
      <c r="H193" s="53" t="e">
        <f>VLOOKUP($D193,成品本月库存!$B:$J,9,0)</f>
        <v>#N/A</v>
      </c>
      <c r="I193" s="56"/>
    </row>
    <row r="194" ht="15.75" spans="1:9">
      <c r="A194" s="20"/>
      <c r="B194" s="51"/>
      <c r="C194" s="57"/>
      <c r="D194" s="10"/>
      <c r="E194" s="53" t="e">
        <f>VLOOKUP($D194,成品本月库存!$B:$J,2,0)</f>
        <v>#N/A</v>
      </c>
      <c r="F194" s="54" t="e">
        <f>VLOOKUP($D194,成品本月库存!$B:$J,5,0)</f>
        <v>#N/A</v>
      </c>
      <c r="G194" s="55"/>
      <c r="H194" s="53" t="e">
        <f>VLOOKUP($D194,成品本月库存!$B:$J,9,0)</f>
        <v>#N/A</v>
      </c>
      <c r="I194" s="56"/>
    </row>
    <row r="195" ht="15.75" spans="1:9">
      <c r="A195" s="20"/>
      <c r="B195" s="51"/>
      <c r="C195" s="57"/>
      <c r="D195" s="10"/>
      <c r="E195" s="53" t="e">
        <f>VLOOKUP($D195,成品本月库存!$B:$J,2,0)</f>
        <v>#N/A</v>
      </c>
      <c r="F195" s="54" t="e">
        <f>VLOOKUP($D195,成品本月库存!$B:$J,5,0)</f>
        <v>#N/A</v>
      </c>
      <c r="G195" s="55"/>
      <c r="H195" s="53" t="e">
        <f>VLOOKUP($D195,成品本月库存!$B:$J,9,0)</f>
        <v>#N/A</v>
      </c>
      <c r="I195" s="56"/>
    </row>
    <row r="196" ht="15.75" spans="1:9">
      <c r="A196" s="20"/>
      <c r="B196" s="51"/>
      <c r="C196" s="57"/>
      <c r="D196" s="10"/>
      <c r="E196" s="53" t="e">
        <f>VLOOKUP($D196,成品本月库存!$B:$J,2,0)</f>
        <v>#N/A</v>
      </c>
      <c r="F196" s="54" t="e">
        <f>VLOOKUP($D196,成品本月库存!$B:$J,5,0)</f>
        <v>#N/A</v>
      </c>
      <c r="G196" s="55"/>
      <c r="H196" s="53" t="e">
        <f>VLOOKUP($D196,成品本月库存!$B:$J,9,0)</f>
        <v>#N/A</v>
      </c>
      <c r="I196" s="56"/>
    </row>
    <row r="197" ht="15.75" spans="1:9">
      <c r="A197" s="20"/>
      <c r="B197" s="51"/>
      <c r="C197" s="57"/>
      <c r="D197" s="10"/>
      <c r="E197" s="53" t="e">
        <f>VLOOKUP($D197,成品本月库存!$B:$J,2,0)</f>
        <v>#N/A</v>
      </c>
      <c r="F197" s="54" t="e">
        <f>VLOOKUP($D197,成品本月库存!$B:$J,5,0)</f>
        <v>#N/A</v>
      </c>
      <c r="G197" s="55"/>
      <c r="H197" s="53" t="e">
        <f>VLOOKUP($D197,成品本月库存!$B:$J,9,0)</f>
        <v>#N/A</v>
      </c>
      <c r="I197" s="56"/>
    </row>
    <row r="198" ht="15.75" spans="1:9">
      <c r="A198" s="20"/>
      <c r="B198" s="51"/>
      <c r="C198" s="57"/>
      <c r="D198" s="10"/>
      <c r="E198" s="53" t="e">
        <f>VLOOKUP($D198,成品本月库存!$B:$J,2,0)</f>
        <v>#N/A</v>
      </c>
      <c r="F198" s="54" t="e">
        <f>VLOOKUP($D198,成品本月库存!$B:$J,5,0)</f>
        <v>#N/A</v>
      </c>
      <c r="G198" s="55"/>
      <c r="H198" s="53" t="e">
        <f>VLOOKUP($D198,成品本月库存!$B:$J,9,0)</f>
        <v>#N/A</v>
      </c>
      <c r="I198" s="56"/>
    </row>
    <row r="199" ht="15.75" spans="1:9">
      <c r="A199" s="20"/>
      <c r="B199" s="51"/>
      <c r="C199" s="57"/>
      <c r="D199" s="10"/>
      <c r="E199" s="53" t="e">
        <f>VLOOKUP($D199,成品本月库存!$B:$J,2,0)</f>
        <v>#N/A</v>
      </c>
      <c r="F199" s="54" t="e">
        <f>VLOOKUP($D199,成品本月库存!$B:$J,5,0)</f>
        <v>#N/A</v>
      </c>
      <c r="G199" s="55"/>
      <c r="H199" s="53" t="e">
        <f>VLOOKUP($D199,成品本月库存!$B:$J,9,0)</f>
        <v>#N/A</v>
      </c>
      <c r="I199" s="56"/>
    </row>
    <row r="200" ht="15.75" spans="1:9">
      <c r="A200" s="20"/>
      <c r="B200" s="51"/>
      <c r="C200" s="57"/>
      <c r="D200" s="10"/>
      <c r="E200" s="53" t="e">
        <f>VLOOKUP($D200,成品本月库存!$B:$J,2,0)</f>
        <v>#N/A</v>
      </c>
      <c r="F200" s="54" t="e">
        <f>VLOOKUP($D200,成品本月库存!$B:$J,5,0)</f>
        <v>#N/A</v>
      </c>
      <c r="G200" s="55"/>
      <c r="H200" s="53" t="e">
        <f>VLOOKUP($D200,成品本月库存!$B:$J,9,0)</f>
        <v>#N/A</v>
      </c>
      <c r="I200" s="56"/>
    </row>
    <row r="201" ht="15.75" spans="1:9">
      <c r="A201" s="20"/>
      <c r="B201" s="51"/>
      <c r="C201" s="57"/>
      <c r="D201" s="10"/>
      <c r="E201" s="53" t="e">
        <f>VLOOKUP($D201,成品本月库存!$B:$J,2,0)</f>
        <v>#N/A</v>
      </c>
      <c r="F201" s="54" t="e">
        <f>VLOOKUP($D201,成品本月库存!$B:$J,5,0)</f>
        <v>#N/A</v>
      </c>
      <c r="G201" s="55"/>
      <c r="H201" s="53" t="e">
        <f>VLOOKUP($D201,成品本月库存!$B:$J,9,0)</f>
        <v>#N/A</v>
      </c>
      <c r="I201" s="56"/>
    </row>
    <row r="202" ht="15.75" spans="1:9">
      <c r="A202" s="20"/>
      <c r="B202" s="51"/>
      <c r="C202" s="57"/>
      <c r="D202" s="10"/>
      <c r="E202" s="53" t="e">
        <f>VLOOKUP($D202,成品本月库存!$B:$J,2,0)</f>
        <v>#N/A</v>
      </c>
      <c r="F202" s="54" t="e">
        <f>VLOOKUP($D202,成品本月库存!$B:$J,5,0)</f>
        <v>#N/A</v>
      </c>
      <c r="G202" s="55"/>
      <c r="H202" s="53" t="e">
        <f>VLOOKUP($D202,成品本月库存!$B:$J,9,0)</f>
        <v>#N/A</v>
      </c>
      <c r="I202" s="56"/>
    </row>
    <row r="203" ht="15.75" spans="1:9">
      <c r="A203" s="20"/>
      <c r="B203" s="51"/>
      <c r="C203" s="57"/>
      <c r="D203" s="10"/>
      <c r="E203" s="53" t="e">
        <f>VLOOKUP($D203,成品本月库存!$B:$J,2,0)</f>
        <v>#N/A</v>
      </c>
      <c r="F203" s="54" t="e">
        <f>VLOOKUP($D203,成品本月库存!$B:$J,5,0)</f>
        <v>#N/A</v>
      </c>
      <c r="G203" s="55"/>
      <c r="H203" s="53" t="e">
        <f>VLOOKUP($D203,成品本月库存!$B:$J,9,0)</f>
        <v>#N/A</v>
      </c>
      <c r="I203" s="56"/>
    </row>
    <row r="204" ht="15.75" spans="1:9">
      <c r="A204" s="20"/>
      <c r="B204" s="51"/>
      <c r="C204" s="57"/>
      <c r="D204" s="10"/>
      <c r="E204" s="53" t="e">
        <f>VLOOKUP($D204,成品本月库存!$B:$J,2,0)</f>
        <v>#N/A</v>
      </c>
      <c r="F204" s="54" t="e">
        <f>VLOOKUP($D204,成品本月库存!$B:$J,5,0)</f>
        <v>#N/A</v>
      </c>
      <c r="G204" s="55"/>
      <c r="H204" s="53" t="e">
        <f>VLOOKUP($D204,成品本月库存!$B:$J,9,0)</f>
        <v>#N/A</v>
      </c>
      <c r="I204" s="56"/>
    </row>
    <row r="205" ht="15.75" spans="1:9">
      <c r="A205" s="20"/>
      <c r="B205" s="51"/>
      <c r="C205" s="57"/>
      <c r="D205" s="10"/>
      <c r="E205" s="53" t="e">
        <f>VLOOKUP($D205,成品本月库存!$B:$J,2,0)</f>
        <v>#N/A</v>
      </c>
      <c r="F205" s="54" t="e">
        <f>VLOOKUP($D205,成品本月库存!$B:$J,5,0)</f>
        <v>#N/A</v>
      </c>
      <c r="G205" s="55"/>
      <c r="H205" s="53" t="e">
        <f>VLOOKUP($D205,成品本月库存!$B:$J,9,0)</f>
        <v>#N/A</v>
      </c>
      <c r="I205" s="56"/>
    </row>
    <row r="206" ht="15.75" spans="1:9">
      <c r="A206" s="20"/>
      <c r="B206" s="51"/>
      <c r="C206" s="57"/>
      <c r="D206" s="10"/>
      <c r="E206" s="53" t="e">
        <f>VLOOKUP($D206,成品本月库存!$B:$J,2,0)</f>
        <v>#N/A</v>
      </c>
      <c r="F206" s="54" t="e">
        <f>VLOOKUP($D206,成品本月库存!$B:$J,5,0)</f>
        <v>#N/A</v>
      </c>
      <c r="G206" s="55"/>
      <c r="H206" s="53" t="e">
        <f>VLOOKUP($D206,成品本月库存!$B:$J,9,0)</f>
        <v>#N/A</v>
      </c>
      <c r="I206" s="56"/>
    </row>
    <row r="207" ht="15.75" spans="1:9">
      <c r="A207" s="20"/>
      <c r="B207" s="51"/>
      <c r="C207" s="57"/>
      <c r="D207" s="10"/>
      <c r="E207" s="53" t="e">
        <f>VLOOKUP($D207,成品本月库存!$B:$J,2,0)</f>
        <v>#N/A</v>
      </c>
      <c r="F207" s="54" t="e">
        <f>VLOOKUP($D207,成品本月库存!$B:$J,5,0)</f>
        <v>#N/A</v>
      </c>
      <c r="G207" s="55"/>
      <c r="H207" s="53" t="e">
        <f>VLOOKUP($D207,成品本月库存!$B:$J,9,0)</f>
        <v>#N/A</v>
      </c>
      <c r="I207" s="56"/>
    </row>
    <row r="208" ht="15.75" spans="1:9">
      <c r="A208" s="20"/>
      <c r="B208" s="51"/>
      <c r="C208" s="57"/>
      <c r="D208" s="10"/>
      <c r="E208" s="53" t="e">
        <f>VLOOKUP($D208,成品本月库存!$B:$J,2,0)</f>
        <v>#N/A</v>
      </c>
      <c r="F208" s="54" t="e">
        <f>VLOOKUP($D208,成品本月库存!$B:$J,5,0)</f>
        <v>#N/A</v>
      </c>
      <c r="G208" s="55"/>
      <c r="H208" s="53" t="e">
        <f>VLOOKUP($D208,成品本月库存!$B:$J,9,0)</f>
        <v>#N/A</v>
      </c>
      <c r="I208" s="56"/>
    </row>
    <row r="209" ht="15.75" spans="1:9">
      <c r="A209" s="20"/>
      <c r="B209" s="51"/>
      <c r="C209" s="57"/>
      <c r="D209" s="10"/>
      <c r="E209" s="53" t="e">
        <f>VLOOKUP($D209,成品本月库存!$B:$J,2,0)</f>
        <v>#N/A</v>
      </c>
      <c r="F209" s="54" t="e">
        <f>VLOOKUP($D209,成品本月库存!$B:$J,5,0)</f>
        <v>#N/A</v>
      </c>
      <c r="G209" s="55"/>
      <c r="H209" s="53" t="e">
        <f>VLOOKUP($D209,成品本月库存!$B:$J,9,0)</f>
        <v>#N/A</v>
      </c>
      <c r="I209" s="56"/>
    </row>
    <row r="210" ht="15.75" spans="1:9">
      <c r="A210" s="20"/>
      <c r="B210" s="51"/>
      <c r="C210" s="57"/>
      <c r="D210" s="10"/>
      <c r="E210" s="53" t="e">
        <f>VLOOKUP($D210,成品本月库存!$B:$J,2,0)</f>
        <v>#N/A</v>
      </c>
      <c r="F210" s="54" t="e">
        <f>VLOOKUP($D210,成品本月库存!$B:$J,5,0)</f>
        <v>#N/A</v>
      </c>
      <c r="G210" s="55"/>
      <c r="H210" s="53" t="e">
        <f>VLOOKUP($D210,成品本月库存!$B:$J,9,0)</f>
        <v>#N/A</v>
      </c>
      <c r="I210" s="56"/>
    </row>
    <row r="211" ht="15.75" spans="1:9">
      <c r="A211" s="20"/>
      <c r="B211" s="51"/>
      <c r="C211" s="57"/>
      <c r="D211" s="10"/>
      <c r="E211" s="53" t="e">
        <f>VLOOKUP($D211,成品本月库存!$B:$J,2,0)</f>
        <v>#N/A</v>
      </c>
      <c r="F211" s="54" t="e">
        <f>VLOOKUP($D211,成品本月库存!$B:$J,5,0)</f>
        <v>#N/A</v>
      </c>
      <c r="G211" s="55"/>
      <c r="H211" s="53" t="e">
        <f>VLOOKUP($D211,成品本月库存!$B:$J,9,0)</f>
        <v>#N/A</v>
      </c>
      <c r="I211" s="56"/>
    </row>
    <row r="212" ht="15.75" spans="1:9">
      <c r="A212" s="20"/>
      <c r="B212" s="51"/>
      <c r="C212" s="57"/>
      <c r="D212" s="10"/>
      <c r="E212" s="53" t="e">
        <f>VLOOKUP($D212,成品本月库存!$B:$J,2,0)</f>
        <v>#N/A</v>
      </c>
      <c r="F212" s="54" t="e">
        <f>VLOOKUP($D212,成品本月库存!$B:$J,5,0)</f>
        <v>#N/A</v>
      </c>
      <c r="G212" s="55"/>
      <c r="H212" s="53" t="e">
        <f>VLOOKUP($D212,成品本月库存!$B:$J,9,0)</f>
        <v>#N/A</v>
      </c>
      <c r="I212" s="56"/>
    </row>
    <row r="213" ht="15.75" spans="1:9">
      <c r="A213" s="20"/>
      <c r="B213" s="51"/>
      <c r="C213" s="57"/>
      <c r="D213" s="10"/>
      <c r="E213" s="53" t="e">
        <f>VLOOKUP($D213,成品本月库存!$B:$J,2,0)</f>
        <v>#N/A</v>
      </c>
      <c r="F213" s="54" t="e">
        <f>VLOOKUP($D213,成品本月库存!$B:$J,5,0)</f>
        <v>#N/A</v>
      </c>
      <c r="G213" s="55"/>
      <c r="H213" s="53" t="e">
        <f>VLOOKUP($D213,成品本月库存!$B:$J,9,0)</f>
        <v>#N/A</v>
      </c>
      <c r="I213" s="56"/>
    </row>
    <row r="214" ht="15.75" spans="1:9">
      <c r="A214" s="20"/>
      <c r="B214" s="51"/>
      <c r="C214" s="57"/>
      <c r="D214" s="10"/>
      <c r="E214" s="53" t="e">
        <f>VLOOKUP($D214,成品本月库存!$B:$J,2,0)</f>
        <v>#N/A</v>
      </c>
      <c r="F214" s="54" t="e">
        <f>VLOOKUP($D214,成品本月库存!$B:$J,5,0)</f>
        <v>#N/A</v>
      </c>
      <c r="G214" s="55"/>
      <c r="H214" s="53" t="e">
        <f>VLOOKUP($D214,成品本月库存!$B:$J,9,0)</f>
        <v>#N/A</v>
      </c>
      <c r="I214" s="56"/>
    </row>
    <row r="215" ht="15.75" spans="1:9">
      <c r="A215" s="20"/>
      <c r="B215" s="51"/>
      <c r="C215" s="57"/>
      <c r="D215" s="10"/>
      <c r="E215" s="53" t="e">
        <f>VLOOKUP($D215,成品本月库存!$B:$J,2,0)</f>
        <v>#N/A</v>
      </c>
      <c r="F215" s="54" t="e">
        <f>VLOOKUP($D215,成品本月库存!$B:$J,5,0)</f>
        <v>#N/A</v>
      </c>
      <c r="G215" s="55"/>
      <c r="H215" s="53" t="e">
        <f>VLOOKUP($D215,成品本月库存!$B:$J,9,0)</f>
        <v>#N/A</v>
      </c>
      <c r="I215" s="56"/>
    </row>
    <row r="216" ht="15.75" spans="1:9">
      <c r="A216" s="20"/>
      <c r="B216" s="51"/>
      <c r="C216" s="57"/>
      <c r="D216" s="10"/>
      <c r="E216" s="53" t="e">
        <f>VLOOKUP($D216,成品本月库存!$B:$J,2,0)</f>
        <v>#N/A</v>
      </c>
      <c r="F216" s="54" t="e">
        <f>VLOOKUP($D216,成品本月库存!$B:$J,5,0)</f>
        <v>#N/A</v>
      </c>
      <c r="G216" s="55"/>
      <c r="H216" s="53" t="e">
        <f>VLOOKUP($D216,成品本月库存!$B:$J,9,0)</f>
        <v>#N/A</v>
      </c>
      <c r="I216" s="56"/>
    </row>
    <row r="217" ht="15.75" spans="1:9">
      <c r="A217" s="20"/>
      <c r="B217" s="51"/>
      <c r="C217" s="57"/>
      <c r="D217" s="10"/>
      <c r="E217" s="53" t="e">
        <f>VLOOKUP($D217,成品本月库存!$B:$J,2,0)</f>
        <v>#N/A</v>
      </c>
      <c r="F217" s="54" t="e">
        <f>VLOOKUP($D217,成品本月库存!$B:$J,5,0)</f>
        <v>#N/A</v>
      </c>
      <c r="G217" s="55"/>
      <c r="H217" s="53" t="e">
        <f>VLOOKUP($D217,成品本月库存!$B:$J,9,0)</f>
        <v>#N/A</v>
      </c>
      <c r="I217" s="56"/>
    </row>
    <row r="218" ht="15.75" spans="1:9">
      <c r="A218" s="20"/>
      <c r="B218" s="51"/>
      <c r="C218" s="57"/>
      <c r="D218" s="10"/>
      <c r="E218" s="53" t="e">
        <f>VLOOKUP($D218,成品本月库存!$B:$J,2,0)</f>
        <v>#N/A</v>
      </c>
      <c r="F218" s="54" t="e">
        <f>VLOOKUP($D218,成品本月库存!$B:$J,5,0)</f>
        <v>#N/A</v>
      </c>
      <c r="G218" s="55"/>
      <c r="H218" s="53" t="e">
        <f>VLOOKUP($D218,成品本月库存!$B:$J,9,0)</f>
        <v>#N/A</v>
      </c>
      <c r="I218" s="56"/>
    </row>
    <row r="219" ht="15.75" spans="1:9">
      <c r="A219" s="20"/>
      <c r="B219" s="51"/>
      <c r="C219" s="57"/>
      <c r="D219" s="10"/>
      <c r="E219" s="53" t="e">
        <f>VLOOKUP($D219,成品本月库存!$B:$J,2,0)</f>
        <v>#N/A</v>
      </c>
      <c r="F219" s="54" t="e">
        <f>VLOOKUP($D219,成品本月库存!$B:$J,5,0)</f>
        <v>#N/A</v>
      </c>
      <c r="G219" s="55"/>
      <c r="H219" s="53" t="e">
        <f>VLOOKUP($D219,成品本月库存!$B:$J,9,0)</f>
        <v>#N/A</v>
      </c>
      <c r="I219" s="56"/>
    </row>
    <row r="220" ht="15.75" spans="1:9">
      <c r="A220" s="20"/>
      <c r="B220" s="51"/>
      <c r="C220" s="57"/>
      <c r="D220" s="10"/>
      <c r="E220" s="53" t="e">
        <f>VLOOKUP($D220,成品本月库存!$B:$J,2,0)</f>
        <v>#N/A</v>
      </c>
      <c r="F220" s="54" t="e">
        <f>VLOOKUP($D220,成品本月库存!$B:$J,5,0)</f>
        <v>#N/A</v>
      </c>
      <c r="G220" s="55"/>
      <c r="H220" s="53" t="e">
        <f>VLOOKUP($D220,成品本月库存!$B:$J,9,0)</f>
        <v>#N/A</v>
      </c>
      <c r="I220" s="56"/>
    </row>
    <row r="221" ht="15.75" spans="1:9">
      <c r="A221" s="20"/>
      <c r="B221" s="51"/>
      <c r="C221" s="57"/>
      <c r="D221" s="10"/>
      <c r="E221" s="53" t="e">
        <f>VLOOKUP($D221,成品本月库存!$B:$J,2,0)</f>
        <v>#N/A</v>
      </c>
      <c r="F221" s="54" t="e">
        <f>VLOOKUP($D221,成品本月库存!$B:$J,5,0)</f>
        <v>#N/A</v>
      </c>
      <c r="G221" s="55"/>
      <c r="H221" s="53" t="e">
        <f>VLOOKUP($D221,成品本月库存!$B:$J,9,0)</f>
        <v>#N/A</v>
      </c>
      <c r="I221" s="56"/>
    </row>
    <row r="222" ht="15.75" spans="1:9">
      <c r="A222" s="20"/>
      <c r="B222" s="51"/>
      <c r="C222" s="57"/>
      <c r="D222" s="10"/>
      <c r="E222" s="53" t="e">
        <f>VLOOKUP($D222,成品本月库存!$B:$J,2,0)</f>
        <v>#N/A</v>
      </c>
      <c r="F222" s="54" t="e">
        <f>VLOOKUP($D222,成品本月库存!$B:$J,5,0)</f>
        <v>#N/A</v>
      </c>
      <c r="G222" s="55"/>
      <c r="H222" s="53" t="e">
        <f>VLOOKUP($D222,成品本月库存!$B:$J,9,0)</f>
        <v>#N/A</v>
      </c>
      <c r="I222" s="56"/>
    </row>
    <row r="223" ht="15" customHeight="1" spans="1:9">
      <c r="A223" s="20"/>
      <c r="B223" s="51"/>
      <c r="C223" s="57"/>
      <c r="D223" s="10"/>
      <c r="E223" s="53" t="e">
        <f>VLOOKUP($D223,成品本月库存!$B:$J,2,0)</f>
        <v>#N/A</v>
      </c>
      <c r="F223" s="54" t="e">
        <f>VLOOKUP($D223,成品本月库存!$B:$J,5,0)</f>
        <v>#N/A</v>
      </c>
      <c r="G223" s="55"/>
      <c r="H223" s="53" t="e">
        <f>VLOOKUP($D223,成品本月库存!$B:$J,9,0)</f>
        <v>#N/A</v>
      </c>
      <c r="I223" s="56"/>
    </row>
    <row r="224" ht="15.75" spans="1:9">
      <c r="A224" s="20"/>
      <c r="B224" s="51"/>
      <c r="C224" s="57"/>
      <c r="D224" s="10"/>
      <c r="E224" s="53" t="e">
        <f>VLOOKUP($D224,成品本月库存!$B:$J,2,0)</f>
        <v>#N/A</v>
      </c>
      <c r="F224" s="54" t="e">
        <f>VLOOKUP($D224,成品本月库存!$B:$J,5,0)</f>
        <v>#N/A</v>
      </c>
      <c r="G224" s="55"/>
      <c r="H224" s="53" t="e">
        <f>VLOOKUP($D224,成品本月库存!$B:$J,9,0)</f>
        <v>#N/A</v>
      </c>
      <c r="I224" s="56"/>
    </row>
    <row r="225" ht="15.75" spans="1:9">
      <c r="A225" s="20"/>
      <c r="B225" s="51"/>
      <c r="C225" s="57"/>
      <c r="D225" s="10"/>
      <c r="E225" s="53" t="e">
        <f>VLOOKUP($D225,成品本月库存!$B:$J,2,0)</f>
        <v>#N/A</v>
      </c>
      <c r="F225" s="54" t="e">
        <f>VLOOKUP($D225,成品本月库存!$B:$J,5,0)</f>
        <v>#N/A</v>
      </c>
      <c r="G225" s="55"/>
      <c r="H225" s="53" t="e">
        <f>VLOOKUP($D225,成品本月库存!$B:$J,9,0)</f>
        <v>#N/A</v>
      </c>
      <c r="I225" s="56"/>
    </row>
    <row r="226" ht="15.75" spans="1:9">
      <c r="A226" s="20"/>
      <c r="B226" s="51"/>
      <c r="C226" s="57"/>
      <c r="D226" s="10"/>
      <c r="E226" s="53" t="e">
        <f>VLOOKUP($D226,成品本月库存!$B:$J,2,0)</f>
        <v>#N/A</v>
      </c>
      <c r="F226" s="54" t="e">
        <f>VLOOKUP($D226,成品本月库存!$B:$J,5,0)</f>
        <v>#N/A</v>
      </c>
      <c r="G226" s="55"/>
      <c r="H226" s="53" t="e">
        <f>VLOOKUP($D226,成品本月库存!$B:$J,9,0)</f>
        <v>#N/A</v>
      </c>
      <c r="I226" s="56"/>
    </row>
    <row r="227" ht="15.75" spans="1:9">
      <c r="A227" s="20"/>
      <c r="B227" s="51"/>
      <c r="C227" s="57"/>
      <c r="D227" s="10"/>
      <c r="E227" s="53" t="e">
        <f>VLOOKUP($D227,成品本月库存!$B:$J,2,0)</f>
        <v>#N/A</v>
      </c>
      <c r="F227" s="54" t="e">
        <f>VLOOKUP($D227,成品本月库存!$B:$J,5,0)</f>
        <v>#N/A</v>
      </c>
      <c r="G227" s="55"/>
      <c r="H227" s="53" t="e">
        <f>VLOOKUP($D227,成品本月库存!$B:$J,9,0)</f>
        <v>#N/A</v>
      </c>
      <c r="I227" s="56"/>
    </row>
    <row r="228" ht="15.75" spans="1:9">
      <c r="A228" s="20"/>
      <c r="B228" s="51"/>
      <c r="C228" s="57"/>
      <c r="D228" s="10"/>
      <c r="E228" s="53" t="e">
        <f>VLOOKUP($D228,成品本月库存!$B:$J,2,0)</f>
        <v>#N/A</v>
      </c>
      <c r="F228" s="54" t="e">
        <f>VLOOKUP($D228,成品本月库存!$B:$J,5,0)</f>
        <v>#N/A</v>
      </c>
      <c r="G228" s="55"/>
      <c r="H228" s="53" t="e">
        <f>VLOOKUP($D228,成品本月库存!$B:$J,9,0)</f>
        <v>#N/A</v>
      </c>
      <c r="I228" s="56"/>
    </row>
    <row r="229" ht="15.75" spans="1:9">
      <c r="A229" s="20"/>
      <c r="B229" s="51"/>
      <c r="C229" s="57"/>
      <c r="D229" s="10"/>
      <c r="E229" s="53" t="e">
        <f>VLOOKUP($D229,成品本月库存!$B:$J,2,0)</f>
        <v>#N/A</v>
      </c>
      <c r="F229" s="54" t="e">
        <f>VLOOKUP($D229,成品本月库存!$B:$J,5,0)</f>
        <v>#N/A</v>
      </c>
      <c r="G229" s="55"/>
      <c r="H229" s="53" t="e">
        <f>VLOOKUP($D229,成品本月库存!$B:$J,9,0)</f>
        <v>#N/A</v>
      </c>
      <c r="I229" s="56"/>
    </row>
    <row r="230" ht="15.75" spans="1:9">
      <c r="A230" s="20"/>
      <c r="B230" s="51"/>
      <c r="C230" s="57"/>
      <c r="D230" s="10"/>
      <c r="E230" s="53" t="e">
        <f>VLOOKUP($D230,成品本月库存!$B:$J,2,0)</f>
        <v>#N/A</v>
      </c>
      <c r="F230" s="54" t="e">
        <f>VLOOKUP($D230,成品本月库存!$B:$J,5,0)</f>
        <v>#N/A</v>
      </c>
      <c r="G230" s="55"/>
      <c r="H230" s="53" t="e">
        <f>VLOOKUP($D230,成品本月库存!$B:$J,9,0)</f>
        <v>#N/A</v>
      </c>
      <c r="I230" s="56"/>
    </row>
    <row r="231" ht="15.75" spans="1:9">
      <c r="A231" s="20"/>
      <c r="B231" s="51"/>
      <c r="C231" s="57"/>
      <c r="D231" s="10"/>
      <c r="E231" s="53" t="e">
        <f>VLOOKUP($D231,成品本月库存!$B:$J,2,0)</f>
        <v>#N/A</v>
      </c>
      <c r="F231" s="54" t="e">
        <f>VLOOKUP($D231,成品本月库存!$B:$J,5,0)</f>
        <v>#N/A</v>
      </c>
      <c r="G231" s="55"/>
      <c r="H231" s="53" t="e">
        <f>VLOOKUP($D231,成品本月库存!$B:$J,9,0)</f>
        <v>#N/A</v>
      </c>
      <c r="I231" s="56"/>
    </row>
    <row r="232" ht="15.75" spans="1:9">
      <c r="A232" s="20"/>
      <c r="B232" s="51"/>
      <c r="C232" s="57"/>
      <c r="D232" s="10"/>
      <c r="E232" s="53" t="e">
        <f>VLOOKUP($D232,成品本月库存!$B:$J,2,0)</f>
        <v>#N/A</v>
      </c>
      <c r="F232" s="54" t="e">
        <f>VLOOKUP($D232,成品本月库存!$B:$J,5,0)</f>
        <v>#N/A</v>
      </c>
      <c r="G232" s="55"/>
      <c r="H232" s="53" t="e">
        <f>VLOOKUP($D232,成品本月库存!$B:$J,9,0)</f>
        <v>#N/A</v>
      </c>
      <c r="I232" s="56"/>
    </row>
    <row r="233" ht="15.75" spans="1:9">
      <c r="A233" s="20"/>
      <c r="B233" s="51"/>
      <c r="C233" s="57"/>
      <c r="D233" s="10"/>
      <c r="E233" s="53" t="e">
        <f>VLOOKUP($D233,成品本月库存!$B:$J,2,0)</f>
        <v>#N/A</v>
      </c>
      <c r="F233" s="54" t="e">
        <f>VLOOKUP($D233,成品本月库存!$B:$J,5,0)</f>
        <v>#N/A</v>
      </c>
      <c r="G233" s="55"/>
      <c r="H233" s="53" t="e">
        <f>VLOOKUP($D233,成品本月库存!$B:$J,9,0)</f>
        <v>#N/A</v>
      </c>
      <c r="I233" s="56"/>
    </row>
    <row r="234" ht="15.75" spans="1:9">
      <c r="A234" s="20"/>
      <c r="B234" s="51"/>
      <c r="C234" s="57"/>
      <c r="D234" s="10"/>
      <c r="E234" s="53" t="e">
        <f>VLOOKUP($D234,成品本月库存!$B:$J,2,0)</f>
        <v>#N/A</v>
      </c>
      <c r="F234" s="54" t="e">
        <f>VLOOKUP($D234,成品本月库存!$B:$J,5,0)</f>
        <v>#N/A</v>
      </c>
      <c r="G234" s="55"/>
      <c r="H234" s="53" t="e">
        <f>VLOOKUP($D234,成品本月库存!$B:$J,9,0)</f>
        <v>#N/A</v>
      </c>
      <c r="I234" s="56"/>
    </row>
    <row r="235" ht="15.75" spans="1:9">
      <c r="A235" s="20"/>
      <c r="B235" s="51"/>
      <c r="C235" s="57"/>
      <c r="D235" s="10"/>
      <c r="E235" s="53" t="e">
        <f>VLOOKUP($D235,成品本月库存!$B:$J,2,0)</f>
        <v>#N/A</v>
      </c>
      <c r="F235" s="54" t="e">
        <f>VLOOKUP($D235,成品本月库存!$B:$J,5,0)</f>
        <v>#N/A</v>
      </c>
      <c r="G235" s="55"/>
      <c r="H235" s="53" t="e">
        <f>VLOOKUP($D235,成品本月库存!$B:$J,9,0)</f>
        <v>#N/A</v>
      </c>
      <c r="I235" s="56"/>
    </row>
    <row r="236" ht="15.75" spans="1:9">
      <c r="A236" s="20"/>
      <c r="B236" s="51"/>
      <c r="C236" s="57"/>
      <c r="D236" s="10"/>
      <c r="E236" s="53" t="e">
        <f>VLOOKUP($D236,成品本月库存!$B:$J,2,0)</f>
        <v>#N/A</v>
      </c>
      <c r="F236" s="54" t="e">
        <f>VLOOKUP($D236,成品本月库存!$B:$J,5,0)</f>
        <v>#N/A</v>
      </c>
      <c r="G236" s="55"/>
      <c r="H236" s="53" t="e">
        <f>VLOOKUP($D236,成品本月库存!$B:$J,9,0)</f>
        <v>#N/A</v>
      </c>
      <c r="I236" s="56"/>
    </row>
    <row r="237" ht="15.75" spans="1:9">
      <c r="A237" s="20"/>
      <c r="B237" s="51"/>
      <c r="C237" s="57"/>
      <c r="D237" s="10"/>
      <c r="E237" s="53" t="e">
        <f>VLOOKUP($D237,成品本月库存!$B:$J,2,0)</f>
        <v>#N/A</v>
      </c>
      <c r="F237" s="54" t="e">
        <f>VLOOKUP($D237,成品本月库存!$B:$J,5,0)</f>
        <v>#N/A</v>
      </c>
      <c r="G237" s="55"/>
      <c r="H237" s="53" t="e">
        <f>VLOOKUP($D237,成品本月库存!$B:$J,9,0)</f>
        <v>#N/A</v>
      </c>
      <c r="I237" s="56"/>
    </row>
    <row r="238" ht="15.75" spans="1:9">
      <c r="A238" s="20"/>
      <c r="B238" s="51"/>
      <c r="C238" s="57"/>
      <c r="D238" s="10"/>
      <c r="E238" s="53" t="e">
        <f>VLOOKUP($D238,成品本月库存!$B:$J,2,0)</f>
        <v>#N/A</v>
      </c>
      <c r="F238" s="54" t="e">
        <f>VLOOKUP($D238,成品本月库存!$B:$J,5,0)</f>
        <v>#N/A</v>
      </c>
      <c r="G238" s="55"/>
      <c r="H238" s="53" t="e">
        <f>VLOOKUP($D238,成品本月库存!$B:$J,9,0)</f>
        <v>#N/A</v>
      </c>
      <c r="I238" s="56"/>
    </row>
    <row r="239" ht="15.75" spans="1:9">
      <c r="A239" s="20"/>
      <c r="B239" s="51"/>
      <c r="C239" s="57"/>
      <c r="D239" s="10"/>
      <c r="E239" s="53" t="e">
        <f>VLOOKUP($D239,成品本月库存!$B:$J,2,0)</f>
        <v>#N/A</v>
      </c>
      <c r="F239" s="54" t="e">
        <f>VLOOKUP($D239,成品本月库存!$B:$J,5,0)</f>
        <v>#N/A</v>
      </c>
      <c r="G239" s="55"/>
      <c r="H239" s="53" t="e">
        <f>VLOOKUP($D239,成品本月库存!$B:$J,9,0)</f>
        <v>#N/A</v>
      </c>
      <c r="I239" s="56"/>
    </row>
    <row r="240" ht="15.75" spans="1:9">
      <c r="A240" s="20"/>
      <c r="B240" s="51"/>
      <c r="C240" s="57"/>
      <c r="D240" s="10"/>
      <c r="E240" s="53" t="e">
        <f>VLOOKUP($D240,成品本月库存!$B:$J,2,0)</f>
        <v>#N/A</v>
      </c>
      <c r="F240" s="54" t="e">
        <f>VLOOKUP($D240,成品本月库存!$B:$J,5,0)</f>
        <v>#N/A</v>
      </c>
      <c r="G240" s="55"/>
      <c r="H240" s="53" t="e">
        <f>VLOOKUP($D240,成品本月库存!$B:$J,9,0)</f>
        <v>#N/A</v>
      </c>
      <c r="I240" s="56"/>
    </row>
    <row r="241" ht="15.75" spans="1:9">
      <c r="A241" s="20"/>
      <c r="B241" s="51"/>
      <c r="C241" s="57"/>
      <c r="D241" s="10"/>
      <c r="E241" s="53" t="e">
        <f>VLOOKUP($D241,成品本月库存!$B:$J,2,0)</f>
        <v>#N/A</v>
      </c>
      <c r="F241" s="54" t="e">
        <f>VLOOKUP($D241,成品本月库存!$B:$J,5,0)</f>
        <v>#N/A</v>
      </c>
      <c r="G241" s="55"/>
      <c r="H241" s="53" t="e">
        <f>VLOOKUP($D241,成品本月库存!$B:$J,9,0)</f>
        <v>#N/A</v>
      </c>
      <c r="I241" s="56"/>
    </row>
    <row r="242" ht="15.75" spans="1:9">
      <c r="A242" s="20"/>
      <c r="B242" s="51"/>
      <c r="C242" s="57"/>
      <c r="D242" s="10"/>
      <c r="E242" s="53" t="e">
        <f>VLOOKUP($D242,成品本月库存!$B:$J,2,0)</f>
        <v>#N/A</v>
      </c>
      <c r="F242" s="54" t="e">
        <f>VLOOKUP($D242,成品本月库存!$B:$J,5,0)</f>
        <v>#N/A</v>
      </c>
      <c r="G242" s="55"/>
      <c r="H242" s="53" t="e">
        <f>VLOOKUP($D242,成品本月库存!$B:$J,9,0)</f>
        <v>#N/A</v>
      </c>
      <c r="I242" s="56"/>
    </row>
    <row r="243" ht="15.75" spans="1:9">
      <c r="A243" s="20"/>
      <c r="B243" s="51"/>
      <c r="C243" s="57"/>
      <c r="D243" s="10"/>
      <c r="E243" s="53" t="e">
        <f>VLOOKUP($D243,成品本月库存!$B:$J,2,0)</f>
        <v>#N/A</v>
      </c>
      <c r="F243" s="54" t="e">
        <f>VLOOKUP($D243,成品本月库存!$B:$J,5,0)</f>
        <v>#N/A</v>
      </c>
      <c r="G243" s="55"/>
      <c r="H243" s="53" t="e">
        <f>VLOOKUP($D243,成品本月库存!$B:$J,9,0)</f>
        <v>#N/A</v>
      </c>
      <c r="I243" s="56"/>
    </row>
    <row r="244" ht="15.75" spans="1:9">
      <c r="A244" s="20"/>
      <c r="B244" s="51"/>
      <c r="C244" s="57"/>
      <c r="D244" s="10"/>
      <c r="E244" s="53" t="e">
        <f>VLOOKUP($D244,成品本月库存!$B:$J,2,0)</f>
        <v>#N/A</v>
      </c>
      <c r="F244" s="54" t="e">
        <f>VLOOKUP($D244,成品本月库存!$B:$J,5,0)</f>
        <v>#N/A</v>
      </c>
      <c r="G244" s="55"/>
      <c r="H244" s="53" t="e">
        <f>VLOOKUP($D244,成品本月库存!$B:$J,9,0)</f>
        <v>#N/A</v>
      </c>
      <c r="I244" s="56"/>
    </row>
    <row r="245" ht="15.75" spans="1:9">
      <c r="A245" s="20"/>
      <c r="B245" s="51"/>
      <c r="C245" s="57"/>
      <c r="D245" s="10"/>
      <c r="E245" s="53" t="e">
        <f>VLOOKUP($D245,成品本月库存!$B:$J,2,0)</f>
        <v>#N/A</v>
      </c>
      <c r="F245" s="54" t="e">
        <f>VLOOKUP($D245,成品本月库存!$B:$J,5,0)</f>
        <v>#N/A</v>
      </c>
      <c r="G245" s="55"/>
      <c r="H245" s="53" t="e">
        <f>VLOOKUP($D245,成品本月库存!$B:$J,9,0)</f>
        <v>#N/A</v>
      </c>
      <c r="I245" s="56"/>
    </row>
    <row r="246" ht="15.75" spans="1:9">
      <c r="A246" s="20"/>
      <c r="B246" s="51"/>
      <c r="C246" s="57"/>
      <c r="D246" s="10"/>
      <c r="E246" s="53" t="e">
        <f>VLOOKUP($D246,成品本月库存!$B:$J,2,0)</f>
        <v>#N/A</v>
      </c>
      <c r="F246" s="54" t="e">
        <f>VLOOKUP($D246,成品本月库存!$B:$J,5,0)</f>
        <v>#N/A</v>
      </c>
      <c r="G246" s="55"/>
      <c r="H246" s="53" t="e">
        <f>VLOOKUP($D246,成品本月库存!$B:$J,9,0)</f>
        <v>#N/A</v>
      </c>
      <c r="I246" s="56"/>
    </row>
    <row r="247" ht="15.75" spans="1:9">
      <c r="A247" s="20"/>
      <c r="B247" s="51"/>
      <c r="C247" s="57"/>
      <c r="D247" s="10"/>
      <c r="E247" s="53" t="e">
        <f>VLOOKUP($D247,成品本月库存!$B:$J,2,0)</f>
        <v>#N/A</v>
      </c>
      <c r="F247" s="54" t="e">
        <f>VLOOKUP($D247,成品本月库存!$B:$J,5,0)</f>
        <v>#N/A</v>
      </c>
      <c r="G247" s="55"/>
      <c r="H247" s="53" t="e">
        <f>VLOOKUP($D247,成品本月库存!$B:$J,9,0)</f>
        <v>#N/A</v>
      </c>
      <c r="I247" s="56"/>
    </row>
    <row r="248" ht="15.75" spans="1:9">
      <c r="A248" s="20"/>
      <c r="B248" s="51"/>
      <c r="C248" s="57"/>
      <c r="D248" s="10"/>
      <c r="E248" s="53" t="e">
        <f>VLOOKUP($D248,成品本月库存!$B:$J,2,0)</f>
        <v>#N/A</v>
      </c>
      <c r="F248" s="54" t="e">
        <f>VLOOKUP($D248,成品本月库存!$B:$J,5,0)</f>
        <v>#N/A</v>
      </c>
      <c r="G248" s="55"/>
      <c r="H248" s="53" t="e">
        <f>VLOOKUP($D248,成品本月库存!$B:$J,9,0)</f>
        <v>#N/A</v>
      </c>
      <c r="I248" s="56"/>
    </row>
    <row r="249" ht="15.75" spans="1:9">
      <c r="A249" s="20"/>
      <c r="B249" s="51"/>
      <c r="C249" s="57"/>
      <c r="D249" s="10"/>
      <c r="E249" s="53" t="e">
        <f>VLOOKUP($D249,成品本月库存!$B:$J,2,0)</f>
        <v>#N/A</v>
      </c>
      <c r="F249" s="54" t="e">
        <f>VLOOKUP($D249,成品本月库存!$B:$J,5,0)</f>
        <v>#N/A</v>
      </c>
      <c r="G249" s="55"/>
      <c r="H249" s="53" t="e">
        <f>VLOOKUP($D249,成品本月库存!$B:$J,9,0)</f>
        <v>#N/A</v>
      </c>
      <c r="I249" s="56"/>
    </row>
    <row r="250" ht="15.75" spans="1:9">
      <c r="A250" s="20"/>
      <c r="B250" s="51"/>
      <c r="C250" s="57"/>
      <c r="D250" s="10"/>
      <c r="E250" s="53" t="e">
        <f>VLOOKUP($D250,成品本月库存!$B:$J,2,0)</f>
        <v>#N/A</v>
      </c>
      <c r="F250" s="54" t="e">
        <f>VLOOKUP($D250,成品本月库存!$B:$J,5,0)</f>
        <v>#N/A</v>
      </c>
      <c r="G250" s="55"/>
      <c r="H250" s="53" t="e">
        <f>VLOOKUP($D250,成品本月库存!$B:$J,9,0)</f>
        <v>#N/A</v>
      </c>
      <c r="I250" s="56"/>
    </row>
    <row r="251" ht="15.75" spans="1:9">
      <c r="A251" s="20"/>
      <c r="B251" s="51"/>
      <c r="C251" s="57"/>
      <c r="D251" s="10"/>
      <c r="E251" s="53" t="e">
        <f>VLOOKUP($D251,成品本月库存!$B:$J,2,0)</f>
        <v>#N/A</v>
      </c>
      <c r="F251" s="54" t="e">
        <f>VLOOKUP($D251,成品本月库存!$B:$J,5,0)</f>
        <v>#N/A</v>
      </c>
      <c r="G251" s="55"/>
      <c r="H251" s="53" t="e">
        <f>VLOOKUP($D251,成品本月库存!$B:$J,9,0)</f>
        <v>#N/A</v>
      </c>
      <c r="I251" s="56"/>
    </row>
    <row r="252" ht="15.75" spans="1:9">
      <c r="A252" s="20"/>
      <c r="B252" s="51"/>
      <c r="C252" s="52"/>
      <c r="D252" s="10"/>
      <c r="E252" s="53" t="e">
        <f>VLOOKUP($D252,成品本月库存!$B:$J,2,0)</f>
        <v>#N/A</v>
      </c>
      <c r="F252" s="54" t="e">
        <f>VLOOKUP($D252,成品本月库存!$B:$J,5,0)</f>
        <v>#N/A</v>
      </c>
      <c r="G252" s="55"/>
      <c r="H252" s="53" t="e">
        <f>VLOOKUP($D252,成品本月库存!$B:$J,9,0)</f>
        <v>#N/A</v>
      </c>
      <c r="I252" s="56"/>
    </row>
    <row r="253" ht="15.75" spans="1:9">
      <c r="A253" s="20"/>
      <c r="B253" s="51"/>
      <c r="C253" s="52"/>
      <c r="D253" s="10"/>
      <c r="E253" s="53" t="e">
        <f>VLOOKUP($D253,成品本月库存!$B:$J,2,0)</f>
        <v>#N/A</v>
      </c>
      <c r="F253" s="54" t="e">
        <f>VLOOKUP($D253,成品本月库存!$B:$J,5,0)</f>
        <v>#N/A</v>
      </c>
      <c r="G253" s="55"/>
      <c r="H253" s="53" t="e">
        <f>VLOOKUP($D253,成品本月库存!$B:$J,9,0)</f>
        <v>#N/A</v>
      </c>
      <c r="I253" s="56"/>
    </row>
    <row r="254" ht="15.75" spans="1:9">
      <c r="A254" s="20"/>
      <c r="B254" s="51"/>
      <c r="C254" s="57"/>
      <c r="D254" s="10"/>
      <c r="E254" s="53" t="e">
        <f>VLOOKUP($D254,成品本月库存!$B:$J,2,0)</f>
        <v>#N/A</v>
      </c>
      <c r="F254" s="54" t="e">
        <f>VLOOKUP($D254,成品本月库存!$B:$J,5,0)</f>
        <v>#N/A</v>
      </c>
      <c r="G254" s="55"/>
      <c r="H254" s="53" t="e">
        <f>VLOOKUP($D254,成品本月库存!$B:$J,9,0)</f>
        <v>#N/A</v>
      </c>
      <c r="I254" s="56"/>
    </row>
    <row r="255" ht="15.75" spans="1:9">
      <c r="A255" s="20"/>
      <c r="B255" s="51"/>
      <c r="C255" s="57"/>
      <c r="D255" s="10"/>
      <c r="E255" s="53" t="e">
        <f>VLOOKUP($D255,成品本月库存!$B:$J,2,0)</f>
        <v>#N/A</v>
      </c>
      <c r="F255" s="54" t="e">
        <f>VLOOKUP($D255,成品本月库存!$B:$J,5,0)</f>
        <v>#N/A</v>
      </c>
      <c r="G255" s="55"/>
      <c r="H255" s="53" t="e">
        <f>VLOOKUP($D255,成品本月库存!$B:$J,9,0)</f>
        <v>#N/A</v>
      </c>
      <c r="I255" s="56"/>
    </row>
    <row r="256" ht="15.75" spans="1:9">
      <c r="A256" s="20"/>
      <c r="B256" s="51"/>
      <c r="C256" s="57"/>
      <c r="D256" s="10"/>
      <c r="E256" s="53" t="e">
        <f>VLOOKUP($D256,成品本月库存!$B:$J,2,0)</f>
        <v>#N/A</v>
      </c>
      <c r="F256" s="54" t="e">
        <f>VLOOKUP($D256,成品本月库存!$B:$J,5,0)</f>
        <v>#N/A</v>
      </c>
      <c r="G256" s="55"/>
      <c r="H256" s="53" t="e">
        <f>VLOOKUP($D256,成品本月库存!$B:$J,9,0)</f>
        <v>#N/A</v>
      </c>
      <c r="I256" s="56"/>
    </row>
    <row r="257" ht="15.75" spans="1:9">
      <c r="A257" s="20"/>
      <c r="B257" s="51"/>
      <c r="C257" s="57"/>
      <c r="D257" s="4"/>
      <c r="E257" s="53" t="e">
        <f>VLOOKUP($D257,成品本月库存!$B:$J,2,0)</f>
        <v>#N/A</v>
      </c>
      <c r="F257" s="54" t="e">
        <f>VLOOKUP($D257,成品本月库存!$B:$J,5,0)</f>
        <v>#N/A</v>
      </c>
      <c r="G257" s="55"/>
      <c r="H257" s="53" t="e">
        <f>VLOOKUP($D257,成品本月库存!$B:$J,9,0)</f>
        <v>#N/A</v>
      </c>
      <c r="I257" s="56"/>
    </row>
    <row r="258" ht="15.75" spans="1:9">
      <c r="A258" s="20"/>
      <c r="B258" s="51"/>
      <c r="C258" s="57"/>
      <c r="D258" s="4"/>
      <c r="E258" s="53" t="e">
        <f>VLOOKUP($D258,成品本月库存!$B:$J,2,0)</f>
        <v>#N/A</v>
      </c>
      <c r="F258" s="54" t="e">
        <f>VLOOKUP($D258,成品本月库存!$B:$J,5,0)</f>
        <v>#N/A</v>
      </c>
      <c r="G258" s="55"/>
      <c r="H258" s="53" t="e">
        <f>VLOOKUP($D258,成品本月库存!$B:$J,9,0)</f>
        <v>#N/A</v>
      </c>
      <c r="I258" s="56"/>
    </row>
    <row r="259" ht="15.75" spans="1:9">
      <c r="A259" s="20"/>
      <c r="B259" s="51"/>
      <c r="C259" s="57"/>
      <c r="D259" s="10"/>
      <c r="E259" s="53" t="e">
        <f>VLOOKUP($D259,成品本月库存!$B:$J,2,0)</f>
        <v>#N/A</v>
      </c>
      <c r="F259" s="54" t="e">
        <f>VLOOKUP($D259,成品本月库存!$B:$J,5,0)</f>
        <v>#N/A</v>
      </c>
      <c r="G259" s="55"/>
      <c r="H259" s="53" t="e">
        <f>VLOOKUP($D259,成品本月库存!$B:$J,9,0)</f>
        <v>#N/A</v>
      </c>
      <c r="I259" s="56"/>
    </row>
    <row r="260" ht="15.75" spans="1:9">
      <c r="A260" s="20"/>
      <c r="B260" s="51"/>
      <c r="C260" s="57"/>
      <c r="D260" s="10"/>
      <c r="E260" s="53" t="e">
        <f>VLOOKUP($D260,成品本月库存!$B:$J,2,0)</f>
        <v>#N/A</v>
      </c>
      <c r="F260" s="54" t="e">
        <f>VLOOKUP($D260,成品本月库存!$B:$J,5,0)</f>
        <v>#N/A</v>
      </c>
      <c r="G260" s="55"/>
      <c r="H260" s="53" t="e">
        <f>VLOOKUP($D260,成品本月库存!$B:$J,9,0)</f>
        <v>#N/A</v>
      </c>
      <c r="I260" s="56"/>
    </row>
    <row r="261" ht="15.75" spans="1:9">
      <c r="A261" s="20"/>
      <c r="B261" s="51"/>
      <c r="C261" s="57"/>
      <c r="D261" s="10"/>
      <c r="E261" s="53" t="e">
        <f>VLOOKUP($D261,成品本月库存!$B:$J,2,0)</f>
        <v>#N/A</v>
      </c>
      <c r="F261" s="54" t="e">
        <f>VLOOKUP($D261,成品本月库存!$B:$J,5,0)</f>
        <v>#N/A</v>
      </c>
      <c r="G261" s="55"/>
      <c r="H261" s="53" t="e">
        <f>VLOOKUP($D261,成品本月库存!$B:$J,9,0)</f>
        <v>#N/A</v>
      </c>
      <c r="I261" s="56"/>
    </row>
    <row r="262" ht="15.75" spans="1:9">
      <c r="A262" s="20"/>
      <c r="B262" s="51"/>
      <c r="C262" s="57"/>
      <c r="D262" s="10"/>
      <c r="E262" s="53" t="e">
        <f>VLOOKUP($D262,成品本月库存!$B:$J,2,0)</f>
        <v>#N/A</v>
      </c>
      <c r="F262" s="54" t="e">
        <f>VLOOKUP($D262,成品本月库存!$B:$J,5,0)</f>
        <v>#N/A</v>
      </c>
      <c r="G262" s="55"/>
      <c r="H262" s="53" t="e">
        <f>VLOOKUP($D262,成品本月库存!$B:$J,9,0)</f>
        <v>#N/A</v>
      </c>
      <c r="I262" s="56"/>
    </row>
    <row r="263" ht="15.75" spans="1:9">
      <c r="A263" s="20"/>
      <c r="B263" s="51"/>
      <c r="C263" s="57"/>
      <c r="D263" s="10"/>
      <c r="E263" s="53" t="e">
        <f>VLOOKUP($D263,成品本月库存!$B:$J,2,0)</f>
        <v>#N/A</v>
      </c>
      <c r="F263" s="54" t="e">
        <f>VLOOKUP($D263,成品本月库存!$B:$J,5,0)</f>
        <v>#N/A</v>
      </c>
      <c r="G263" s="55"/>
      <c r="H263" s="53" t="e">
        <f>VLOOKUP($D263,成品本月库存!$B:$J,9,0)</f>
        <v>#N/A</v>
      </c>
      <c r="I263" s="56"/>
    </row>
    <row r="264" ht="15.75" spans="1:9">
      <c r="A264" s="20"/>
      <c r="B264" s="51"/>
      <c r="C264" s="57"/>
      <c r="D264" s="10"/>
      <c r="E264" s="53" t="e">
        <f>VLOOKUP($D264,成品本月库存!$B:$J,2,0)</f>
        <v>#N/A</v>
      </c>
      <c r="F264" s="54" t="e">
        <f>VLOOKUP($D264,成品本月库存!$B:$J,5,0)</f>
        <v>#N/A</v>
      </c>
      <c r="G264" s="55"/>
      <c r="H264" s="53" t="e">
        <f>VLOOKUP($D264,成品本月库存!$B:$J,9,0)</f>
        <v>#N/A</v>
      </c>
      <c r="I264" s="56"/>
    </row>
    <row r="265" ht="15.75" spans="1:9">
      <c r="A265" s="20"/>
      <c r="B265" s="51"/>
      <c r="C265" s="57"/>
      <c r="D265" s="10"/>
      <c r="E265" s="53" t="e">
        <f>VLOOKUP($D265,成品本月库存!$B:$J,2,0)</f>
        <v>#N/A</v>
      </c>
      <c r="F265" s="54" t="e">
        <f>VLOOKUP($D265,成品本月库存!$B:$J,5,0)</f>
        <v>#N/A</v>
      </c>
      <c r="G265" s="55"/>
      <c r="H265" s="53" t="e">
        <f>VLOOKUP($D265,成品本月库存!$B:$J,9,0)</f>
        <v>#N/A</v>
      </c>
      <c r="I265" s="56"/>
    </row>
    <row r="266" ht="15.75" spans="1:9">
      <c r="A266" s="20"/>
      <c r="B266" s="51"/>
      <c r="C266" s="57"/>
      <c r="D266" s="10"/>
      <c r="E266" s="53" t="e">
        <f>VLOOKUP($D266,成品本月库存!$B:$J,2,0)</f>
        <v>#N/A</v>
      </c>
      <c r="F266" s="54" t="e">
        <f>VLOOKUP($D266,成品本月库存!$B:$J,5,0)</f>
        <v>#N/A</v>
      </c>
      <c r="G266" s="55"/>
      <c r="H266" s="53" t="e">
        <f>VLOOKUP($D266,成品本月库存!$B:$J,9,0)</f>
        <v>#N/A</v>
      </c>
      <c r="I266" s="56"/>
    </row>
    <row r="267" ht="15.75" spans="1:9">
      <c r="A267" s="20"/>
      <c r="B267" s="51"/>
      <c r="C267" s="57"/>
      <c r="D267" s="10"/>
      <c r="E267" s="53" t="e">
        <f>VLOOKUP($D267,成品本月库存!$B:$J,2,0)</f>
        <v>#N/A</v>
      </c>
      <c r="F267" s="54" t="e">
        <f>VLOOKUP($D267,成品本月库存!$B:$J,5,0)</f>
        <v>#N/A</v>
      </c>
      <c r="G267" s="55"/>
      <c r="H267" s="53" t="e">
        <f>VLOOKUP($D267,成品本月库存!$B:$J,9,0)</f>
        <v>#N/A</v>
      </c>
      <c r="I267" s="56"/>
    </row>
    <row r="268" ht="15.75" spans="1:9">
      <c r="A268" s="20"/>
      <c r="B268" s="51"/>
      <c r="C268" s="57"/>
      <c r="D268" s="10"/>
      <c r="E268" s="53" t="e">
        <f>VLOOKUP($D268,成品本月库存!$B:$J,2,0)</f>
        <v>#N/A</v>
      </c>
      <c r="F268" s="54" t="e">
        <f>VLOOKUP($D268,成品本月库存!$B:$J,5,0)</f>
        <v>#N/A</v>
      </c>
      <c r="G268" s="55"/>
      <c r="H268" s="53" t="e">
        <f>VLOOKUP($D268,成品本月库存!$B:$J,9,0)</f>
        <v>#N/A</v>
      </c>
      <c r="I268" s="56"/>
    </row>
    <row r="269" ht="15.75" spans="1:9">
      <c r="A269" s="20"/>
      <c r="B269" s="51"/>
      <c r="C269" s="57"/>
      <c r="D269" s="10"/>
      <c r="E269" s="53" t="e">
        <f>VLOOKUP($D269,成品本月库存!$B:$J,2,0)</f>
        <v>#N/A</v>
      </c>
      <c r="F269" s="54" t="e">
        <f>VLOOKUP($D269,成品本月库存!$B:$J,5,0)</f>
        <v>#N/A</v>
      </c>
      <c r="G269" s="55"/>
      <c r="H269" s="53" t="e">
        <f>VLOOKUP($D269,成品本月库存!$B:$J,9,0)</f>
        <v>#N/A</v>
      </c>
      <c r="I269" s="56"/>
    </row>
    <row r="270" ht="15.75" spans="1:9">
      <c r="A270" s="20"/>
      <c r="B270" s="51"/>
      <c r="C270" s="57"/>
      <c r="D270" s="4"/>
      <c r="E270" s="53" t="e">
        <f>VLOOKUP($D270,成品本月库存!$B:$J,2,0)</f>
        <v>#N/A</v>
      </c>
      <c r="F270" s="54" t="e">
        <f>VLOOKUP($D270,成品本月库存!$B:$J,5,0)</f>
        <v>#N/A</v>
      </c>
      <c r="G270" s="55"/>
      <c r="H270" s="53" t="e">
        <f>VLOOKUP($D270,成品本月库存!$B:$J,9,0)</f>
        <v>#N/A</v>
      </c>
      <c r="I270" s="56"/>
    </row>
    <row r="271" ht="15.75" spans="1:9">
      <c r="A271" s="20"/>
      <c r="B271" s="51"/>
      <c r="C271" s="57"/>
      <c r="D271" s="10"/>
      <c r="E271" s="53" t="e">
        <f>VLOOKUP($D271,成品本月库存!$B:$J,2,0)</f>
        <v>#N/A</v>
      </c>
      <c r="F271" s="54" t="e">
        <f>VLOOKUP($D271,成品本月库存!$B:$J,5,0)</f>
        <v>#N/A</v>
      </c>
      <c r="G271" s="55"/>
      <c r="H271" s="53" t="e">
        <f>VLOOKUP($D271,成品本月库存!$B:$J,9,0)</f>
        <v>#N/A</v>
      </c>
      <c r="I271" s="56"/>
    </row>
    <row r="272" ht="15.75" spans="1:9">
      <c r="A272" s="20"/>
      <c r="B272" s="51"/>
      <c r="C272" s="57"/>
      <c r="D272" s="10"/>
      <c r="E272" s="53" t="e">
        <f>VLOOKUP($D272,成品本月库存!$B:$J,2,0)</f>
        <v>#N/A</v>
      </c>
      <c r="F272" s="54" t="e">
        <f>VLOOKUP($D272,成品本月库存!$B:$J,5,0)</f>
        <v>#N/A</v>
      </c>
      <c r="G272" s="55"/>
      <c r="H272" s="53" t="e">
        <f>VLOOKUP($D272,成品本月库存!$B:$J,9,0)</f>
        <v>#N/A</v>
      </c>
      <c r="I272" s="56"/>
    </row>
    <row r="273" ht="15.75" spans="1:9">
      <c r="A273" s="20"/>
      <c r="B273" s="51"/>
      <c r="C273" s="57"/>
      <c r="D273" s="10"/>
      <c r="E273" s="53" t="e">
        <f>VLOOKUP($D273,成品本月库存!$B:$J,2,0)</f>
        <v>#N/A</v>
      </c>
      <c r="F273" s="54" t="e">
        <f>VLOOKUP($D273,成品本月库存!$B:$J,5,0)</f>
        <v>#N/A</v>
      </c>
      <c r="G273" s="55"/>
      <c r="H273" s="53" t="e">
        <f>VLOOKUP($D273,成品本月库存!$B:$J,9,0)</f>
        <v>#N/A</v>
      </c>
      <c r="I273" s="56"/>
    </row>
    <row r="274" ht="15.75" spans="1:9">
      <c r="A274" s="20"/>
      <c r="B274" s="51"/>
      <c r="C274" s="57"/>
      <c r="D274" s="10"/>
      <c r="E274" s="53" t="e">
        <f>VLOOKUP($D274,成品本月库存!$B:$J,2,0)</f>
        <v>#N/A</v>
      </c>
      <c r="F274" s="54" t="e">
        <f>VLOOKUP($D274,成品本月库存!$B:$J,5,0)</f>
        <v>#N/A</v>
      </c>
      <c r="G274" s="55"/>
      <c r="H274" s="53" t="e">
        <f>VLOOKUP($D274,成品本月库存!$B:$J,9,0)</f>
        <v>#N/A</v>
      </c>
      <c r="I274" s="56"/>
    </row>
    <row r="275" ht="15.75" spans="1:9">
      <c r="A275" s="20"/>
      <c r="B275" s="51"/>
      <c r="C275" s="57"/>
      <c r="D275" s="10"/>
      <c r="E275" s="53" t="e">
        <f>VLOOKUP($D275,成品本月库存!$B:$J,2,0)</f>
        <v>#N/A</v>
      </c>
      <c r="F275" s="54" t="e">
        <f>VLOOKUP($D275,成品本月库存!$B:$J,5,0)</f>
        <v>#N/A</v>
      </c>
      <c r="G275" s="55"/>
      <c r="H275" s="53" t="e">
        <f>VLOOKUP($D275,成品本月库存!$B:$J,9,0)</f>
        <v>#N/A</v>
      </c>
      <c r="I275" s="56"/>
    </row>
    <row r="276" ht="15.75" spans="1:9">
      <c r="A276" s="20"/>
      <c r="B276" s="51"/>
      <c r="C276" s="57"/>
      <c r="D276" s="10"/>
      <c r="E276" s="53" t="e">
        <f>VLOOKUP($D276,成品本月库存!$B:$J,2,0)</f>
        <v>#N/A</v>
      </c>
      <c r="F276" s="54" t="e">
        <f>VLOOKUP($D276,成品本月库存!$B:$J,5,0)</f>
        <v>#N/A</v>
      </c>
      <c r="G276" s="55"/>
      <c r="H276" s="53" t="e">
        <f>VLOOKUP($D276,成品本月库存!$B:$J,9,0)</f>
        <v>#N/A</v>
      </c>
      <c r="I276" s="56"/>
    </row>
    <row r="277" ht="15.75" spans="1:9">
      <c r="A277" s="20"/>
      <c r="B277" s="51"/>
      <c r="C277" s="57"/>
      <c r="D277" s="10"/>
      <c r="E277" s="53" t="e">
        <f>VLOOKUP($D277,成品本月库存!$B:$J,2,0)</f>
        <v>#N/A</v>
      </c>
      <c r="F277" s="54" t="e">
        <f>VLOOKUP($D277,成品本月库存!$B:$J,5,0)</f>
        <v>#N/A</v>
      </c>
      <c r="G277" s="55"/>
      <c r="H277" s="53" t="e">
        <f>VLOOKUP($D277,成品本月库存!$B:$J,9,0)</f>
        <v>#N/A</v>
      </c>
      <c r="I277" s="56"/>
    </row>
    <row r="278" ht="15.75" spans="1:9">
      <c r="A278" s="20"/>
      <c r="B278" s="51"/>
      <c r="C278" s="57"/>
      <c r="D278" s="10"/>
      <c r="E278" s="53" t="e">
        <f>VLOOKUP($D278,成品本月库存!$B:$J,2,0)</f>
        <v>#N/A</v>
      </c>
      <c r="F278" s="54" t="e">
        <f>VLOOKUP($D278,成品本月库存!$B:$J,5,0)</f>
        <v>#N/A</v>
      </c>
      <c r="G278" s="55"/>
      <c r="H278" s="53" t="e">
        <f>VLOOKUP($D278,成品本月库存!$B:$J,9,0)</f>
        <v>#N/A</v>
      </c>
      <c r="I278" s="56"/>
    </row>
    <row r="279" ht="15.75" spans="1:9">
      <c r="A279" s="20"/>
      <c r="B279" s="51"/>
      <c r="C279" s="57"/>
      <c r="D279" s="10"/>
      <c r="E279" s="53" t="e">
        <f>VLOOKUP($D279,成品本月库存!$B:$J,2,0)</f>
        <v>#N/A</v>
      </c>
      <c r="F279" s="54" t="e">
        <f>VLOOKUP($D279,成品本月库存!$B:$J,5,0)</f>
        <v>#N/A</v>
      </c>
      <c r="G279" s="55"/>
      <c r="H279" s="53" t="e">
        <f>VLOOKUP($D279,成品本月库存!$B:$J,9,0)</f>
        <v>#N/A</v>
      </c>
      <c r="I279" s="56"/>
    </row>
    <row r="280" ht="15.75" spans="1:9">
      <c r="A280" s="20"/>
      <c r="B280" s="51"/>
      <c r="C280" s="57"/>
      <c r="D280" s="10"/>
      <c r="E280" s="53" t="e">
        <f>VLOOKUP($D280,成品本月库存!$B:$J,2,0)</f>
        <v>#N/A</v>
      </c>
      <c r="F280" s="54" t="e">
        <f>VLOOKUP($D280,成品本月库存!$B:$J,5,0)</f>
        <v>#N/A</v>
      </c>
      <c r="G280" s="55"/>
      <c r="H280" s="53" t="e">
        <f>VLOOKUP($D280,成品本月库存!$B:$J,9,0)</f>
        <v>#N/A</v>
      </c>
      <c r="I280" s="56"/>
    </row>
    <row r="281" ht="15.75" spans="1:9">
      <c r="A281" s="20"/>
      <c r="B281" s="51"/>
      <c r="C281" s="57"/>
      <c r="D281" s="10"/>
      <c r="E281" s="53" t="e">
        <f>VLOOKUP($D281,成品本月库存!$B:$J,2,0)</f>
        <v>#N/A</v>
      </c>
      <c r="F281" s="54" t="e">
        <f>VLOOKUP($D281,成品本月库存!$B:$J,5,0)</f>
        <v>#N/A</v>
      </c>
      <c r="G281" s="55"/>
      <c r="H281" s="53" t="e">
        <f>VLOOKUP($D281,成品本月库存!$B:$J,9,0)</f>
        <v>#N/A</v>
      </c>
      <c r="I281" s="56"/>
    </row>
    <row r="282" ht="15.75" spans="1:9">
      <c r="A282" s="20"/>
      <c r="B282" s="51"/>
      <c r="C282" s="57"/>
      <c r="D282" s="4"/>
      <c r="E282" s="53" t="e">
        <f>VLOOKUP($D282,成品本月库存!$B:$J,2,0)</f>
        <v>#N/A</v>
      </c>
      <c r="F282" s="54" t="e">
        <f>VLOOKUP($D282,成品本月库存!$B:$J,5,0)</f>
        <v>#N/A</v>
      </c>
      <c r="G282" s="55"/>
      <c r="H282" s="53" t="e">
        <f>VLOOKUP($D282,成品本月库存!$B:$J,9,0)</f>
        <v>#N/A</v>
      </c>
      <c r="I282" s="56"/>
    </row>
    <row r="283" ht="15.75" spans="1:9">
      <c r="A283" s="20"/>
      <c r="B283" s="51"/>
      <c r="C283" s="57"/>
      <c r="D283" s="10"/>
      <c r="E283" s="53" t="e">
        <f>VLOOKUP($D283,成品本月库存!$B:$J,2,0)</f>
        <v>#N/A</v>
      </c>
      <c r="F283" s="54" t="e">
        <f>VLOOKUP($D283,成品本月库存!$B:$J,5,0)</f>
        <v>#N/A</v>
      </c>
      <c r="G283" s="55"/>
      <c r="H283" s="53" t="e">
        <f>VLOOKUP($D283,成品本月库存!$B:$J,9,0)</f>
        <v>#N/A</v>
      </c>
      <c r="I283" s="56"/>
    </row>
    <row r="284" ht="15.75" spans="1:9">
      <c r="A284" s="20"/>
      <c r="B284" s="51"/>
      <c r="C284" s="57"/>
      <c r="D284" s="10"/>
      <c r="E284" s="53" t="e">
        <f>VLOOKUP($D284,成品本月库存!$B:$J,2,0)</f>
        <v>#N/A</v>
      </c>
      <c r="F284" s="54" t="e">
        <f>VLOOKUP($D284,成品本月库存!$B:$J,5,0)</f>
        <v>#N/A</v>
      </c>
      <c r="G284" s="55"/>
      <c r="H284" s="53" t="e">
        <f>VLOOKUP($D284,成品本月库存!$B:$J,9,0)</f>
        <v>#N/A</v>
      </c>
      <c r="I284" s="56"/>
    </row>
    <row r="285" ht="15.75" spans="1:9">
      <c r="A285" s="20"/>
      <c r="B285" s="51"/>
      <c r="C285" s="57"/>
      <c r="D285" s="10"/>
      <c r="E285" s="53" t="e">
        <f>VLOOKUP($D285,成品本月库存!$B:$J,2,0)</f>
        <v>#N/A</v>
      </c>
      <c r="F285" s="54" t="e">
        <f>VLOOKUP($D285,成品本月库存!$B:$J,5,0)</f>
        <v>#N/A</v>
      </c>
      <c r="G285" s="55"/>
      <c r="H285" s="53" t="e">
        <f>VLOOKUP($D285,成品本月库存!$B:$J,9,0)</f>
        <v>#N/A</v>
      </c>
      <c r="I285" s="56"/>
    </row>
    <row r="286" ht="15.75" spans="1:9">
      <c r="A286" s="20"/>
      <c r="B286" s="51"/>
      <c r="C286" s="57"/>
      <c r="D286" s="10"/>
      <c r="E286" s="53" t="e">
        <f>VLOOKUP($D286,成品本月库存!$B:$J,2,0)</f>
        <v>#N/A</v>
      </c>
      <c r="F286" s="54" t="e">
        <f>VLOOKUP($D286,成品本月库存!$B:$J,5,0)</f>
        <v>#N/A</v>
      </c>
      <c r="G286" s="55"/>
      <c r="H286" s="53" t="e">
        <f>VLOOKUP($D286,成品本月库存!$B:$J,9,0)</f>
        <v>#N/A</v>
      </c>
      <c r="I286" s="56"/>
    </row>
    <row r="287" ht="15.75" spans="1:9">
      <c r="A287" s="20"/>
      <c r="B287" s="51"/>
      <c r="C287" s="57"/>
      <c r="D287" s="10"/>
      <c r="E287" s="53" t="e">
        <f>VLOOKUP($D287,成品本月库存!$B:$J,2,0)</f>
        <v>#N/A</v>
      </c>
      <c r="F287" s="54" t="e">
        <f>VLOOKUP($D287,成品本月库存!$B:$J,5,0)</f>
        <v>#N/A</v>
      </c>
      <c r="G287" s="55"/>
      <c r="H287" s="53" t="e">
        <f>VLOOKUP($D287,成品本月库存!$B:$J,9,0)</f>
        <v>#N/A</v>
      </c>
      <c r="I287" s="56"/>
    </row>
    <row r="288" ht="15.75" spans="1:9">
      <c r="A288" s="20"/>
      <c r="B288" s="51"/>
      <c r="C288" s="57"/>
      <c r="D288" s="10"/>
      <c r="E288" s="53" t="e">
        <f>VLOOKUP($D288,成品本月库存!$B:$J,2,0)</f>
        <v>#N/A</v>
      </c>
      <c r="F288" s="54" t="e">
        <f>VLOOKUP($D288,成品本月库存!$B:$J,5,0)</f>
        <v>#N/A</v>
      </c>
      <c r="G288" s="55"/>
      <c r="H288" s="53" t="e">
        <f>VLOOKUP($D288,成品本月库存!$B:$J,9,0)</f>
        <v>#N/A</v>
      </c>
      <c r="I288" s="56"/>
    </row>
    <row r="289" ht="15.75" spans="1:9">
      <c r="A289" s="20"/>
      <c r="B289" s="51"/>
      <c r="C289" s="57"/>
      <c r="D289" s="10"/>
      <c r="E289" s="53" t="e">
        <f>VLOOKUP($D289,成品本月库存!$B:$J,2,0)</f>
        <v>#N/A</v>
      </c>
      <c r="F289" s="54" t="e">
        <f>VLOOKUP($D289,成品本月库存!$B:$J,5,0)</f>
        <v>#N/A</v>
      </c>
      <c r="G289" s="55"/>
      <c r="H289" s="53" t="e">
        <f>VLOOKUP($D289,成品本月库存!$B:$J,9,0)</f>
        <v>#N/A</v>
      </c>
      <c r="I289" s="56"/>
    </row>
    <row r="290" ht="15.75" spans="1:9">
      <c r="A290" s="20"/>
      <c r="B290" s="51"/>
      <c r="C290" s="57"/>
      <c r="D290" s="10"/>
      <c r="E290" s="53" t="e">
        <f>VLOOKUP($D290,成品本月库存!$B:$J,2,0)</f>
        <v>#N/A</v>
      </c>
      <c r="F290" s="54" t="e">
        <f>VLOOKUP($D290,成品本月库存!$B:$J,5,0)</f>
        <v>#N/A</v>
      </c>
      <c r="G290" s="55"/>
      <c r="H290" s="53" t="e">
        <f>VLOOKUP($D290,成品本月库存!$B:$J,9,0)</f>
        <v>#N/A</v>
      </c>
      <c r="I290" s="56"/>
    </row>
    <row r="291" ht="15.75" spans="1:9">
      <c r="A291" s="20"/>
      <c r="B291" s="51"/>
      <c r="C291" s="57"/>
      <c r="D291" s="10"/>
      <c r="E291" s="53" t="e">
        <f>VLOOKUP($D291,成品本月库存!$B:$J,2,0)</f>
        <v>#N/A</v>
      </c>
      <c r="F291" s="54" t="e">
        <f>VLOOKUP($D291,成品本月库存!$B:$J,5,0)</f>
        <v>#N/A</v>
      </c>
      <c r="G291" s="55"/>
      <c r="H291" s="53" t="e">
        <f>VLOOKUP($D291,成品本月库存!$B:$J,9,0)</f>
        <v>#N/A</v>
      </c>
      <c r="I291" s="56"/>
    </row>
    <row r="292" ht="15.75" spans="1:9">
      <c r="A292" s="20"/>
      <c r="B292" s="51"/>
      <c r="C292" s="57"/>
      <c r="D292" s="10"/>
      <c r="E292" s="53" t="e">
        <f>VLOOKUP($D292,成品本月库存!$B:$J,2,0)</f>
        <v>#N/A</v>
      </c>
      <c r="F292" s="54" t="e">
        <f>VLOOKUP($D292,成品本月库存!$B:$J,5,0)</f>
        <v>#N/A</v>
      </c>
      <c r="G292" s="55"/>
      <c r="H292" s="53" t="e">
        <f>VLOOKUP($D292,成品本月库存!$B:$J,9,0)</f>
        <v>#N/A</v>
      </c>
      <c r="I292" s="56"/>
    </row>
    <row r="293" ht="15.75" spans="1:9">
      <c r="A293" s="20"/>
      <c r="B293" s="51"/>
      <c r="C293" s="57"/>
      <c r="D293" s="10"/>
      <c r="E293" s="53" t="e">
        <f>VLOOKUP($D293,成品本月库存!$B:$J,2,0)</f>
        <v>#N/A</v>
      </c>
      <c r="F293" s="54" t="e">
        <f>VLOOKUP($D293,成品本月库存!$B:$J,5,0)</f>
        <v>#N/A</v>
      </c>
      <c r="G293" s="55"/>
      <c r="H293" s="53" t="e">
        <f>VLOOKUP($D293,成品本月库存!$B:$J,9,0)</f>
        <v>#N/A</v>
      </c>
      <c r="I293" s="56"/>
    </row>
    <row r="294" ht="15.75" spans="1:9">
      <c r="A294" s="20"/>
      <c r="B294" s="51"/>
      <c r="C294" s="57"/>
      <c r="D294" s="10"/>
      <c r="E294" s="53" t="e">
        <f>VLOOKUP($D294,成品本月库存!$B:$J,2,0)</f>
        <v>#N/A</v>
      </c>
      <c r="F294" s="54" t="e">
        <f>VLOOKUP($D294,成品本月库存!$B:$J,5,0)</f>
        <v>#N/A</v>
      </c>
      <c r="G294" s="55"/>
      <c r="H294" s="53" t="e">
        <f>VLOOKUP($D294,成品本月库存!$B:$J,9,0)</f>
        <v>#N/A</v>
      </c>
      <c r="I294" s="56"/>
    </row>
    <row r="295" ht="15.75" spans="1:9">
      <c r="A295" s="20"/>
      <c r="B295" s="51"/>
      <c r="C295" s="57"/>
      <c r="D295" s="10"/>
      <c r="E295" s="53" t="e">
        <f>VLOOKUP($D295,成品本月库存!$B:$J,2,0)</f>
        <v>#N/A</v>
      </c>
      <c r="F295" s="54" t="e">
        <f>VLOOKUP($D295,成品本月库存!$B:$J,5,0)</f>
        <v>#N/A</v>
      </c>
      <c r="G295" s="55"/>
      <c r="H295" s="53" t="e">
        <f>VLOOKUP($D295,成品本月库存!$B:$J,9,0)</f>
        <v>#N/A</v>
      </c>
      <c r="I295" s="56"/>
    </row>
    <row r="296" ht="15.75" spans="1:9">
      <c r="A296" s="20"/>
      <c r="B296" s="51"/>
      <c r="C296" s="57"/>
      <c r="D296" s="10"/>
      <c r="E296" s="53" t="e">
        <f>VLOOKUP($D296,成品本月库存!$B:$J,2,0)</f>
        <v>#N/A</v>
      </c>
      <c r="F296" s="54" t="e">
        <f>VLOOKUP($D296,成品本月库存!$B:$J,5,0)</f>
        <v>#N/A</v>
      </c>
      <c r="G296" s="55"/>
      <c r="H296" s="53" t="e">
        <f>VLOOKUP($D296,成品本月库存!$B:$J,9,0)</f>
        <v>#N/A</v>
      </c>
      <c r="I296" s="56"/>
    </row>
    <row r="297" ht="15.75" spans="1:9">
      <c r="A297" s="20"/>
      <c r="B297" s="51"/>
      <c r="C297" s="57"/>
      <c r="D297" s="10"/>
      <c r="E297" s="53" t="e">
        <f>VLOOKUP($D297,成品本月库存!$B:$J,2,0)</f>
        <v>#N/A</v>
      </c>
      <c r="F297" s="54" t="e">
        <f>VLOOKUP($D297,成品本月库存!$B:$J,5,0)</f>
        <v>#N/A</v>
      </c>
      <c r="G297" s="55"/>
      <c r="H297" s="53" t="e">
        <f>VLOOKUP($D297,成品本月库存!$B:$J,9,0)</f>
        <v>#N/A</v>
      </c>
      <c r="I297" s="56"/>
    </row>
    <row r="298" ht="15.75" spans="1:9">
      <c r="A298" s="20"/>
      <c r="B298" s="51"/>
      <c r="C298" s="57"/>
      <c r="D298" s="10"/>
      <c r="E298" s="53" t="e">
        <f>VLOOKUP($D298,成品本月库存!$B:$J,2,0)</f>
        <v>#N/A</v>
      </c>
      <c r="F298" s="54" t="e">
        <f>VLOOKUP($D298,成品本月库存!$B:$J,5,0)</f>
        <v>#N/A</v>
      </c>
      <c r="G298" s="55"/>
      <c r="H298" s="53" t="e">
        <f>VLOOKUP($D298,成品本月库存!$B:$J,9,0)</f>
        <v>#N/A</v>
      </c>
      <c r="I298" s="56"/>
    </row>
    <row r="299" ht="15.75" spans="1:9">
      <c r="A299" s="20"/>
      <c r="B299" s="51"/>
      <c r="C299" s="57"/>
      <c r="D299" s="10"/>
      <c r="E299" s="53" t="e">
        <f>VLOOKUP($D299,成品本月库存!$B:$J,2,0)</f>
        <v>#N/A</v>
      </c>
      <c r="F299" s="54" t="e">
        <f>VLOOKUP($D299,成品本月库存!$B:$J,5,0)</f>
        <v>#N/A</v>
      </c>
      <c r="G299" s="55"/>
      <c r="H299" s="53" t="e">
        <f>VLOOKUP($D299,成品本月库存!$B:$J,9,0)</f>
        <v>#N/A</v>
      </c>
      <c r="I299" s="56"/>
    </row>
    <row r="300" ht="15.75" spans="1:9">
      <c r="A300" s="20"/>
      <c r="B300" s="51"/>
      <c r="C300" s="57"/>
      <c r="D300" s="10"/>
      <c r="E300" s="53" t="e">
        <f>VLOOKUP($D300,成品本月库存!$B:$J,2,0)</f>
        <v>#N/A</v>
      </c>
      <c r="F300" s="54" t="e">
        <f>VLOOKUP($D300,成品本月库存!$B:$J,5,0)</f>
        <v>#N/A</v>
      </c>
      <c r="G300" s="55"/>
      <c r="H300" s="53" t="e">
        <f>VLOOKUP($D300,成品本月库存!$B:$J,9,0)</f>
        <v>#N/A</v>
      </c>
      <c r="I300" s="56"/>
    </row>
    <row r="301" ht="15.75" spans="1:9">
      <c r="A301" s="20"/>
      <c r="B301" s="51"/>
      <c r="C301" s="57"/>
      <c r="D301" s="10"/>
      <c r="E301" s="53" t="e">
        <f>VLOOKUP($D301,成品本月库存!$B:$J,2,0)</f>
        <v>#N/A</v>
      </c>
      <c r="F301" s="54" t="e">
        <f>VLOOKUP($D301,成品本月库存!$B:$J,5,0)</f>
        <v>#N/A</v>
      </c>
      <c r="G301" s="55"/>
      <c r="H301" s="53" t="e">
        <f>VLOOKUP($D301,成品本月库存!$B:$J,9,0)</f>
        <v>#N/A</v>
      </c>
      <c r="I301" s="56"/>
    </row>
    <row r="302" ht="15.75" spans="1:9">
      <c r="A302" s="20"/>
      <c r="B302" s="51"/>
      <c r="C302" s="57"/>
      <c r="D302" s="10"/>
      <c r="E302" s="53" t="e">
        <f>VLOOKUP($D302,成品本月库存!$B:$J,2,0)</f>
        <v>#N/A</v>
      </c>
      <c r="F302" s="54" t="e">
        <f>VLOOKUP($D302,成品本月库存!$B:$J,5,0)</f>
        <v>#N/A</v>
      </c>
      <c r="G302" s="55"/>
      <c r="H302" s="53" t="e">
        <f>VLOOKUP($D302,成品本月库存!$B:$J,9,0)</f>
        <v>#N/A</v>
      </c>
      <c r="I302" s="56"/>
    </row>
    <row r="303" ht="15.75" spans="1:9">
      <c r="A303" s="20"/>
      <c r="B303" s="51"/>
      <c r="C303" s="57"/>
      <c r="D303" s="10"/>
      <c r="E303" s="53" t="e">
        <f>VLOOKUP($D303,成品本月库存!$B:$J,2,0)</f>
        <v>#N/A</v>
      </c>
      <c r="F303" s="54" t="e">
        <f>VLOOKUP($D303,成品本月库存!$B:$J,5,0)</f>
        <v>#N/A</v>
      </c>
      <c r="G303" s="55"/>
      <c r="H303" s="53" t="e">
        <f>VLOOKUP($D303,成品本月库存!$B:$J,9,0)</f>
        <v>#N/A</v>
      </c>
      <c r="I303" s="56"/>
    </row>
    <row r="304" ht="15.75" spans="1:9">
      <c r="A304" s="20"/>
      <c r="B304" s="51"/>
      <c r="C304" s="57"/>
      <c r="D304" s="10"/>
      <c r="E304" s="53" t="e">
        <f>VLOOKUP($D304,成品本月库存!$B:$J,2,0)</f>
        <v>#N/A</v>
      </c>
      <c r="F304" s="54" t="e">
        <f>VLOOKUP($D304,成品本月库存!$B:$J,5,0)</f>
        <v>#N/A</v>
      </c>
      <c r="G304" s="55"/>
      <c r="H304" s="53" t="e">
        <f>VLOOKUP($D304,成品本月库存!$B:$J,9,0)</f>
        <v>#N/A</v>
      </c>
      <c r="I304" s="56"/>
    </row>
    <row r="305" ht="15.75" spans="1:9">
      <c r="A305" s="20"/>
      <c r="B305" s="51"/>
      <c r="C305" s="57"/>
      <c r="D305" s="10"/>
      <c r="E305" s="53" t="e">
        <f>VLOOKUP($D305,成品本月库存!$B:$J,2,0)</f>
        <v>#N/A</v>
      </c>
      <c r="F305" s="54" t="e">
        <f>VLOOKUP($D305,成品本月库存!$B:$J,5,0)</f>
        <v>#N/A</v>
      </c>
      <c r="G305" s="55"/>
      <c r="H305" s="53" t="e">
        <f>VLOOKUP($D305,成品本月库存!$B:$J,9,0)</f>
        <v>#N/A</v>
      </c>
      <c r="I305" s="56"/>
    </row>
    <row r="306" ht="15.75" spans="1:9">
      <c r="A306" s="20"/>
      <c r="B306" s="51"/>
      <c r="C306" s="57"/>
      <c r="D306" s="10"/>
      <c r="E306" s="53" t="e">
        <f>VLOOKUP($D306,成品本月库存!$B:$J,2,0)</f>
        <v>#N/A</v>
      </c>
      <c r="F306" s="54" t="e">
        <f>VLOOKUP($D306,成品本月库存!$B:$J,5,0)</f>
        <v>#N/A</v>
      </c>
      <c r="G306" s="55"/>
      <c r="H306" s="53" t="e">
        <f>VLOOKUP($D306,成品本月库存!$B:$J,9,0)</f>
        <v>#N/A</v>
      </c>
      <c r="I306" s="56"/>
    </row>
    <row r="307" ht="15.75" spans="1:9">
      <c r="A307" s="20"/>
      <c r="B307" s="51"/>
      <c r="C307" s="57"/>
      <c r="D307" s="10"/>
      <c r="E307" s="53" t="e">
        <f>VLOOKUP($D307,成品本月库存!$B:$J,2,0)</f>
        <v>#N/A</v>
      </c>
      <c r="F307" s="54" t="e">
        <f>VLOOKUP($D307,成品本月库存!$B:$J,5,0)</f>
        <v>#N/A</v>
      </c>
      <c r="G307" s="55"/>
      <c r="H307" s="53" t="e">
        <f>VLOOKUP($D307,成品本月库存!$B:$J,9,0)</f>
        <v>#N/A</v>
      </c>
      <c r="I307" s="56"/>
    </row>
    <row r="308" ht="15.75" spans="1:9">
      <c r="A308" s="20"/>
      <c r="B308" s="51"/>
      <c r="C308" s="57"/>
      <c r="D308" s="10"/>
      <c r="E308" s="53" t="e">
        <f>VLOOKUP($D308,成品本月库存!$B:$J,2,0)</f>
        <v>#N/A</v>
      </c>
      <c r="F308" s="54" t="e">
        <f>VLOOKUP($D308,成品本月库存!$B:$J,5,0)</f>
        <v>#N/A</v>
      </c>
      <c r="G308" s="55"/>
      <c r="H308" s="53" t="e">
        <f>VLOOKUP($D308,成品本月库存!$B:$J,9,0)</f>
        <v>#N/A</v>
      </c>
      <c r="I308" s="56"/>
    </row>
    <row r="309" ht="15.75" spans="1:9">
      <c r="A309" s="20"/>
      <c r="B309" s="51"/>
      <c r="C309" s="57"/>
      <c r="D309" s="10"/>
      <c r="E309" s="53" t="e">
        <f>VLOOKUP($D309,成品本月库存!$B:$J,2,0)</f>
        <v>#N/A</v>
      </c>
      <c r="F309" s="54" t="e">
        <f>VLOOKUP($D309,成品本月库存!$B:$J,5,0)</f>
        <v>#N/A</v>
      </c>
      <c r="G309" s="55"/>
      <c r="H309" s="53" t="e">
        <f>VLOOKUP($D309,成品本月库存!$B:$J,9,0)</f>
        <v>#N/A</v>
      </c>
      <c r="I309" s="56"/>
    </row>
    <row r="310" ht="15.75" spans="1:9">
      <c r="A310" s="20"/>
      <c r="B310" s="51"/>
      <c r="C310" s="57"/>
      <c r="D310" s="10"/>
      <c r="E310" s="53" t="e">
        <f>VLOOKUP($D310,成品本月库存!$B:$J,2,0)</f>
        <v>#N/A</v>
      </c>
      <c r="F310" s="54" t="e">
        <f>VLOOKUP($D310,成品本月库存!$B:$J,5,0)</f>
        <v>#N/A</v>
      </c>
      <c r="G310" s="55"/>
      <c r="H310" s="53" t="e">
        <f>VLOOKUP($D310,成品本月库存!$B:$J,9,0)</f>
        <v>#N/A</v>
      </c>
      <c r="I310" s="56"/>
    </row>
    <row r="311" ht="15.75" spans="1:9">
      <c r="A311" s="20"/>
      <c r="B311" s="51"/>
      <c r="C311" s="57"/>
      <c r="D311" s="10"/>
      <c r="E311" s="53" t="e">
        <f>VLOOKUP($D311,成品本月库存!$B:$J,2,0)</f>
        <v>#N/A</v>
      </c>
      <c r="F311" s="54" t="e">
        <f>VLOOKUP($D311,成品本月库存!$B:$J,5,0)</f>
        <v>#N/A</v>
      </c>
      <c r="G311" s="55"/>
      <c r="H311" s="53" t="e">
        <f>VLOOKUP($D311,成品本月库存!$B:$J,9,0)</f>
        <v>#N/A</v>
      </c>
      <c r="I311" s="56"/>
    </row>
    <row r="312" ht="15.75" spans="1:9">
      <c r="A312" s="20"/>
      <c r="B312" s="51"/>
      <c r="C312" s="57"/>
      <c r="D312" s="10"/>
      <c r="E312" s="53" t="e">
        <f>VLOOKUP($D312,成品本月库存!$B:$J,2,0)</f>
        <v>#N/A</v>
      </c>
      <c r="F312" s="54" t="e">
        <f>VLOOKUP($D312,成品本月库存!$B:$J,5,0)</f>
        <v>#N/A</v>
      </c>
      <c r="G312" s="55"/>
      <c r="H312" s="53" t="e">
        <f>VLOOKUP($D312,成品本月库存!$B:$J,9,0)</f>
        <v>#N/A</v>
      </c>
      <c r="I312" s="56"/>
    </row>
    <row r="313" ht="15.75" spans="1:9">
      <c r="A313" s="20"/>
      <c r="B313" s="51"/>
      <c r="C313" s="57"/>
      <c r="D313" s="10"/>
      <c r="E313" s="53" t="e">
        <f>VLOOKUP($D313,成品本月库存!$B:$J,2,0)</f>
        <v>#N/A</v>
      </c>
      <c r="F313" s="54" t="e">
        <f>VLOOKUP($D313,成品本月库存!$B:$J,5,0)</f>
        <v>#N/A</v>
      </c>
      <c r="G313" s="55"/>
      <c r="H313" s="53" t="e">
        <f>VLOOKUP($D313,成品本月库存!$B:$J,9,0)</f>
        <v>#N/A</v>
      </c>
      <c r="I313" s="56"/>
    </row>
    <row r="314" ht="15.75" spans="1:9">
      <c r="A314" s="20"/>
      <c r="B314" s="51"/>
      <c r="C314" s="57"/>
      <c r="D314" s="10"/>
      <c r="E314" s="53" t="e">
        <f>VLOOKUP($D314,成品本月库存!$B:$J,2,0)</f>
        <v>#N/A</v>
      </c>
      <c r="F314" s="54" t="e">
        <f>VLOOKUP($D314,成品本月库存!$B:$J,5,0)</f>
        <v>#N/A</v>
      </c>
      <c r="G314" s="55"/>
      <c r="H314" s="53" t="e">
        <f>VLOOKUP($D314,成品本月库存!$B:$J,9,0)</f>
        <v>#N/A</v>
      </c>
      <c r="I314" s="56"/>
    </row>
    <row r="315" ht="15.75" spans="1:9">
      <c r="A315" s="20"/>
      <c r="B315" s="51"/>
      <c r="C315" s="57"/>
      <c r="D315" s="10"/>
      <c r="E315" s="53" t="e">
        <f>VLOOKUP($D315,成品本月库存!$B:$J,2,0)</f>
        <v>#N/A</v>
      </c>
      <c r="F315" s="54" t="e">
        <f>VLOOKUP($D315,成品本月库存!$B:$J,5,0)</f>
        <v>#N/A</v>
      </c>
      <c r="G315" s="55"/>
      <c r="H315" s="53" t="e">
        <f>VLOOKUP($D315,成品本月库存!$B:$J,9,0)</f>
        <v>#N/A</v>
      </c>
      <c r="I315" s="56"/>
    </row>
    <row r="316" ht="15.75" spans="1:9">
      <c r="A316" s="20"/>
      <c r="B316" s="51"/>
      <c r="C316" s="57"/>
      <c r="D316" s="10"/>
      <c r="E316" s="53" t="e">
        <f>VLOOKUP($D316,成品本月库存!$B:$J,2,0)</f>
        <v>#N/A</v>
      </c>
      <c r="F316" s="54" t="e">
        <f>VLOOKUP($D316,成品本月库存!$B:$J,5,0)</f>
        <v>#N/A</v>
      </c>
      <c r="G316" s="55"/>
      <c r="H316" s="53" t="e">
        <f>VLOOKUP($D316,成品本月库存!$B:$J,9,0)</f>
        <v>#N/A</v>
      </c>
      <c r="I316" s="56"/>
    </row>
    <row r="317" ht="15.75" spans="1:9">
      <c r="A317" s="20"/>
      <c r="B317" s="51"/>
      <c r="C317" s="57"/>
      <c r="D317" s="10"/>
      <c r="E317" s="53" t="e">
        <f>VLOOKUP($D317,成品本月库存!$B:$J,2,0)</f>
        <v>#N/A</v>
      </c>
      <c r="F317" s="54" t="e">
        <f>VLOOKUP($D317,成品本月库存!$B:$J,5,0)</f>
        <v>#N/A</v>
      </c>
      <c r="G317" s="55"/>
      <c r="H317" s="53" t="e">
        <f>VLOOKUP($D317,成品本月库存!$B:$J,9,0)</f>
        <v>#N/A</v>
      </c>
      <c r="I317" s="56"/>
    </row>
    <row r="318" ht="15.75" spans="1:9">
      <c r="A318" s="20"/>
      <c r="B318" s="51"/>
      <c r="C318" s="57"/>
      <c r="D318" s="10"/>
      <c r="E318" s="53" t="e">
        <f>VLOOKUP($D318,成品本月库存!$B:$J,2,0)</f>
        <v>#N/A</v>
      </c>
      <c r="F318" s="54" t="e">
        <f>VLOOKUP($D318,成品本月库存!$B:$J,5,0)</f>
        <v>#N/A</v>
      </c>
      <c r="G318" s="55"/>
      <c r="H318" s="53" t="e">
        <f>VLOOKUP($D318,成品本月库存!$B:$J,9,0)</f>
        <v>#N/A</v>
      </c>
      <c r="I318" s="56"/>
    </row>
    <row r="319" ht="15.75" spans="1:9">
      <c r="A319" s="20"/>
      <c r="B319" s="51"/>
      <c r="C319" s="57"/>
      <c r="D319" s="59"/>
      <c r="E319" s="53" t="e">
        <f>VLOOKUP($D319,成品本月库存!$B:$J,2,0)</f>
        <v>#N/A</v>
      </c>
      <c r="F319" s="54" t="e">
        <f>VLOOKUP($D319,成品本月库存!$B:$J,5,0)</f>
        <v>#N/A</v>
      </c>
      <c r="G319" s="55"/>
      <c r="H319" s="53" t="e">
        <f>VLOOKUP($D319,成品本月库存!$B:$J,9,0)</f>
        <v>#N/A</v>
      </c>
      <c r="I319" s="56"/>
    </row>
    <row r="320" ht="15.75" spans="1:9">
      <c r="A320" s="20"/>
      <c r="B320" s="51"/>
      <c r="C320" s="57"/>
      <c r="D320" s="59"/>
      <c r="E320" s="53" t="e">
        <f>VLOOKUP($D320,成品本月库存!$B:$J,2,0)</f>
        <v>#N/A</v>
      </c>
      <c r="F320" s="54" t="e">
        <f>VLOOKUP($D320,成品本月库存!$B:$J,5,0)</f>
        <v>#N/A</v>
      </c>
      <c r="G320" s="55"/>
      <c r="H320" s="53" t="e">
        <f>VLOOKUP($D320,成品本月库存!$B:$J,9,0)</f>
        <v>#N/A</v>
      </c>
      <c r="I320" s="56"/>
    </row>
    <row r="321" ht="15.75" spans="1:9">
      <c r="A321" s="20"/>
      <c r="B321" s="51"/>
      <c r="C321" s="57"/>
      <c r="D321" s="59"/>
      <c r="E321" s="53" t="e">
        <f>VLOOKUP($D321,成品本月库存!$B:$J,2,0)</f>
        <v>#N/A</v>
      </c>
      <c r="F321" s="54" t="e">
        <f>VLOOKUP($D321,成品本月库存!$B:$J,5,0)</f>
        <v>#N/A</v>
      </c>
      <c r="G321" s="55"/>
      <c r="H321" s="53" t="e">
        <f>VLOOKUP($D321,成品本月库存!$B:$J,9,0)</f>
        <v>#N/A</v>
      </c>
      <c r="I321" s="56"/>
    </row>
    <row r="322" ht="15.75" spans="1:9">
      <c r="A322" s="20"/>
      <c r="B322" s="51"/>
      <c r="C322" s="57"/>
      <c r="D322" s="59"/>
      <c r="E322" s="53" t="e">
        <f>VLOOKUP($D322,成品本月库存!$B:$J,2,0)</f>
        <v>#N/A</v>
      </c>
      <c r="F322" s="54" t="e">
        <f>VLOOKUP($D322,成品本月库存!$B:$J,5,0)</f>
        <v>#N/A</v>
      </c>
      <c r="G322" s="55"/>
      <c r="H322" s="53" t="e">
        <f>VLOOKUP($D322,成品本月库存!$B:$J,9,0)</f>
        <v>#N/A</v>
      </c>
      <c r="I322" s="56"/>
    </row>
    <row r="323" ht="15.75" spans="1:9">
      <c r="A323" s="20"/>
      <c r="B323" s="51"/>
      <c r="C323" s="57"/>
      <c r="D323" s="10"/>
      <c r="E323" s="53" t="e">
        <f>VLOOKUP($D323,成品本月库存!$B:$J,2,0)</f>
        <v>#N/A</v>
      </c>
      <c r="F323" s="54" t="e">
        <f>VLOOKUP($D323,成品本月库存!$B:$J,5,0)</f>
        <v>#N/A</v>
      </c>
      <c r="G323" s="55"/>
      <c r="H323" s="53" t="e">
        <f>VLOOKUP($D323,成品本月库存!$B:$J,9,0)</f>
        <v>#N/A</v>
      </c>
      <c r="I323" s="56"/>
    </row>
    <row r="324" ht="15.75" spans="1:9">
      <c r="A324" s="20"/>
      <c r="B324" s="51"/>
      <c r="C324" s="57"/>
      <c r="D324" s="10"/>
      <c r="E324" s="53" t="e">
        <f>VLOOKUP($D324,成品本月库存!$B:$J,2,0)</f>
        <v>#N/A</v>
      </c>
      <c r="F324" s="54" t="e">
        <f>VLOOKUP($D324,成品本月库存!$B:$J,5,0)</f>
        <v>#N/A</v>
      </c>
      <c r="G324" s="55"/>
      <c r="H324" s="53" t="e">
        <f>VLOOKUP($D324,成品本月库存!$B:$J,9,0)</f>
        <v>#N/A</v>
      </c>
      <c r="I324" s="56"/>
    </row>
    <row r="325" ht="15.75" spans="1:9">
      <c r="A325" s="20"/>
      <c r="B325" s="51"/>
      <c r="C325" s="57"/>
      <c r="D325" s="10"/>
      <c r="E325" s="53" t="e">
        <f>VLOOKUP($D325,成品本月库存!$B:$J,2,0)</f>
        <v>#N/A</v>
      </c>
      <c r="F325" s="54" t="e">
        <f>VLOOKUP($D325,成品本月库存!$B:$J,5,0)</f>
        <v>#N/A</v>
      </c>
      <c r="G325" s="55"/>
      <c r="H325" s="53" t="e">
        <f>VLOOKUP($D325,成品本月库存!$B:$J,9,0)</f>
        <v>#N/A</v>
      </c>
      <c r="I325" s="56"/>
    </row>
    <row r="326" ht="15.75" spans="1:9">
      <c r="A326" s="20"/>
      <c r="B326" s="51"/>
      <c r="C326" s="57"/>
      <c r="D326" s="10"/>
      <c r="E326" s="53" t="e">
        <f>VLOOKUP($D326,成品本月库存!$B:$J,2,0)</f>
        <v>#N/A</v>
      </c>
      <c r="F326" s="54" t="e">
        <f>VLOOKUP($D326,成品本月库存!$B:$J,5,0)</f>
        <v>#N/A</v>
      </c>
      <c r="G326" s="55"/>
      <c r="H326" s="53" t="e">
        <f>VLOOKUP($D326,成品本月库存!$B:$J,9,0)</f>
        <v>#N/A</v>
      </c>
      <c r="I326" s="56"/>
    </row>
    <row r="327" ht="15.75" spans="1:9">
      <c r="A327" s="20"/>
      <c r="B327" s="51"/>
      <c r="C327" s="57"/>
      <c r="D327" s="60"/>
      <c r="E327" s="53" t="e">
        <f>VLOOKUP($D327,成品本月库存!$B:$J,2,0)</f>
        <v>#N/A</v>
      </c>
      <c r="F327" s="54" t="e">
        <f>VLOOKUP($D327,成品本月库存!$B:$J,5,0)</f>
        <v>#N/A</v>
      </c>
      <c r="G327" s="55"/>
      <c r="H327" s="53" t="e">
        <f>VLOOKUP($D327,成品本月库存!$B:$J,9,0)</f>
        <v>#N/A</v>
      </c>
      <c r="I327" s="56"/>
    </row>
    <row r="328" ht="15.75" spans="1:9">
      <c r="A328" s="20"/>
      <c r="B328" s="51"/>
      <c r="C328" s="57"/>
      <c r="D328" s="60"/>
      <c r="E328" s="53" t="e">
        <f>VLOOKUP($D328,成品本月库存!$B:$J,2,0)</f>
        <v>#N/A</v>
      </c>
      <c r="F328" s="54" t="e">
        <f>VLOOKUP($D328,成品本月库存!$B:$J,5,0)</f>
        <v>#N/A</v>
      </c>
      <c r="G328" s="55"/>
      <c r="H328" s="53" t="e">
        <f>VLOOKUP($D328,成品本月库存!$B:$J,9,0)</f>
        <v>#N/A</v>
      </c>
      <c r="I328" s="56"/>
    </row>
    <row r="329" ht="15.75" spans="1:9">
      <c r="A329" s="20"/>
      <c r="B329" s="51"/>
      <c r="C329" s="57"/>
      <c r="D329" s="10"/>
      <c r="E329" s="53" t="e">
        <f>VLOOKUP($D329,成品本月库存!$B:$J,2,0)</f>
        <v>#N/A</v>
      </c>
      <c r="F329" s="54" t="e">
        <f>VLOOKUP($D329,成品本月库存!$B:$J,5,0)</f>
        <v>#N/A</v>
      </c>
      <c r="G329" s="55"/>
      <c r="H329" s="53" t="e">
        <f>VLOOKUP($D329,成品本月库存!$B:$J,9,0)</f>
        <v>#N/A</v>
      </c>
      <c r="I329" s="56"/>
    </row>
    <row r="330" ht="15.75" spans="1:9">
      <c r="A330" s="20"/>
      <c r="B330" s="51"/>
      <c r="C330" s="57"/>
      <c r="D330" s="10"/>
      <c r="E330" s="53" t="e">
        <f>VLOOKUP($D330,成品本月库存!$B:$J,2,0)</f>
        <v>#N/A</v>
      </c>
      <c r="F330" s="54" t="e">
        <f>VLOOKUP($D330,成品本月库存!$B:$J,5,0)</f>
        <v>#N/A</v>
      </c>
      <c r="G330" s="55"/>
      <c r="H330" s="53" t="e">
        <f>VLOOKUP($D330,成品本月库存!$B:$J,9,0)</f>
        <v>#N/A</v>
      </c>
      <c r="I330" s="56"/>
    </row>
    <row r="331" ht="15.75" spans="1:9">
      <c r="A331" s="20"/>
      <c r="B331" s="51"/>
      <c r="C331" s="57"/>
      <c r="D331" s="10"/>
      <c r="E331" s="53" t="e">
        <f>VLOOKUP($D331,成品本月库存!$B:$J,2,0)</f>
        <v>#N/A</v>
      </c>
      <c r="F331" s="54" t="e">
        <f>VLOOKUP($D331,成品本月库存!$B:$J,5,0)</f>
        <v>#N/A</v>
      </c>
      <c r="G331" s="55"/>
      <c r="H331" s="53" t="e">
        <f>VLOOKUP($D331,成品本月库存!$B:$J,9,0)</f>
        <v>#N/A</v>
      </c>
      <c r="I331" s="56"/>
    </row>
    <row r="332" ht="15.75" spans="1:9">
      <c r="A332" s="20"/>
      <c r="B332" s="51"/>
      <c r="C332" s="57"/>
      <c r="D332" s="10"/>
      <c r="E332" s="53" t="e">
        <f>VLOOKUP($D332,成品本月库存!$B:$J,2,0)</f>
        <v>#N/A</v>
      </c>
      <c r="F332" s="54" t="e">
        <f>VLOOKUP($D332,成品本月库存!$B:$J,5,0)</f>
        <v>#N/A</v>
      </c>
      <c r="G332" s="55"/>
      <c r="H332" s="53" t="e">
        <f>VLOOKUP($D332,成品本月库存!$B:$J,9,0)</f>
        <v>#N/A</v>
      </c>
      <c r="I332" s="56"/>
    </row>
    <row r="333" ht="15.75" spans="1:9">
      <c r="A333" s="20"/>
      <c r="B333" s="51"/>
      <c r="C333" s="57"/>
      <c r="D333" s="60"/>
      <c r="E333" s="53" t="e">
        <f>VLOOKUP($D333,成品本月库存!$B:$J,2,0)</f>
        <v>#N/A</v>
      </c>
      <c r="F333" s="54" t="e">
        <f>VLOOKUP($D333,成品本月库存!$B:$J,5,0)</f>
        <v>#N/A</v>
      </c>
      <c r="G333" s="55"/>
      <c r="H333" s="53" t="e">
        <f>VLOOKUP($D333,成品本月库存!$B:$J,9,0)</f>
        <v>#N/A</v>
      </c>
      <c r="I333" s="56"/>
    </row>
    <row r="334" ht="15.75" spans="1:9">
      <c r="A334" s="20"/>
      <c r="B334" s="51"/>
      <c r="C334" s="57"/>
      <c r="D334" s="10"/>
      <c r="E334" s="53" t="e">
        <f>VLOOKUP($D334,成品本月库存!$B:$J,2,0)</f>
        <v>#N/A</v>
      </c>
      <c r="F334" s="54" t="e">
        <f>VLOOKUP($D334,成品本月库存!$B:$J,5,0)</f>
        <v>#N/A</v>
      </c>
      <c r="G334" s="55"/>
      <c r="H334" s="53" t="e">
        <f>VLOOKUP($D334,成品本月库存!$B:$J,9,0)</f>
        <v>#N/A</v>
      </c>
      <c r="I334" s="56"/>
    </row>
    <row r="335" ht="15.75" spans="1:9">
      <c r="A335" s="20"/>
      <c r="B335" s="51"/>
      <c r="C335" s="57"/>
      <c r="D335" s="10"/>
      <c r="E335" s="53" t="e">
        <f>VLOOKUP($D335,成品本月库存!$B:$J,2,0)</f>
        <v>#N/A</v>
      </c>
      <c r="F335" s="54" t="e">
        <f>VLOOKUP($D335,成品本月库存!$B:$J,5,0)</f>
        <v>#N/A</v>
      </c>
      <c r="G335" s="55"/>
      <c r="H335" s="53" t="e">
        <f>VLOOKUP($D335,成品本月库存!$B:$J,9,0)</f>
        <v>#N/A</v>
      </c>
      <c r="I335" s="56"/>
    </row>
    <row r="336" ht="15.75" spans="1:9">
      <c r="A336" s="20"/>
      <c r="B336" s="51"/>
      <c r="C336" s="57"/>
      <c r="D336" s="10"/>
      <c r="E336" s="53" t="e">
        <f>VLOOKUP($D336,成品本月库存!$B:$J,2,0)</f>
        <v>#N/A</v>
      </c>
      <c r="F336" s="54" t="e">
        <f>VLOOKUP($D336,成品本月库存!$B:$J,5,0)</f>
        <v>#N/A</v>
      </c>
      <c r="G336" s="55"/>
      <c r="H336" s="53" t="e">
        <f>VLOOKUP($D336,成品本月库存!$B:$J,9,0)</f>
        <v>#N/A</v>
      </c>
      <c r="I336" s="56"/>
    </row>
    <row r="337" ht="15.75" spans="1:9">
      <c r="A337" s="20"/>
      <c r="B337" s="51"/>
      <c r="C337" s="57"/>
      <c r="D337" s="10"/>
      <c r="E337" s="53" t="e">
        <f>VLOOKUP($D337,成品本月库存!$B:$J,2,0)</f>
        <v>#N/A</v>
      </c>
      <c r="F337" s="54" t="e">
        <f>VLOOKUP($D337,成品本月库存!$B:$J,5,0)</f>
        <v>#N/A</v>
      </c>
      <c r="G337" s="55"/>
      <c r="H337" s="53" t="e">
        <f>VLOOKUP($D337,成品本月库存!$B:$J,9,0)</f>
        <v>#N/A</v>
      </c>
      <c r="I337" s="56"/>
    </row>
    <row r="338" ht="15.75" spans="1:9">
      <c r="A338" s="20"/>
      <c r="B338" s="51"/>
      <c r="C338" s="57"/>
      <c r="D338" s="10"/>
      <c r="E338" s="53" t="e">
        <f>VLOOKUP($D338,成品本月库存!$B:$J,2,0)</f>
        <v>#N/A</v>
      </c>
      <c r="F338" s="54" t="e">
        <f>VLOOKUP($D338,成品本月库存!$B:$J,5,0)</f>
        <v>#N/A</v>
      </c>
      <c r="G338" s="55"/>
      <c r="H338" s="53" t="e">
        <f>VLOOKUP($D338,成品本月库存!$B:$J,9,0)</f>
        <v>#N/A</v>
      </c>
      <c r="I338" s="56"/>
    </row>
    <row r="339" ht="15.75" spans="1:9">
      <c r="A339" s="20"/>
      <c r="B339" s="51"/>
      <c r="C339" s="57"/>
      <c r="D339" s="10"/>
      <c r="E339" s="53" t="e">
        <f>VLOOKUP($D339,成品本月库存!$B:$J,2,0)</f>
        <v>#N/A</v>
      </c>
      <c r="F339" s="54" t="e">
        <f>VLOOKUP($D339,成品本月库存!$B:$J,5,0)</f>
        <v>#N/A</v>
      </c>
      <c r="G339" s="55"/>
      <c r="H339" s="53" t="e">
        <f>VLOOKUP($D339,成品本月库存!$B:$J,9,0)</f>
        <v>#N/A</v>
      </c>
      <c r="I339" s="56"/>
    </row>
    <row r="340" ht="15.75" spans="1:9">
      <c r="A340" s="20"/>
      <c r="B340" s="51"/>
      <c r="C340" s="57"/>
      <c r="D340" s="10"/>
      <c r="E340" s="53" t="e">
        <f>VLOOKUP($D340,成品本月库存!$B:$J,2,0)</f>
        <v>#N/A</v>
      </c>
      <c r="F340" s="54" t="e">
        <f>VLOOKUP($D340,成品本月库存!$B:$J,5,0)</f>
        <v>#N/A</v>
      </c>
      <c r="G340" s="55"/>
      <c r="H340" s="53" t="e">
        <f>VLOOKUP($D340,成品本月库存!$B:$J,9,0)</f>
        <v>#N/A</v>
      </c>
      <c r="I340" s="56"/>
    </row>
    <row r="341" ht="15.75" spans="1:9">
      <c r="A341" s="20"/>
      <c r="B341" s="51"/>
      <c r="C341" s="57"/>
      <c r="D341" s="10"/>
      <c r="E341" s="53" t="e">
        <f>VLOOKUP($D341,成品本月库存!$B:$J,2,0)</f>
        <v>#N/A</v>
      </c>
      <c r="F341" s="54" t="e">
        <f>VLOOKUP($D341,成品本月库存!$B:$J,5,0)</f>
        <v>#N/A</v>
      </c>
      <c r="G341" s="55"/>
      <c r="H341" s="53" t="e">
        <f>VLOOKUP($D341,成品本月库存!$B:$J,9,0)</f>
        <v>#N/A</v>
      </c>
      <c r="I341" s="56"/>
    </row>
    <row r="342" ht="15.75" spans="1:9">
      <c r="A342" s="20"/>
      <c r="B342" s="51"/>
      <c r="C342" s="57"/>
      <c r="D342" s="10"/>
      <c r="E342" s="53" t="e">
        <f>VLOOKUP($D342,成品本月库存!$B:$J,2,0)</f>
        <v>#N/A</v>
      </c>
      <c r="F342" s="54" t="e">
        <f>VLOOKUP($D342,成品本月库存!$B:$J,5,0)</f>
        <v>#N/A</v>
      </c>
      <c r="G342" s="55"/>
      <c r="H342" s="53" t="e">
        <f>VLOOKUP($D342,成品本月库存!$B:$J,9,0)</f>
        <v>#N/A</v>
      </c>
      <c r="I342" s="56"/>
    </row>
    <row r="343" ht="15.75" spans="1:9">
      <c r="A343" s="20"/>
      <c r="B343" s="51"/>
      <c r="C343" s="57"/>
      <c r="D343" s="10"/>
      <c r="E343" s="53" t="e">
        <f>VLOOKUP($D343,成品本月库存!$B:$J,2,0)</f>
        <v>#N/A</v>
      </c>
      <c r="F343" s="54" t="e">
        <f>VLOOKUP($D343,成品本月库存!$B:$J,5,0)</f>
        <v>#N/A</v>
      </c>
      <c r="G343" s="55"/>
      <c r="H343" s="53" t="e">
        <f>VLOOKUP($D343,成品本月库存!$B:$J,9,0)</f>
        <v>#N/A</v>
      </c>
      <c r="I343" s="56"/>
    </row>
    <row r="344" ht="15.75" spans="1:9">
      <c r="A344" s="20"/>
      <c r="B344" s="51"/>
      <c r="C344" s="57"/>
      <c r="D344" s="10"/>
      <c r="E344" s="53" t="e">
        <f>VLOOKUP($D344,成品本月库存!$B:$J,2,0)</f>
        <v>#N/A</v>
      </c>
      <c r="F344" s="54" t="e">
        <f>VLOOKUP($D344,成品本月库存!$B:$J,5,0)</f>
        <v>#N/A</v>
      </c>
      <c r="G344" s="55"/>
      <c r="H344" s="53" t="e">
        <f>VLOOKUP($D344,成品本月库存!$B:$J,9,0)</f>
        <v>#N/A</v>
      </c>
      <c r="I344" s="56"/>
    </row>
    <row r="345" ht="15.75" spans="1:9">
      <c r="A345" s="20"/>
      <c r="B345" s="51"/>
      <c r="C345" s="57"/>
      <c r="D345" s="10"/>
      <c r="E345" s="53" t="e">
        <f>VLOOKUP($D345,成品本月库存!$B:$J,2,0)</f>
        <v>#N/A</v>
      </c>
      <c r="F345" s="54" t="e">
        <f>VLOOKUP($D345,成品本月库存!$B:$J,5,0)</f>
        <v>#N/A</v>
      </c>
      <c r="G345" s="55"/>
      <c r="H345" s="53" t="e">
        <f>VLOOKUP($D345,成品本月库存!$B:$J,9,0)</f>
        <v>#N/A</v>
      </c>
      <c r="I345" s="56"/>
    </row>
    <row r="346" ht="15.75" spans="1:9">
      <c r="A346" s="20"/>
      <c r="B346" s="51"/>
      <c r="C346" s="57"/>
      <c r="D346" s="10"/>
      <c r="E346" s="53" t="e">
        <f>VLOOKUP($D346,成品本月库存!$B:$J,2,0)</f>
        <v>#N/A</v>
      </c>
      <c r="F346" s="54" t="e">
        <f>VLOOKUP($D346,成品本月库存!$B:$J,5,0)</f>
        <v>#N/A</v>
      </c>
      <c r="G346" s="55"/>
      <c r="H346" s="53" t="e">
        <f>VLOOKUP($D346,成品本月库存!$B:$J,9,0)</f>
        <v>#N/A</v>
      </c>
      <c r="I346" s="56"/>
    </row>
    <row r="347" ht="15.75" spans="1:9">
      <c r="A347" s="20"/>
      <c r="B347" s="51"/>
      <c r="C347" s="57"/>
      <c r="D347" s="10"/>
      <c r="E347" s="53" t="e">
        <f>VLOOKUP($D347,成品本月库存!$B:$J,2,0)</f>
        <v>#N/A</v>
      </c>
      <c r="F347" s="54" t="e">
        <f>VLOOKUP($D347,成品本月库存!$B:$J,5,0)</f>
        <v>#N/A</v>
      </c>
      <c r="G347" s="55"/>
      <c r="H347" s="53" t="e">
        <f>VLOOKUP($D347,成品本月库存!$B:$J,9,0)</f>
        <v>#N/A</v>
      </c>
      <c r="I347" s="56"/>
    </row>
    <row r="348" ht="15.75" spans="1:9">
      <c r="A348" s="20"/>
      <c r="B348" s="51"/>
      <c r="C348" s="57"/>
      <c r="D348" s="59"/>
      <c r="E348" s="53" t="e">
        <f>VLOOKUP($D348,成品本月库存!$B:$J,2,0)</f>
        <v>#N/A</v>
      </c>
      <c r="F348" s="54" t="e">
        <f>VLOOKUP($D348,成品本月库存!$B:$J,5,0)</f>
        <v>#N/A</v>
      </c>
      <c r="G348" s="55"/>
      <c r="H348" s="53" t="e">
        <f>VLOOKUP($D348,成品本月库存!$B:$J,9,0)</f>
        <v>#N/A</v>
      </c>
      <c r="I348" s="56"/>
    </row>
    <row r="349" ht="15.75" spans="1:9">
      <c r="A349" s="20"/>
      <c r="B349" s="51"/>
      <c r="C349" s="57"/>
      <c r="D349" s="10"/>
      <c r="E349" s="53" t="e">
        <f>VLOOKUP($D349,成品本月库存!$B:$J,2,0)</f>
        <v>#N/A</v>
      </c>
      <c r="F349" s="54" t="e">
        <f>VLOOKUP($D349,成品本月库存!$B:$J,5,0)</f>
        <v>#N/A</v>
      </c>
      <c r="G349" s="55"/>
      <c r="H349" s="53" t="e">
        <f>VLOOKUP($D349,成品本月库存!$B:$J,9,0)</f>
        <v>#N/A</v>
      </c>
      <c r="I349" s="56"/>
    </row>
    <row r="350" ht="15.75" spans="1:9">
      <c r="A350" s="20"/>
      <c r="B350" s="51"/>
      <c r="C350" s="57"/>
      <c r="D350" s="10"/>
      <c r="E350" s="53" t="e">
        <f>VLOOKUP($D350,成品本月库存!$B:$J,2,0)</f>
        <v>#N/A</v>
      </c>
      <c r="F350" s="54" t="e">
        <f>VLOOKUP($D350,成品本月库存!$B:$J,5,0)</f>
        <v>#N/A</v>
      </c>
      <c r="G350" s="55"/>
      <c r="H350" s="53" t="e">
        <f>VLOOKUP($D350,成品本月库存!$B:$J,9,0)</f>
        <v>#N/A</v>
      </c>
      <c r="I350" s="56"/>
    </row>
    <row r="351" ht="15.75" spans="1:9">
      <c r="A351" s="20"/>
      <c r="B351" s="51"/>
      <c r="C351" s="57"/>
      <c r="D351" s="10"/>
      <c r="E351" s="53" t="e">
        <f>VLOOKUP($D351,成品本月库存!$B:$J,2,0)</f>
        <v>#N/A</v>
      </c>
      <c r="F351" s="54" t="e">
        <f>VLOOKUP($D351,成品本月库存!$B:$J,5,0)</f>
        <v>#N/A</v>
      </c>
      <c r="G351" s="55"/>
      <c r="H351" s="53" t="e">
        <f>VLOOKUP($D351,成品本月库存!$B:$J,9,0)</f>
        <v>#N/A</v>
      </c>
      <c r="I351" s="56"/>
    </row>
    <row r="352" ht="15.75" spans="1:9">
      <c r="A352" s="20"/>
      <c r="B352" s="51"/>
      <c r="C352" s="57"/>
      <c r="D352" s="10"/>
      <c r="E352" s="53" t="e">
        <f>VLOOKUP($D352,成品本月库存!$B:$J,2,0)</f>
        <v>#N/A</v>
      </c>
      <c r="F352" s="54" t="e">
        <f>VLOOKUP($D352,成品本月库存!$B:$J,5,0)</f>
        <v>#N/A</v>
      </c>
      <c r="G352" s="55"/>
      <c r="H352" s="53" t="e">
        <f>VLOOKUP($D352,成品本月库存!$B:$J,9,0)</f>
        <v>#N/A</v>
      </c>
      <c r="I352" s="56"/>
    </row>
    <row r="353" ht="15.75" spans="1:9">
      <c r="A353" s="20"/>
      <c r="B353" s="51"/>
      <c r="C353" s="57"/>
      <c r="D353" s="10"/>
      <c r="E353" s="53" t="e">
        <f>VLOOKUP($D353,成品本月库存!$B:$J,2,0)</f>
        <v>#N/A</v>
      </c>
      <c r="F353" s="54" t="e">
        <f>VLOOKUP($D353,成品本月库存!$B:$J,5,0)</f>
        <v>#N/A</v>
      </c>
      <c r="G353" s="55"/>
      <c r="H353" s="53" t="e">
        <f>VLOOKUP($D353,成品本月库存!$B:$J,9,0)</f>
        <v>#N/A</v>
      </c>
      <c r="I353" s="56"/>
    </row>
    <row r="354" ht="15.75" spans="1:9">
      <c r="A354" s="20"/>
      <c r="B354" s="51"/>
      <c r="C354" s="57"/>
      <c r="D354" s="10"/>
      <c r="E354" s="53" t="e">
        <f>VLOOKUP($D354,成品本月库存!$B:$J,2,0)</f>
        <v>#N/A</v>
      </c>
      <c r="F354" s="54" t="e">
        <f>VLOOKUP($D354,成品本月库存!$B:$J,5,0)</f>
        <v>#N/A</v>
      </c>
      <c r="G354" s="55"/>
      <c r="H354" s="53" t="e">
        <f>VLOOKUP($D354,成品本月库存!$B:$J,9,0)</f>
        <v>#N/A</v>
      </c>
      <c r="I354" s="56"/>
    </row>
    <row r="355" ht="15.75" spans="1:9">
      <c r="A355" s="20"/>
      <c r="B355" s="51"/>
      <c r="C355" s="57"/>
      <c r="D355" s="10"/>
      <c r="E355" s="53" t="e">
        <f>VLOOKUP($D355,成品本月库存!$B:$J,2,0)</f>
        <v>#N/A</v>
      </c>
      <c r="F355" s="54" t="e">
        <f>VLOOKUP($D355,成品本月库存!$B:$J,5,0)</f>
        <v>#N/A</v>
      </c>
      <c r="G355" s="55"/>
      <c r="H355" s="53" t="e">
        <f>VLOOKUP($D355,成品本月库存!$B:$J,9,0)</f>
        <v>#N/A</v>
      </c>
      <c r="I355" s="56"/>
    </row>
    <row r="356" ht="15.75" spans="1:9">
      <c r="A356" s="20"/>
      <c r="B356" s="51"/>
      <c r="C356" s="57"/>
      <c r="D356" s="10"/>
      <c r="E356" s="53" t="e">
        <f>VLOOKUP($D356,成品本月库存!$B:$J,2,0)</f>
        <v>#N/A</v>
      </c>
      <c r="F356" s="54" t="e">
        <f>VLOOKUP($D356,成品本月库存!$B:$J,5,0)</f>
        <v>#N/A</v>
      </c>
      <c r="G356" s="55"/>
      <c r="H356" s="53" t="e">
        <f>VLOOKUP($D356,成品本月库存!$B:$J,9,0)</f>
        <v>#N/A</v>
      </c>
      <c r="I356" s="56"/>
    </row>
    <row r="357" ht="15.75" spans="1:9">
      <c r="A357" s="20"/>
      <c r="B357" s="51"/>
      <c r="C357" s="57"/>
      <c r="D357" s="59"/>
      <c r="E357" s="53" t="e">
        <f>VLOOKUP($D357,成品本月库存!$B:$J,2,0)</f>
        <v>#N/A</v>
      </c>
      <c r="F357" s="54" t="e">
        <f>VLOOKUP($D357,成品本月库存!$B:$J,5,0)</f>
        <v>#N/A</v>
      </c>
      <c r="G357" s="55"/>
      <c r="H357" s="53" t="e">
        <f>VLOOKUP($D357,成品本月库存!$B:$J,9,0)</f>
        <v>#N/A</v>
      </c>
      <c r="I357" s="56"/>
    </row>
    <row r="358" ht="15.75" spans="1:9">
      <c r="A358" s="20"/>
      <c r="B358" s="51"/>
      <c r="C358" s="57"/>
      <c r="D358" s="10"/>
      <c r="E358" s="53" t="e">
        <f>VLOOKUP($D358,成品本月库存!$B:$J,2,0)</f>
        <v>#N/A</v>
      </c>
      <c r="F358" s="54" t="e">
        <f>VLOOKUP($D358,成品本月库存!$B:$J,5,0)</f>
        <v>#N/A</v>
      </c>
      <c r="G358" s="55"/>
      <c r="H358" s="53" t="e">
        <f>VLOOKUP($D358,成品本月库存!$B:$J,9,0)</f>
        <v>#N/A</v>
      </c>
      <c r="I358" s="56"/>
    </row>
    <row r="359" ht="15.75" spans="1:9">
      <c r="A359" s="20"/>
      <c r="B359" s="51"/>
      <c r="C359" s="57"/>
      <c r="D359" s="10"/>
      <c r="E359" s="53" t="e">
        <f>VLOOKUP($D359,成品本月库存!$B:$J,2,0)</f>
        <v>#N/A</v>
      </c>
      <c r="F359" s="54" t="e">
        <f>VLOOKUP($D359,成品本月库存!$B:$J,5,0)</f>
        <v>#N/A</v>
      </c>
      <c r="G359" s="55"/>
      <c r="H359" s="53" t="e">
        <f>VLOOKUP($D359,成品本月库存!$B:$J,9,0)</f>
        <v>#N/A</v>
      </c>
      <c r="I359" s="56"/>
    </row>
    <row r="360" ht="15.75" spans="1:9">
      <c r="A360" s="20"/>
      <c r="B360" s="51"/>
      <c r="C360" s="57"/>
      <c r="D360" s="10"/>
      <c r="E360" s="53" t="e">
        <f>VLOOKUP($D360,成品本月库存!$B:$J,2,0)</f>
        <v>#N/A</v>
      </c>
      <c r="F360" s="54" t="e">
        <f>VLOOKUP($D360,成品本月库存!$B:$J,5,0)</f>
        <v>#N/A</v>
      </c>
      <c r="G360" s="55"/>
      <c r="H360" s="53" t="e">
        <f>VLOOKUP($D360,成品本月库存!$B:$J,9,0)</f>
        <v>#N/A</v>
      </c>
      <c r="I360" s="56"/>
    </row>
    <row r="361" ht="15.75" spans="1:9">
      <c r="A361" s="20"/>
      <c r="B361" s="51"/>
      <c r="C361" s="57"/>
      <c r="D361" s="10"/>
      <c r="E361" s="53" t="e">
        <f>VLOOKUP($D361,成品本月库存!$B:$J,2,0)</f>
        <v>#N/A</v>
      </c>
      <c r="F361" s="54" t="e">
        <f>VLOOKUP($D361,成品本月库存!$B:$J,5,0)</f>
        <v>#N/A</v>
      </c>
      <c r="G361" s="55"/>
      <c r="H361" s="53" t="e">
        <f>VLOOKUP($D361,成品本月库存!$B:$J,9,0)</f>
        <v>#N/A</v>
      </c>
      <c r="I361" s="56"/>
    </row>
    <row r="362" ht="15.75" spans="1:9">
      <c r="A362" s="20"/>
      <c r="B362" s="51"/>
      <c r="C362" s="57"/>
      <c r="D362" s="10"/>
      <c r="E362" s="53" t="e">
        <f>VLOOKUP($D362,成品本月库存!$B:$J,2,0)</f>
        <v>#N/A</v>
      </c>
      <c r="F362" s="54" t="e">
        <f>VLOOKUP($D362,成品本月库存!$B:$J,5,0)</f>
        <v>#N/A</v>
      </c>
      <c r="G362" s="55"/>
      <c r="H362" s="53" t="e">
        <f>VLOOKUP($D362,成品本月库存!$B:$J,9,0)</f>
        <v>#N/A</v>
      </c>
      <c r="I362" s="56"/>
    </row>
    <row r="363" ht="15.75" spans="1:9">
      <c r="A363" s="20"/>
      <c r="B363" s="51"/>
      <c r="C363" s="57"/>
      <c r="D363" s="10"/>
      <c r="E363" s="53" t="e">
        <f>VLOOKUP($D363,成品本月库存!$B:$J,2,0)</f>
        <v>#N/A</v>
      </c>
      <c r="F363" s="54" t="e">
        <f>VLOOKUP($D363,成品本月库存!$B:$J,5,0)</f>
        <v>#N/A</v>
      </c>
      <c r="G363" s="55"/>
      <c r="H363" s="53" t="e">
        <f>VLOOKUP($D363,成品本月库存!$B:$J,9,0)</f>
        <v>#N/A</v>
      </c>
      <c r="I363" s="56"/>
    </row>
    <row r="364" ht="15.75" spans="1:9">
      <c r="A364" s="20"/>
      <c r="B364" s="51"/>
      <c r="C364" s="57"/>
      <c r="D364" s="10"/>
      <c r="E364" s="53" t="e">
        <f>VLOOKUP($D364,成品本月库存!$B:$J,2,0)</f>
        <v>#N/A</v>
      </c>
      <c r="F364" s="54" t="e">
        <f>VLOOKUP($D364,成品本月库存!$B:$J,5,0)</f>
        <v>#N/A</v>
      </c>
      <c r="G364" s="55"/>
      <c r="H364" s="53" t="e">
        <f>VLOOKUP($D364,成品本月库存!$B:$J,9,0)</f>
        <v>#N/A</v>
      </c>
      <c r="I364" s="56"/>
    </row>
    <row r="365" ht="15.75" spans="1:9">
      <c r="A365" s="20"/>
      <c r="B365" s="51"/>
      <c r="C365" s="57"/>
      <c r="D365" s="60"/>
      <c r="E365" s="53" t="e">
        <f>VLOOKUP($D365,成品本月库存!$B:$J,2,0)</f>
        <v>#N/A</v>
      </c>
      <c r="F365" s="54" t="e">
        <f>VLOOKUP($D365,成品本月库存!$B:$J,5,0)</f>
        <v>#N/A</v>
      </c>
      <c r="G365" s="55"/>
      <c r="H365" s="53" t="e">
        <f>VLOOKUP($D365,成品本月库存!$B:$J,9,0)</f>
        <v>#N/A</v>
      </c>
      <c r="I365" s="56"/>
    </row>
    <row r="366" ht="15.75" spans="1:9">
      <c r="A366" s="20"/>
      <c r="B366" s="51"/>
      <c r="C366" s="57"/>
      <c r="D366" s="60"/>
      <c r="E366" s="53" t="e">
        <f>VLOOKUP($D366,成品本月库存!$B:$J,2,0)</f>
        <v>#N/A</v>
      </c>
      <c r="F366" s="54" t="e">
        <f>VLOOKUP($D366,成品本月库存!$B:$J,5,0)</f>
        <v>#N/A</v>
      </c>
      <c r="G366" s="55"/>
      <c r="H366" s="53" t="e">
        <f>VLOOKUP($D366,成品本月库存!$B:$J,9,0)</f>
        <v>#N/A</v>
      </c>
      <c r="I366" s="56"/>
    </row>
    <row r="367" ht="15.75" spans="1:9">
      <c r="A367" s="20"/>
      <c r="B367" s="51"/>
      <c r="C367" s="57"/>
      <c r="D367" s="10"/>
      <c r="E367" s="53" t="e">
        <f>VLOOKUP($D367,成品本月库存!$B:$J,2,0)</f>
        <v>#N/A</v>
      </c>
      <c r="F367" s="54" t="e">
        <f>VLOOKUP($D367,成品本月库存!$B:$J,5,0)</f>
        <v>#N/A</v>
      </c>
      <c r="G367" s="55"/>
      <c r="H367" s="53" t="e">
        <f>VLOOKUP($D367,成品本月库存!$B:$J,9,0)</f>
        <v>#N/A</v>
      </c>
      <c r="I367" s="56"/>
    </row>
    <row r="368" ht="15.75" spans="1:9">
      <c r="A368" s="20"/>
      <c r="B368" s="51"/>
      <c r="C368" s="57"/>
      <c r="D368" s="10"/>
      <c r="E368" s="53" t="e">
        <f>VLOOKUP($D368,成品本月库存!$B:$J,2,0)</f>
        <v>#N/A</v>
      </c>
      <c r="F368" s="54" t="e">
        <f>VLOOKUP($D368,成品本月库存!$B:$J,5,0)</f>
        <v>#N/A</v>
      </c>
      <c r="G368" s="55"/>
      <c r="H368" s="53" t="e">
        <f>VLOOKUP($D368,成品本月库存!$B:$J,9,0)</f>
        <v>#N/A</v>
      </c>
      <c r="I368" s="56"/>
    </row>
    <row r="369" ht="15.75" spans="1:13">
      <c r="A369" s="20"/>
      <c r="B369" s="51"/>
      <c r="C369" s="57"/>
      <c r="D369" s="10"/>
      <c r="E369" s="53" t="e">
        <f>VLOOKUP($D369,成品本月库存!$B:$J,2,0)</f>
        <v>#N/A</v>
      </c>
      <c r="F369" s="54" t="e">
        <f>VLOOKUP($D369,成品本月库存!$B:$J,5,0)</f>
        <v>#N/A</v>
      </c>
      <c r="G369" s="55"/>
      <c r="H369" s="53" t="e">
        <f>VLOOKUP($D369,成品本月库存!$B:$J,9,0)</f>
        <v>#N/A</v>
      </c>
      <c r="I369" s="56"/>
    </row>
    <row r="370" ht="15.75" spans="1:13">
      <c r="A370" s="20"/>
      <c r="B370" s="51"/>
      <c r="C370" s="57"/>
      <c r="D370" s="10"/>
      <c r="E370" s="53" t="e">
        <f>VLOOKUP($D370,成品本月库存!$B:$J,2,0)</f>
        <v>#N/A</v>
      </c>
      <c r="F370" s="54" t="e">
        <f>VLOOKUP($D370,成品本月库存!$B:$J,5,0)</f>
        <v>#N/A</v>
      </c>
      <c r="G370" s="55"/>
      <c r="H370" s="53" t="e">
        <f>VLOOKUP($D370,成品本月库存!$B:$J,9,0)</f>
        <v>#N/A</v>
      </c>
      <c r="I370" s="56"/>
    </row>
    <row r="371" ht="15.75" spans="1:13">
      <c r="A371" s="20"/>
      <c r="B371" s="51"/>
      <c r="C371" s="57"/>
      <c r="D371" s="10"/>
      <c r="E371" s="53" t="e">
        <f>VLOOKUP($D371,成品本月库存!$B:$J,2,0)</f>
        <v>#N/A</v>
      </c>
      <c r="F371" s="54" t="e">
        <f>VLOOKUP($D371,成品本月库存!$B:$J,5,0)</f>
        <v>#N/A</v>
      </c>
      <c r="G371" s="55"/>
      <c r="H371" s="53" t="e">
        <f>VLOOKUP($D371,成品本月库存!$B:$J,9,0)</f>
        <v>#N/A</v>
      </c>
      <c r="I371" s="56"/>
    </row>
    <row r="372" ht="15.75" spans="1:13">
      <c r="A372" s="20"/>
      <c r="B372" s="51"/>
      <c r="C372" s="57"/>
      <c r="D372" s="10"/>
      <c r="E372" s="53" t="e">
        <f>VLOOKUP($D372,成品本月库存!$B:$J,2,0)</f>
        <v>#N/A</v>
      </c>
      <c r="F372" s="54" t="e">
        <f>VLOOKUP($D372,成品本月库存!$B:$J,5,0)</f>
        <v>#N/A</v>
      </c>
      <c r="G372" s="55"/>
      <c r="H372" s="53" t="e">
        <f>VLOOKUP($D372,成品本月库存!$B:$J,9,0)</f>
        <v>#N/A</v>
      </c>
      <c r="I372" s="56"/>
    </row>
    <row r="373" ht="15.75" spans="1:13">
      <c r="A373" s="20"/>
      <c r="B373" s="51"/>
      <c r="C373" s="57"/>
      <c r="D373" s="10"/>
      <c r="E373" s="53" t="e">
        <f>VLOOKUP($D373,成品本月库存!$B:$J,2,0)</f>
        <v>#N/A</v>
      </c>
      <c r="F373" s="54" t="e">
        <f>VLOOKUP($D373,成品本月库存!$B:$J,5,0)</f>
        <v>#N/A</v>
      </c>
      <c r="G373" s="55"/>
      <c r="H373" s="53" t="e">
        <f>VLOOKUP($D373,成品本月库存!$B:$J,9,0)</f>
        <v>#N/A</v>
      </c>
      <c r="I373" s="56"/>
    </row>
    <row r="374" ht="15.75" spans="1:13">
      <c r="A374" s="20"/>
      <c r="B374" s="51"/>
      <c r="C374" s="57"/>
      <c r="D374" s="10"/>
      <c r="E374" s="53" t="e">
        <f>VLOOKUP($D374,成品本月库存!$B:$J,2,0)</f>
        <v>#N/A</v>
      </c>
      <c r="F374" s="54" t="e">
        <f>VLOOKUP($D374,成品本月库存!$B:$J,5,0)</f>
        <v>#N/A</v>
      </c>
      <c r="G374" s="55"/>
      <c r="H374" s="53" t="e">
        <f>VLOOKUP($D374,成品本月库存!$B:$J,9,0)</f>
        <v>#N/A</v>
      </c>
      <c r="I374" s="56"/>
    </row>
    <row r="375" ht="15.75" spans="1:13">
      <c r="A375" s="20"/>
      <c r="B375" s="51"/>
      <c r="C375" s="57"/>
      <c r="D375" s="10"/>
      <c r="E375" s="53" t="e">
        <f>VLOOKUP($D375,成品本月库存!$B:$J,2,0)</f>
        <v>#N/A</v>
      </c>
      <c r="F375" s="54" t="e">
        <f>VLOOKUP($D375,成品本月库存!$B:$J,5,0)</f>
        <v>#N/A</v>
      </c>
      <c r="G375" s="55"/>
      <c r="H375" s="53" t="e">
        <f>VLOOKUP($D375,成品本月库存!$B:$J,9,0)</f>
        <v>#N/A</v>
      </c>
      <c r="I375" s="56"/>
    </row>
    <row r="376" ht="15.75" spans="1:13">
      <c r="A376" s="20"/>
      <c r="B376" s="51"/>
      <c r="C376" s="57"/>
      <c r="D376" s="10"/>
      <c r="E376" s="53" t="e">
        <f>VLOOKUP($D376,成品本月库存!$B:$J,2,0)</f>
        <v>#N/A</v>
      </c>
      <c r="F376" s="54" t="e">
        <f>VLOOKUP($D376,成品本月库存!$B:$J,5,0)</f>
        <v>#N/A</v>
      </c>
      <c r="G376" s="55"/>
      <c r="H376" s="53" t="e">
        <f>VLOOKUP($D376,成品本月库存!$B:$J,9,0)</f>
        <v>#N/A</v>
      </c>
      <c r="I376" s="56"/>
    </row>
    <row r="377" ht="15.75" spans="1:13">
      <c r="A377" s="20"/>
      <c r="B377" s="51"/>
      <c r="C377" s="57"/>
      <c r="D377" s="10"/>
      <c r="E377" s="53" t="e">
        <f>VLOOKUP($D377,成品本月库存!$B:$J,2,0)</f>
        <v>#N/A</v>
      </c>
      <c r="F377" s="54" t="e">
        <f>VLOOKUP($D377,成品本月库存!$B:$J,5,0)</f>
        <v>#N/A</v>
      </c>
      <c r="G377" s="55"/>
      <c r="H377" s="53" t="e">
        <f>VLOOKUP($D377,成品本月库存!$B:$J,9,0)</f>
        <v>#N/A</v>
      </c>
      <c r="I377" s="56"/>
    </row>
    <row r="378" ht="15.75" spans="1:13">
      <c r="A378" s="20"/>
      <c r="B378" s="51"/>
      <c r="C378" s="57"/>
      <c r="D378" s="10"/>
      <c r="E378" s="53" t="e">
        <f>VLOOKUP($D378,成品本月库存!$B:$J,2,0)</f>
        <v>#N/A</v>
      </c>
      <c r="F378" s="54" t="e">
        <f>VLOOKUP($D378,成品本月库存!$B:$J,5,0)</f>
        <v>#N/A</v>
      </c>
      <c r="G378" s="55"/>
      <c r="H378" s="53" t="e">
        <f>VLOOKUP($D378,成品本月库存!$B:$J,9,0)</f>
        <v>#N/A</v>
      </c>
      <c r="I378" s="56"/>
    </row>
    <row r="379" ht="15.75" spans="1:13">
      <c r="A379" s="20"/>
      <c r="B379" s="51"/>
      <c r="C379" s="57"/>
      <c r="D379" s="10"/>
      <c r="E379" s="53" t="e">
        <f>VLOOKUP($D379,成品本月库存!$B:$J,2,0)</f>
        <v>#N/A</v>
      </c>
      <c r="F379" s="54" t="e">
        <f>VLOOKUP($D379,成品本月库存!$B:$J,5,0)</f>
        <v>#N/A</v>
      </c>
      <c r="G379" s="55"/>
      <c r="H379" s="53" t="e">
        <f>VLOOKUP($D379,成品本月库存!$B:$J,9,0)</f>
        <v>#N/A</v>
      </c>
      <c r="I379" s="56"/>
    </row>
    <row r="380" ht="15.75" spans="1:13">
      <c r="A380" s="20"/>
      <c r="B380" s="51"/>
      <c r="C380" s="57"/>
      <c r="D380" s="10"/>
      <c r="E380" s="53" t="e">
        <f>VLOOKUP($D380,成品本月库存!$B:$J,2,0)</f>
        <v>#N/A</v>
      </c>
      <c r="F380" s="54" t="e">
        <f>VLOOKUP($D380,成品本月库存!$B:$J,5,0)</f>
        <v>#N/A</v>
      </c>
      <c r="G380" s="55"/>
      <c r="H380" s="53" t="e">
        <f>VLOOKUP($D380,成品本月库存!$B:$J,9,0)</f>
        <v>#N/A</v>
      </c>
      <c r="I380" s="56"/>
    </row>
    <row r="381" ht="15.75" spans="1:13">
      <c r="A381" s="20"/>
      <c r="B381" s="51"/>
      <c r="C381" s="57"/>
      <c r="D381" s="10"/>
      <c r="E381" s="53" t="e">
        <f>VLOOKUP($D381,成品本月库存!$B:$J,2,0)</f>
        <v>#N/A</v>
      </c>
      <c r="F381" s="54" t="e">
        <f>VLOOKUP($D381,成品本月库存!$B:$J,5,0)</f>
        <v>#N/A</v>
      </c>
      <c r="G381" s="55"/>
      <c r="H381" s="53" t="e">
        <f>VLOOKUP($D381,成品本月库存!$B:$J,9,0)</f>
        <v>#N/A</v>
      </c>
      <c r="I381" s="56"/>
    </row>
    <row r="382" ht="15.75" spans="1:13">
      <c r="A382" s="20"/>
      <c r="B382" s="51"/>
      <c r="C382" s="57"/>
      <c r="D382" s="10"/>
      <c r="E382" s="53" t="e">
        <f>VLOOKUP($D382,成品本月库存!$B:$J,2,0)</f>
        <v>#N/A</v>
      </c>
      <c r="F382" s="54" t="e">
        <f>VLOOKUP($D382,成品本月库存!$B:$J,5,0)</f>
        <v>#N/A</v>
      </c>
      <c r="G382" s="55"/>
      <c r="H382" s="53" t="e">
        <f>VLOOKUP($D382,成品本月库存!$B:$J,9,0)</f>
        <v>#N/A</v>
      </c>
      <c r="I382" s="56"/>
    </row>
    <row r="383" s="43" customFormat="1" ht="15.75" spans="1:13">
      <c r="A383" s="20"/>
      <c r="B383" s="51"/>
      <c r="C383" s="57"/>
      <c r="D383" s="10"/>
      <c r="E383" s="53" t="e">
        <f>VLOOKUP($D383,成品本月库存!$B:$J,2,0)</f>
        <v>#N/A</v>
      </c>
      <c r="F383" s="54" t="e">
        <f>VLOOKUP($D383,成品本月库存!$B:$J,5,0)</f>
        <v>#N/A</v>
      </c>
      <c r="G383" s="55"/>
      <c r="H383" s="53" t="e">
        <f>VLOOKUP($D383,成品本月库存!$B:$J,9,0)</f>
        <v>#N/A</v>
      </c>
      <c r="I383" s="56"/>
      <c r="J383" s="45"/>
      <c r="K383" s="45"/>
      <c r="L383" s="45"/>
      <c r="M383" s="45"/>
    </row>
    <row r="384" ht="15.75" spans="1:13">
      <c r="A384" s="20"/>
      <c r="B384" s="51"/>
      <c r="C384" s="57"/>
      <c r="D384" s="10"/>
      <c r="E384" s="53" t="e">
        <f>VLOOKUP($D384,成品本月库存!$B:$J,2,0)</f>
        <v>#N/A</v>
      </c>
      <c r="F384" s="54" t="e">
        <f>VLOOKUP($D384,成品本月库存!$B:$J,5,0)</f>
        <v>#N/A</v>
      </c>
      <c r="G384" s="55"/>
      <c r="H384" s="53" t="e">
        <f>VLOOKUP($D384,成品本月库存!$B:$J,9,0)</f>
        <v>#N/A</v>
      </c>
      <c r="I384" s="56"/>
    </row>
    <row r="385" ht="15.75" spans="1:10">
      <c r="A385" s="20"/>
      <c r="B385" s="51"/>
      <c r="C385" s="57"/>
      <c r="D385" s="10"/>
      <c r="E385" s="53" t="e">
        <f>VLOOKUP($D385,成品本月库存!$B:$J,2,0)</f>
        <v>#N/A</v>
      </c>
      <c r="F385" s="54" t="e">
        <f>VLOOKUP($D385,成品本月库存!$B:$J,5,0)</f>
        <v>#N/A</v>
      </c>
      <c r="G385" s="55"/>
      <c r="H385" s="53" t="e">
        <f>VLOOKUP($D385,成品本月库存!$B:$J,9,0)</f>
        <v>#N/A</v>
      </c>
      <c r="I385" s="56"/>
    </row>
    <row r="386" ht="15.75" spans="1:10">
      <c r="A386" s="20"/>
      <c r="B386" s="51"/>
      <c r="C386" s="57"/>
      <c r="D386" s="10"/>
      <c r="E386" s="53" t="e">
        <f>VLOOKUP($D386,成品本月库存!$B:$J,2,0)</f>
        <v>#N/A</v>
      </c>
      <c r="F386" s="54" t="e">
        <f>VLOOKUP($D386,成品本月库存!$B:$J,5,0)</f>
        <v>#N/A</v>
      </c>
      <c r="G386" s="55"/>
      <c r="H386" s="53" t="e">
        <f>VLOOKUP($D386,成品本月库存!$B:$J,9,0)</f>
        <v>#N/A</v>
      </c>
      <c r="I386" s="56"/>
    </row>
    <row r="387" ht="15" customHeight="1" spans="1:10">
      <c r="A387" s="20"/>
      <c r="B387" s="51"/>
      <c r="C387" s="57"/>
      <c r="D387" s="10"/>
      <c r="E387" s="53" t="e">
        <f>VLOOKUP($D387,成品本月库存!$B:$J,2,0)</f>
        <v>#N/A</v>
      </c>
      <c r="F387" s="54" t="e">
        <f>VLOOKUP($D387,成品本月库存!$B:$J,5,0)</f>
        <v>#N/A</v>
      </c>
      <c r="G387" s="55"/>
      <c r="H387" s="53" t="e">
        <f>VLOOKUP($D387,成品本月库存!$B:$J,9,0)</f>
        <v>#N/A</v>
      </c>
      <c r="I387" s="56"/>
    </row>
    <row r="388" ht="15.75" spans="1:10">
      <c r="A388" s="20"/>
      <c r="B388" s="51"/>
      <c r="C388" s="57"/>
      <c r="D388" s="10"/>
      <c r="E388" s="53" t="e">
        <f>VLOOKUP($D388,成品本月库存!$B:$J,2,0)</f>
        <v>#N/A</v>
      </c>
      <c r="F388" s="54" t="e">
        <f>VLOOKUP($D388,成品本月库存!$B:$J,5,0)</f>
        <v>#N/A</v>
      </c>
      <c r="G388" s="55"/>
      <c r="H388" s="53" t="e">
        <f>VLOOKUP($D388,成品本月库存!$B:$J,9,0)</f>
        <v>#N/A</v>
      </c>
      <c r="I388" s="56"/>
    </row>
    <row r="389" ht="15.75" spans="1:10">
      <c r="A389" s="20"/>
      <c r="B389" s="51"/>
      <c r="C389" s="57"/>
      <c r="D389" s="10"/>
      <c r="E389" s="53" t="e">
        <f>VLOOKUP($D389,成品本月库存!$B:$J,2,0)</f>
        <v>#N/A</v>
      </c>
      <c r="F389" s="54" t="e">
        <f>VLOOKUP($D389,成品本月库存!$B:$J,5,0)</f>
        <v>#N/A</v>
      </c>
      <c r="G389" s="55"/>
      <c r="H389" s="53" t="e">
        <f>VLOOKUP($D389,成品本月库存!$B:$J,9,0)</f>
        <v>#N/A</v>
      </c>
      <c r="I389" s="56"/>
    </row>
    <row r="390" ht="15.75" spans="1:10">
      <c r="A390" s="20"/>
      <c r="B390" s="51"/>
      <c r="C390" s="57"/>
      <c r="D390" s="10"/>
      <c r="E390" s="53" t="e">
        <f>VLOOKUP($D390,成品本月库存!$B:$J,2,0)</f>
        <v>#N/A</v>
      </c>
      <c r="F390" s="54" t="e">
        <f>VLOOKUP($D390,成品本月库存!$B:$J,5,0)</f>
        <v>#N/A</v>
      </c>
      <c r="G390" s="55"/>
      <c r="H390" s="53" t="e">
        <f>VLOOKUP($D390,成品本月库存!$B:$J,9,0)</f>
        <v>#N/A</v>
      </c>
      <c r="I390" s="56"/>
    </row>
    <row r="391" ht="15.75" spans="1:10">
      <c r="A391" s="20"/>
      <c r="B391" s="51"/>
      <c r="C391" s="57"/>
      <c r="D391" s="10"/>
      <c r="E391" s="53" t="e">
        <f>VLOOKUP($D391,成品本月库存!$B:$J,2,0)</f>
        <v>#N/A</v>
      </c>
      <c r="F391" s="54" t="e">
        <f>VLOOKUP($D391,成品本月库存!$B:$J,5,0)</f>
        <v>#N/A</v>
      </c>
      <c r="G391" s="55"/>
      <c r="H391" s="53" t="e">
        <f>VLOOKUP($D391,成品本月库存!$B:$J,9,0)</f>
        <v>#N/A</v>
      </c>
      <c r="I391" s="56"/>
    </row>
    <row r="392" ht="15.75" spans="1:10">
      <c r="A392" s="20"/>
      <c r="B392" s="51"/>
      <c r="C392" s="57"/>
      <c r="D392" s="10"/>
      <c r="E392" s="53" t="e">
        <f>VLOOKUP($D392,成品本月库存!$B:$J,2,0)</f>
        <v>#N/A</v>
      </c>
      <c r="F392" s="54" t="e">
        <f>VLOOKUP($D392,成品本月库存!$B:$J,5,0)</f>
        <v>#N/A</v>
      </c>
      <c r="G392" s="55"/>
      <c r="H392" s="53" t="e">
        <f>VLOOKUP($D392,成品本月库存!$B:$J,9,0)</f>
        <v>#N/A</v>
      </c>
      <c r="I392" s="56"/>
    </row>
    <row r="393" ht="15.75" spans="1:10">
      <c r="A393" s="20"/>
      <c r="B393" s="51"/>
      <c r="C393" s="57"/>
      <c r="D393" s="10"/>
      <c r="E393" s="53" t="e">
        <f>VLOOKUP($D393,成品本月库存!$B:$J,2,0)</f>
        <v>#N/A</v>
      </c>
      <c r="F393" s="54" t="e">
        <f>VLOOKUP($D393,成品本月库存!$B:$J,5,0)</f>
        <v>#N/A</v>
      </c>
      <c r="G393" s="55"/>
      <c r="H393" s="53" t="e">
        <f>VLOOKUP($D393,成品本月库存!$B:$J,9,0)</f>
        <v>#N/A</v>
      </c>
      <c r="I393" s="56"/>
    </row>
    <row r="394" ht="15.75" spans="1:10">
      <c r="A394" s="20"/>
      <c r="B394" s="51"/>
      <c r="C394" s="57"/>
      <c r="D394" s="10"/>
      <c r="E394" s="53" t="e">
        <f>VLOOKUP($D394,成品本月库存!$B:$J,2,0)</f>
        <v>#N/A</v>
      </c>
      <c r="F394" s="54" t="e">
        <f>VLOOKUP($D394,成品本月库存!$B:$J,5,0)</f>
        <v>#N/A</v>
      </c>
      <c r="G394" s="55"/>
      <c r="H394" s="53" t="e">
        <f>VLOOKUP($D394,成品本月库存!$B:$J,9,0)</f>
        <v>#N/A</v>
      </c>
      <c r="I394" s="56"/>
    </row>
    <row r="395" ht="15.75" spans="1:10">
      <c r="A395" s="20"/>
      <c r="B395" s="51"/>
      <c r="C395" s="57"/>
      <c r="D395" s="10"/>
      <c r="E395" s="53" t="e">
        <f>VLOOKUP($D395,成品本月库存!$B:$J,2,0)</f>
        <v>#N/A</v>
      </c>
      <c r="F395" s="54" t="e">
        <f>VLOOKUP($D395,成品本月库存!$B:$J,5,0)</f>
        <v>#N/A</v>
      </c>
      <c r="G395" s="55"/>
      <c r="H395" s="53" t="e">
        <f>VLOOKUP($D395,成品本月库存!$B:$J,9,0)</f>
        <v>#N/A</v>
      </c>
      <c r="I395" s="56"/>
    </row>
    <row r="396" ht="15.75" spans="1:10">
      <c r="A396" s="20"/>
      <c r="B396" s="51"/>
      <c r="C396" s="57"/>
      <c r="D396" s="10"/>
      <c r="E396" s="53" t="e">
        <f>VLOOKUP($D396,成品本月库存!$B:$J,2,0)</f>
        <v>#N/A</v>
      </c>
      <c r="F396" s="54" t="e">
        <f>VLOOKUP($D396,成品本月库存!$B:$J,5,0)</f>
        <v>#N/A</v>
      </c>
      <c r="G396" s="55"/>
      <c r="H396" s="53" t="e">
        <f>VLOOKUP($D396,成品本月库存!$B:$J,9,0)</f>
        <v>#N/A</v>
      </c>
      <c r="I396" s="56"/>
    </row>
    <row r="397" ht="15.75" spans="1:10">
      <c r="A397" s="20"/>
      <c r="B397" s="51"/>
      <c r="C397" s="57"/>
      <c r="D397" s="10"/>
      <c r="E397" s="53" t="e">
        <f>VLOOKUP($D397,成品本月库存!$B:$J,2,0)</f>
        <v>#N/A</v>
      </c>
      <c r="F397" s="54" t="e">
        <f>VLOOKUP($D397,成品本月库存!$B:$J,5,0)</f>
        <v>#N/A</v>
      </c>
      <c r="G397" s="55"/>
      <c r="H397" s="53" t="e">
        <f>VLOOKUP($D397,成品本月库存!$B:$J,9,0)</f>
        <v>#N/A</v>
      </c>
      <c r="I397" s="56"/>
    </row>
    <row r="398" ht="15.75" spans="1:10">
      <c r="A398" s="20"/>
      <c r="B398" s="51"/>
      <c r="C398" s="57"/>
      <c r="D398" s="10"/>
      <c r="E398" s="53" t="e">
        <f>VLOOKUP($D398,成品本月库存!$B:$J,2,0)</f>
        <v>#N/A</v>
      </c>
      <c r="F398" s="54" t="e">
        <f>VLOOKUP($D398,成品本月库存!$B:$J,5,0)</f>
        <v>#N/A</v>
      </c>
      <c r="G398" s="55"/>
      <c r="H398" s="53" t="e">
        <f>VLOOKUP($D398,成品本月库存!$B:$J,9,0)</f>
        <v>#N/A</v>
      </c>
      <c r="J398" s="56"/>
    </row>
    <row r="399" ht="15.75" spans="1:10">
      <c r="A399" s="20"/>
      <c r="B399" s="51"/>
      <c r="C399" s="57"/>
      <c r="D399" s="10"/>
      <c r="E399" s="53" t="e">
        <f>VLOOKUP($D399,成品本月库存!$B:$J,2,0)</f>
        <v>#N/A</v>
      </c>
      <c r="F399" s="54" t="e">
        <f>VLOOKUP($D399,成品本月库存!$B:$J,5,0)</f>
        <v>#N/A</v>
      </c>
      <c r="G399" s="55"/>
      <c r="H399" s="53" t="e">
        <f>VLOOKUP($D399,成品本月库存!$B:$J,9,0)</f>
        <v>#N/A</v>
      </c>
      <c r="J399" s="56"/>
    </row>
    <row r="400" ht="15.75" spans="1:10">
      <c r="A400" s="20"/>
      <c r="B400" s="51"/>
      <c r="C400" s="57"/>
      <c r="D400" s="10"/>
      <c r="E400" s="53" t="e">
        <f>VLOOKUP($D400,成品本月库存!$B:$J,2,0)</f>
        <v>#N/A</v>
      </c>
      <c r="F400" s="54" t="e">
        <f>VLOOKUP($D400,成品本月库存!$B:$J,5,0)</f>
        <v>#N/A</v>
      </c>
      <c r="G400" s="55"/>
      <c r="H400" s="53" t="e">
        <f>VLOOKUP($D400,成品本月库存!$B:$J,9,0)</f>
        <v>#N/A</v>
      </c>
      <c r="I400" s="56"/>
    </row>
    <row r="401" ht="15.75" spans="1:9">
      <c r="A401" s="20"/>
      <c r="B401" s="51"/>
      <c r="C401" s="57"/>
      <c r="D401" s="10"/>
      <c r="E401" s="53" t="e">
        <f>VLOOKUP($D401,成品本月库存!$B:$J,2,0)</f>
        <v>#N/A</v>
      </c>
      <c r="F401" s="54" t="e">
        <f>VLOOKUP($D401,成品本月库存!$B:$J,5,0)</f>
        <v>#N/A</v>
      </c>
      <c r="G401" s="55"/>
      <c r="H401" s="53" t="e">
        <f>VLOOKUP($D401,成品本月库存!$B:$J,9,0)</f>
        <v>#N/A</v>
      </c>
      <c r="I401" s="56"/>
    </row>
    <row r="402" ht="15.75" spans="1:9">
      <c r="A402" s="20"/>
      <c r="B402" s="51"/>
      <c r="C402" s="57"/>
      <c r="D402" s="10"/>
      <c r="E402" s="53" t="e">
        <f>VLOOKUP($D402,成品本月库存!$B:$J,2,0)</f>
        <v>#N/A</v>
      </c>
      <c r="F402" s="54" t="e">
        <f>VLOOKUP($D402,成品本月库存!$B:$J,5,0)</f>
        <v>#N/A</v>
      </c>
      <c r="G402" s="55"/>
      <c r="H402" s="53" t="e">
        <f>VLOOKUP($D402,成品本月库存!$B:$J,9,0)</f>
        <v>#N/A</v>
      </c>
      <c r="I402" s="56"/>
    </row>
    <row r="403" ht="15.75" spans="1:9">
      <c r="A403" s="20"/>
      <c r="B403" s="51"/>
      <c r="C403" s="57"/>
      <c r="D403" s="10"/>
      <c r="E403" s="53" t="e">
        <f>VLOOKUP($D403,成品本月库存!$B:$J,2,0)</f>
        <v>#N/A</v>
      </c>
      <c r="F403" s="54" t="e">
        <f>VLOOKUP($D403,成品本月库存!$B:$J,5,0)</f>
        <v>#N/A</v>
      </c>
      <c r="G403" s="55"/>
      <c r="H403" s="53" t="e">
        <f>VLOOKUP($D403,成品本月库存!$B:$J,9,0)</f>
        <v>#N/A</v>
      </c>
      <c r="I403" s="56"/>
    </row>
    <row r="404" ht="15.75" spans="1:9">
      <c r="A404" s="20"/>
      <c r="B404" s="51"/>
      <c r="C404" s="57"/>
      <c r="D404" s="10"/>
      <c r="E404" s="53" t="e">
        <f>VLOOKUP($D404,成品本月库存!$B:$J,2,0)</f>
        <v>#N/A</v>
      </c>
      <c r="F404" s="54" t="e">
        <f>VLOOKUP($D404,成品本月库存!$B:$J,5,0)</f>
        <v>#N/A</v>
      </c>
      <c r="G404" s="55"/>
      <c r="H404" s="53" t="e">
        <f>VLOOKUP($D404,成品本月库存!$B:$J,9,0)</f>
        <v>#N/A</v>
      </c>
      <c r="I404" s="56"/>
    </row>
    <row r="405" ht="15.75" spans="1:9">
      <c r="A405" s="20"/>
      <c r="B405" s="51"/>
      <c r="C405" s="57"/>
      <c r="D405" s="10"/>
      <c r="E405" s="53" t="e">
        <f>VLOOKUP($D405,成品本月库存!$B:$J,2,0)</f>
        <v>#N/A</v>
      </c>
      <c r="F405" s="54" t="e">
        <f>VLOOKUP($D405,成品本月库存!$B:$J,5,0)</f>
        <v>#N/A</v>
      </c>
      <c r="G405" s="55"/>
      <c r="H405" s="53" t="e">
        <f>VLOOKUP($D405,成品本月库存!$B:$J,9,0)</f>
        <v>#N/A</v>
      </c>
      <c r="I405" s="56"/>
    </row>
    <row r="406" ht="15.75" spans="1:9">
      <c r="A406" s="20"/>
      <c r="B406" s="51"/>
      <c r="C406" s="57"/>
      <c r="D406" s="10"/>
      <c r="E406" s="53" t="e">
        <f>VLOOKUP($D406,成品本月库存!$B:$J,2,0)</f>
        <v>#N/A</v>
      </c>
      <c r="F406" s="54" t="e">
        <f>VLOOKUP($D406,成品本月库存!$B:$J,5,0)</f>
        <v>#N/A</v>
      </c>
      <c r="G406" s="55"/>
      <c r="H406" s="53" t="e">
        <f>VLOOKUP($D406,成品本月库存!$B:$J,9,0)</f>
        <v>#N/A</v>
      </c>
      <c r="I406" s="56"/>
    </row>
    <row r="407" ht="15.75" spans="1:9">
      <c r="A407" s="20"/>
      <c r="B407" s="51"/>
      <c r="C407" s="57"/>
      <c r="D407" s="10"/>
      <c r="E407" s="53" t="e">
        <f>VLOOKUP($D407,成品本月库存!$B:$J,2,0)</f>
        <v>#N/A</v>
      </c>
      <c r="F407" s="54" t="e">
        <f>VLOOKUP($D407,成品本月库存!$B:$J,5,0)</f>
        <v>#N/A</v>
      </c>
      <c r="G407" s="55"/>
      <c r="H407" s="53" t="e">
        <f>VLOOKUP($D407,成品本月库存!$B:$J,9,0)</f>
        <v>#N/A</v>
      </c>
      <c r="I407" s="56"/>
    </row>
    <row r="408" ht="15.75" spans="1:9">
      <c r="A408" s="20"/>
      <c r="B408" s="51"/>
      <c r="C408" s="57"/>
      <c r="D408" s="10"/>
      <c r="E408" s="53" t="e">
        <f>VLOOKUP($D408,成品本月库存!$B:$J,2,0)</f>
        <v>#N/A</v>
      </c>
      <c r="F408" s="54" t="e">
        <f>VLOOKUP($D408,成品本月库存!$B:$J,5,0)</f>
        <v>#N/A</v>
      </c>
      <c r="G408" s="55"/>
      <c r="H408" s="53" t="e">
        <f>VLOOKUP($D408,成品本月库存!$B:$J,9,0)</f>
        <v>#N/A</v>
      </c>
      <c r="I408" s="56"/>
    </row>
    <row r="409" ht="15.75" spans="1:9">
      <c r="A409" s="20"/>
      <c r="B409" s="51"/>
      <c r="C409" s="57"/>
      <c r="D409" s="10"/>
      <c r="E409" s="53" t="e">
        <f>VLOOKUP($D409,成品本月库存!$B:$J,2,0)</f>
        <v>#N/A</v>
      </c>
      <c r="F409" s="54" t="e">
        <f>VLOOKUP($D409,成品本月库存!$B:$J,5,0)</f>
        <v>#N/A</v>
      </c>
      <c r="G409" s="55"/>
      <c r="H409" s="53" t="e">
        <f>VLOOKUP($D409,成品本月库存!$B:$J,9,0)</f>
        <v>#N/A</v>
      </c>
      <c r="I409" s="56"/>
    </row>
    <row r="410" ht="15.75" spans="1:9">
      <c r="A410" s="20"/>
      <c r="B410" s="51"/>
      <c r="C410" s="57"/>
      <c r="D410" s="10"/>
      <c r="E410" s="53" t="e">
        <f>VLOOKUP($D410,成品本月库存!$B:$J,2,0)</f>
        <v>#N/A</v>
      </c>
      <c r="F410" s="54" t="e">
        <f>VLOOKUP($D410,成品本月库存!$B:$J,5,0)</f>
        <v>#N/A</v>
      </c>
      <c r="G410" s="55"/>
      <c r="H410" s="53" t="e">
        <f>VLOOKUP($D410,成品本月库存!$B:$J,9,0)</f>
        <v>#N/A</v>
      </c>
      <c r="I410" s="56"/>
    </row>
    <row r="411" ht="15.75" spans="1:9">
      <c r="A411" s="20"/>
      <c r="B411" s="51"/>
      <c r="C411" s="57"/>
      <c r="D411" s="10"/>
      <c r="E411" s="53" t="e">
        <f>VLOOKUP($D411,成品本月库存!$B:$J,2,0)</f>
        <v>#N/A</v>
      </c>
      <c r="F411" s="54" t="e">
        <f>VLOOKUP($D411,成品本月库存!$B:$J,5,0)</f>
        <v>#N/A</v>
      </c>
      <c r="G411" s="55"/>
      <c r="H411" s="53" t="e">
        <f>VLOOKUP($D411,成品本月库存!$B:$J,9,0)</f>
        <v>#N/A</v>
      </c>
      <c r="I411" s="56"/>
    </row>
    <row r="412" ht="15.75" spans="1:9">
      <c r="A412" s="20"/>
      <c r="B412" s="51"/>
      <c r="C412" s="57"/>
      <c r="D412" s="10"/>
      <c r="E412" s="53" t="e">
        <f>VLOOKUP($D412,成品本月库存!$B:$J,2,0)</f>
        <v>#N/A</v>
      </c>
      <c r="F412" s="54" t="e">
        <f>VLOOKUP($D412,成品本月库存!$B:$J,5,0)</f>
        <v>#N/A</v>
      </c>
      <c r="G412" s="55"/>
      <c r="H412" s="53" t="e">
        <f>VLOOKUP($D412,成品本月库存!$B:$J,9,0)</f>
        <v>#N/A</v>
      </c>
      <c r="I412" s="56"/>
    </row>
    <row r="413" ht="15.75" spans="1:9">
      <c r="A413" s="20"/>
      <c r="B413" s="51"/>
      <c r="C413" s="57"/>
      <c r="D413" s="10"/>
      <c r="E413" s="53" t="e">
        <f>VLOOKUP($D413,成品本月库存!$B:$J,2,0)</f>
        <v>#N/A</v>
      </c>
      <c r="F413" s="54" t="e">
        <f>VLOOKUP($D413,成品本月库存!$B:$J,5,0)</f>
        <v>#N/A</v>
      </c>
      <c r="G413" s="55"/>
      <c r="H413" s="53" t="e">
        <f>VLOOKUP($D413,成品本月库存!$B:$J,9,0)</f>
        <v>#N/A</v>
      </c>
      <c r="I413" s="56"/>
    </row>
    <row r="414" ht="15.75" spans="1:9">
      <c r="A414" s="20"/>
      <c r="B414" s="51"/>
      <c r="C414" s="57"/>
      <c r="D414" s="10"/>
      <c r="E414" s="53" t="e">
        <f>VLOOKUP($D414,成品本月库存!$B:$J,2,0)</f>
        <v>#N/A</v>
      </c>
      <c r="F414" s="54" t="e">
        <f>VLOOKUP($D414,成品本月库存!$B:$J,5,0)</f>
        <v>#N/A</v>
      </c>
      <c r="G414" s="55"/>
      <c r="H414" s="53" t="e">
        <f>VLOOKUP($D414,成品本月库存!$B:$J,9,0)</f>
        <v>#N/A</v>
      </c>
      <c r="I414" s="56"/>
    </row>
    <row r="415" ht="15.75" spans="1:9">
      <c r="A415" s="20"/>
      <c r="B415" s="51"/>
      <c r="C415" s="57"/>
      <c r="D415" s="10"/>
      <c r="E415" s="53" t="e">
        <f>VLOOKUP($D415,成品本月库存!$B:$J,2,0)</f>
        <v>#N/A</v>
      </c>
      <c r="F415" s="54" t="e">
        <f>VLOOKUP($D415,成品本月库存!$B:$J,5,0)</f>
        <v>#N/A</v>
      </c>
      <c r="G415" s="55"/>
      <c r="H415" s="53" t="e">
        <f>VLOOKUP($D415,成品本月库存!$B:$J,9,0)</f>
        <v>#N/A</v>
      </c>
      <c r="I415" s="56"/>
    </row>
    <row r="416" ht="15.75" spans="1:9">
      <c r="A416" s="20"/>
      <c r="B416" s="51"/>
      <c r="C416" s="57"/>
      <c r="D416" s="10"/>
      <c r="E416" s="53" t="e">
        <f>VLOOKUP($D416,成品本月库存!$B:$J,2,0)</f>
        <v>#N/A</v>
      </c>
      <c r="F416" s="54" t="e">
        <f>VLOOKUP($D416,成品本月库存!$B:$J,5,0)</f>
        <v>#N/A</v>
      </c>
      <c r="G416" s="55"/>
      <c r="H416" s="53" t="e">
        <f>VLOOKUP($D416,成品本月库存!$B:$J,9,0)</f>
        <v>#N/A</v>
      </c>
      <c r="I416" s="56"/>
    </row>
    <row r="417" ht="15.75" spans="1:9">
      <c r="A417" s="20"/>
      <c r="B417" s="51"/>
      <c r="C417" s="57"/>
      <c r="D417" s="10"/>
      <c r="E417" s="53" t="e">
        <f>VLOOKUP($D417,成品本月库存!$B:$J,2,0)</f>
        <v>#N/A</v>
      </c>
      <c r="F417" s="54" t="e">
        <f>VLOOKUP($D417,成品本月库存!$B:$J,5,0)</f>
        <v>#N/A</v>
      </c>
      <c r="G417" s="55"/>
      <c r="H417" s="53" t="e">
        <f>VLOOKUP($D417,成品本月库存!$B:$J,9,0)</f>
        <v>#N/A</v>
      </c>
      <c r="I417" s="56"/>
    </row>
    <row r="418" ht="15.75" spans="1:9">
      <c r="A418" s="20"/>
      <c r="B418" s="51"/>
      <c r="C418" s="57"/>
      <c r="D418" s="10"/>
      <c r="E418" s="53" t="e">
        <f>VLOOKUP($D418,成品本月库存!$B:$J,2,0)</f>
        <v>#N/A</v>
      </c>
      <c r="F418" s="54" t="e">
        <f>VLOOKUP($D418,成品本月库存!$B:$J,5,0)</f>
        <v>#N/A</v>
      </c>
      <c r="G418" s="55"/>
      <c r="H418" s="53" t="e">
        <f>VLOOKUP($D418,成品本月库存!$B:$J,9,0)</f>
        <v>#N/A</v>
      </c>
      <c r="I418" s="56"/>
    </row>
    <row r="419" ht="15.75" spans="1:9">
      <c r="A419" s="20"/>
      <c r="B419" s="51"/>
      <c r="C419" s="57"/>
      <c r="D419" s="10"/>
      <c r="E419" s="53" t="e">
        <f>VLOOKUP($D419,成品本月库存!$B:$J,2,0)</f>
        <v>#N/A</v>
      </c>
      <c r="F419" s="54" t="e">
        <f>VLOOKUP($D419,成品本月库存!$B:$J,5,0)</f>
        <v>#N/A</v>
      </c>
      <c r="G419" s="55"/>
      <c r="H419" s="53" t="e">
        <f>VLOOKUP($D419,成品本月库存!$B:$J,9,0)</f>
        <v>#N/A</v>
      </c>
      <c r="I419" s="56"/>
    </row>
    <row r="420" ht="15.75" spans="1:9">
      <c r="A420" s="20"/>
      <c r="B420" s="51"/>
      <c r="C420" s="57"/>
      <c r="D420" s="60"/>
      <c r="E420" s="53" t="e">
        <f>VLOOKUP($D420,成品本月库存!$B:$J,2,0)</f>
        <v>#N/A</v>
      </c>
      <c r="F420" s="54" t="e">
        <f>VLOOKUP($D420,成品本月库存!$B:$J,5,0)</f>
        <v>#N/A</v>
      </c>
      <c r="G420" s="55"/>
      <c r="H420" s="53" t="e">
        <f>VLOOKUP($D420,成品本月库存!$B:$J,9,0)</f>
        <v>#N/A</v>
      </c>
      <c r="I420" s="56"/>
    </row>
    <row r="421" ht="15.75" spans="1:9">
      <c r="A421" s="20"/>
      <c r="B421" s="51"/>
      <c r="C421" s="57"/>
      <c r="D421" s="60"/>
      <c r="E421" s="53" t="e">
        <f>VLOOKUP($D421,成品本月库存!$B:$J,2,0)</f>
        <v>#N/A</v>
      </c>
      <c r="F421" s="54" t="e">
        <f>VLOOKUP($D421,成品本月库存!$B:$J,5,0)</f>
        <v>#N/A</v>
      </c>
      <c r="G421" s="55"/>
      <c r="H421" s="53" t="e">
        <f>VLOOKUP($D421,成品本月库存!$B:$J,9,0)</f>
        <v>#N/A</v>
      </c>
      <c r="I421" s="56"/>
    </row>
    <row r="422" ht="15.75" spans="1:9">
      <c r="A422" s="20"/>
      <c r="B422" s="51"/>
      <c r="C422" s="57"/>
      <c r="D422" s="60"/>
      <c r="E422" s="53" t="e">
        <f>VLOOKUP($D422,成品本月库存!$B:$J,2,0)</f>
        <v>#N/A</v>
      </c>
      <c r="F422" s="54" t="e">
        <f>VLOOKUP($D422,成品本月库存!$B:$J,5,0)</f>
        <v>#N/A</v>
      </c>
      <c r="G422" s="55"/>
      <c r="H422" s="53" t="e">
        <f>VLOOKUP($D422,成品本月库存!$B:$J,9,0)</f>
        <v>#N/A</v>
      </c>
      <c r="I422" s="56"/>
    </row>
    <row r="423" ht="15.75" spans="1:9">
      <c r="A423" s="20"/>
      <c r="B423" s="51"/>
      <c r="C423" s="57"/>
      <c r="D423" s="60"/>
      <c r="E423" s="53" t="e">
        <f>VLOOKUP($D423,成品本月库存!$B:$J,2,0)</f>
        <v>#N/A</v>
      </c>
      <c r="F423" s="54" t="e">
        <f>VLOOKUP($D423,成品本月库存!$B:$J,5,0)</f>
        <v>#N/A</v>
      </c>
      <c r="G423" s="55"/>
      <c r="H423" s="53" t="e">
        <f>VLOOKUP($D423,成品本月库存!$B:$J,9,0)</f>
        <v>#N/A</v>
      </c>
      <c r="I423" s="56"/>
    </row>
    <row r="424" ht="15.75" spans="1:9">
      <c r="A424" s="20"/>
      <c r="B424" s="51"/>
      <c r="C424" s="57"/>
      <c r="D424" s="60"/>
      <c r="E424" s="53" t="e">
        <f>VLOOKUP($D424,成品本月库存!$B:$J,2,0)</f>
        <v>#N/A</v>
      </c>
      <c r="F424" s="54" t="e">
        <f>VLOOKUP($D424,成品本月库存!$B:$J,5,0)</f>
        <v>#N/A</v>
      </c>
      <c r="G424" s="55"/>
      <c r="H424" s="53" t="e">
        <f>VLOOKUP($D424,成品本月库存!$B:$J,9,0)</f>
        <v>#N/A</v>
      </c>
      <c r="I424" s="56"/>
    </row>
    <row r="425" ht="15.75" spans="1:9">
      <c r="A425" s="20"/>
      <c r="B425" s="51"/>
      <c r="C425" s="57"/>
      <c r="D425" s="60"/>
      <c r="E425" s="53" t="e">
        <f>VLOOKUP($D425,成品本月库存!$B:$J,2,0)</f>
        <v>#N/A</v>
      </c>
      <c r="F425" s="54" t="e">
        <f>VLOOKUP($D425,成品本月库存!$B:$J,5,0)</f>
        <v>#N/A</v>
      </c>
      <c r="G425" s="55"/>
      <c r="H425" s="53" t="e">
        <f>VLOOKUP($D425,成品本月库存!$B:$J,9,0)</f>
        <v>#N/A</v>
      </c>
      <c r="I425" s="56"/>
    </row>
    <row r="426" ht="15.75" spans="1:9">
      <c r="A426" s="20"/>
      <c r="B426" s="51"/>
      <c r="C426" s="57"/>
      <c r="D426" s="60"/>
      <c r="E426" s="53" t="e">
        <f>VLOOKUP($D426,成品本月库存!$B:$J,2,0)</f>
        <v>#N/A</v>
      </c>
      <c r="F426" s="54" t="e">
        <f>VLOOKUP($D426,成品本月库存!$B:$J,5,0)</f>
        <v>#N/A</v>
      </c>
      <c r="G426" s="55"/>
      <c r="H426" s="53" t="e">
        <f>VLOOKUP($D426,成品本月库存!$B:$J,9,0)</f>
        <v>#N/A</v>
      </c>
      <c r="I426" s="56"/>
    </row>
    <row r="427" ht="15.75" spans="1:9">
      <c r="A427" s="20"/>
      <c r="B427" s="51"/>
      <c r="C427" s="57"/>
      <c r="D427" s="60"/>
      <c r="E427" s="53" t="e">
        <f>VLOOKUP($D427,成品本月库存!$B:$J,2,0)</f>
        <v>#N/A</v>
      </c>
      <c r="F427" s="54" t="e">
        <f>VLOOKUP($D427,成品本月库存!$B:$J,5,0)</f>
        <v>#N/A</v>
      </c>
      <c r="G427" s="55"/>
      <c r="H427" s="53" t="e">
        <f>VLOOKUP($D427,成品本月库存!$B:$J,9,0)</f>
        <v>#N/A</v>
      </c>
      <c r="I427" s="56"/>
    </row>
    <row r="428" ht="15.75" spans="1:9">
      <c r="A428" s="20"/>
      <c r="B428" s="51"/>
      <c r="C428" s="57"/>
      <c r="D428" s="60"/>
      <c r="E428" s="53" t="e">
        <f>VLOOKUP($D428,成品本月库存!$B:$J,2,0)</f>
        <v>#N/A</v>
      </c>
      <c r="F428" s="54" t="e">
        <f>VLOOKUP($D428,成品本月库存!$B:$J,5,0)</f>
        <v>#N/A</v>
      </c>
      <c r="G428" s="55"/>
      <c r="H428" s="53" t="e">
        <f>VLOOKUP($D428,成品本月库存!$B:$J,9,0)</f>
        <v>#N/A</v>
      </c>
      <c r="I428" s="56"/>
    </row>
    <row r="429" ht="15.75" spans="1:9">
      <c r="A429" s="20"/>
      <c r="B429" s="51"/>
      <c r="C429" s="57"/>
      <c r="D429" s="60"/>
      <c r="E429" s="53" t="e">
        <f>VLOOKUP($D429,成品本月库存!$B:$J,2,0)</f>
        <v>#N/A</v>
      </c>
      <c r="F429" s="54" t="e">
        <f>VLOOKUP($D429,成品本月库存!$B:$J,5,0)</f>
        <v>#N/A</v>
      </c>
      <c r="G429" s="55"/>
      <c r="H429" s="53" t="e">
        <f>VLOOKUP($D429,成品本月库存!$B:$J,9,0)</f>
        <v>#N/A</v>
      </c>
      <c r="I429" s="56"/>
    </row>
    <row r="430" ht="15.75" spans="1:9">
      <c r="A430" s="20"/>
      <c r="B430" s="51"/>
      <c r="C430" s="57"/>
      <c r="D430" s="60"/>
      <c r="E430" s="53" t="e">
        <f>VLOOKUP($D430,成品本月库存!$B:$J,2,0)</f>
        <v>#N/A</v>
      </c>
      <c r="F430" s="54" t="e">
        <f>VLOOKUP($D430,成品本月库存!$B:$J,5,0)</f>
        <v>#N/A</v>
      </c>
      <c r="G430" s="55"/>
      <c r="H430" s="53" t="e">
        <f>VLOOKUP($D430,成品本月库存!$B:$J,9,0)</f>
        <v>#N/A</v>
      </c>
      <c r="I430" s="56"/>
    </row>
    <row r="431" ht="15.75" spans="1:9">
      <c r="A431" s="20"/>
      <c r="B431" s="51"/>
      <c r="C431" s="57"/>
      <c r="D431" s="60"/>
      <c r="E431" s="53" t="e">
        <f>VLOOKUP($D431,成品本月库存!$B:$J,2,0)</f>
        <v>#N/A</v>
      </c>
      <c r="F431" s="54" t="e">
        <f>VLOOKUP($D431,成品本月库存!$B:$J,5,0)</f>
        <v>#N/A</v>
      </c>
      <c r="G431" s="55"/>
      <c r="H431" s="53" t="e">
        <f>VLOOKUP($D431,成品本月库存!$B:$J,9,0)</f>
        <v>#N/A</v>
      </c>
      <c r="I431" s="56"/>
    </row>
    <row r="432" ht="15.75" spans="1:9">
      <c r="A432" s="20"/>
      <c r="B432" s="51"/>
      <c r="C432" s="57"/>
      <c r="D432" s="60"/>
      <c r="E432" s="53" t="e">
        <f>VLOOKUP($D432,成品本月库存!$B:$J,2,0)</f>
        <v>#N/A</v>
      </c>
      <c r="F432" s="54" t="e">
        <f>VLOOKUP($D432,成品本月库存!$B:$J,5,0)</f>
        <v>#N/A</v>
      </c>
      <c r="G432" s="55"/>
      <c r="H432" s="53" t="e">
        <f>VLOOKUP($D432,成品本月库存!$B:$J,9,0)</f>
        <v>#N/A</v>
      </c>
      <c r="I432" s="56"/>
    </row>
    <row r="433" ht="15.75" spans="1:9">
      <c r="A433" s="20"/>
      <c r="B433" s="51"/>
      <c r="C433" s="57"/>
      <c r="D433" s="60"/>
      <c r="E433" s="53" t="e">
        <f>VLOOKUP($D433,成品本月库存!$B:$J,2,0)</f>
        <v>#N/A</v>
      </c>
      <c r="F433" s="54" t="e">
        <f>VLOOKUP($D433,成品本月库存!$B:$J,5,0)</f>
        <v>#N/A</v>
      </c>
      <c r="G433" s="55"/>
      <c r="H433" s="53" t="e">
        <f>VLOOKUP($D433,成品本月库存!$B:$J,9,0)</f>
        <v>#N/A</v>
      </c>
      <c r="I433" s="56"/>
    </row>
    <row r="434" ht="15.75" spans="1:9">
      <c r="A434" s="20"/>
      <c r="B434" s="51"/>
      <c r="C434" s="57"/>
      <c r="D434" s="60"/>
      <c r="E434" s="53" t="e">
        <f>VLOOKUP($D434,成品本月库存!$B:$J,2,0)</f>
        <v>#N/A</v>
      </c>
      <c r="F434" s="54" t="e">
        <f>VLOOKUP($D434,成品本月库存!$B:$J,5,0)</f>
        <v>#N/A</v>
      </c>
      <c r="G434" s="55"/>
      <c r="H434" s="53" t="e">
        <f>VLOOKUP($D434,成品本月库存!$B:$J,9,0)</f>
        <v>#N/A</v>
      </c>
      <c r="I434" s="56"/>
    </row>
    <row r="435" ht="15.75" spans="1:9">
      <c r="A435" s="20"/>
      <c r="B435" s="51"/>
      <c r="C435" s="57"/>
      <c r="D435" s="60"/>
      <c r="E435" s="53" t="e">
        <f>VLOOKUP($D435,成品本月库存!$B:$J,2,0)</f>
        <v>#N/A</v>
      </c>
      <c r="F435" s="54" t="e">
        <f>VLOOKUP($D435,成品本月库存!$B:$J,5,0)</f>
        <v>#N/A</v>
      </c>
      <c r="G435" s="55"/>
      <c r="H435" s="53" t="e">
        <f>VLOOKUP($D435,成品本月库存!$B:$J,9,0)</f>
        <v>#N/A</v>
      </c>
      <c r="I435" s="56"/>
    </row>
    <row r="436" ht="15.75" spans="1:9">
      <c r="A436" s="20"/>
      <c r="B436" s="51"/>
      <c r="C436" s="57"/>
      <c r="D436" s="60"/>
      <c r="E436" s="53" t="e">
        <f>VLOOKUP($D436,成品本月库存!$B:$J,2,0)</f>
        <v>#N/A</v>
      </c>
      <c r="F436" s="54" t="e">
        <f>VLOOKUP($D436,成品本月库存!$B:$J,5,0)</f>
        <v>#N/A</v>
      </c>
      <c r="G436" s="55"/>
      <c r="H436" s="53" t="e">
        <f>VLOOKUP($D436,成品本月库存!$B:$J,9,0)</f>
        <v>#N/A</v>
      </c>
      <c r="I436" s="56"/>
    </row>
    <row r="437" ht="15.75" spans="1:9">
      <c r="A437" s="20"/>
      <c r="B437" s="51"/>
      <c r="C437" s="57"/>
      <c r="D437" s="60"/>
      <c r="E437" s="53" t="e">
        <f>VLOOKUP($D437,成品本月库存!$B:$J,2,0)</f>
        <v>#N/A</v>
      </c>
      <c r="F437" s="54" t="e">
        <f>VLOOKUP($D437,成品本月库存!$B:$J,5,0)</f>
        <v>#N/A</v>
      </c>
      <c r="G437" s="55"/>
      <c r="H437" s="53" t="e">
        <f>VLOOKUP($D437,成品本月库存!$B:$J,9,0)</f>
        <v>#N/A</v>
      </c>
      <c r="I437" s="56"/>
    </row>
    <row r="438" ht="15.75" spans="1:9">
      <c r="A438" s="20"/>
      <c r="B438" s="51"/>
      <c r="C438" s="57"/>
      <c r="D438" s="60"/>
      <c r="E438" s="53" t="e">
        <f>VLOOKUP($D438,成品本月库存!$B:$J,2,0)</f>
        <v>#N/A</v>
      </c>
      <c r="F438" s="54" t="e">
        <f>VLOOKUP($D438,成品本月库存!$B:$J,5,0)</f>
        <v>#N/A</v>
      </c>
      <c r="G438" s="55"/>
      <c r="H438" s="53" t="e">
        <f>VLOOKUP($D438,成品本月库存!$B:$J,9,0)</f>
        <v>#N/A</v>
      </c>
      <c r="I438" s="56"/>
    </row>
    <row r="439" ht="15.75" spans="1:9">
      <c r="A439" s="20"/>
      <c r="B439" s="51"/>
      <c r="C439" s="57"/>
      <c r="D439" s="60"/>
      <c r="E439" s="53" t="e">
        <f>VLOOKUP($D439,成品本月库存!$B:$J,2,0)</f>
        <v>#N/A</v>
      </c>
      <c r="F439" s="54" t="e">
        <f>VLOOKUP($D439,成品本月库存!$B:$J,5,0)</f>
        <v>#N/A</v>
      </c>
      <c r="G439" s="55"/>
      <c r="H439" s="53" t="e">
        <f>VLOOKUP($D439,成品本月库存!$B:$J,9,0)</f>
        <v>#N/A</v>
      </c>
      <c r="I439" s="56"/>
    </row>
    <row r="440" ht="15.75" spans="1:9">
      <c r="A440" s="20"/>
      <c r="B440" s="51"/>
      <c r="C440" s="57"/>
      <c r="D440" s="60"/>
      <c r="E440" s="53" t="e">
        <f>VLOOKUP($D440,成品本月库存!$B:$J,2,0)</f>
        <v>#N/A</v>
      </c>
      <c r="F440" s="54" t="e">
        <f>VLOOKUP($D440,成品本月库存!$B:$J,5,0)</f>
        <v>#N/A</v>
      </c>
      <c r="G440" s="55"/>
      <c r="H440" s="53" t="e">
        <f>VLOOKUP($D440,成品本月库存!$B:$J,9,0)</f>
        <v>#N/A</v>
      </c>
      <c r="I440" s="56"/>
    </row>
    <row r="441" ht="15.75" spans="1:9">
      <c r="A441" s="20"/>
      <c r="B441" s="51"/>
      <c r="C441" s="57"/>
      <c r="D441" s="60"/>
      <c r="E441" s="53" t="e">
        <f>VLOOKUP($D441,成品本月库存!$B:$J,2,0)</f>
        <v>#N/A</v>
      </c>
      <c r="F441" s="54" t="e">
        <f>VLOOKUP($D441,成品本月库存!$B:$J,5,0)</f>
        <v>#N/A</v>
      </c>
      <c r="G441" s="55"/>
      <c r="H441" s="53" t="e">
        <f>VLOOKUP($D441,成品本月库存!$B:$J,9,0)</f>
        <v>#N/A</v>
      </c>
      <c r="I441" s="56"/>
    </row>
    <row r="442" ht="15.75" spans="1:9">
      <c r="A442" s="20"/>
      <c r="B442" s="51"/>
      <c r="C442" s="57"/>
      <c r="D442" s="60"/>
      <c r="E442" s="53" t="e">
        <f>VLOOKUP($D442,成品本月库存!$B:$J,2,0)</f>
        <v>#N/A</v>
      </c>
      <c r="F442" s="54" t="e">
        <f>VLOOKUP($D442,成品本月库存!$B:$J,5,0)</f>
        <v>#N/A</v>
      </c>
      <c r="G442" s="55"/>
      <c r="H442" s="53" t="e">
        <f>VLOOKUP($D442,成品本月库存!$B:$J,9,0)</f>
        <v>#N/A</v>
      </c>
      <c r="I442" s="56"/>
    </row>
    <row r="443" ht="15.75" spans="1:9">
      <c r="A443" s="20"/>
      <c r="B443" s="51"/>
      <c r="C443" s="57"/>
      <c r="D443" s="60"/>
      <c r="E443" s="53" t="e">
        <f>VLOOKUP($D443,成品本月库存!$B:$J,2,0)</f>
        <v>#N/A</v>
      </c>
      <c r="F443" s="54" t="e">
        <f>VLOOKUP($D443,成品本月库存!$B:$J,5,0)</f>
        <v>#N/A</v>
      </c>
      <c r="G443" s="55"/>
      <c r="H443" s="53" t="e">
        <f>VLOOKUP($D443,成品本月库存!$B:$J,9,0)</f>
        <v>#N/A</v>
      </c>
      <c r="I443" s="56"/>
    </row>
    <row r="444" ht="15.75" spans="1:9">
      <c r="A444" s="20"/>
      <c r="B444" s="51"/>
      <c r="C444" s="57"/>
      <c r="D444" s="60"/>
      <c r="E444" s="53" t="e">
        <f>VLOOKUP($D444,成品本月库存!$B:$J,2,0)</f>
        <v>#N/A</v>
      </c>
      <c r="F444" s="54" t="e">
        <f>VLOOKUP($D444,成品本月库存!$B:$J,5,0)</f>
        <v>#N/A</v>
      </c>
      <c r="G444" s="55"/>
      <c r="H444" s="53" t="e">
        <f>VLOOKUP($D444,成品本月库存!$B:$J,9,0)</f>
        <v>#N/A</v>
      </c>
      <c r="I444" s="56"/>
    </row>
    <row r="445" ht="15.75" spans="1:9">
      <c r="A445" s="20"/>
      <c r="B445" s="51"/>
      <c r="C445" s="57"/>
      <c r="D445" s="60"/>
      <c r="E445" s="53" t="e">
        <f>VLOOKUP($D445,成品本月库存!$B:$J,2,0)</f>
        <v>#N/A</v>
      </c>
      <c r="F445" s="54" t="e">
        <f>VLOOKUP($D445,成品本月库存!$B:$J,5,0)</f>
        <v>#N/A</v>
      </c>
      <c r="G445" s="55"/>
      <c r="H445" s="53" t="e">
        <f>VLOOKUP($D445,成品本月库存!$B:$J,9,0)</f>
        <v>#N/A</v>
      </c>
      <c r="I445" s="56"/>
    </row>
    <row r="446" ht="15.75" spans="1:9">
      <c r="A446" s="20"/>
      <c r="B446" s="51"/>
      <c r="C446" s="57"/>
      <c r="D446" s="60"/>
      <c r="E446" s="53" t="e">
        <f>VLOOKUP($D446,成品本月库存!$B:$J,2,0)</f>
        <v>#N/A</v>
      </c>
      <c r="F446" s="54" t="e">
        <f>VLOOKUP($D446,成品本月库存!$B:$J,5,0)</f>
        <v>#N/A</v>
      </c>
      <c r="G446" s="55"/>
      <c r="H446" s="53" t="e">
        <f>VLOOKUP($D446,成品本月库存!$B:$J,9,0)</f>
        <v>#N/A</v>
      </c>
      <c r="I446" s="56"/>
    </row>
    <row r="447" ht="15.75" spans="1:9">
      <c r="A447" s="20"/>
      <c r="B447" s="51"/>
      <c r="C447" s="57"/>
      <c r="D447" s="60"/>
      <c r="E447" s="53" t="e">
        <f>VLOOKUP($D447,成品本月库存!$B:$J,2,0)</f>
        <v>#N/A</v>
      </c>
      <c r="F447" s="54" t="e">
        <f>VLOOKUP($D447,成品本月库存!$B:$J,5,0)</f>
        <v>#N/A</v>
      </c>
      <c r="G447" s="55"/>
      <c r="H447" s="53" t="e">
        <f>VLOOKUP($D447,成品本月库存!$B:$J,9,0)</f>
        <v>#N/A</v>
      </c>
      <c r="I447" s="56"/>
    </row>
    <row r="448" ht="15.75" spans="1:9">
      <c r="A448" s="20"/>
      <c r="B448" s="51"/>
      <c r="C448" s="57"/>
      <c r="D448" s="60"/>
      <c r="E448" s="53" t="e">
        <f>VLOOKUP($D448,成品本月库存!$B:$J,2,0)</f>
        <v>#N/A</v>
      </c>
      <c r="F448" s="54" t="e">
        <f>VLOOKUP($D448,成品本月库存!$B:$J,5,0)</f>
        <v>#N/A</v>
      </c>
      <c r="G448" s="55"/>
      <c r="H448" s="53" t="e">
        <f>VLOOKUP($D448,成品本月库存!$B:$J,9,0)</f>
        <v>#N/A</v>
      </c>
      <c r="I448" s="56"/>
    </row>
    <row r="449" ht="15.75" spans="1:9">
      <c r="A449" s="20"/>
      <c r="B449" s="51"/>
      <c r="C449" s="57"/>
      <c r="D449" s="60"/>
      <c r="E449" s="53" t="e">
        <f>VLOOKUP($D449,成品本月库存!$B:$J,2,0)</f>
        <v>#N/A</v>
      </c>
      <c r="F449" s="54" t="e">
        <f>VLOOKUP($D449,成品本月库存!$B:$J,5,0)</f>
        <v>#N/A</v>
      </c>
      <c r="G449" s="55"/>
      <c r="H449" s="53" t="e">
        <f>VLOOKUP($D449,成品本月库存!$B:$J,9,0)</f>
        <v>#N/A</v>
      </c>
      <c r="I449" s="56"/>
    </row>
    <row r="450" ht="15.75" spans="1:9">
      <c r="A450" s="20"/>
      <c r="B450" s="51"/>
      <c r="C450" s="57"/>
      <c r="D450" s="60"/>
      <c r="E450" s="53" t="e">
        <f>VLOOKUP($D450,成品本月库存!$B:$J,2,0)</f>
        <v>#N/A</v>
      </c>
      <c r="F450" s="54" t="e">
        <f>VLOOKUP($D450,成品本月库存!$B:$J,5,0)</f>
        <v>#N/A</v>
      </c>
      <c r="G450" s="55"/>
      <c r="H450" s="53" t="e">
        <f>VLOOKUP($D450,成品本月库存!$B:$J,9,0)</f>
        <v>#N/A</v>
      </c>
      <c r="I450" s="56"/>
    </row>
    <row r="451" ht="15.75" spans="1:9">
      <c r="A451" s="20"/>
      <c r="B451" s="51"/>
      <c r="C451" s="57"/>
      <c r="D451" s="60"/>
      <c r="E451" s="53" t="e">
        <f>VLOOKUP($D451,成品本月库存!$B:$J,2,0)</f>
        <v>#N/A</v>
      </c>
      <c r="F451" s="54" t="e">
        <f>VLOOKUP($D451,成品本月库存!$B:$J,5,0)</f>
        <v>#N/A</v>
      </c>
      <c r="G451" s="55"/>
      <c r="H451" s="53" t="e">
        <f>VLOOKUP($D451,成品本月库存!$B:$J,9,0)</f>
        <v>#N/A</v>
      </c>
      <c r="I451" s="56"/>
    </row>
    <row r="452" ht="15.75" spans="1:9">
      <c r="A452" s="20"/>
      <c r="B452" s="51"/>
      <c r="C452" s="57"/>
      <c r="D452" s="60"/>
      <c r="E452" s="53" t="e">
        <f>VLOOKUP($D452,成品本月库存!$B:$J,2,0)</f>
        <v>#N/A</v>
      </c>
      <c r="F452" s="54" t="e">
        <f>VLOOKUP($D452,成品本月库存!$B:$J,5,0)</f>
        <v>#N/A</v>
      </c>
      <c r="G452" s="55"/>
      <c r="H452" s="53" t="e">
        <f>VLOOKUP($D452,成品本月库存!$B:$J,9,0)</f>
        <v>#N/A</v>
      </c>
      <c r="I452" s="56"/>
    </row>
    <row r="453" ht="15.75" spans="1:9">
      <c r="A453" s="20"/>
      <c r="B453" s="51"/>
      <c r="C453" s="57"/>
      <c r="D453" s="60"/>
      <c r="E453" s="53" t="e">
        <f>VLOOKUP($D453,成品本月库存!$B:$J,2,0)</f>
        <v>#N/A</v>
      </c>
      <c r="F453" s="54" t="e">
        <f>VLOOKUP($D453,成品本月库存!$B:$J,5,0)</f>
        <v>#N/A</v>
      </c>
      <c r="G453" s="55"/>
      <c r="H453" s="53" t="e">
        <f>VLOOKUP($D453,成品本月库存!$B:$J,9,0)</f>
        <v>#N/A</v>
      </c>
      <c r="I453" s="56"/>
    </row>
    <row r="454" ht="15.75" spans="1:9">
      <c r="A454" s="20"/>
      <c r="B454" s="51"/>
      <c r="C454" s="57"/>
      <c r="D454" s="60"/>
      <c r="E454" s="53" t="e">
        <f>VLOOKUP($D454,成品本月库存!$B:$J,2,0)</f>
        <v>#N/A</v>
      </c>
      <c r="F454" s="54" t="e">
        <f>VLOOKUP($D454,成品本月库存!$B:$J,5,0)</f>
        <v>#N/A</v>
      </c>
      <c r="G454" s="55"/>
      <c r="H454" s="53" t="e">
        <f>VLOOKUP($D454,成品本月库存!$B:$J,9,0)</f>
        <v>#N/A</v>
      </c>
      <c r="I454" s="56"/>
    </row>
    <row r="455" ht="15.75" spans="1:9">
      <c r="A455" s="20"/>
      <c r="B455" s="51"/>
      <c r="C455" s="57"/>
      <c r="D455" s="60"/>
      <c r="E455" s="53" t="e">
        <f>VLOOKUP($D455,成品本月库存!$B:$J,2,0)</f>
        <v>#N/A</v>
      </c>
      <c r="F455" s="54" t="e">
        <f>VLOOKUP($D455,成品本月库存!$B:$J,5,0)</f>
        <v>#N/A</v>
      </c>
      <c r="G455" s="55"/>
      <c r="H455" s="53" t="e">
        <f>VLOOKUP($D455,成品本月库存!$B:$J,9,0)</f>
        <v>#N/A</v>
      </c>
      <c r="I455" s="56"/>
    </row>
    <row r="456" ht="15.75" spans="1:9">
      <c r="A456" s="20"/>
      <c r="B456" s="51"/>
      <c r="C456" s="57"/>
      <c r="D456" s="60"/>
      <c r="E456" s="53" t="e">
        <f>VLOOKUP($D456,成品本月库存!$B:$J,2,0)</f>
        <v>#N/A</v>
      </c>
      <c r="F456" s="54" t="e">
        <f>VLOOKUP($D456,成品本月库存!$B:$J,5,0)</f>
        <v>#N/A</v>
      </c>
      <c r="G456" s="55"/>
      <c r="H456" s="53" t="e">
        <f>VLOOKUP($D456,成品本月库存!$B:$J,9,0)</f>
        <v>#N/A</v>
      </c>
      <c r="I456" s="56"/>
    </row>
    <row r="457" ht="15.75" spans="1:9">
      <c r="A457" s="20"/>
      <c r="B457" s="51"/>
      <c r="C457" s="57"/>
      <c r="D457" s="60"/>
      <c r="E457" s="53" t="e">
        <f>VLOOKUP($D457,成品本月库存!$B:$J,2,0)</f>
        <v>#N/A</v>
      </c>
      <c r="F457" s="54" t="e">
        <f>VLOOKUP($D457,成品本月库存!$B:$J,5,0)</f>
        <v>#N/A</v>
      </c>
      <c r="G457" s="55"/>
      <c r="H457" s="53" t="e">
        <f>VLOOKUP($D457,成品本月库存!$B:$J,9,0)</f>
        <v>#N/A</v>
      </c>
      <c r="I457" s="56"/>
    </row>
    <row r="458" ht="15.75" spans="1:9">
      <c r="A458" s="20"/>
      <c r="B458" s="51"/>
      <c r="C458" s="57"/>
      <c r="D458" s="60"/>
      <c r="E458" s="53" t="e">
        <f>VLOOKUP($D458,成品本月库存!$B:$J,2,0)</f>
        <v>#N/A</v>
      </c>
      <c r="F458" s="54" t="e">
        <f>VLOOKUP($D458,成品本月库存!$B:$J,5,0)</f>
        <v>#N/A</v>
      </c>
      <c r="G458" s="55"/>
      <c r="H458" s="53" t="e">
        <f>VLOOKUP($D458,成品本月库存!$B:$J,9,0)</f>
        <v>#N/A</v>
      </c>
      <c r="I458" s="56"/>
    </row>
    <row r="459" ht="15.75" spans="1:9">
      <c r="A459" s="20"/>
      <c r="B459" s="51"/>
      <c r="C459" s="57"/>
      <c r="D459" s="60"/>
      <c r="E459" s="53" t="e">
        <f>VLOOKUP($D459,成品本月库存!$B:$J,2,0)</f>
        <v>#N/A</v>
      </c>
      <c r="F459" s="54" t="e">
        <f>VLOOKUP($D459,成品本月库存!$B:$J,5,0)</f>
        <v>#N/A</v>
      </c>
      <c r="G459" s="55"/>
      <c r="H459" s="53" t="e">
        <f>VLOOKUP($D459,成品本月库存!$B:$J,9,0)</f>
        <v>#N/A</v>
      </c>
      <c r="I459" s="56"/>
    </row>
    <row r="460" ht="15.75" spans="1:9">
      <c r="A460" s="20"/>
      <c r="B460" s="51"/>
      <c r="C460" s="57"/>
      <c r="D460" s="60"/>
      <c r="E460" s="53" t="e">
        <f>VLOOKUP($D460,成品本月库存!$B:$J,2,0)</f>
        <v>#N/A</v>
      </c>
      <c r="F460" s="54" t="e">
        <f>VLOOKUP($D460,成品本月库存!$B:$J,5,0)</f>
        <v>#N/A</v>
      </c>
      <c r="G460" s="55"/>
      <c r="H460" s="53" t="e">
        <f>VLOOKUP($D460,成品本月库存!$B:$J,9,0)</f>
        <v>#N/A</v>
      </c>
      <c r="I460" s="56"/>
    </row>
    <row r="461" ht="15.75" spans="1:9">
      <c r="A461" s="20"/>
      <c r="B461" s="51"/>
      <c r="C461" s="57"/>
      <c r="D461" s="60"/>
      <c r="E461" s="53" t="e">
        <f>VLOOKUP($D461,成品本月库存!$B:$J,2,0)</f>
        <v>#N/A</v>
      </c>
      <c r="F461" s="54" t="e">
        <f>VLOOKUP($D461,成品本月库存!$B:$J,5,0)</f>
        <v>#N/A</v>
      </c>
      <c r="G461" s="55"/>
      <c r="H461" s="53" t="e">
        <f>VLOOKUP($D461,成品本月库存!$B:$J,9,0)</f>
        <v>#N/A</v>
      </c>
      <c r="I461" s="56"/>
    </row>
    <row r="462" ht="15.75" spans="1:9">
      <c r="A462" s="20"/>
      <c r="B462" s="51"/>
      <c r="C462" s="57"/>
      <c r="D462" s="60"/>
      <c r="E462" s="53" t="e">
        <f>VLOOKUP($D462,成品本月库存!$B:$J,2,0)</f>
        <v>#N/A</v>
      </c>
      <c r="F462" s="54" t="e">
        <f>VLOOKUP($D462,成品本月库存!$B:$J,5,0)</f>
        <v>#N/A</v>
      </c>
      <c r="G462" s="55"/>
      <c r="H462" s="53" t="e">
        <f>VLOOKUP($D462,成品本月库存!$B:$J,9,0)</f>
        <v>#N/A</v>
      </c>
      <c r="I462" s="56"/>
    </row>
    <row r="463" ht="18" customHeight="1" spans="1:9">
      <c r="A463" s="20"/>
      <c r="B463" s="51"/>
      <c r="C463" s="57"/>
      <c r="D463" s="60"/>
      <c r="E463" s="53" t="e">
        <f>VLOOKUP($D463,成品本月库存!$B:$J,2,0)</f>
        <v>#N/A</v>
      </c>
      <c r="F463" s="54" t="e">
        <f>VLOOKUP($D463,成品本月库存!$B:$J,5,0)</f>
        <v>#N/A</v>
      </c>
      <c r="G463" s="55"/>
      <c r="H463" s="53" t="e">
        <f>VLOOKUP($D463,成品本月库存!$B:$J,9,0)</f>
        <v>#N/A</v>
      </c>
      <c r="I463" s="56"/>
    </row>
    <row r="464" ht="18" customHeight="1" spans="1:9">
      <c r="A464" s="20"/>
      <c r="B464" s="51"/>
      <c r="C464" s="57"/>
      <c r="D464" s="60"/>
      <c r="E464" s="53" t="e">
        <f>VLOOKUP($D464,成品本月库存!$B:$J,2,0)</f>
        <v>#N/A</v>
      </c>
      <c r="F464" s="54" t="e">
        <f>VLOOKUP($D464,成品本月库存!$B:$J,5,0)</f>
        <v>#N/A</v>
      </c>
      <c r="G464" s="55"/>
      <c r="H464" s="53" t="e">
        <f>VLOOKUP($D464,成品本月库存!$B:$J,9,0)</f>
        <v>#N/A</v>
      </c>
      <c r="I464" s="56"/>
    </row>
    <row r="465" ht="18" customHeight="1" spans="1:9">
      <c r="A465" s="20"/>
      <c r="B465" s="51"/>
      <c r="C465" s="57"/>
      <c r="D465" s="60"/>
      <c r="E465" s="53" t="e">
        <f>VLOOKUP($D465,成品本月库存!$B:$J,2,0)</f>
        <v>#N/A</v>
      </c>
      <c r="F465" s="54" t="e">
        <f>VLOOKUP($D465,成品本月库存!$B:$J,5,0)</f>
        <v>#N/A</v>
      </c>
      <c r="G465" s="55"/>
      <c r="H465" s="53" t="e">
        <f>VLOOKUP($D465,成品本月库存!$B:$J,9,0)</f>
        <v>#N/A</v>
      </c>
      <c r="I465" s="56"/>
    </row>
    <row r="466" ht="18" customHeight="1" spans="1:9">
      <c r="A466" s="20"/>
      <c r="B466" s="51"/>
      <c r="C466" s="57"/>
      <c r="D466" s="60"/>
      <c r="E466" s="53" t="e">
        <f>VLOOKUP($D466,成品本月库存!$B:$J,2,0)</f>
        <v>#N/A</v>
      </c>
      <c r="F466" s="54" t="e">
        <f>VLOOKUP($D466,成品本月库存!$B:$J,5,0)</f>
        <v>#N/A</v>
      </c>
      <c r="G466" s="55"/>
      <c r="H466" s="53" t="e">
        <f>VLOOKUP($D466,成品本月库存!$B:$J,9,0)</f>
        <v>#N/A</v>
      </c>
      <c r="I466" s="56"/>
    </row>
    <row r="467" ht="18" customHeight="1" spans="1:9">
      <c r="A467" s="20"/>
      <c r="B467" s="51"/>
      <c r="C467" s="57"/>
      <c r="D467" s="60"/>
      <c r="E467" s="53" t="e">
        <f>VLOOKUP($D467,成品本月库存!$B:$J,2,0)</f>
        <v>#N/A</v>
      </c>
      <c r="F467" s="54" t="e">
        <f>VLOOKUP($D467,成品本月库存!$B:$J,5,0)</f>
        <v>#N/A</v>
      </c>
      <c r="G467" s="55"/>
      <c r="H467" s="53" t="e">
        <f>VLOOKUP($D467,成品本月库存!$B:$J,9,0)</f>
        <v>#N/A</v>
      </c>
      <c r="I467" s="56"/>
    </row>
    <row r="468" ht="15.75" spans="1:9">
      <c r="A468" s="20"/>
      <c r="B468" s="51"/>
      <c r="C468" s="57"/>
      <c r="D468" s="60"/>
      <c r="E468" s="53" t="e">
        <f>VLOOKUP($D468,成品本月库存!$B:$J,2,0)</f>
        <v>#N/A</v>
      </c>
      <c r="F468" s="54" t="e">
        <f>VLOOKUP($D468,成品本月库存!$B:$J,5,0)</f>
        <v>#N/A</v>
      </c>
      <c r="G468" s="55"/>
      <c r="H468" s="53" t="e">
        <f>VLOOKUP($D468,成品本月库存!$B:$J,9,0)</f>
        <v>#N/A</v>
      </c>
      <c r="I468" s="56"/>
    </row>
    <row r="469" ht="18" customHeight="1" spans="1:9">
      <c r="A469" s="20"/>
      <c r="B469" s="51"/>
      <c r="C469" s="57"/>
      <c r="D469" s="60"/>
      <c r="E469" s="53" t="e">
        <f>VLOOKUP($D469,成品本月库存!$B:$J,2,0)</f>
        <v>#N/A</v>
      </c>
      <c r="F469" s="54" t="e">
        <f>VLOOKUP($D469,成品本月库存!$B:$J,5,0)</f>
        <v>#N/A</v>
      </c>
      <c r="G469" s="55"/>
      <c r="H469" s="53" t="e">
        <f>VLOOKUP($D469,成品本月库存!$B:$J,9,0)</f>
        <v>#N/A</v>
      </c>
      <c r="I469" s="56"/>
    </row>
    <row r="470" ht="18" customHeight="1" spans="1:9">
      <c r="A470" s="20"/>
      <c r="B470" s="51"/>
      <c r="C470" s="57"/>
      <c r="D470" s="60"/>
      <c r="E470" s="53" t="e">
        <f>VLOOKUP($D470,成品本月库存!$B:$J,2,0)</f>
        <v>#N/A</v>
      </c>
      <c r="F470" s="54" t="e">
        <f>VLOOKUP($D470,成品本月库存!$B:$J,5,0)</f>
        <v>#N/A</v>
      </c>
      <c r="G470" s="55"/>
      <c r="H470" s="53" t="e">
        <f>VLOOKUP($D470,成品本月库存!$B:$J,9,0)</f>
        <v>#N/A</v>
      </c>
      <c r="I470" s="56"/>
    </row>
    <row r="471" ht="18" customHeight="1" spans="1:9">
      <c r="A471" s="20"/>
      <c r="B471" s="51"/>
      <c r="C471" s="57"/>
      <c r="D471" s="60"/>
      <c r="E471" s="53" t="e">
        <f>VLOOKUP($D471,成品本月库存!$B:$J,2,0)</f>
        <v>#N/A</v>
      </c>
      <c r="F471" s="54" t="e">
        <f>VLOOKUP($D471,成品本月库存!$B:$J,5,0)</f>
        <v>#N/A</v>
      </c>
      <c r="G471" s="55"/>
      <c r="H471" s="53" t="e">
        <f>VLOOKUP($D471,成品本月库存!$B:$J,9,0)</f>
        <v>#N/A</v>
      </c>
      <c r="I471" s="56"/>
    </row>
    <row r="472" ht="18" customHeight="1" spans="1:9">
      <c r="A472" s="20"/>
      <c r="B472" s="51"/>
      <c r="C472" s="57"/>
      <c r="D472" s="60"/>
      <c r="E472" s="53" t="e">
        <f>VLOOKUP($D472,成品本月库存!$B:$J,2,0)</f>
        <v>#N/A</v>
      </c>
      <c r="F472" s="54" t="e">
        <f>VLOOKUP($D472,成品本月库存!$B:$J,5,0)</f>
        <v>#N/A</v>
      </c>
      <c r="G472" s="55"/>
      <c r="H472" s="53" t="e">
        <f>VLOOKUP($D472,成品本月库存!$B:$J,9,0)</f>
        <v>#N/A</v>
      </c>
      <c r="I472" s="56"/>
    </row>
    <row r="473" ht="18" customHeight="1" spans="1:9">
      <c r="A473" s="20"/>
      <c r="B473" s="51"/>
      <c r="C473" s="57"/>
      <c r="D473" s="60"/>
      <c r="E473" s="53" t="e">
        <f>VLOOKUP($D473,成品本月库存!$B:$J,2,0)</f>
        <v>#N/A</v>
      </c>
      <c r="F473" s="54" t="e">
        <f>VLOOKUP($D473,成品本月库存!$B:$J,5,0)</f>
        <v>#N/A</v>
      </c>
      <c r="G473" s="55"/>
      <c r="H473" s="53" t="e">
        <f>VLOOKUP($D473,成品本月库存!$B:$J,9,0)</f>
        <v>#N/A</v>
      </c>
      <c r="I473" s="56"/>
    </row>
    <row r="474" ht="18" customHeight="1" spans="1:9">
      <c r="A474" s="20"/>
      <c r="B474" s="51"/>
      <c r="C474" s="57"/>
      <c r="D474" s="60"/>
      <c r="E474" s="53" t="e">
        <f>VLOOKUP($D474,成品本月库存!$B:$J,2,0)</f>
        <v>#N/A</v>
      </c>
      <c r="F474" s="54" t="e">
        <f>VLOOKUP($D474,成品本月库存!$B:$J,5,0)</f>
        <v>#N/A</v>
      </c>
      <c r="G474" s="55"/>
      <c r="H474" s="53" t="e">
        <f>VLOOKUP($D474,成品本月库存!$B:$J,9,0)</f>
        <v>#N/A</v>
      </c>
      <c r="I474" s="56"/>
    </row>
    <row r="475" ht="18" customHeight="1" spans="1:9">
      <c r="A475" s="20"/>
      <c r="B475" s="51"/>
      <c r="C475" s="57"/>
      <c r="D475" s="60"/>
      <c r="E475" s="53" t="e">
        <f>VLOOKUP($D475,成品本月库存!$B:$J,2,0)</f>
        <v>#N/A</v>
      </c>
      <c r="F475" s="54" t="e">
        <f>VLOOKUP($D475,成品本月库存!$B:$J,5,0)</f>
        <v>#N/A</v>
      </c>
      <c r="G475" s="55"/>
      <c r="H475" s="53" t="e">
        <f>VLOOKUP($D475,成品本月库存!$B:$J,9,0)</f>
        <v>#N/A</v>
      </c>
      <c r="I475" s="56"/>
    </row>
    <row r="476" ht="18" customHeight="1" spans="1:9">
      <c r="A476" s="20"/>
      <c r="B476" s="51"/>
      <c r="C476" s="57"/>
      <c r="D476" s="60"/>
      <c r="E476" s="53" t="e">
        <f>VLOOKUP($D476,成品本月库存!$B:$J,2,0)</f>
        <v>#N/A</v>
      </c>
      <c r="F476" s="54" t="e">
        <f>VLOOKUP($D476,成品本月库存!$B:$J,5,0)</f>
        <v>#N/A</v>
      </c>
      <c r="G476" s="55"/>
      <c r="H476" s="53" t="e">
        <f>VLOOKUP($D476,成品本月库存!$B:$J,9,0)</f>
        <v>#N/A</v>
      </c>
      <c r="I476" s="56"/>
    </row>
    <row r="477" ht="18" customHeight="1" spans="1:9">
      <c r="A477" s="20"/>
      <c r="B477" s="51"/>
      <c r="C477" s="57"/>
      <c r="D477" s="60"/>
      <c r="E477" s="53" t="e">
        <f>VLOOKUP($D477,成品本月库存!$B:$J,2,0)</f>
        <v>#N/A</v>
      </c>
      <c r="F477" s="54" t="e">
        <f>VLOOKUP($D477,成品本月库存!$B:$J,5,0)</f>
        <v>#N/A</v>
      </c>
      <c r="G477" s="55"/>
      <c r="H477" s="53" t="e">
        <f>VLOOKUP($D477,成品本月库存!$B:$J,9,0)</f>
        <v>#N/A</v>
      </c>
      <c r="I477" s="56"/>
    </row>
    <row r="478" ht="18" customHeight="1" spans="1:9">
      <c r="A478" s="20"/>
      <c r="B478" s="51"/>
      <c r="C478" s="57"/>
      <c r="D478" s="60"/>
      <c r="E478" s="53" t="e">
        <f>VLOOKUP($D478,成品本月库存!$B:$J,2,0)</f>
        <v>#N/A</v>
      </c>
      <c r="F478" s="54" t="e">
        <f>VLOOKUP($D478,成品本月库存!$B:$J,5,0)</f>
        <v>#N/A</v>
      </c>
      <c r="G478" s="55"/>
      <c r="H478" s="53" t="e">
        <f>VLOOKUP($D478,成品本月库存!$B:$J,9,0)</f>
        <v>#N/A</v>
      </c>
      <c r="I478" s="56"/>
    </row>
    <row r="479" ht="18" customHeight="1" spans="1:9">
      <c r="A479" s="20"/>
      <c r="B479" s="51"/>
      <c r="C479" s="57"/>
      <c r="D479" s="60"/>
      <c r="E479" s="53" t="e">
        <f>VLOOKUP($D479,成品本月库存!$B:$J,2,0)</f>
        <v>#N/A</v>
      </c>
      <c r="F479" s="54" t="e">
        <f>VLOOKUP($D479,成品本月库存!$B:$J,5,0)</f>
        <v>#N/A</v>
      </c>
      <c r="G479" s="55"/>
      <c r="H479" s="53" t="e">
        <f>VLOOKUP($D479,成品本月库存!$B:$J,9,0)</f>
        <v>#N/A</v>
      </c>
      <c r="I479" s="56"/>
    </row>
    <row r="480" ht="18" customHeight="1" spans="1:9">
      <c r="A480" s="20"/>
      <c r="B480" s="51"/>
      <c r="C480" s="57"/>
      <c r="D480" s="60"/>
      <c r="E480" s="53" t="e">
        <f>VLOOKUP($D480,成品本月库存!$B:$J,2,0)</f>
        <v>#N/A</v>
      </c>
      <c r="F480" s="54" t="e">
        <f>VLOOKUP($D480,成品本月库存!$B:$J,5,0)</f>
        <v>#N/A</v>
      </c>
      <c r="G480" s="55"/>
      <c r="H480" s="53" t="e">
        <f>VLOOKUP($D480,成品本月库存!$B:$J,9,0)</f>
        <v>#N/A</v>
      </c>
      <c r="I480" s="56"/>
    </row>
    <row r="481" ht="18" customHeight="1" spans="1:9">
      <c r="A481" s="20"/>
      <c r="B481" s="51"/>
      <c r="C481" s="57"/>
      <c r="D481" s="60"/>
      <c r="E481" s="53" t="e">
        <f>VLOOKUP($D481,成品本月库存!$B:$J,2,0)</f>
        <v>#N/A</v>
      </c>
      <c r="F481" s="54" t="e">
        <f>VLOOKUP($D481,成品本月库存!$B:$J,5,0)</f>
        <v>#N/A</v>
      </c>
      <c r="G481" s="55"/>
      <c r="H481" s="53" t="e">
        <f>VLOOKUP($D481,成品本月库存!$B:$J,9,0)</f>
        <v>#N/A</v>
      </c>
      <c r="I481" s="56"/>
    </row>
    <row r="482" ht="18" customHeight="1" spans="1:9">
      <c r="A482" s="20"/>
      <c r="B482" s="51"/>
      <c r="C482" s="57"/>
      <c r="D482" s="60"/>
      <c r="E482" s="53" t="e">
        <f>VLOOKUP($D482,成品本月库存!$B:$J,2,0)</f>
        <v>#N/A</v>
      </c>
      <c r="F482" s="54" t="e">
        <f>VLOOKUP($D482,成品本月库存!$B:$J,5,0)</f>
        <v>#N/A</v>
      </c>
      <c r="G482" s="55"/>
      <c r="H482" s="53" t="e">
        <f>VLOOKUP($D482,成品本月库存!$B:$J,9,0)</f>
        <v>#N/A</v>
      </c>
      <c r="I482" s="56"/>
    </row>
    <row r="483" ht="18" customHeight="1" spans="1:9">
      <c r="A483" s="20"/>
      <c r="B483" s="51"/>
      <c r="C483" s="57"/>
      <c r="D483" s="60"/>
      <c r="E483" s="53" t="e">
        <f>VLOOKUP($D483,成品本月库存!$B:$J,2,0)</f>
        <v>#N/A</v>
      </c>
      <c r="F483" s="54" t="e">
        <f>VLOOKUP($D483,成品本月库存!$B:$J,5,0)</f>
        <v>#N/A</v>
      </c>
      <c r="G483" s="55"/>
      <c r="H483" s="53" t="e">
        <f>VLOOKUP($D483,成品本月库存!$B:$J,9,0)</f>
        <v>#N/A</v>
      </c>
      <c r="I483" s="56"/>
    </row>
    <row r="484" ht="18" customHeight="1" spans="1:9">
      <c r="A484" s="20"/>
      <c r="B484" s="51"/>
      <c r="C484" s="57"/>
      <c r="D484" s="60"/>
      <c r="E484" s="53" t="e">
        <f>VLOOKUP($D484,成品本月库存!$B:$J,2,0)</f>
        <v>#N/A</v>
      </c>
      <c r="F484" s="54" t="e">
        <f>VLOOKUP($D484,成品本月库存!$B:$J,5,0)</f>
        <v>#N/A</v>
      </c>
      <c r="G484" s="55"/>
      <c r="H484" s="53" t="e">
        <f>VLOOKUP($D484,成品本月库存!$B:$J,9,0)</f>
        <v>#N/A</v>
      </c>
      <c r="I484" s="56"/>
    </row>
    <row r="485" ht="18" customHeight="1" spans="1:9">
      <c r="A485" s="20"/>
      <c r="B485" s="51"/>
      <c r="C485" s="57"/>
      <c r="D485" s="60"/>
      <c r="E485" s="53" t="e">
        <f>VLOOKUP($D485,成品本月库存!$B:$J,2,0)</f>
        <v>#N/A</v>
      </c>
      <c r="F485" s="54" t="e">
        <f>VLOOKUP($D485,成品本月库存!$B:$J,5,0)</f>
        <v>#N/A</v>
      </c>
      <c r="G485" s="55"/>
      <c r="H485" s="53" t="e">
        <f>VLOOKUP($D485,成品本月库存!$B:$J,9,0)</f>
        <v>#N/A</v>
      </c>
      <c r="I485" s="56"/>
    </row>
    <row r="486" ht="18" customHeight="1" spans="1:9">
      <c r="A486" s="20"/>
      <c r="B486" s="51"/>
      <c r="C486" s="57"/>
      <c r="D486" s="60"/>
      <c r="E486" s="53" t="e">
        <f>VLOOKUP($D486,成品本月库存!$B:$J,2,0)</f>
        <v>#N/A</v>
      </c>
      <c r="F486" s="54" t="e">
        <f>VLOOKUP($D486,成品本月库存!$B:$J,5,0)</f>
        <v>#N/A</v>
      </c>
      <c r="G486" s="55"/>
      <c r="H486" s="53" t="e">
        <f>VLOOKUP($D486,成品本月库存!$B:$J,9,0)</f>
        <v>#N/A</v>
      </c>
      <c r="I486" s="56"/>
    </row>
    <row r="487" ht="18" customHeight="1" spans="1:9">
      <c r="A487" s="20"/>
      <c r="B487" s="51"/>
      <c r="C487" s="57"/>
      <c r="D487" s="60"/>
      <c r="E487" s="53" t="e">
        <f>VLOOKUP($D487,成品本月库存!$B:$J,2,0)</f>
        <v>#N/A</v>
      </c>
      <c r="F487" s="54" t="e">
        <f>VLOOKUP($D487,成品本月库存!$B:$J,5,0)</f>
        <v>#N/A</v>
      </c>
      <c r="G487" s="55"/>
      <c r="H487" s="53" t="e">
        <f>VLOOKUP($D487,成品本月库存!$B:$J,9,0)</f>
        <v>#N/A</v>
      </c>
      <c r="I487" s="56"/>
    </row>
    <row r="488" ht="18" customHeight="1" spans="1:9">
      <c r="A488" s="20"/>
      <c r="B488" s="51"/>
      <c r="C488" s="57"/>
      <c r="D488" s="60"/>
      <c r="E488" s="53" t="e">
        <f>VLOOKUP($D488,成品本月库存!$B:$J,2,0)</f>
        <v>#N/A</v>
      </c>
      <c r="F488" s="54" t="e">
        <f>VLOOKUP($D488,成品本月库存!$B:$J,5,0)</f>
        <v>#N/A</v>
      </c>
      <c r="G488" s="55"/>
      <c r="H488" s="53" t="e">
        <f>VLOOKUP($D488,成品本月库存!$B:$J,9,0)</f>
        <v>#N/A</v>
      </c>
      <c r="I488" s="56"/>
    </row>
    <row r="489" ht="18" customHeight="1" spans="1:9">
      <c r="A489" s="20"/>
      <c r="B489" s="51"/>
      <c r="C489" s="57"/>
      <c r="D489" s="60"/>
      <c r="E489" s="53" t="e">
        <f>VLOOKUP($D489,成品本月库存!$B:$J,2,0)</f>
        <v>#N/A</v>
      </c>
      <c r="F489" s="54" t="e">
        <f>VLOOKUP($D489,成品本月库存!$B:$J,5,0)</f>
        <v>#N/A</v>
      </c>
      <c r="G489" s="55"/>
      <c r="H489" s="53" t="e">
        <f>VLOOKUP($D489,成品本月库存!$B:$J,9,0)</f>
        <v>#N/A</v>
      </c>
      <c r="I489" s="56"/>
    </row>
    <row r="490" ht="18" customHeight="1" spans="1:9">
      <c r="A490" s="20"/>
      <c r="B490" s="51"/>
      <c r="C490" s="57"/>
      <c r="D490" s="60"/>
      <c r="E490" s="53" t="e">
        <f>VLOOKUP($D490,成品本月库存!$B:$J,2,0)</f>
        <v>#N/A</v>
      </c>
      <c r="F490" s="54" t="e">
        <f>VLOOKUP($D490,成品本月库存!$B:$J,5,0)</f>
        <v>#N/A</v>
      </c>
      <c r="G490" s="55"/>
      <c r="H490" s="53" t="e">
        <f>VLOOKUP($D490,成品本月库存!$B:$J,9,0)</f>
        <v>#N/A</v>
      </c>
      <c r="I490" s="56"/>
    </row>
    <row r="491" ht="18" customHeight="1" spans="1:9">
      <c r="A491" s="20"/>
      <c r="B491" s="51"/>
      <c r="C491" s="57"/>
      <c r="D491" s="60"/>
      <c r="E491" s="53" t="e">
        <f>VLOOKUP($D491,成品本月库存!$B:$J,2,0)</f>
        <v>#N/A</v>
      </c>
      <c r="F491" s="54" t="e">
        <f>VLOOKUP($D491,成品本月库存!$B:$J,5,0)</f>
        <v>#N/A</v>
      </c>
      <c r="G491" s="55"/>
      <c r="H491" s="53" t="e">
        <f>VLOOKUP($D491,成品本月库存!$B:$J,9,0)</f>
        <v>#N/A</v>
      </c>
      <c r="I491" s="56"/>
    </row>
    <row r="492" ht="18" customHeight="1" spans="1:9">
      <c r="A492" s="20"/>
      <c r="B492" s="51"/>
      <c r="C492" s="57"/>
      <c r="D492" s="60"/>
      <c r="E492" s="53" t="e">
        <f>VLOOKUP($D492,成品本月库存!$B:$J,2,0)</f>
        <v>#N/A</v>
      </c>
      <c r="F492" s="54" t="e">
        <f>VLOOKUP($D492,成品本月库存!$B:$J,5,0)</f>
        <v>#N/A</v>
      </c>
      <c r="G492" s="55"/>
      <c r="H492" s="53" t="e">
        <f>VLOOKUP($D492,成品本月库存!$B:$J,9,0)</f>
        <v>#N/A</v>
      </c>
      <c r="I492" s="56"/>
    </row>
    <row r="493" ht="18" customHeight="1" spans="1:9">
      <c r="A493" s="20"/>
      <c r="B493" s="51"/>
      <c r="C493" s="57"/>
      <c r="D493" s="60"/>
      <c r="E493" s="53" t="e">
        <f>VLOOKUP($D493,成品本月库存!$B:$J,2,0)</f>
        <v>#N/A</v>
      </c>
      <c r="F493" s="54" t="e">
        <f>VLOOKUP($D493,成品本月库存!$B:$J,5,0)</f>
        <v>#N/A</v>
      </c>
      <c r="G493" s="55"/>
      <c r="H493" s="53" t="e">
        <f>VLOOKUP($D493,成品本月库存!$B:$J,9,0)</f>
        <v>#N/A</v>
      </c>
      <c r="I493" s="56"/>
    </row>
    <row r="494" ht="18" customHeight="1" spans="1:9">
      <c r="A494" s="20"/>
      <c r="B494" s="51"/>
      <c r="C494" s="57"/>
      <c r="D494" s="60"/>
      <c r="E494" s="53" t="e">
        <f>VLOOKUP($D494,成品本月库存!$B:$J,2,0)</f>
        <v>#N/A</v>
      </c>
      <c r="F494" s="54" t="e">
        <f>VLOOKUP($D494,成品本月库存!$B:$J,5,0)</f>
        <v>#N/A</v>
      </c>
      <c r="G494" s="55"/>
      <c r="H494" s="53" t="e">
        <f>VLOOKUP($D494,成品本月库存!$B:$J,9,0)</f>
        <v>#N/A</v>
      </c>
      <c r="I494" s="56"/>
    </row>
    <row r="495" ht="18" customHeight="1" spans="1:9">
      <c r="A495" s="20"/>
      <c r="B495" s="51"/>
      <c r="C495" s="57"/>
      <c r="D495" s="60"/>
      <c r="E495" s="53" t="e">
        <f>VLOOKUP($D495,成品本月库存!$B:$J,2,0)</f>
        <v>#N/A</v>
      </c>
      <c r="F495" s="54" t="e">
        <f>VLOOKUP($D495,成品本月库存!$B:$J,5,0)</f>
        <v>#N/A</v>
      </c>
      <c r="G495" s="55"/>
      <c r="H495" s="53" t="e">
        <f>VLOOKUP($D495,成品本月库存!$B:$J,9,0)</f>
        <v>#N/A</v>
      </c>
      <c r="I495" s="56"/>
    </row>
    <row r="496" ht="18" customHeight="1" spans="1:9">
      <c r="A496" s="20"/>
      <c r="B496" s="51"/>
      <c r="C496" s="57"/>
      <c r="D496" s="60"/>
      <c r="E496" s="53" t="e">
        <f>VLOOKUP($D496,成品本月库存!$B:$J,2,0)</f>
        <v>#N/A</v>
      </c>
      <c r="F496" s="54" t="e">
        <f>VLOOKUP($D496,成品本月库存!$B:$J,5,0)</f>
        <v>#N/A</v>
      </c>
      <c r="G496" s="55"/>
      <c r="H496" s="53" t="e">
        <f>VLOOKUP($D496,成品本月库存!$B:$J,9,0)</f>
        <v>#N/A</v>
      </c>
      <c r="I496" s="56"/>
    </row>
    <row r="497" ht="18" customHeight="1" spans="1:9">
      <c r="A497" s="20"/>
      <c r="B497" s="51"/>
      <c r="C497" s="57"/>
      <c r="D497" s="60"/>
      <c r="E497" s="53" t="e">
        <f>VLOOKUP($D497,成品本月库存!$B:$J,2,0)</f>
        <v>#N/A</v>
      </c>
      <c r="F497" s="54" t="e">
        <f>VLOOKUP($D497,成品本月库存!$B:$J,5,0)</f>
        <v>#N/A</v>
      </c>
      <c r="G497" s="55"/>
      <c r="H497" s="53" t="e">
        <f>VLOOKUP($D497,成品本月库存!$B:$J,9,0)</f>
        <v>#N/A</v>
      </c>
      <c r="I497" s="56"/>
    </row>
    <row r="498" ht="18" customHeight="1" spans="1:9">
      <c r="A498" s="20"/>
      <c r="B498" s="51"/>
      <c r="C498" s="57"/>
      <c r="D498" s="60"/>
      <c r="E498" s="53" t="e">
        <f>VLOOKUP($D498,成品本月库存!$B:$J,2,0)</f>
        <v>#N/A</v>
      </c>
      <c r="F498" s="54" t="e">
        <f>VLOOKUP($D498,成品本月库存!$B:$J,5,0)</f>
        <v>#N/A</v>
      </c>
      <c r="G498" s="55"/>
      <c r="H498" s="53" t="e">
        <f>VLOOKUP($D498,成品本月库存!$B:$J,9,0)</f>
        <v>#N/A</v>
      </c>
      <c r="I498" s="56"/>
    </row>
    <row r="499" ht="18" customHeight="1" spans="1:9">
      <c r="A499" s="20"/>
      <c r="B499" s="51"/>
      <c r="C499" s="57"/>
      <c r="D499" s="60"/>
      <c r="E499" s="53" t="e">
        <f>VLOOKUP($D499,成品本月库存!$B:$J,2,0)</f>
        <v>#N/A</v>
      </c>
      <c r="F499" s="54" t="e">
        <f>VLOOKUP($D499,成品本月库存!$B:$J,5,0)</f>
        <v>#N/A</v>
      </c>
      <c r="G499" s="55"/>
      <c r="H499" s="53" t="e">
        <f>VLOOKUP($D499,成品本月库存!$B:$J,9,0)</f>
        <v>#N/A</v>
      </c>
      <c r="I499" s="56"/>
    </row>
    <row r="500" ht="18" customHeight="1" spans="1:9">
      <c r="A500" s="20"/>
      <c r="B500" s="51"/>
      <c r="C500" s="57"/>
      <c r="D500" s="60"/>
      <c r="E500" s="53" t="e">
        <f>VLOOKUP($D500,成品本月库存!$B:$J,2,0)</f>
        <v>#N/A</v>
      </c>
      <c r="F500" s="54" t="e">
        <f>VLOOKUP($D500,成品本月库存!$B:$J,5,0)</f>
        <v>#N/A</v>
      </c>
      <c r="G500" s="55"/>
      <c r="H500" s="53" t="e">
        <f>VLOOKUP($D500,成品本月库存!$B:$J,9,0)</f>
        <v>#N/A</v>
      </c>
      <c r="I500" s="56"/>
    </row>
    <row r="501" ht="18" customHeight="1" spans="1:9">
      <c r="A501" s="20"/>
      <c r="B501" s="51"/>
      <c r="C501" s="57"/>
      <c r="D501" s="60"/>
      <c r="E501" s="53" t="e">
        <f>VLOOKUP($D501,成品本月库存!$B:$J,2,0)</f>
        <v>#N/A</v>
      </c>
      <c r="F501" s="54" t="e">
        <f>VLOOKUP($D501,成品本月库存!$B:$J,5,0)</f>
        <v>#N/A</v>
      </c>
      <c r="G501" s="55"/>
      <c r="H501" s="53" t="e">
        <f>VLOOKUP($D501,成品本月库存!$B:$J,9,0)</f>
        <v>#N/A</v>
      </c>
      <c r="I501" s="56"/>
    </row>
    <row r="502" ht="18" customHeight="1" spans="1:9">
      <c r="A502" s="20"/>
      <c r="B502" s="51"/>
      <c r="C502" s="57"/>
      <c r="D502" s="60"/>
      <c r="E502" s="53" t="e">
        <f>VLOOKUP($D502,成品本月库存!$B:$J,2,0)</f>
        <v>#N/A</v>
      </c>
      <c r="F502" s="54" t="e">
        <f>VLOOKUP($D502,成品本月库存!$B:$J,5,0)</f>
        <v>#N/A</v>
      </c>
      <c r="G502" s="55"/>
      <c r="H502" s="53" t="e">
        <f>VLOOKUP($D502,成品本月库存!$B:$J,9,0)</f>
        <v>#N/A</v>
      </c>
      <c r="I502" s="56"/>
    </row>
    <row r="503" ht="18" customHeight="1" spans="1:9">
      <c r="A503" s="20"/>
      <c r="B503" s="51"/>
      <c r="C503" s="57"/>
      <c r="D503" s="60"/>
      <c r="E503" s="53" t="e">
        <f>VLOOKUP($D503,成品本月库存!$B:$J,2,0)</f>
        <v>#N/A</v>
      </c>
      <c r="F503" s="54" t="e">
        <f>VLOOKUP($D503,成品本月库存!$B:$J,5,0)</f>
        <v>#N/A</v>
      </c>
      <c r="G503" s="55"/>
      <c r="H503" s="53" t="e">
        <f>VLOOKUP($D503,成品本月库存!$B:$J,9,0)</f>
        <v>#N/A</v>
      </c>
      <c r="I503" s="56"/>
    </row>
    <row r="504" ht="18" customHeight="1" spans="1:9">
      <c r="A504" s="20"/>
      <c r="B504" s="51"/>
      <c r="C504" s="57"/>
      <c r="D504" s="60"/>
      <c r="E504" s="53" t="e">
        <f>VLOOKUP($D504,成品本月库存!$B:$J,2,0)</f>
        <v>#N/A</v>
      </c>
      <c r="F504" s="54" t="e">
        <f>VLOOKUP($D504,成品本月库存!$B:$J,5,0)</f>
        <v>#N/A</v>
      </c>
      <c r="G504" s="55"/>
      <c r="H504" s="53" t="e">
        <f>VLOOKUP($D504,成品本月库存!$B:$J,9,0)</f>
        <v>#N/A</v>
      </c>
      <c r="I504" s="56"/>
    </row>
    <row r="505" ht="18" customHeight="1" spans="1:9">
      <c r="A505" s="20"/>
      <c r="B505" s="51"/>
      <c r="C505" s="57"/>
      <c r="D505" s="60"/>
      <c r="E505" s="53" t="e">
        <f>VLOOKUP($D505,成品本月库存!$B:$J,2,0)</f>
        <v>#N/A</v>
      </c>
      <c r="F505" s="54" t="e">
        <f>VLOOKUP($D505,成品本月库存!$B:$J,5,0)</f>
        <v>#N/A</v>
      </c>
      <c r="G505" s="55"/>
      <c r="H505" s="53" t="e">
        <f>VLOOKUP($D505,成品本月库存!$B:$J,9,0)</f>
        <v>#N/A</v>
      </c>
      <c r="I505" s="56"/>
    </row>
    <row r="506" ht="18" customHeight="1" spans="1:9">
      <c r="A506" s="20"/>
      <c r="B506" s="51"/>
      <c r="C506" s="57"/>
      <c r="D506" s="60"/>
      <c r="E506" s="53" t="e">
        <f>VLOOKUP($D506,成品本月库存!$B:$J,2,0)</f>
        <v>#N/A</v>
      </c>
      <c r="F506" s="54" t="e">
        <f>VLOOKUP($D506,成品本月库存!$B:$J,5,0)</f>
        <v>#N/A</v>
      </c>
      <c r="G506" s="55"/>
      <c r="H506" s="53" t="e">
        <f>VLOOKUP($D506,成品本月库存!$B:$J,9,0)</f>
        <v>#N/A</v>
      </c>
      <c r="I506" s="56"/>
    </row>
    <row r="507" ht="18" customHeight="1" spans="1:9">
      <c r="A507" s="20"/>
      <c r="B507" s="51"/>
      <c r="C507" s="57"/>
      <c r="D507" s="60"/>
      <c r="E507" s="53" t="e">
        <f>VLOOKUP($D507,成品本月库存!$B:$J,2,0)</f>
        <v>#N/A</v>
      </c>
      <c r="F507" s="54" t="e">
        <f>VLOOKUP($D507,成品本月库存!$B:$J,5,0)</f>
        <v>#N/A</v>
      </c>
      <c r="G507" s="55"/>
      <c r="H507" s="53" t="e">
        <f>VLOOKUP($D507,成品本月库存!$B:$J,9,0)</f>
        <v>#N/A</v>
      </c>
      <c r="I507" s="56"/>
    </row>
    <row r="508" ht="18" customHeight="1" spans="1:9">
      <c r="A508" s="20"/>
      <c r="B508" s="51"/>
      <c r="C508" s="57"/>
      <c r="D508" s="60"/>
      <c r="E508" s="53" t="e">
        <f>VLOOKUP($D508,成品本月库存!$B:$J,2,0)</f>
        <v>#N/A</v>
      </c>
      <c r="F508" s="54" t="e">
        <f>VLOOKUP($D508,成品本月库存!$B:$J,5,0)</f>
        <v>#N/A</v>
      </c>
      <c r="G508" s="55"/>
      <c r="H508" s="53" t="e">
        <f>VLOOKUP($D508,成品本月库存!$B:$J,9,0)</f>
        <v>#N/A</v>
      </c>
      <c r="I508" s="56"/>
    </row>
    <row r="509" ht="18" customHeight="1" spans="1:9">
      <c r="A509" s="20"/>
      <c r="B509" s="51"/>
      <c r="C509" s="57"/>
      <c r="D509" s="60"/>
      <c r="E509" s="53" t="e">
        <f>VLOOKUP($D509,成品本月库存!$B:$J,2,0)</f>
        <v>#N/A</v>
      </c>
      <c r="F509" s="54" t="e">
        <f>VLOOKUP($D509,成品本月库存!$B:$J,5,0)</f>
        <v>#N/A</v>
      </c>
      <c r="G509" s="55"/>
      <c r="H509" s="53" t="e">
        <f>VLOOKUP($D509,成品本月库存!$B:$J,9,0)</f>
        <v>#N/A</v>
      </c>
      <c r="I509" s="56"/>
    </row>
    <row r="510" ht="18" customHeight="1" spans="1:9">
      <c r="A510" s="20"/>
      <c r="B510" s="51"/>
      <c r="C510" s="57"/>
      <c r="D510" s="60"/>
      <c r="E510" s="53" t="e">
        <f>VLOOKUP($D510,成品本月库存!$B:$J,2,0)</f>
        <v>#N/A</v>
      </c>
      <c r="F510" s="54" t="e">
        <f>VLOOKUP($D510,成品本月库存!$B:$J,5,0)</f>
        <v>#N/A</v>
      </c>
      <c r="G510" s="55"/>
      <c r="H510" s="53" t="e">
        <f>VLOOKUP($D510,成品本月库存!$B:$J,9,0)</f>
        <v>#N/A</v>
      </c>
      <c r="I510" s="56"/>
    </row>
    <row r="511" ht="18" customHeight="1" spans="1:9">
      <c r="A511" s="20"/>
      <c r="B511" s="51"/>
      <c r="C511" s="57"/>
      <c r="D511" s="60"/>
      <c r="E511" s="53" t="e">
        <f>VLOOKUP($D511,成品本月库存!$B:$J,2,0)</f>
        <v>#N/A</v>
      </c>
      <c r="F511" s="54" t="e">
        <f>VLOOKUP($D511,成品本月库存!$B:$J,5,0)</f>
        <v>#N/A</v>
      </c>
      <c r="G511" s="55"/>
      <c r="H511" s="53" t="e">
        <f>VLOOKUP($D511,成品本月库存!$B:$J,9,0)</f>
        <v>#N/A</v>
      </c>
      <c r="I511" s="56"/>
    </row>
    <row r="512" ht="18" customHeight="1" spans="1:9">
      <c r="A512" s="20"/>
      <c r="B512" s="51"/>
      <c r="C512" s="57"/>
      <c r="D512" s="60"/>
      <c r="E512" s="53" t="e">
        <f>VLOOKUP($D512,成品本月库存!$B:$J,2,0)</f>
        <v>#N/A</v>
      </c>
      <c r="F512" s="54" t="e">
        <f>VLOOKUP($D512,成品本月库存!$B:$J,5,0)</f>
        <v>#N/A</v>
      </c>
      <c r="G512" s="55"/>
      <c r="H512" s="53" t="e">
        <f>VLOOKUP($D512,成品本月库存!$B:$J,9,0)</f>
        <v>#N/A</v>
      </c>
      <c r="I512" s="56"/>
    </row>
    <row r="513" ht="18" customHeight="1" spans="1:9">
      <c r="A513" s="20"/>
      <c r="B513" s="51"/>
      <c r="C513" s="57"/>
      <c r="D513" s="60"/>
      <c r="E513" s="53" t="e">
        <f>VLOOKUP($D513,成品本月库存!$B:$J,2,0)</f>
        <v>#N/A</v>
      </c>
      <c r="F513" s="54" t="e">
        <f>VLOOKUP($D513,成品本月库存!$B:$J,5,0)</f>
        <v>#N/A</v>
      </c>
      <c r="G513" s="55"/>
      <c r="H513" s="53" t="e">
        <f>VLOOKUP($D513,成品本月库存!$B:$J,9,0)</f>
        <v>#N/A</v>
      </c>
      <c r="I513" s="56"/>
    </row>
    <row r="514" ht="18" customHeight="1" spans="1:9">
      <c r="A514" s="20"/>
      <c r="B514" s="51"/>
      <c r="C514" s="57"/>
      <c r="D514" s="60"/>
      <c r="E514" s="53" t="e">
        <f>VLOOKUP($D514,成品本月库存!$B:$J,2,0)</f>
        <v>#N/A</v>
      </c>
      <c r="F514" s="54" t="e">
        <f>VLOOKUP($D514,成品本月库存!$B:$J,5,0)</f>
        <v>#N/A</v>
      </c>
      <c r="G514" s="55"/>
      <c r="H514" s="53" t="e">
        <f>VLOOKUP($D514,成品本月库存!$B:$J,9,0)</f>
        <v>#N/A</v>
      </c>
      <c r="I514" s="56"/>
    </row>
    <row r="515" ht="18" customHeight="1" spans="1:9">
      <c r="A515" s="20"/>
      <c r="B515" s="51"/>
      <c r="C515" s="57"/>
      <c r="D515" s="60"/>
      <c r="E515" s="53" t="e">
        <f>VLOOKUP($D515,成品本月库存!$B:$J,2,0)</f>
        <v>#N/A</v>
      </c>
      <c r="F515" s="54" t="e">
        <f>VLOOKUP($D515,成品本月库存!$B:$J,5,0)</f>
        <v>#N/A</v>
      </c>
      <c r="G515" s="55"/>
      <c r="H515" s="53" t="e">
        <f>VLOOKUP($D515,成品本月库存!$B:$J,9,0)</f>
        <v>#N/A</v>
      </c>
      <c r="I515" s="56"/>
    </row>
    <row r="516" ht="18" customHeight="1" spans="1:9">
      <c r="A516" s="20"/>
      <c r="B516" s="51"/>
      <c r="C516" s="57"/>
      <c r="D516" s="60"/>
      <c r="E516" s="53" t="e">
        <f>VLOOKUP($D516,成品本月库存!$B:$J,2,0)</f>
        <v>#N/A</v>
      </c>
      <c r="F516" s="54" t="e">
        <f>VLOOKUP($D516,成品本月库存!$B:$J,5,0)</f>
        <v>#N/A</v>
      </c>
      <c r="G516" s="55"/>
      <c r="H516" s="53" t="e">
        <f>VLOOKUP($D516,成品本月库存!$B:$J,9,0)</f>
        <v>#N/A</v>
      </c>
      <c r="I516" s="56"/>
    </row>
    <row r="517" ht="18" customHeight="1" spans="1:9">
      <c r="A517" s="20"/>
      <c r="B517" s="51"/>
      <c r="C517" s="57"/>
      <c r="D517" s="60"/>
      <c r="E517" s="53" t="e">
        <f>VLOOKUP($D517,成品本月库存!$B:$J,2,0)</f>
        <v>#N/A</v>
      </c>
      <c r="F517" s="54" t="e">
        <f>VLOOKUP($D517,成品本月库存!$B:$J,5,0)</f>
        <v>#N/A</v>
      </c>
      <c r="G517" s="55"/>
      <c r="H517" s="53" t="e">
        <f>VLOOKUP($D517,成品本月库存!$B:$J,9,0)</f>
        <v>#N/A</v>
      </c>
      <c r="I517" s="56"/>
    </row>
    <row r="518" ht="18" customHeight="1" spans="1:9">
      <c r="A518" s="20"/>
      <c r="B518" s="51"/>
      <c r="C518" s="57"/>
      <c r="D518" s="60"/>
      <c r="E518" s="53" t="e">
        <f>VLOOKUP($D518,成品本月库存!$B:$J,2,0)</f>
        <v>#N/A</v>
      </c>
      <c r="F518" s="54" t="e">
        <f>VLOOKUP($D518,成品本月库存!$B:$J,5,0)</f>
        <v>#N/A</v>
      </c>
      <c r="G518" s="55"/>
      <c r="H518" s="53" t="e">
        <f>VLOOKUP($D518,成品本月库存!$B:$J,9,0)</f>
        <v>#N/A</v>
      </c>
      <c r="I518" s="56"/>
    </row>
    <row r="519" ht="18" customHeight="1" spans="1:9">
      <c r="A519" s="20"/>
      <c r="B519" s="51"/>
      <c r="C519" s="57"/>
      <c r="D519" s="60"/>
      <c r="E519" s="53" t="e">
        <f>VLOOKUP($D519,成品本月库存!$B:$J,2,0)</f>
        <v>#N/A</v>
      </c>
      <c r="F519" s="54" t="e">
        <f>VLOOKUP($D519,成品本月库存!$B:$J,5,0)</f>
        <v>#N/A</v>
      </c>
      <c r="G519" s="55"/>
      <c r="H519" s="53" t="e">
        <f>VLOOKUP($D519,成品本月库存!$B:$J,9,0)</f>
        <v>#N/A</v>
      </c>
      <c r="I519" s="56"/>
    </row>
    <row r="520" ht="18" customHeight="1" spans="1:9">
      <c r="A520" s="20"/>
      <c r="B520" s="51"/>
      <c r="C520" s="57"/>
      <c r="D520" s="60"/>
      <c r="E520" s="53" t="e">
        <f>VLOOKUP($D520,成品本月库存!$B:$J,2,0)</f>
        <v>#N/A</v>
      </c>
      <c r="F520" s="54" t="e">
        <f>VLOOKUP($D520,成品本月库存!$B:$J,5,0)</f>
        <v>#N/A</v>
      </c>
      <c r="G520" s="55"/>
      <c r="H520" s="53" t="e">
        <f>VLOOKUP($D520,成品本月库存!$B:$J,9,0)</f>
        <v>#N/A</v>
      </c>
      <c r="I520" s="56"/>
    </row>
    <row r="521" ht="18" customHeight="1" spans="1:9">
      <c r="A521" s="20"/>
      <c r="B521" s="51"/>
      <c r="C521" s="57"/>
      <c r="D521" s="60"/>
      <c r="E521" s="53" t="e">
        <f>VLOOKUP($D521,成品本月库存!$B:$J,2,0)</f>
        <v>#N/A</v>
      </c>
      <c r="F521" s="54" t="e">
        <f>VLOOKUP($D521,成品本月库存!$B:$J,5,0)</f>
        <v>#N/A</v>
      </c>
      <c r="G521" s="55"/>
      <c r="H521" s="53" t="e">
        <f>VLOOKUP($D521,成品本月库存!$B:$J,9,0)</f>
        <v>#N/A</v>
      </c>
      <c r="I521" s="56"/>
    </row>
    <row r="522" ht="18" customHeight="1" spans="1:9">
      <c r="A522" s="20"/>
      <c r="B522" s="51"/>
      <c r="C522" s="57"/>
      <c r="D522" s="60"/>
      <c r="E522" s="53" t="e">
        <f>VLOOKUP($D522,成品本月库存!$B:$J,2,0)</f>
        <v>#N/A</v>
      </c>
      <c r="F522" s="54" t="e">
        <f>VLOOKUP($D522,成品本月库存!$B:$J,5,0)</f>
        <v>#N/A</v>
      </c>
      <c r="G522" s="55"/>
      <c r="H522" s="53" t="e">
        <f>VLOOKUP($D522,成品本月库存!$B:$J,9,0)</f>
        <v>#N/A</v>
      </c>
      <c r="I522" s="56"/>
    </row>
    <row r="523" ht="15.75" spans="1:9">
      <c r="A523" s="20"/>
      <c r="B523" s="51"/>
      <c r="C523" s="57"/>
      <c r="D523" s="60"/>
      <c r="E523" s="53" t="e">
        <f>VLOOKUP($D523,成品本月库存!$B:$J,2,0)</f>
        <v>#N/A</v>
      </c>
      <c r="F523" s="54" t="e">
        <f>VLOOKUP($D523,成品本月库存!$B:$J,5,0)</f>
        <v>#N/A</v>
      </c>
      <c r="G523" s="55"/>
      <c r="H523" s="53" t="e">
        <f>VLOOKUP($D523,成品本月库存!$B:$J,9,0)</f>
        <v>#N/A</v>
      </c>
      <c r="I523" s="56"/>
    </row>
    <row r="524" ht="15.75" spans="1:9">
      <c r="A524" s="20"/>
      <c r="B524" s="51"/>
      <c r="C524" s="57"/>
      <c r="D524" s="60"/>
      <c r="E524" s="53" t="e">
        <f>VLOOKUP($D524,成品本月库存!$B:$J,2,0)</f>
        <v>#N/A</v>
      </c>
      <c r="F524" s="54" t="e">
        <f>VLOOKUP($D524,成品本月库存!$B:$J,5,0)</f>
        <v>#N/A</v>
      </c>
      <c r="G524" s="55"/>
      <c r="H524" s="53" t="e">
        <f>VLOOKUP($D524,成品本月库存!$B:$J,9,0)</f>
        <v>#N/A</v>
      </c>
      <c r="I524" s="56"/>
    </row>
    <row r="525" ht="15.75" spans="1:9">
      <c r="A525" s="20"/>
      <c r="B525" s="51"/>
      <c r="C525" s="57"/>
      <c r="D525" s="60"/>
      <c r="E525" s="53" t="e">
        <f>VLOOKUP($D525,成品本月库存!$B:$J,2,0)</f>
        <v>#N/A</v>
      </c>
      <c r="F525" s="54" t="e">
        <f>VLOOKUP($D525,成品本月库存!$B:$J,5,0)</f>
        <v>#N/A</v>
      </c>
      <c r="G525" s="55"/>
      <c r="H525" s="53" t="e">
        <f>VLOOKUP($D525,成品本月库存!$B:$J,9,0)</f>
        <v>#N/A</v>
      </c>
      <c r="I525" s="56"/>
    </row>
    <row r="526" ht="15.75" spans="1:9">
      <c r="A526" s="20"/>
      <c r="B526" s="51"/>
      <c r="C526" s="57"/>
      <c r="D526" s="60"/>
      <c r="E526" s="53" t="e">
        <f>VLOOKUP($D526,成品本月库存!$B:$J,2,0)</f>
        <v>#N/A</v>
      </c>
      <c r="F526" s="54" t="e">
        <f>VLOOKUP($D526,成品本月库存!$B:$J,5,0)</f>
        <v>#N/A</v>
      </c>
      <c r="G526" s="55"/>
      <c r="H526" s="53" t="e">
        <f>VLOOKUP($D526,成品本月库存!$B:$J,9,0)</f>
        <v>#N/A</v>
      </c>
      <c r="I526" s="56"/>
    </row>
    <row r="527" ht="15.75" spans="1:9">
      <c r="A527" s="20"/>
      <c r="B527" s="51"/>
      <c r="C527" s="57"/>
      <c r="D527" s="60"/>
      <c r="E527" s="53" t="e">
        <f>VLOOKUP($D527,成品本月库存!$B:$J,2,0)</f>
        <v>#N/A</v>
      </c>
      <c r="F527" s="54" t="e">
        <f>VLOOKUP($D527,成品本月库存!$B:$J,5,0)</f>
        <v>#N/A</v>
      </c>
      <c r="G527" s="55"/>
      <c r="H527" s="53" t="e">
        <f>VLOOKUP($D527,成品本月库存!$B:$J,9,0)</f>
        <v>#N/A</v>
      </c>
      <c r="I527" s="56"/>
    </row>
    <row r="528" ht="15.75" spans="1:9">
      <c r="A528" s="20"/>
      <c r="B528" s="51"/>
      <c r="C528" s="57"/>
      <c r="D528" s="60"/>
      <c r="E528" s="53" t="e">
        <f>VLOOKUP($D528,成品本月库存!$B:$J,2,0)</f>
        <v>#N/A</v>
      </c>
      <c r="F528" s="54" t="e">
        <f>VLOOKUP($D528,成品本月库存!$B:$J,5,0)</f>
        <v>#N/A</v>
      </c>
      <c r="G528" s="55"/>
      <c r="H528" s="53" t="e">
        <f>VLOOKUP($D528,成品本月库存!$B:$J,9,0)</f>
        <v>#N/A</v>
      </c>
      <c r="I528" s="56"/>
    </row>
    <row r="529" ht="15.75" spans="1:9">
      <c r="A529" s="20"/>
      <c r="B529" s="51"/>
      <c r="C529" s="57"/>
      <c r="D529" s="60"/>
      <c r="E529" s="53" t="e">
        <f>VLOOKUP($D529,成品本月库存!$B:$J,2,0)</f>
        <v>#N/A</v>
      </c>
      <c r="F529" s="54" t="e">
        <f>VLOOKUP($D529,成品本月库存!$B:$J,5,0)</f>
        <v>#N/A</v>
      </c>
      <c r="G529" s="55"/>
      <c r="H529" s="53" t="e">
        <f>VLOOKUP($D529,成品本月库存!$B:$J,9,0)</f>
        <v>#N/A</v>
      </c>
      <c r="I529" s="56"/>
    </row>
    <row r="530" ht="15.75" spans="1:9">
      <c r="A530" s="20"/>
      <c r="B530" s="51"/>
      <c r="C530" s="57"/>
      <c r="D530" s="60"/>
      <c r="E530" s="53" t="e">
        <f>VLOOKUP($D530,成品本月库存!$B:$J,2,0)</f>
        <v>#N/A</v>
      </c>
      <c r="F530" s="54" t="e">
        <f>VLOOKUP($D530,成品本月库存!$B:$J,5,0)</f>
        <v>#N/A</v>
      </c>
      <c r="G530" s="55"/>
      <c r="H530" s="53" t="e">
        <f>VLOOKUP($D530,成品本月库存!$B:$J,9,0)</f>
        <v>#N/A</v>
      </c>
      <c r="I530" s="56"/>
    </row>
    <row r="531" ht="15.75" spans="1:9">
      <c r="A531" s="20"/>
      <c r="B531" s="51"/>
      <c r="C531" s="57"/>
      <c r="D531" s="60"/>
      <c r="E531" s="53" t="e">
        <f>VLOOKUP($D531,成品本月库存!$B:$J,2,0)</f>
        <v>#N/A</v>
      </c>
      <c r="F531" s="54" t="e">
        <f>VLOOKUP($D531,成品本月库存!$B:$J,5,0)</f>
        <v>#N/A</v>
      </c>
      <c r="G531" s="55"/>
      <c r="H531" s="53" t="e">
        <f>VLOOKUP($D531,成品本月库存!$B:$J,9,0)</f>
        <v>#N/A</v>
      </c>
      <c r="I531" s="56"/>
    </row>
    <row r="532" ht="18" customHeight="1" spans="1:9">
      <c r="A532" s="20"/>
      <c r="B532" s="51"/>
      <c r="C532" s="57"/>
      <c r="D532" s="60"/>
      <c r="E532" s="53" t="e">
        <f>VLOOKUP($D532,成品本月库存!$B:$J,2,0)</f>
        <v>#N/A</v>
      </c>
      <c r="F532" s="54" t="e">
        <f>VLOOKUP($D532,成品本月库存!$B:$J,5,0)</f>
        <v>#N/A</v>
      </c>
      <c r="G532" s="55"/>
      <c r="H532" s="53" t="e">
        <f>VLOOKUP($D532,成品本月库存!$B:$J,9,0)</f>
        <v>#N/A</v>
      </c>
      <c r="I532" s="56"/>
    </row>
    <row r="533" ht="18" customHeight="1" spans="1:9">
      <c r="A533" s="20"/>
      <c r="B533" s="51"/>
      <c r="C533" s="57"/>
      <c r="D533" s="60"/>
      <c r="E533" s="53" t="e">
        <f>VLOOKUP($D533,成品本月库存!$B:$J,2,0)</f>
        <v>#N/A</v>
      </c>
      <c r="F533" s="54" t="e">
        <f>VLOOKUP($D533,成品本月库存!$B:$J,5,0)</f>
        <v>#N/A</v>
      </c>
      <c r="G533" s="55"/>
      <c r="H533" s="53" t="e">
        <f>VLOOKUP($D533,成品本月库存!$B:$J,9,0)</f>
        <v>#N/A</v>
      </c>
      <c r="I533" s="56"/>
    </row>
    <row r="534" ht="18" customHeight="1" spans="1:9">
      <c r="A534" s="20"/>
      <c r="B534" s="51"/>
      <c r="C534" s="57"/>
      <c r="D534" s="60"/>
      <c r="E534" s="53" t="e">
        <f>VLOOKUP($D534,成品本月库存!$B:$J,2,0)</f>
        <v>#N/A</v>
      </c>
      <c r="F534" s="54" t="e">
        <f>VLOOKUP($D534,成品本月库存!$B:$J,5,0)</f>
        <v>#N/A</v>
      </c>
      <c r="G534" s="55"/>
      <c r="H534" s="53" t="e">
        <f>VLOOKUP($D534,成品本月库存!$B:$J,9,0)</f>
        <v>#N/A</v>
      </c>
      <c r="I534" s="56"/>
    </row>
    <row r="535" ht="18" customHeight="1" spans="1:9">
      <c r="A535" s="20"/>
      <c r="B535" s="51"/>
      <c r="C535" s="57"/>
      <c r="D535" s="60"/>
      <c r="E535" s="53" t="e">
        <f>VLOOKUP($D535,成品本月库存!$B:$J,2,0)</f>
        <v>#N/A</v>
      </c>
      <c r="F535" s="54" t="e">
        <f>VLOOKUP($D535,成品本月库存!$B:$J,5,0)</f>
        <v>#N/A</v>
      </c>
      <c r="G535" s="55"/>
      <c r="H535" s="53" t="e">
        <f>VLOOKUP($D535,成品本月库存!$B:$J,9,0)</f>
        <v>#N/A</v>
      </c>
      <c r="I535" s="56"/>
    </row>
    <row r="536" ht="18" customHeight="1" spans="1:9">
      <c r="A536" s="20"/>
      <c r="B536" s="51"/>
      <c r="C536" s="57"/>
      <c r="D536" s="60"/>
      <c r="E536" s="53" t="e">
        <f>VLOOKUP($D536,成品本月库存!$B:$J,2,0)</f>
        <v>#N/A</v>
      </c>
      <c r="F536" s="54" t="e">
        <f>VLOOKUP($D536,成品本月库存!$B:$J,5,0)</f>
        <v>#N/A</v>
      </c>
      <c r="G536" s="55"/>
      <c r="H536" s="53" t="e">
        <f>VLOOKUP($D536,成品本月库存!$B:$J,9,0)</f>
        <v>#N/A</v>
      </c>
      <c r="I536" s="56"/>
    </row>
    <row r="537" ht="18" customHeight="1" spans="1:9">
      <c r="A537" s="20"/>
      <c r="B537" s="51"/>
      <c r="C537" s="57"/>
      <c r="D537" s="60"/>
      <c r="E537" s="53" t="e">
        <f>VLOOKUP($D537,成品本月库存!$B:$J,2,0)</f>
        <v>#N/A</v>
      </c>
      <c r="F537" s="54" t="e">
        <f>VLOOKUP($D537,成品本月库存!$B:$J,5,0)</f>
        <v>#N/A</v>
      </c>
      <c r="G537" s="55"/>
      <c r="H537" s="53" t="e">
        <f>VLOOKUP($D537,成品本月库存!$B:$J,9,0)</f>
        <v>#N/A</v>
      </c>
      <c r="I537" s="56"/>
    </row>
    <row r="538" ht="18" customHeight="1" spans="1:9">
      <c r="A538" s="20"/>
      <c r="B538" s="51"/>
      <c r="C538" s="57"/>
      <c r="D538" s="60"/>
      <c r="E538" s="53" t="e">
        <f>VLOOKUP($D538,成品本月库存!$B:$J,2,0)</f>
        <v>#N/A</v>
      </c>
      <c r="F538" s="54" t="e">
        <f>VLOOKUP($D538,成品本月库存!$B:$J,5,0)</f>
        <v>#N/A</v>
      </c>
      <c r="G538" s="55"/>
      <c r="H538" s="53" t="e">
        <f>VLOOKUP($D538,成品本月库存!$B:$J,9,0)</f>
        <v>#N/A</v>
      </c>
      <c r="I538" s="56"/>
    </row>
    <row r="539" ht="18" customHeight="1" spans="1:9">
      <c r="A539" s="20"/>
      <c r="B539" s="51"/>
      <c r="C539" s="57"/>
      <c r="D539" s="60"/>
      <c r="E539" s="53" t="e">
        <f>VLOOKUP($D539,成品本月库存!$B:$J,2,0)</f>
        <v>#N/A</v>
      </c>
      <c r="F539" s="54" t="e">
        <f>VLOOKUP($D539,成品本月库存!$B:$J,5,0)</f>
        <v>#N/A</v>
      </c>
      <c r="G539" s="55"/>
      <c r="H539" s="53" t="e">
        <f>VLOOKUP($D539,成品本月库存!$B:$J,9,0)</f>
        <v>#N/A</v>
      </c>
      <c r="I539" s="56"/>
    </row>
    <row r="540" ht="18" customHeight="1" spans="1:9">
      <c r="A540" s="20"/>
      <c r="B540" s="51"/>
      <c r="C540" s="57"/>
      <c r="D540" s="60"/>
      <c r="E540" s="53" t="e">
        <f>VLOOKUP($D540,成品本月库存!$B:$J,2,0)</f>
        <v>#N/A</v>
      </c>
      <c r="F540" s="54" t="e">
        <f>VLOOKUP($D540,成品本月库存!$B:$J,5,0)</f>
        <v>#N/A</v>
      </c>
      <c r="G540" s="55"/>
      <c r="H540" s="53" t="e">
        <f>VLOOKUP($D540,成品本月库存!$B:$J,9,0)</f>
        <v>#N/A</v>
      </c>
      <c r="I540" s="56"/>
    </row>
    <row r="541" ht="18" customHeight="1" spans="1:9">
      <c r="A541" s="20"/>
      <c r="B541" s="51"/>
      <c r="C541" s="57"/>
      <c r="D541" s="60"/>
      <c r="E541" s="53" t="e">
        <f>VLOOKUP($D541,成品本月库存!$B:$J,2,0)</f>
        <v>#N/A</v>
      </c>
      <c r="F541" s="54" t="e">
        <f>VLOOKUP($D541,成品本月库存!$B:$J,5,0)</f>
        <v>#N/A</v>
      </c>
      <c r="G541" s="55"/>
      <c r="H541" s="53" t="e">
        <f>VLOOKUP($D541,成品本月库存!$B:$J,9,0)</f>
        <v>#N/A</v>
      </c>
      <c r="I541" s="56"/>
    </row>
    <row r="542" ht="18" customHeight="1" spans="1:9">
      <c r="A542" s="20"/>
      <c r="B542" s="51"/>
      <c r="C542" s="57"/>
      <c r="D542" s="60"/>
      <c r="E542" s="53" t="e">
        <f>VLOOKUP($D542,成品本月库存!$B:$J,2,0)</f>
        <v>#N/A</v>
      </c>
      <c r="F542" s="54" t="e">
        <f>VLOOKUP($D542,成品本月库存!$B:$J,5,0)</f>
        <v>#N/A</v>
      </c>
      <c r="G542" s="55"/>
      <c r="H542" s="53" t="e">
        <f>VLOOKUP($D542,成品本月库存!$B:$J,9,0)</f>
        <v>#N/A</v>
      </c>
      <c r="I542" s="56"/>
    </row>
    <row r="543" ht="18" customHeight="1" spans="1:9">
      <c r="A543" s="20"/>
      <c r="B543" s="51"/>
      <c r="C543" s="57"/>
      <c r="D543" s="61"/>
      <c r="E543" s="53" t="e">
        <f>VLOOKUP($D543,成品本月库存!$B:$J,2,0)</f>
        <v>#N/A</v>
      </c>
      <c r="F543" s="54" t="e">
        <f>VLOOKUP($D543,成品本月库存!$B:$J,5,0)</f>
        <v>#N/A</v>
      </c>
      <c r="G543" s="55"/>
      <c r="H543" s="53" t="e">
        <f>VLOOKUP($D543,成品本月库存!$B:$J,9,0)</f>
        <v>#N/A</v>
      </c>
      <c r="I543" s="56"/>
    </row>
    <row r="544" ht="18" customHeight="1" spans="1:9">
      <c r="A544" s="20"/>
      <c r="B544" s="51"/>
      <c r="C544" s="57"/>
      <c r="D544" s="61"/>
      <c r="E544" s="53" t="e">
        <f>VLOOKUP($D544,成品本月库存!$B:$J,2,0)</f>
        <v>#N/A</v>
      </c>
      <c r="F544" s="54" t="e">
        <f>VLOOKUP($D544,成品本月库存!$B:$J,5,0)</f>
        <v>#N/A</v>
      </c>
      <c r="G544" s="55"/>
      <c r="H544" s="53" t="e">
        <f>VLOOKUP($D544,成品本月库存!$B:$J,9,0)</f>
        <v>#N/A</v>
      </c>
      <c r="I544" s="56"/>
    </row>
    <row r="545" ht="18" customHeight="1" spans="1:9">
      <c r="A545" s="20"/>
      <c r="B545" s="51"/>
      <c r="C545" s="57"/>
      <c r="D545" s="61"/>
      <c r="E545" s="53" t="e">
        <f>VLOOKUP($D545,成品本月库存!$B:$J,2,0)</f>
        <v>#N/A</v>
      </c>
      <c r="F545" s="54" t="e">
        <f>VLOOKUP($D545,成品本月库存!$B:$J,5,0)</f>
        <v>#N/A</v>
      </c>
      <c r="G545" s="55"/>
      <c r="H545" s="53" t="e">
        <f>VLOOKUP($D545,成品本月库存!$B:$J,9,0)</f>
        <v>#N/A</v>
      </c>
      <c r="I545" s="56"/>
    </row>
    <row r="546" ht="18" customHeight="1" spans="1:9">
      <c r="A546" s="20"/>
      <c r="B546" s="51"/>
      <c r="C546" s="57"/>
      <c r="D546" s="61"/>
      <c r="E546" s="53" t="e">
        <f>VLOOKUP($D546,成品本月库存!$B:$J,2,0)</f>
        <v>#N/A</v>
      </c>
      <c r="F546" s="54" t="e">
        <f>VLOOKUP($D546,成品本月库存!$B:$J,5,0)</f>
        <v>#N/A</v>
      </c>
      <c r="G546" s="55"/>
      <c r="H546" s="53" t="e">
        <f>VLOOKUP($D546,成品本月库存!$B:$J,9,0)</f>
        <v>#N/A</v>
      </c>
      <c r="I546" s="56"/>
    </row>
    <row r="547" ht="18" customHeight="1" spans="1:9">
      <c r="A547" s="20"/>
      <c r="B547" s="51"/>
      <c r="C547" s="57"/>
      <c r="D547" s="61"/>
      <c r="E547" s="53" t="e">
        <f>VLOOKUP($D547,成品本月库存!$B:$J,2,0)</f>
        <v>#N/A</v>
      </c>
      <c r="F547" s="54" t="e">
        <f>VLOOKUP($D547,成品本月库存!$B:$J,5,0)</f>
        <v>#N/A</v>
      </c>
      <c r="G547" s="55"/>
      <c r="H547" s="53" t="e">
        <f>VLOOKUP($D547,成品本月库存!$B:$J,9,0)</f>
        <v>#N/A</v>
      </c>
      <c r="I547" s="56"/>
    </row>
    <row r="548" ht="18" customHeight="1" spans="1:9">
      <c r="A548" s="20"/>
      <c r="B548" s="51"/>
      <c r="C548" s="57"/>
      <c r="D548" s="61"/>
      <c r="E548" s="53" t="e">
        <f>VLOOKUP($D548,成品本月库存!$B:$J,2,0)</f>
        <v>#N/A</v>
      </c>
      <c r="F548" s="54" t="e">
        <f>VLOOKUP($D548,成品本月库存!$B:$J,5,0)</f>
        <v>#N/A</v>
      </c>
      <c r="G548" s="55"/>
      <c r="H548" s="53" t="e">
        <f>VLOOKUP($D548,成品本月库存!$B:$J,9,0)</f>
        <v>#N/A</v>
      </c>
      <c r="I548" s="56"/>
    </row>
    <row r="549" ht="18" customHeight="1" spans="1:9">
      <c r="A549" s="20"/>
      <c r="B549" s="51"/>
      <c r="C549" s="57"/>
      <c r="D549" s="61"/>
      <c r="E549" s="53" t="e">
        <f>VLOOKUP($D549,成品本月库存!$B:$J,2,0)</f>
        <v>#N/A</v>
      </c>
      <c r="F549" s="54" t="e">
        <f>VLOOKUP($D549,成品本月库存!$B:$J,5,0)</f>
        <v>#N/A</v>
      </c>
      <c r="G549" s="55"/>
      <c r="H549" s="53" t="e">
        <f>VLOOKUP($D549,成品本月库存!$B:$J,9,0)</f>
        <v>#N/A</v>
      </c>
      <c r="I549" s="56"/>
    </row>
    <row r="550" ht="18" customHeight="1" spans="1:9">
      <c r="A550" s="20"/>
      <c r="B550" s="51"/>
      <c r="C550" s="57"/>
      <c r="D550" s="61"/>
      <c r="E550" s="53" t="e">
        <f>VLOOKUP($D550,成品本月库存!$B:$J,2,0)</f>
        <v>#N/A</v>
      </c>
      <c r="F550" s="54" t="e">
        <f>VLOOKUP($D550,成品本月库存!$B:$J,5,0)</f>
        <v>#N/A</v>
      </c>
      <c r="G550" s="55"/>
      <c r="H550" s="53" t="e">
        <f>VLOOKUP($D550,成品本月库存!$B:$J,9,0)</f>
        <v>#N/A</v>
      </c>
      <c r="I550" s="56"/>
    </row>
    <row r="551" ht="18" customHeight="1" spans="1:9">
      <c r="A551" s="20"/>
      <c r="B551" s="51"/>
      <c r="C551" s="57"/>
      <c r="D551" s="61"/>
      <c r="E551" s="53" t="e">
        <f>VLOOKUP($D551,成品本月库存!$B:$J,2,0)</f>
        <v>#N/A</v>
      </c>
      <c r="F551" s="54" t="e">
        <f>VLOOKUP($D551,成品本月库存!$B:$J,5,0)</f>
        <v>#N/A</v>
      </c>
      <c r="G551" s="55"/>
      <c r="H551" s="53" t="e">
        <f>VLOOKUP($D551,成品本月库存!$B:$J,9,0)</f>
        <v>#N/A</v>
      </c>
      <c r="I551" s="56"/>
    </row>
    <row r="552" ht="18" customHeight="1" spans="1:9">
      <c r="A552" s="20"/>
      <c r="B552" s="51"/>
      <c r="C552" s="57"/>
      <c r="D552" s="61"/>
      <c r="E552" s="53" t="e">
        <f>VLOOKUP($D552,成品本月库存!$B:$J,2,0)</f>
        <v>#N/A</v>
      </c>
      <c r="F552" s="54" t="e">
        <f>VLOOKUP($D552,成品本月库存!$B:$J,5,0)</f>
        <v>#N/A</v>
      </c>
      <c r="G552" s="55"/>
      <c r="H552" s="53" t="e">
        <f>VLOOKUP($D552,成品本月库存!$B:$J,9,0)</f>
        <v>#N/A</v>
      </c>
      <c r="I552" s="56"/>
    </row>
    <row r="553" ht="18" customHeight="1" spans="1:9">
      <c r="A553" s="20"/>
      <c r="B553" s="51"/>
      <c r="C553" s="57"/>
      <c r="D553" s="61"/>
      <c r="E553" s="53" t="e">
        <f>VLOOKUP($D553,成品本月库存!$B:$J,2,0)</f>
        <v>#N/A</v>
      </c>
      <c r="F553" s="54" t="e">
        <f>VLOOKUP($D553,成品本月库存!$B:$J,5,0)</f>
        <v>#N/A</v>
      </c>
      <c r="G553" s="55"/>
      <c r="H553" s="53" t="e">
        <f>VLOOKUP($D553,成品本月库存!$B:$J,9,0)</f>
        <v>#N/A</v>
      </c>
      <c r="I553" s="56"/>
    </row>
    <row r="554" ht="18" customHeight="1" spans="1:9">
      <c r="A554" s="20"/>
      <c r="B554" s="51"/>
      <c r="C554" s="57"/>
      <c r="D554" s="61"/>
      <c r="E554" s="53" t="e">
        <f>VLOOKUP($D554,成品本月库存!$B:$J,2,0)</f>
        <v>#N/A</v>
      </c>
      <c r="F554" s="54" t="e">
        <f>VLOOKUP($D554,成品本月库存!$B:$J,5,0)</f>
        <v>#N/A</v>
      </c>
      <c r="G554" s="55"/>
      <c r="H554" s="53" t="e">
        <f>VLOOKUP($D554,成品本月库存!$B:$J,9,0)</f>
        <v>#N/A</v>
      </c>
      <c r="I554" s="56"/>
    </row>
    <row r="555" ht="18" customHeight="1" spans="1:9">
      <c r="A555" s="20"/>
      <c r="B555" s="51"/>
      <c r="C555" s="57"/>
      <c r="D555" s="61"/>
      <c r="E555" s="53" t="e">
        <f>VLOOKUP($D555,成品本月库存!$B:$J,2,0)</f>
        <v>#N/A</v>
      </c>
      <c r="F555" s="54" t="e">
        <f>VLOOKUP($D555,成品本月库存!$B:$J,5,0)</f>
        <v>#N/A</v>
      </c>
      <c r="G555" s="55"/>
      <c r="H555" s="53" t="e">
        <f>VLOOKUP($D555,成品本月库存!$B:$J,9,0)</f>
        <v>#N/A</v>
      </c>
      <c r="I555" s="56"/>
    </row>
    <row r="556" ht="18" customHeight="1" spans="1:9">
      <c r="A556" s="20"/>
      <c r="B556" s="51"/>
      <c r="C556" s="57"/>
      <c r="D556" s="61"/>
      <c r="E556" s="53" t="e">
        <f>VLOOKUP($D556,成品本月库存!$B:$J,2,0)</f>
        <v>#N/A</v>
      </c>
      <c r="F556" s="54" t="e">
        <f>VLOOKUP($D556,成品本月库存!$B:$J,5,0)</f>
        <v>#N/A</v>
      </c>
      <c r="G556" s="55"/>
      <c r="H556" s="53" t="e">
        <f>VLOOKUP($D556,成品本月库存!$B:$J,9,0)</f>
        <v>#N/A</v>
      </c>
      <c r="I556" s="56"/>
    </row>
    <row r="557" ht="18" customHeight="1" spans="1:9">
      <c r="A557" s="20"/>
      <c r="B557" s="51"/>
      <c r="C557" s="57"/>
      <c r="D557" s="61"/>
      <c r="E557" s="53" t="e">
        <f>VLOOKUP($D557,成品本月库存!$B:$J,2,0)</f>
        <v>#N/A</v>
      </c>
      <c r="F557" s="54" t="e">
        <f>VLOOKUP($D557,成品本月库存!$B:$J,5,0)</f>
        <v>#N/A</v>
      </c>
      <c r="G557" s="55"/>
      <c r="H557" s="53" t="e">
        <f>VLOOKUP($D557,成品本月库存!$B:$J,9,0)</f>
        <v>#N/A</v>
      </c>
      <c r="I557" s="56"/>
    </row>
    <row r="558" ht="18" customHeight="1" spans="1:9">
      <c r="A558" s="20"/>
      <c r="B558" s="51"/>
      <c r="C558" s="57"/>
      <c r="D558" s="61"/>
      <c r="E558" s="53" t="e">
        <f>VLOOKUP($D558,成品本月库存!$B:$J,2,0)</f>
        <v>#N/A</v>
      </c>
      <c r="F558" s="54" t="e">
        <f>VLOOKUP($D558,成品本月库存!$B:$J,5,0)</f>
        <v>#N/A</v>
      </c>
      <c r="G558" s="55"/>
      <c r="H558" s="53" t="e">
        <f>VLOOKUP($D558,成品本月库存!$B:$J,9,0)</f>
        <v>#N/A</v>
      </c>
      <c r="I558" s="56"/>
    </row>
    <row r="559" ht="18" customHeight="1" spans="1:9">
      <c r="A559" s="20"/>
      <c r="B559" s="51"/>
      <c r="C559" s="57"/>
      <c r="D559" s="61"/>
      <c r="E559" s="53" t="e">
        <f>VLOOKUP($D559,成品本月库存!$B:$J,2,0)</f>
        <v>#N/A</v>
      </c>
      <c r="F559" s="54" t="e">
        <f>VLOOKUP($D559,成品本月库存!$B:$J,5,0)</f>
        <v>#N/A</v>
      </c>
      <c r="G559" s="55"/>
      <c r="H559" s="53" t="e">
        <f>VLOOKUP($D559,成品本月库存!$B:$J,9,0)</f>
        <v>#N/A</v>
      </c>
      <c r="I559" s="56"/>
    </row>
    <row r="560" ht="18" customHeight="1" spans="1:9">
      <c r="A560" s="20"/>
      <c r="B560" s="51"/>
      <c r="C560" s="57"/>
      <c r="D560" s="61"/>
      <c r="E560" s="53" t="e">
        <f>VLOOKUP($D560,成品本月库存!$B:$J,2,0)</f>
        <v>#N/A</v>
      </c>
      <c r="F560" s="54" t="e">
        <f>VLOOKUP($D560,成品本月库存!$B:$J,5,0)</f>
        <v>#N/A</v>
      </c>
      <c r="G560" s="55"/>
      <c r="H560" s="53" t="e">
        <f>VLOOKUP($D560,成品本月库存!$B:$J,9,0)</f>
        <v>#N/A</v>
      </c>
      <c r="I560" s="56"/>
    </row>
    <row r="561" ht="18" customHeight="1" spans="1:9">
      <c r="A561" s="20"/>
      <c r="B561" s="51"/>
      <c r="C561" s="57"/>
      <c r="D561" s="61"/>
      <c r="E561" s="53" t="e">
        <f>VLOOKUP($D561,成品本月库存!$B:$J,2,0)</f>
        <v>#N/A</v>
      </c>
      <c r="F561" s="54" t="e">
        <f>VLOOKUP($D561,成品本月库存!$B:$J,5,0)</f>
        <v>#N/A</v>
      </c>
      <c r="G561" s="55"/>
      <c r="H561" s="53" t="e">
        <f>VLOOKUP($D561,成品本月库存!$B:$J,9,0)</f>
        <v>#N/A</v>
      </c>
      <c r="I561" s="56"/>
    </row>
    <row r="562" ht="15.75" spans="1:9">
      <c r="A562" s="20"/>
      <c r="B562" s="51"/>
      <c r="C562" s="57"/>
      <c r="D562" s="61"/>
      <c r="E562" s="53" t="e">
        <f>VLOOKUP($D562,成品本月库存!$B:$J,2,0)</f>
        <v>#N/A</v>
      </c>
      <c r="F562" s="54" t="e">
        <f>VLOOKUP($D562,成品本月库存!$B:$J,5,0)</f>
        <v>#N/A</v>
      </c>
      <c r="G562" s="55"/>
      <c r="H562" s="53" t="e">
        <f>VLOOKUP($D562,成品本月库存!$B:$J,9,0)</f>
        <v>#N/A</v>
      </c>
      <c r="I562" s="56"/>
    </row>
    <row r="563" ht="15.75" spans="1:9">
      <c r="A563" s="20"/>
      <c r="B563" s="51"/>
      <c r="C563" s="57"/>
      <c r="D563" s="61"/>
      <c r="E563" s="53" t="e">
        <f>VLOOKUP($D563,成品本月库存!$B:$J,2,0)</f>
        <v>#N/A</v>
      </c>
      <c r="F563" s="54" t="e">
        <f>VLOOKUP($D563,成品本月库存!$B:$J,5,0)</f>
        <v>#N/A</v>
      </c>
      <c r="G563" s="55"/>
      <c r="H563" s="53" t="e">
        <f>VLOOKUP($D563,成品本月库存!$B:$J,9,0)</f>
        <v>#N/A</v>
      </c>
      <c r="I563" s="56"/>
    </row>
    <row r="564" ht="15.75" spans="1:9">
      <c r="A564" s="20"/>
      <c r="B564" s="51"/>
      <c r="C564" s="57"/>
      <c r="D564" s="61"/>
      <c r="E564" s="53" t="e">
        <f>VLOOKUP($D564,成品本月库存!$B:$J,2,0)</f>
        <v>#N/A</v>
      </c>
      <c r="F564" s="54" t="e">
        <f>VLOOKUP($D564,成品本月库存!$B:$J,5,0)</f>
        <v>#N/A</v>
      </c>
      <c r="G564" s="55"/>
      <c r="H564" s="53" t="e">
        <f>VLOOKUP($D564,成品本月库存!$B:$J,9,0)</f>
        <v>#N/A</v>
      </c>
      <c r="I564" s="56"/>
    </row>
    <row r="565" ht="15.75" spans="1:9">
      <c r="A565" s="20"/>
      <c r="B565" s="51"/>
      <c r="C565" s="57"/>
      <c r="D565" s="61"/>
      <c r="E565" s="53" t="e">
        <f>VLOOKUP($D565,成品本月库存!$B:$J,2,0)</f>
        <v>#N/A</v>
      </c>
      <c r="F565" s="54" t="e">
        <f>VLOOKUP($D565,成品本月库存!$B:$J,5,0)</f>
        <v>#N/A</v>
      </c>
      <c r="G565" s="55"/>
      <c r="H565" s="53" t="e">
        <f>VLOOKUP($D565,成品本月库存!$B:$J,9,0)</f>
        <v>#N/A</v>
      </c>
      <c r="I565" s="56"/>
    </row>
    <row r="566" ht="15.75" spans="1:9">
      <c r="A566" s="20"/>
      <c r="B566" s="51"/>
      <c r="C566" s="57"/>
      <c r="D566" s="61"/>
      <c r="E566" s="53" t="e">
        <f>VLOOKUP($D566,成品本月库存!$B:$J,2,0)</f>
        <v>#N/A</v>
      </c>
      <c r="F566" s="54" t="e">
        <f>VLOOKUP($D566,成品本月库存!$B:$J,5,0)</f>
        <v>#N/A</v>
      </c>
      <c r="G566" s="55"/>
      <c r="H566" s="53" t="e">
        <f>VLOOKUP($D566,成品本月库存!$B:$J,9,0)</f>
        <v>#N/A</v>
      </c>
      <c r="I566" s="56"/>
    </row>
    <row r="567" ht="15.75" spans="1:9">
      <c r="A567" s="20"/>
      <c r="B567" s="51"/>
      <c r="C567" s="57"/>
      <c r="D567" s="61"/>
      <c r="E567" s="53" t="e">
        <f>VLOOKUP($D567,成品本月库存!$B:$J,2,0)</f>
        <v>#N/A</v>
      </c>
      <c r="F567" s="54" t="e">
        <f>VLOOKUP($D567,成品本月库存!$B:$J,5,0)</f>
        <v>#N/A</v>
      </c>
      <c r="G567" s="55"/>
      <c r="H567" s="53" t="e">
        <f>VLOOKUP($D567,成品本月库存!$B:$J,9,0)</f>
        <v>#N/A</v>
      </c>
      <c r="I567" s="56"/>
    </row>
    <row r="568" ht="15.75" spans="1:9">
      <c r="A568" s="20"/>
      <c r="B568" s="51"/>
      <c r="C568" s="57"/>
      <c r="D568" s="61"/>
      <c r="E568" s="53" t="e">
        <f>VLOOKUP($D568,成品本月库存!$B:$J,2,0)</f>
        <v>#N/A</v>
      </c>
      <c r="F568" s="54" t="e">
        <f>VLOOKUP($D568,成品本月库存!$B:$J,5,0)</f>
        <v>#N/A</v>
      </c>
      <c r="G568" s="55"/>
      <c r="H568" s="53" t="e">
        <f>VLOOKUP($D568,成品本月库存!$B:$J,9,0)</f>
        <v>#N/A</v>
      </c>
      <c r="I568" s="56"/>
    </row>
    <row r="569" ht="15.75" spans="1:9">
      <c r="A569" s="20"/>
      <c r="B569" s="51"/>
      <c r="C569" s="57"/>
      <c r="D569" s="61"/>
      <c r="E569" s="53" t="e">
        <f>VLOOKUP($D569,成品本月库存!$B:$J,2,0)</f>
        <v>#N/A</v>
      </c>
      <c r="F569" s="54" t="e">
        <f>VLOOKUP($D569,成品本月库存!$B:$J,5,0)</f>
        <v>#N/A</v>
      </c>
      <c r="G569" s="55"/>
      <c r="H569" s="53" t="e">
        <f>VLOOKUP($D569,成品本月库存!$B:$J,9,0)</f>
        <v>#N/A</v>
      </c>
      <c r="I569" s="56"/>
    </row>
    <row r="570" ht="15.75" spans="1:9">
      <c r="A570" s="20"/>
      <c r="B570" s="51"/>
      <c r="C570" s="57"/>
      <c r="D570" s="61"/>
      <c r="E570" s="53" t="e">
        <f>VLOOKUP($D570,成品本月库存!$B:$J,2,0)</f>
        <v>#N/A</v>
      </c>
      <c r="F570" s="54" t="e">
        <f>VLOOKUP($D570,成品本月库存!$B:$J,5,0)</f>
        <v>#N/A</v>
      </c>
      <c r="G570" s="55"/>
      <c r="H570" s="53" t="e">
        <f>VLOOKUP($D570,成品本月库存!$B:$J,9,0)</f>
        <v>#N/A</v>
      </c>
      <c r="I570" s="56"/>
    </row>
    <row r="571" ht="15.75" spans="1:9">
      <c r="A571" s="20"/>
      <c r="B571" s="51"/>
      <c r="C571" s="57"/>
      <c r="D571" s="61"/>
      <c r="E571" s="53" t="e">
        <f>VLOOKUP($D571,成品本月库存!$B:$J,2,0)</f>
        <v>#N/A</v>
      </c>
      <c r="F571" s="54" t="e">
        <f>VLOOKUP($D571,成品本月库存!$B:$J,5,0)</f>
        <v>#N/A</v>
      </c>
      <c r="G571" s="55"/>
      <c r="H571" s="53" t="e">
        <f>VLOOKUP($D571,成品本月库存!$B:$J,9,0)</f>
        <v>#N/A</v>
      </c>
      <c r="I571" s="56"/>
    </row>
    <row r="572" ht="15.75" spans="1:9">
      <c r="A572" s="20"/>
      <c r="B572" s="51"/>
      <c r="C572" s="57"/>
      <c r="D572" s="61"/>
      <c r="E572" s="53" t="e">
        <f>VLOOKUP($D572,成品本月库存!$B:$J,2,0)</f>
        <v>#N/A</v>
      </c>
      <c r="F572" s="54" t="e">
        <f>VLOOKUP($D572,成品本月库存!$B:$J,5,0)</f>
        <v>#N/A</v>
      </c>
      <c r="G572" s="55"/>
      <c r="H572" s="53" t="e">
        <f>VLOOKUP($D572,成品本月库存!$B:$J,9,0)</f>
        <v>#N/A</v>
      </c>
      <c r="I572" s="56"/>
    </row>
    <row r="573" ht="15.75" spans="1:9">
      <c r="A573" s="20"/>
      <c r="B573" s="51"/>
      <c r="C573" s="57"/>
      <c r="D573" s="61"/>
      <c r="E573" s="53" t="e">
        <f>VLOOKUP($D573,成品本月库存!$B:$J,2,0)</f>
        <v>#N/A</v>
      </c>
      <c r="F573" s="54" t="e">
        <f>VLOOKUP($D573,成品本月库存!$B:$J,5,0)</f>
        <v>#N/A</v>
      </c>
      <c r="G573" s="55"/>
      <c r="H573" s="53" t="e">
        <f>VLOOKUP($D573,成品本月库存!$B:$J,9,0)</f>
        <v>#N/A</v>
      </c>
      <c r="I573" s="56"/>
    </row>
    <row r="574" ht="15.75" spans="1:9">
      <c r="A574" s="20"/>
      <c r="B574" s="51"/>
      <c r="C574" s="57"/>
      <c r="D574" s="61"/>
      <c r="E574" s="53" t="e">
        <f>VLOOKUP($D574,成品本月库存!$B:$J,2,0)</f>
        <v>#N/A</v>
      </c>
      <c r="F574" s="54" t="e">
        <f>VLOOKUP($D574,成品本月库存!$B:$J,5,0)</f>
        <v>#N/A</v>
      </c>
      <c r="G574" s="55"/>
      <c r="H574" s="53" t="e">
        <f>VLOOKUP($D574,成品本月库存!$B:$J,9,0)</f>
        <v>#N/A</v>
      </c>
      <c r="I574" s="56"/>
    </row>
    <row r="575" ht="15.75" spans="1:9">
      <c r="A575" s="20"/>
      <c r="B575" s="51"/>
      <c r="C575" s="57"/>
      <c r="D575" s="61"/>
      <c r="E575" s="53" t="e">
        <f>VLOOKUP($D575,成品本月库存!$B:$J,2,0)</f>
        <v>#N/A</v>
      </c>
      <c r="F575" s="54" t="e">
        <f>VLOOKUP($D575,成品本月库存!$B:$J,5,0)</f>
        <v>#N/A</v>
      </c>
      <c r="G575" s="55"/>
      <c r="H575" s="53" t="e">
        <f>VLOOKUP($D575,成品本月库存!$B:$J,9,0)</f>
        <v>#N/A</v>
      </c>
      <c r="I575" s="56"/>
    </row>
    <row r="576" ht="15.75" spans="1:9">
      <c r="A576" s="20"/>
      <c r="B576" s="51"/>
      <c r="C576" s="57"/>
      <c r="D576" s="61"/>
      <c r="E576" s="53" t="e">
        <f>VLOOKUP($D576,成品本月库存!$B:$J,2,0)</f>
        <v>#N/A</v>
      </c>
      <c r="F576" s="54" t="e">
        <f>VLOOKUP($D576,成品本月库存!$B:$J,5,0)</f>
        <v>#N/A</v>
      </c>
      <c r="G576" s="55"/>
      <c r="H576" s="53" t="e">
        <f>VLOOKUP($D576,成品本月库存!$B:$J,9,0)</f>
        <v>#N/A</v>
      </c>
      <c r="I576" s="56"/>
    </row>
    <row r="577" ht="15.75" spans="1:9">
      <c r="A577" s="20"/>
      <c r="B577" s="51"/>
      <c r="C577" s="57"/>
      <c r="D577" s="61"/>
      <c r="E577" s="53" t="e">
        <f>VLOOKUP($D577,成品本月库存!$B:$J,2,0)</f>
        <v>#N/A</v>
      </c>
      <c r="F577" s="54" t="e">
        <f>VLOOKUP($D577,成品本月库存!$B:$J,5,0)</f>
        <v>#N/A</v>
      </c>
      <c r="G577" s="55"/>
      <c r="H577" s="53" t="e">
        <f>VLOOKUP($D577,成品本月库存!$B:$J,9,0)</f>
        <v>#N/A</v>
      </c>
      <c r="I577" s="56"/>
    </row>
    <row r="578" ht="15.75" spans="1:9">
      <c r="A578" s="20"/>
      <c r="B578" s="51"/>
      <c r="C578" s="57"/>
      <c r="D578" s="61"/>
      <c r="E578" s="53" t="e">
        <f>VLOOKUP($D578,成品本月库存!$B:$J,2,0)</f>
        <v>#N/A</v>
      </c>
      <c r="F578" s="54" t="e">
        <f>VLOOKUP($D578,成品本月库存!$B:$J,5,0)</f>
        <v>#N/A</v>
      </c>
      <c r="G578" s="55"/>
      <c r="H578" s="53" t="e">
        <f>VLOOKUP($D578,成品本月库存!$B:$J,9,0)</f>
        <v>#N/A</v>
      </c>
      <c r="I578" s="56"/>
    </row>
    <row r="579" ht="15.75" spans="1:9">
      <c r="A579" s="20"/>
      <c r="B579" s="51"/>
      <c r="C579" s="57"/>
      <c r="D579" s="61"/>
      <c r="E579" s="53" t="e">
        <f>VLOOKUP($D579,成品本月库存!$B:$J,2,0)</f>
        <v>#N/A</v>
      </c>
      <c r="F579" s="54" t="e">
        <f>VLOOKUP($D579,成品本月库存!$B:$J,5,0)</f>
        <v>#N/A</v>
      </c>
      <c r="G579" s="55"/>
      <c r="H579" s="53" t="e">
        <f>VLOOKUP($D579,成品本月库存!$B:$J,9,0)</f>
        <v>#N/A</v>
      </c>
      <c r="I579" s="56"/>
    </row>
    <row r="580" ht="15.75" spans="1:9">
      <c r="A580" s="20"/>
      <c r="B580" s="51"/>
      <c r="C580" s="57"/>
      <c r="D580" s="61"/>
      <c r="E580" s="53" t="e">
        <f>VLOOKUP($D580,成品本月库存!$B:$J,2,0)</f>
        <v>#N/A</v>
      </c>
      <c r="F580" s="54" t="e">
        <f>VLOOKUP($D580,成品本月库存!$B:$J,5,0)</f>
        <v>#N/A</v>
      </c>
      <c r="G580" s="55"/>
      <c r="H580" s="53" t="e">
        <f>VLOOKUP($D580,成品本月库存!$B:$J,9,0)</f>
        <v>#N/A</v>
      </c>
      <c r="I580" s="56"/>
    </row>
    <row r="581" ht="15.75" spans="1:9">
      <c r="A581" s="20"/>
      <c r="B581" s="51"/>
      <c r="C581" s="57"/>
      <c r="D581" s="61"/>
      <c r="E581" s="53" t="e">
        <f>VLOOKUP($D581,成品本月库存!$B:$J,2,0)</f>
        <v>#N/A</v>
      </c>
      <c r="F581" s="54" t="e">
        <f>VLOOKUP($D581,成品本月库存!$B:$J,5,0)</f>
        <v>#N/A</v>
      </c>
      <c r="G581" s="55"/>
      <c r="H581" s="53" t="e">
        <f>VLOOKUP($D581,成品本月库存!$B:$J,9,0)</f>
        <v>#N/A</v>
      </c>
      <c r="I581" s="56"/>
    </row>
    <row r="582" ht="15.75" spans="1:9">
      <c r="A582" s="20"/>
      <c r="B582" s="51"/>
      <c r="C582" s="57"/>
      <c r="D582" s="61"/>
      <c r="E582" s="53" t="e">
        <f>VLOOKUP($D582,成品本月库存!$B:$J,2,0)</f>
        <v>#N/A</v>
      </c>
      <c r="F582" s="54" t="e">
        <f>VLOOKUP($D582,成品本月库存!$B:$J,5,0)</f>
        <v>#N/A</v>
      </c>
      <c r="G582" s="55"/>
      <c r="H582" s="53" t="e">
        <f>VLOOKUP($D582,成品本月库存!$B:$J,9,0)</f>
        <v>#N/A</v>
      </c>
      <c r="I582" s="56"/>
    </row>
    <row r="583" ht="15.75" spans="1:9">
      <c r="A583" s="20"/>
      <c r="B583" s="51"/>
      <c r="C583" s="57"/>
      <c r="D583" s="61"/>
      <c r="E583" s="53" t="e">
        <f>VLOOKUP($D583,成品本月库存!$B:$J,2,0)</f>
        <v>#N/A</v>
      </c>
      <c r="F583" s="54" t="e">
        <f>VLOOKUP($D583,成品本月库存!$B:$J,5,0)</f>
        <v>#N/A</v>
      </c>
      <c r="G583" s="55"/>
      <c r="H583" s="53" t="e">
        <f>VLOOKUP($D583,成品本月库存!$B:$J,9,0)</f>
        <v>#N/A</v>
      </c>
      <c r="I583" s="56"/>
    </row>
    <row r="584" ht="15.75" spans="1:9">
      <c r="A584" s="20"/>
      <c r="B584" s="51"/>
      <c r="C584" s="57"/>
      <c r="D584" s="61"/>
      <c r="E584" s="53" t="e">
        <f>VLOOKUP($D584,成品本月库存!$B:$J,2,0)</f>
        <v>#N/A</v>
      </c>
      <c r="F584" s="54" t="e">
        <f>VLOOKUP($D584,成品本月库存!$B:$J,5,0)</f>
        <v>#N/A</v>
      </c>
      <c r="G584" s="55"/>
      <c r="H584" s="53" t="e">
        <f>VLOOKUP($D584,成品本月库存!$B:$J,9,0)</f>
        <v>#N/A</v>
      </c>
      <c r="I584" s="56"/>
    </row>
    <row r="585" ht="15.75" spans="1:9">
      <c r="A585" s="20"/>
      <c r="B585" s="51"/>
      <c r="C585" s="57"/>
      <c r="D585" s="61"/>
      <c r="E585" s="53" t="e">
        <f>VLOOKUP($D585,成品本月库存!$B:$J,2,0)</f>
        <v>#N/A</v>
      </c>
      <c r="F585" s="54" t="e">
        <f>VLOOKUP($D585,成品本月库存!$B:$J,5,0)</f>
        <v>#N/A</v>
      </c>
      <c r="G585" s="55"/>
      <c r="H585" s="53" t="e">
        <f>VLOOKUP($D585,成品本月库存!$B:$J,9,0)</f>
        <v>#N/A</v>
      </c>
      <c r="I585" s="56"/>
    </row>
    <row r="586" ht="15.75" spans="1:9">
      <c r="A586" s="20"/>
      <c r="B586" s="51"/>
      <c r="C586" s="57"/>
      <c r="D586" s="61"/>
      <c r="E586" s="53" t="e">
        <f>VLOOKUP($D586,成品本月库存!$B:$J,2,0)</f>
        <v>#N/A</v>
      </c>
      <c r="F586" s="54" t="e">
        <f>VLOOKUP($D586,成品本月库存!$B:$J,5,0)</f>
        <v>#N/A</v>
      </c>
      <c r="G586" s="55"/>
      <c r="H586" s="53" t="e">
        <f>VLOOKUP($D586,成品本月库存!$B:$J,9,0)</f>
        <v>#N/A</v>
      </c>
      <c r="I586" s="56"/>
    </row>
    <row r="587" ht="15.75" spans="1:9">
      <c r="A587" s="20"/>
      <c r="B587" s="51"/>
      <c r="C587" s="57"/>
      <c r="D587" s="61"/>
      <c r="E587" s="53" t="e">
        <f>VLOOKUP($D587,成品本月库存!$B:$J,2,0)</f>
        <v>#N/A</v>
      </c>
      <c r="F587" s="54" t="e">
        <f>VLOOKUP($D587,成品本月库存!$B:$J,5,0)</f>
        <v>#N/A</v>
      </c>
      <c r="G587" s="55"/>
      <c r="H587" s="53" t="e">
        <f>VLOOKUP($D587,成品本月库存!$B:$J,9,0)</f>
        <v>#N/A</v>
      </c>
      <c r="I587" s="56"/>
    </row>
    <row r="588" ht="15.75" spans="1:9">
      <c r="A588" s="20"/>
      <c r="B588" s="51"/>
      <c r="C588" s="57"/>
      <c r="D588" s="61"/>
      <c r="E588" s="53" t="e">
        <f>VLOOKUP($D588,成品本月库存!$B:$J,2,0)</f>
        <v>#N/A</v>
      </c>
      <c r="F588" s="54" t="e">
        <f>VLOOKUP($D588,成品本月库存!$B:$J,5,0)</f>
        <v>#N/A</v>
      </c>
      <c r="G588" s="55"/>
      <c r="H588" s="53" t="e">
        <f>VLOOKUP($D588,成品本月库存!$B:$J,9,0)</f>
        <v>#N/A</v>
      </c>
      <c r="I588" s="56"/>
    </row>
    <row r="589" ht="15.75" spans="1:9">
      <c r="A589" s="20"/>
      <c r="B589" s="51"/>
      <c r="C589" s="57"/>
      <c r="D589" s="61"/>
      <c r="E589" s="53" t="e">
        <f>VLOOKUP($D589,成品本月库存!$B:$J,2,0)</f>
        <v>#N/A</v>
      </c>
      <c r="F589" s="54" t="e">
        <f>VLOOKUP($D589,成品本月库存!$B:$J,5,0)</f>
        <v>#N/A</v>
      </c>
      <c r="G589" s="55"/>
      <c r="H589" s="53" t="e">
        <f>VLOOKUP($D589,成品本月库存!$B:$J,9,0)</f>
        <v>#N/A</v>
      </c>
      <c r="I589" s="56"/>
    </row>
    <row r="590" ht="15.75" spans="1:9">
      <c r="A590" s="20"/>
      <c r="B590" s="51"/>
      <c r="C590" s="57"/>
      <c r="D590" s="61"/>
      <c r="E590" s="53" t="e">
        <f>VLOOKUP($D590,成品本月库存!$B:$J,2,0)</f>
        <v>#N/A</v>
      </c>
      <c r="F590" s="54" t="e">
        <f>VLOOKUP($D590,成品本月库存!$B:$J,5,0)</f>
        <v>#N/A</v>
      </c>
      <c r="G590" s="55"/>
      <c r="H590" s="53" t="e">
        <f>VLOOKUP($D590,成品本月库存!$B:$J,9,0)</f>
        <v>#N/A</v>
      </c>
      <c r="I590" s="56"/>
    </row>
    <row r="591" ht="15.75" spans="1:9">
      <c r="A591" s="20"/>
      <c r="B591" s="51"/>
      <c r="C591" s="57"/>
      <c r="D591" s="61"/>
      <c r="E591" s="53" t="e">
        <f>VLOOKUP($D591,成品本月库存!$B:$J,2,0)</f>
        <v>#N/A</v>
      </c>
      <c r="F591" s="54" t="e">
        <f>VLOOKUP($D591,成品本月库存!$B:$J,5,0)</f>
        <v>#N/A</v>
      </c>
      <c r="G591" s="55"/>
      <c r="H591" s="53" t="e">
        <f>VLOOKUP($D591,成品本月库存!$B:$J,9,0)</f>
        <v>#N/A</v>
      </c>
      <c r="I591" s="56"/>
    </row>
    <row r="592" ht="15.75" spans="1:9">
      <c r="A592" s="20"/>
      <c r="B592" s="51"/>
      <c r="C592" s="57"/>
      <c r="D592" s="61"/>
      <c r="E592" s="53" t="e">
        <f>VLOOKUP($D592,成品本月库存!$B:$J,2,0)</f>
        <v>#N/A</v>
      </c>
      <c r="F592" s="54" t="e">
        <f>VLOOKUP($D592,成品本月库存!$B:$J,5,0)</f>
        <v>#N/A</v>
      </c>
      <c r="G592" s="55"/>
      <c r="H592" s="53" t="e">
        <f>VLOOKUP($D592,成品本月库存!$B:$J,9,0)</f>
        <v>#N/A</v>
      </c>
      <c r="I592" s="56"/>
    </row>
    <row r="593" ht="15.75" spans="1:9">
      <c r="A593" s="20"/>
      <c r="B593" s="51"/>
      <c r="C593" s="57"/>
      <c r="D593" s="61"/>
      <c r="E593" s="53" t="e">
        <f>VLOOKUP($D593,成品本月库存!$B:$J,2,0)</f>
        <v>#N/A</v>
      </c>
      <c r="F593" s="54" t="e">
        <f>VLOOKUP($D593,成品本月库存!$B:$J,5,0)</f>
        <v>#N/A</v>
      </c>
      <c r="G593" s="55"/>
      <c r="H593" s="53" t="e">
        <f>VLOOKUP($D593,成品本月库存!$B:$J,9,0)</f>
        <v>#N/A</v>
      </c>
      <c r="I593" s="56"/>
    </row>
    <row r="594" ht="15.75" spans="1:9">
      <c r="A594" s="20"/>
      <c r="B594" s="51"/>
      <c r="C594" s="57"/>
      <c r="D594" s="61"/>
      <c r="E594" s="53" t="e">
        <f>VLOOKUP($D594,成品本月库存!$B:$J,2,0)</f>
        <v>#N/A</v>
      </c>
      <c r="F594" s="54" t="e">
        <f>VLOOKUP($D594,成品本月库存!$B:$J,5,0)</f>
        <v>#N/A</v>
      </c>
      <c r="G594" s="55"/>
      <c r="H594" s="53" t="e">
        <f>VLOOKUP($D594,成品本月库存!$B:$J,9,0)</f>
        <v>#N/A</v>
      </c>
      <c r="I594" s="56"/>
    </row>
    <row r="595" ht="15.75" spans="1:9">
      <c r="A595" s="20"/>
      <c r="B595" s="51"/>
      <c r="C595" s="57"/>
      <c r="D595" s="61"/>
      <c r="E595" s="53" t="e">
        <f>VLOOKUP($D595,成品本月库存!$B:$J,2,0)</f>
        <v>#N/A</v>
      </c>
      <c r="F595" s="54" t="e">
        <f>VLOOKUP($D595,成品本月库存!$B:$J,5,0)</f>
        <v>#N/A</v>
      </c>
      <c r="G595" s="55"/>
      <c r="H595" s="53" t="e">
        <f>VLOOKUP($D595,成品本月库存!$B:$J,9,0)</f>
        <v>#N/A</v>
      </c>
      <c r="I595" s="56"/>
    </row>
    <row r="596" ht="15.75" spans="1:9">
      <c r="A596" s="20"/>
      <c r="B596" s="51"/>
      <c r="C596" s="57"/>
      <c r="D596" s="61"/>
      <c r="E596" s="53" t="e">
        <f>VLOOKUP($D596,成品本月库存!$B:$J,2,0)</f>
        <v>#N/A</v>
      </c>
      <c r="F596" s="54" t="e">
        <f>VLOOKUP($D596,成品本月库存!$B:$J,5,0)</f>
        <v>#N/A</v>
      </c>
      <c r="G596" s="55"/>
      <c r="H596" s="53" t="e">
        <f>VLOOKUP($D596,成品本月库存!$B:$J,9,0)</f>
        <v>#N/A</v>
      </c>
      <c r="I596" s="56"/>
    </row>
    <row r="597" ht="15.75" spans="1:9">
      <c r="A597" s="20"/>
      <c r="B597" s="51"/>
      <c r="C597" s="57"/>
      <c r="D597" s="61"/>
      <c r="E597" s="53" t="e">
        <f>VLOOKUP($D597,成品本月库存!$B:$J,2,0)</f>
        <v>#N/A</v>
      </c>
      <c r="F597" s="54" t="e">
        <f>VLOOKUP($D597,成品本月库存!$B:$J,5,0)</f>
        <v>#N/A</v>
      </c>
      <c r="G597" s="55"/>
      <c r="H597" s="53" t="e">
        <f>VLOOKUP($D597,成品本月库存!$B:$J,9,0)</f>
        <v>#N/A</v>
      </c>
      <c r="I597" s="56"/>
    </row>
    <row r="598" ht="15.75" spans="1:9">
      <c r="A598" s="20"/>
      <c r="B598" s="51"/>
      <c r="C598" s="57"/>
      <c r="D598" s="61"/>
      <c r="E598" s="53" t="e">
        <f>VLOOKUP($D598,成品本月库存!$B:$J,2,0)</f>
        <v>#N/A</v>
      </c>
      <c r="F598" s="54" t="e">
        <f>VLOOKUP($D598,成品本月库存!$B:$J,5,0)</f>
        <v>#N/A</v>
      </c>
      <c r="G598" s="55"/>
      <c r="H598" s="53" t="e">
        <f>VLOOKUP($D598,成品本月库存!$B:$J,9,0)</f>
        <v>#N/A</v>
      </c>
      <c r="I598" s="56"/>
    </row>
    <row r="599" ht="15.75" spans="1:9">
      <c r="A599" s="20"/>
      <c r="B599" s="51"/>
      <c r="C599" s="57"/>
      <c r="D599" s="61"/>
      <c r="E599" s="53" t="e">
        <f>VLOOKUP($D599,成品本月库存!$B:$J,2,0)</f>
        <v>#N/A</v>
      </c>
      <c r="F599" s="54" t="e">
        <f>VLOOKUP($D599,成品本月库存!$B:$J,5,0)</f>
        <v>#N/A</v>
      </c>
      <c r="G599" s="55"/>
      <c r="H599" s="53" t="e">
        <f>VLOOKUP($D599,成品本月库存!$B:$J,9,0)</f>
        <v>#N/A</v>
      </c>
      <c r="I599" s="56"/>
    </row>
    <row r="600" ht="15.75" spans="1:9">
      <c r="A600" s="20"/>
      <c r="B600" s="51"/>
      <c r="C600" s="57"/>
      <c r="D600" s="61"/>
      <c r="E600" s="53" t="e">
        <f>VLOOKUP($D600,成品本月库存!$B:$J,2,0)</f>
        <v>#N/A</v>
      </c>
      <c r="F600" s="54" t="e">
        <f>VLOOKUP($D600,成品本月库存!$B:$J,5,0)</f>
        <v>#N/A</v>
      </c>
      <c r="G600" s="55"/>
      <c r="H600" s="53" t="e">
        <f>VLOOKUP($D600,成品本月库存!$B:$J,9,0)</f>
        <v>#N/A</v>
      </c>
      <c r="I600" s="56"/>
    </row>
    <row r="601" ht="15.75" spans="1:9">
      <c r="A601" s="20"/>
      <c r="B601" s="51"/>
      <c r="C601" s="57"/>
      <c r="D601" s="61"/>
      <c r="E601" s="53" t="e">
        <f>VLOOKUP($D601,成品本月库存!$B:$J,2,0)</f>
        <v>#N/A</v>
      </c>
      <c r="F601" s="54" t="e">
        <f>VLOOKUP($D601,成品本月库存!$B:$J,5,0)</f>
        <v>#N/A</v>
      </c>
      <c r="G601" s="55"/>
      <c r="H601" s="53" t="e">
        <f>VLOOKUP($D601,成品本月库存!$B:$J,9,0)</f>
        <v>#N/A</v>
      </c>
      <c r="I601" s="56"/>
    </row>
    <row r="602" ht="15.75" spans="1:9">
      <c r="A602" s="20"/>
      <c r="B602" s="51"/>
      <c r="C602" s="57"/>
      <c r="D602" s="61"/>
      <c r="E602" s="53" t="e">
        <f>VLOOKUP($D602,成品本月库存!$B:$J,2,0)</f>
        <v>#N/A</v>
      </c>
      <c r="F602" s="54" t="e">
        <f>VLOOKUP($D602,成品本月库存!$B:$J,5,0)</f>
        <v>#N/A</v>
      </c>
      <c r="G602" s="55"/>
      <c r="H602" s="53" t="e">
        <f>VLOOKUP($D602,成品本月库存!$B:$J,9,0)</f>
        <v>#N/A</v>
      </c>
      <c r="I602" s="56"/>
    </row>
    <row r="603" ht="15.75" spans="1:9">
      <c r="A603" s="20"/>
      <c r="B603" s="51"/>
      <c r="C603" s="57"/>
      <c r="D603" s="61"/>
      <c r="E603" s="53" t="e">
        <f>VLOOKUP($D603,成品本月库存!$B:$J,2,0)</f>
        <v>#N/A</v>
      </c>
      <c r="F603" s="54" t="e">
        <f>VLOOKUP($D603,成品本月库存!$B:$J,5,0)</f>
        <v>#N/A</v>
      </c>
      <c r="G603" s="55"/>
      <c r="H603" s="53" t="e">
        <f>VLOOKUP($D603,成品本月库存!$B:$J,9,0)</f>
        <v>#N/A</v>
      </c>
      <c r="I603" s="56"/>
    </row>
    <row r="604" ht="15.75" spans="1:9">
      <c r="A604" s="20"/>
      <c r="B604" s="51"/>
      <c r="C604" s="57"/>
      <c r="D604" s="61"/>
      <c r="E604" s="53" t="e">
        <f>VLOOKUP($D604,成品本月库存!$B:$J,2,0)</f>
        <v>#N/A</v>
      </c>
      <c r="F604" s="54" t="e">
        <f>VLOOKUP($D604,成品本月库存!$B:$J,5,0)</f>
        <v>#N/A</v>
      </c>
      <c r="G604" s="55"/>
      <c r="H604" s="53" t="e">
        <f>VLOOKUP($D604,成品本月库存!$B:$J,9,0)</f>
        <v>#N/A</v>
      </c>
      <c r="I604" s="56"/>
    </row>
    <row r="605" ht="15.75" spans="1:9">
      <c r="A605" s="20"/>
      <c r="B605" s="51"/>
      <c r="C605" s="57"/>
      <c r="D605" s="61"/>
      <c r="E605" s="53" t="e">
        <f>VLOOKUP($D605,成品本月库存!$B:$J,2,0)</f>
        <v>#N/A</v>
      </c>
      <c r="F605" s="54" t="e">
        <f>VLOOKUP($D605,成品本月库存!$B:$J,5,0)</f>
        <v>#N/A</v>
      </c>
      <c r="G605" s="55"/>
      <c r="H605" s="53" t="e">
        <f>VLOOKUP($D605,成品本月库存!$B:$J,9,0)</f>
        <v>#N/A</v>
      </c>
      <c r="I605" s="56"/>
    </row>
    <row r="606" ht="15.75" spans="1:9">
      <c r="A606" s="20"/>
      <c r="B606" s="51"/>
      <c r="C606" s="57"/>
      <c r="D606" s="61"/>
      <c r="E606" s="53" t="e">
        <f>VLOOKUP($D606,成品本月库存!$B:$J,2,0)</f>
        <v>#N/A</v>
      </c>
      <c r="F606" s="54" t="e">
        <f>VLOOKUP($D606,成品本月库存!$B:$J,5,0)</f>
        <v>#N/A</v>
      </c>
      <c r="G606" s="55"/>
      <c r="H606" s="53" t="e">
        <f>VLOOKUP($D606,成品本月库存!$B:$J,9,0)</f>
        <v>#N/A</v>
      </c>
      <c r="I606" s="56"/>
    </row>
    <row r="607" ht="15.75" spans="1:9">
      <c r="A607" s="20"/>
      <c r="B607" s="51"/>
      <c r="C607" s="57"/>
      <c r="D607" s="61"/>
      <c r="E607" s="53" t="e">
        <f>VLOOKUP($D607,成品本月库存!$B:$J,2,0)</f>
        <v>#N/A</v>
      </c>
      <c r="F607" s="54" t="e">
        <f>VLOOKUP($D607,成品本月库存!$B:$J,5,0)</f>
        <v>#N/A</v>
      </c>
      <c r="G607" s="55"/>
      <c r="H607" s="53" t="e">
        <f>VLOOKUP($D607,成品本月库存!$B:$J,9,0)</f>
        <v>#N/A</v>
      </c>
      <c r="I607" s="56"/>
    </row>
    <row r="608" ht="15.75" spans="1:9">
      <c r="A608" s="20"/>
      <c r="B608" s="51"/>
      <c r="C608" s="57"/>
      <c r="D608" s="61"/>
      <c r="E608" s="53" t="e">
        <f>VLOOKUP($D608,成品本月库存!$B:$J,2,0)</f>
        <v>#N/A</v>
      </c>
      <c r="F608" s="54" t="e">
        <f>VLOOKUP($D608,成品本月库存!$B:$J,5,0)</f>
        <v>#N/A</v>
      </c>
      <c r="G608" s="55"/>
      <c r="H608" s="53" t="e">
        <f>VLOOKUP($D608,成品本月库存!$B:$J,9,0)</f>
        <v>#N/A</v>
      </c>
      <c r="I608" s="56"/>
    </row>
    <row r="609" ht="15.75" spans="1:9">
      <c r="A609" s="20"/>
      <c r="B609" s="51"/>
      <c r="C609" s="57"/>
      <c r="D609" s="61"/>
      <c r="E609" s="53" t="e">
        <f>VLOOKUP($D609,成品本月库存!$B:$J,2,0)</f>
        <v>#N/A</v>
      </c>
      <c r="F609" s="54" t="e">
        <f>VLOOKUP($D609,成品本月库存!$B:$J,5,0)</f>
        <v>#N/A</v>
      </c>
      <c r="G609" s="55"/>
      <c r="H609" s="53" t="e">
        <f>VLOOKUP($D609,成品本月库存!$B:$J,9,0)</f>
        <v>#N/A</v>
      </c>
      <c r="I609" s="56"/>
    </row>
    <row r="610" ht="15.75" spans="1:9">
      <c r="A610" s="20"/>
      <c r="B610" s="51"/>
      <c r="C610" s="57"/>
      <c r="D610" s="61"/>
      <c r="E610" s="53" t="e">
        <f>VLOOKUP($D610,成品本月库存!$B:$J,2,0)</f>
        <v>#N/A</v>
      </c>
      <c r="F610" s="54" t="e">
        <f>VLOOKUP($D610,成品本月库存!$B:$J,5,0)</f>
        <v>#N/A</v>
      </c>
      <c r="G610" s="55"/>
      <c r="H610" s="53" t="e">
        <f>VLOOKUP($D610,成品本月库存!$B:$J,9,0)</f>
        <v>#N/A</v>
      </c>
      <c r="I610" s="56"/>
    </row>
    <row r="611" ht="15.75" spans="1:9">
      <c r="A611" s="20"/>
      <c r="B611" s="51"/>
      <c r="C611" s="57"/>
      <c r="D611" s="61"/>
      <c r="E611" s="53" t="e">
        <f>VLOOKUP($D611,成品本月库存!$B:$J,2,0)</f>
        <v>#N/A</v>
      </c>
      <c r="F611" s="54" t="e">
        <f>VLOOKUP($D611,成品本月库存!$B:$J,5,0)</f>
        <v>#N/A</v>
      </c>
      <c r="G611" s="55"/>
      <c r="H611" s="53" t="e">
        <f>VLOOKUP($D611,成品本月库存!$B:$J,9,0)</f>
        <v>#N/A</v>
      </c>
      <c r="I611" s="56"/>
    </row>
    <row r="612" ht="15.75" spans="1:9">
      <c r="A612" s="20"/>
      <c r="B612" s="51"/>
      <c r="C612" s="57"/>
      <c r="D612" s="61"/>
      <c r="E612" s="53" t="e">
        <f>VLOOKUP($D612,成品本月库存!$B:$J,2,0)</f>
        <v>#N/A</v>
      </c>
      <c r="F612" s="54" t="e">
        <f>VLOOKUP($D612,成品本月库存!$B:$J,5,0)</f>
        <v>#N/A</v>
      </c>
      <c r="G612" s="55"/>
      <c r="H612" s="53" t="e">
        <f>VLOOKUP($D612,成品本月库存!$B:$J,9,0)</f>
        <v>#N/A</v>
      </c>
      <c r="I612" s="56"/>
    </row>
    <row r="613" ht="15.75" spans="1:9">
      <c r="A613" s="20"/>
      <c r="B613" s="51"/>
      <c r="C613" s="57"/>
      <c r="D613" s="61"/>
      <c r="E613" s="53" t="e">
        <f>VLOOKUP($D613,成品本月库存!$B:$J,2,0)</f>
        <v>#N/A</v>
      </c>
      <c r="F613" s="54" t="e">
        <f>VLOOKUP($D613,成品本月库存!$B:$J,5,0)</f>
        <v>#N/A</v>
      </c>
      <c r="G613" s="55"/>
      <c r="H613" s="53" t="e">
        <f>VLOOKUP($D613,成品本月库存!$B:$J,9,0)</f>
        <v>#N/A</v>
      </c>
      <c r="I613" s="56"/>
    </row>
    <row r="614" ht="15.75" spans="1:9">
      <c r="A614" s="20"/>
      <c r="B614" s="51"/>
      <c r="C614" s="57"/>
      <c r="D614" s="61"/>
      <c r="E614" s="53" t="e">
        <f>VLOOKUP($D614,成品本月库存!$B:$J,2,0)</f>
        <v>#N/A</v>
      </c>
      <c r="F614" s="54" t="e">
        <f>VLOOKUP($D614,成品本月库存!$B:$J,5,0)</f>
        <v>#N/A</v>
      </c>
      <c r="G614" s="55"/>
      <c r="H614" s="53" t="e">
        <f>VLOOKUP($D614,成品本月库存!$B:$J,9,0)</f>
        <v>#N/A</v>
      </c>
      <c r="I614" s="56"/>
    </row>
    <row r="615" ht="15.75" spans="1:9">
      <c r="A615" s="20"/>
      <c r="B615" s="51"/>
      <c r="C615" s="57"/>
      <c r="D615" s="61"/>
      <c r="E615" s="53" t="e">
        <f>VLOOKUP($D615,成品本月库存!$B:$J,2,0)</f>
        <v>#N/A</v>
      </c>
      <c r="F615" s="54" t="e">
        <f>VLOOKUP($D615,成品本月库存!$B:$J,5,0)</f>
        <v>#N/A</v>
      </c>
      <c r="G615" s="55"/>
      <c r="H615" s="53" t="e">
        <f>VLOOKUP($D615,成品本月库存!$B:$J,9,0)</f>
        <v>#N/A</v>
      </c>
      <c r="I615" s="56"/>
    </row>
    <row r="616" ht="15.75" spans="1:9">
      <c r="A616" s="20"/>
      <c r="B616" s="51"/>
      <c r="C616" s="57"/>
      <c r="D616" s="61"/>
      <c r="E616" s="53" t="e">
        <f>VLOOKUP($D616,成品本月库存!$B:$J,2,0)</f>
        <v>#N/A</v>
      </c>
      <c r="F616" s="54" t="e">
        <f>VLOOKUP($D616,成品本月库存!$B:$J,5,0)</f>
        <v>#N/A</v>
      </c>
      <c r="G616" s="55"/>
      <c r="H616" s="53" t="e">
        <f>VLOOKUP($D616,成品本月库存!$B:$J,9,0)</f>
        <v>#N/A</v>
      </c>
      <c r="I616" s="56"/>
    </row>
    <row r="617" ht="15.75" spans="1:9">
      <c r="A617" s="20"/>
      <c r="B617" s="51"/>
      <c r="C617" s="57"/>
      <c r="D617" s="61"/>
      <c r="E617" s="53" t="e">
        <f>VLOOKUP($D617,成品本月库存!$B:$J,2,0)</f>
        <v>#N/A</v>
      </c>
      <c r="F617" s="54" t="e">
        <f>VLOOKUP($D617,成品本月库存!$B:$J,5,0)</f>
        <v>#N/A</v>
      </c>
      <c r="G617" s="55"/>
      <c r="H617" s="53" t="e">
        <f>VLOOKUP($D617,成品本月库存!$B:$J,9,0)</f>
        <v>#N/A</v>
      </c>
      <c r="I617" s="56"/>
    </row>
    <row r="618" ht="15.75" spans="1:9">
      <c r="A618" s="20"/>
      <c r="B618" s="51"/>
      <c r="C618" s="57"/>
      <c r="D618" s="61"/>
      <c r="E618" s="53" t="e">
        <f>VLOOKUP($D618,成品本月库存!$B:$J,2,0)</f>
        <v>#N/A</v>
      </c>
      <c r="F618" s="54" t="e">
        <f>VLOOKUP($D618,成品本月库存!$B:$J,5,0)</f>
        <v>#N/A</v>
      </c>
      <c r="G618" s="55"/>
      <c r="H618" s="53" t="e">
        <f>VLOOKUP($D618,成品本月库存!$B:$J,9,0)</f>
        <v>#N/A</v>
      </c>
      <c r="I618" s="56"/>
    </row>
    <row r="619" ht="15.75" spans="1:9">
      <c r="A619" s="20"/>
      <c r="B619" s="51"/>
      <c r="C619" s="57"/>
      <c r="D619" s="61"/>
      <c r="E619" s="53" t="e">
        <f>VLOOKUP($D619,成品本月库存!$B:$J,2,0)</f>
        <v>#N/A</v>
      </c>
      <c r="F619" s="54" t="e">
        <f>VLOOKUP($D619,成品本月库存!$B:$J,5,0)</f>
        <v>#N/A</v>
      </c>
      <c r="G619" s="55"/>
      <c r="H619" s="53" t="e">
        <f>VLOOKUP($D619,成品本月库存!$B:$J,9,0)</f>
        <v>#N/A</v>
      </c>
      <c r="I619" s="56"/>
    </row>
    <row r="620" ht="15.75" spans="1:9">
      <c r="A620" s="20"/>
      <c r="B620" s="51"/>
      <c r="C620" s="57"/>
      <c r="D620" s="61"/>
      <c r="E620" s="53" t="e">
        <f>VLOOKUP($D620,成品本月库存!$B:$J,2,0)</f>
        <v>#N/A</v>
      </c>
      <c r="F620" s="54" t="e">
        <f>VLOOKUP($D620,成品本月库存!$B:$J,5,0)</f>
        <v>#N/A</v>
      </c>
      <c r="G620" s="55"/>
      <c r="H620" s="53" t="e">
        <f>VLOOKUP($D620,成品本月库存!$B:$J,9,0)</f>
        <v>#N/A</v>
      </c>
      <c r="I620" s="56"/>
    </row>
    <row r="621" ht="15.75" spans="1:9">
      <c r="A621" s="20"/>
      <c r="B621" s="51"/>
      <c r="C621" s="57"/>
      <c r="D621" s="61"/>
      <c r="E621" s="53" t="e">
        <f>VLOOKUP($D621,成品本月库存!$B:$J,2,0)</f>
        <v>#N/A</v>
      </c>
      <c r="F621" s="54" t="e">
        <f>VLOOKUP($D621,成品本月库存!$B:$J,5,0)</f>
        <v>#N/A</v>
      </c>
      <c r="G621" s="55"/>
      <c r="H621" s="53" t="e">
        <f>VLOOKUP($D621,成品本月库存!$B:$J,9,0)</f>
        <v>#N/A</v>
      </c>
      <c r="I621" s="56"/>
    </row>
    <row r="622" ht="15.75" spans="1:9">
      <c r="A622" s="20"/>
      <c r="B622" s="51"/>
      <c r="C622" s="57"/>
      <c r="D622" s="61"/>
      <c r="E622" s="53" t="e">
        <f>VLOOKUP($D622,成品本月库存!$B:$J,2,0)</f>
        <v>#N/A</v>
      </c>
      <c r="F622" s="54" t="e">
        <f>VLOOKUP($D622,成品本月库存!$B:$J,5,0)</f>
        <v>#N/A</v>
      </c>
      <c r="G622" s="55"/>
      <c r="H622" s="53" t="e">
        <f>VLOOKUP($D622,成品本月库存!$B:$J,9,0)</f>
        <v>#N/A</v>
      </c>
      <c r="I622" s="56"/>
    </row>
    <row r="623" ht="15.75" spans="1:9">
      <c r="A623" s="20"/>
      <c r="B623" s="51"/>
      <c r="C623" s="57"/>
      <c r="D623" s="61"/>
      <c r="E623" s="53" t="e">
        <f>VLOOKUP($D623,成品本月库存!$B:$J,2,0)</f>
        <v>#N/A</v>
      </c>
      <c r="F623" s="54" t="e">
        <f>VLOOKUP($D623,成品本月库存!$B:$J,5,0)</f>
        <v>#N/A</v>
      </c>
      <c r="G623" s="55"/>
      <c r="H623" s="53" t="e">
        <f>VLOOKUP($D623,成品本月库存!$B:$J,9,0)</f>
        <v>#N/A</v>
      </c>
      <c r="I623" s="56"/>
    </row>
    <row r="624" ht="15.75" spans="1:9">
      <c r="A624" s="20"/>
      <c r="B624" s="51"/>
      <c r="C624" s="57"/>
      <c r="D624" s="61"/>
      <c r="E624" s="53" t="e">
        <f>VLOOKUP($D624,成品本月库存!$B:$J,2,0)</f>
        <v>#N/A</v>
      </c>
      <c r="F624" s="54" t="e">
        <f>VLOOKUP($D624,成品本月库存!$B:$J,5,0)</f>
        <v>#N/A</v>
      </c>
      <c r="G624" s="55"/>
      <c r="H624" s="53" t="e">
        <f>VLOOKUP($D624,成品本月库存!$B:$J,9,0)</f>
        <v>#N/A</v>
      </c>
      <c r="I624" s="56"/>
    </row>
    <row r="625" ht="15.75" spans="1:9">
      <c r="A625" s="20"/>
      <c r="B625" s="51"/>
      <c r="C625" s="57"/>
      <c r="D625" s="61"/>
      <c r="E625" s="53" t="e">
        <f>VLOOKUP($D625,成品本月库存!$B:$J,2,0)</f>
        <v>#N/A</v>
      </c>
      <c r="F625" s="54" t="e">
        <f>VLOOKUP($D625,成品本月库存!$B:$J,5,0)</f>
        <v>#N/A</v>
      </c>
      <c r="G625" s="55"/>
      <c r="H625" s="53" t="e">
        <f>VLOOKUP($D625,成品本月库存!$B:$J,9,0)</f>
        <v>#N/A</v>
      </c>
      <c r="I625" s="56"/>
    </row>
    <row r="626" ht="15.75" spans="1:9">
      <c r="A626" s="20"/>
      <c r="B626" s="51"/>
      <c r="C626" s="57"/>
      <c r="D626" s="61"/>
      <c r="E626" s="53" t="e">
        <f>VLOOKUP($D626,成品本月库存!$B:$J,2,0)</f>
        <v>#N/A</v>
      </c>
      <c r="F626" s="54" t="e">
        <f>VLOOKUP($D626,成品本月库存!$B:$J,5,0)</f>
        <v>#N/A</v>
      </c>
      <c r="G626" s="55"/>
      <c r="H626" s="53" t="e">
        <f>VLOOKUP($D626,成品本月库存!$B:$J,9,0)</f>
        <v>#N/A</v>
      </c>
      <c r="I626" s="56"/>
    </row>
    <row r="627" ht="15.75" spans="1:9">
      <c r="A627" s="20"/>
      <c r="B627" s="51"/>
      <c r="C627" s="57"/>
      <c r="D627" s="61"/>
      <c r="E627" s="53" t="e">
        <f>VLOOKUP($D627,成品本月库存!$B:$J,2,0)</f>
        <v>#N/A</v>
      </c>
      <c r="F627" s="54" t="e">
        <f>VLOOKUP($D627,成品本月库存!$B:$J,5,0)</f>
        <v>#N/A</v>
      </c>
      <c r="G627" s="55"/>
      <c r="H627" s="53" t="e">
        <f>VLOOKUP($D627,成品本月库存!$B:$J,9,0)</f>
        <v>#N/A</v>
      </c>
      <c r="I627" s="56"/>
    </row>
    <row r="628" ht="15.75" spans="1:9">
      <c r="A628" s="20"/>
      <c r="B628" s="51"/>
      <c r="C628" s="57"/>
      <c r="D628" s="61"/>
      <c r="E628" s="53" t="e">
        <f>VLOOKUP($D628,成品本月库存!$B:$J,2,0)</f>
        <v>#N/A</v>
      </c>
      <c r="F628" s="54" t="e">
        <f>VLOOKUP($D628,成品本月库存!$B:$J,5,0)</f>
        <v>#N/A</v>
      </c>
      <c r="G628" s="55"/>
      <c r="H628" s="53" t="e">
        <f>VLOOKUP($D628,成品本月库存!$B:$J,9,0)</f>
        <v>#N/A</v>
      </c>
      <c r="I628" s="56"/>
    </row>
    <row r="629" ht="15.75" spans="1:9">
      <c r="A629" s="20"/>
      <c r="B629" s="51"/>
      <c r="C629" s="57"/>
      <c r="D629" s="61"/>
      <c r="E629" s="53" t="e">
        <f>VLOOKUP($D629,成品本月库存!$B:$J,2,0)</f>
        <v>#N/A</v>
      </c>
      <c r="F629" s="54" t="e">
        <f>VLOOKUP($D629,成品本月库存!$B:$J,5,0)</f>
        <v>#N/A</v>
      </c>
      <c r="G629" s="55"/>
      <c r="H629" s="53" t="e">
        <f>VLOOKUP($D629,成品本月库存!$B:$J,9,0)</f>
        <v>#N/A</v>
      </c>
      <c r="I629" s="56"/>
    </row>
    <row r="630" ht="15.75" spans="1:9">
      <c r="A630" s="20"/>
      <c r="B630" s="51"/>
      <c r="C630" s="57"/>
      <c r="D630" s="61"/>
      <c r="E630" s="53" t="e">
        <f>VLOOKUP($D630,成品本月库存!$B:$J,2,0)</f>
        <v>#N/A</v>
      </c>
      <c r="F630" s="54" t="e">
        <f>VLOOKUP($D630,成品本月库存!$B:$J,5,0)</f>
        <v>#N/A</v>
      </c>
      <c r="G630" s="55"/>
      <c r="H630" s="53" t="e">
        <f>VLOOKUP($D630,成品本月库存!$B:$J,9,0)</f>
        <v>#N/A</v>
      </c>
      <c r="I630" s="56"/>
    </row>
    <row r="631" ht="15.75" spans="1:9">
      <c r="A631" s="20"/>
      <c r="B631" s="51"/>
      <c r="C631" s="57"/>
      <c r="D631" s="61"/>
      <c r="E631" s="53" t="e">
        <f>VLOOKUP($D631,成品本月库存!$B:$J,2,0)</f>
        <v>#N/A</v>
      </c>
      <c r="F631" s="54" t="e">
        <f>VLOOKUP($D631,成品本月库存!$B:$J,5,0)</f>
        <v>#N/A</v>
      </c>
      <c r="G631" s="55"/>
      <c r="H631" s="53" t="e">
        <f>VLOOKUP($D631,成品本月库存!$B:$J,9,0)</f>
        <v>#N/A</v>
      </c>
      <c r="I631" s="56"/>
    </row>
    <row r="632" ht="15.75" spans="1:9">
      <c r="A632" s="20"/>
      <c r="B632" s="51"/>
      <c r="C632" s="57"/>
      <c r="D632" s="61"/>
      <c r="E632" s="53" t="e">
        <f>VLOOKUP($D632,成品本月库存!$B:$J,2,0)</f>
        <v>#N/A</v>
      </c>
      <c r="F632" s="54" t="e">
        <f>VLOOKUP($D632,成品本月库存!$B:$J,5,0)</f>
        <v>#N/A</v>
      </c>
      <c r="G632" s="55"/>
      <c r="H632" s="53" t="e">
        <f>VLOOKUP($D632,成品本月库存!$B:$J,9,0)</f>
        <v>#N/A</v>
      </c>
      <c r="I632" s="56"/>
    </row>
    <row r="633" ht="15.75" spans="1:9">
      <c r="A633" s="20"/>
      <c r="B633" s="51"/>
      <c r="C633" s="57"/>
      <c r="D633" s="61"/>
      <c r="E633" s="53" t="e">
        <f>VLOOKUP($D633,成品本月库存!$B:$J,2,0)</f>
        <v>#N/A</v>
      </c>
      <c r="F633" s="54" t="e">
        <f>VLOOKUP($D633,成品本月库存!$B:$J,5,0)</f>
        <v>#N/A</v>
      </c>
      <c r="G633" s="55"/>
      <c r="H633" s="53" t="e">
        <f>VLOOKUP($D633,成品本月库存!$B:$J,9,0)</f>
        <v>#N/A</v>
      </c>
      <c r="I633" s="56"/>
    </row>
    <row r="634" ht="15.75" spans="1:9">
      <c r="A634" s="20"/>
      <c r="B634" s="51"/>
      <c r="C634" s="57"/>
      <c r="D634" s="62"/>
      <c r="E634" s="53" t="e">
        <f>VLOOKUP($D634,成品本月库存!$B:$J,2,0)</f>
        <v>#N/A</v>
      </c>
      <c r="F634" s="54" t="e">
        <f>VLOOKUP($D634,成品本月库存!$B:$J,5,0)</f>
        <v>#N/A</v>
      </c>
      <c r="G634" s="55"/>
      <c r="H634" s="53" t="e">
        <f>VLOOKUP($D634,成品本月库存!$B:$J,9,0)</f>
        <v>#N/A</v>
      </c>
      <c r="I634" s="56"/>
    </row>
    <row r="635" ht="15.75" spans="1:9">
      <c r="A635" s="20"/>
      <c r="B635" s="51"/>
      <c r="C635" s="57"/>
      <c r="D635" s="62"/>
      <c r="E635" s="53" t="e">
        <f>VLOOKUP($D635,成品本月库存!$B:$J,2,0)</f>
        <v>#N/A</v>
      </c>
      <c r="F635" s="54" t="e">
        <f>VLOOKUP($D635,成品本月库存!$B:$J,5,0)</f>
        <v>#N/A</v>
      </c>
      <c r="G635" s="55"/>
      <c r="H635" s="53" t="e">
        <f>VLOOKUP($D635,成品本月库存!$B:$J,9,0)</f>
        <v>#N/A</v>
      </c>
      <c r="I635" s="56"/>
    </row>
    <row r="636" ht="15.75" spans="1:9">
      <c r="A636" s="20"/>
      <c r="B636" s="51"/>
      <c r="C636" s="57"/>
      <c r="D636" s="62"/>
      <c r="E636" s="53" t="e">
        <f>VLOOKUP($D636,成品本月库存!$B:$J,2,0)</f>
        <v>#N/A</v>
      </c>
      <c r="F636" s="54" t="e">
        <f>VLOOKUP($D636,成品本月库存!$B:$J,5,0)</f>
        <v>#N/A</v>
      </c>
      <c r="G636" s="55"/>
      <c r="H636" s="53" t="e">
        <f>VLOOKUP($D636,成品本月库存!$B:$J,9,0)</f>
        <v>#N/A</v>
      </c>
      <c r="I636" s="56"/>
    </row>
    <row r="637" ht="15.75" spans="1:9">
      <c r="A637" s="20"/>
      <c r="B637" s="51"/>
      <c r="C637" s="57"/>
      <c r="D637" s="62"/>
      <c r="E637" s="53" t="e">
        <f>VLOOKUP($D637,成品本月库存!$B:$J,2,0)</f>
        <v>#N/A</v>
      </c>
      <c r="F637" s="54" t="e">
        <f>VLOOKUP($D637,成品本月库存!$B:$J,5,0)</f>
        <v>#N/A</v>
      </c>
      <c r="G637" s="55"/>
      <c r="H637" s="53" t="e">
        <f>VLOOKUP($D637,成品本月库存!$B:$J,9,0)</f>
        <v>#N/A</v>
      </c>
      <c r="I637" s="56"/>
    </row>
    <row r="638" ht="15.75" spans="1:9">
      <c r="A638" s="20"/>
      <c r="B638" s="51"/>
      <c r="C638" s="57"/>
      <c r="D638" s="62"/>
      <c r="E638" s="53" t="e">
        <f>VLOOKUP($D638,成品本月库存!$B:$J,2,0)</f>
        <v>#N/A</v>
      </c>
      <c r="F638" s="54" t="e">
        <f>VLOOKUP($D638,成品本月库存!$B:$J,5,0)</f>
        <v>#N/A</v>
      </c>
      <c r="G638" s="55"/>
      <c r="H638" s="53" t="e">
        <f>VLOOKUP($D638,成品本月库存!$B:$J,9,0)</f>
        <v>#N/A</v>
      </c>
      <c r="I638" s="56"/>
    </row>
    <row r="639" ht="15.75" spans="1:9">
      <c r="A639" s="20"/>
      <c r="B639" s="51"/>
      <c r="C639" s="57"/>
      <c r="D639" s="62"/>
      <c r="E639" s="53" t="e">
        <f>VLOOKUP($D639,成品本月库存!$B:$J,2,0)</f>
        <v>#N/A</v>
      </c>
      <c r="F639" s="54" t="e">
        <f>VLOOKUP($D639,成品本月库存!$B:$J,5,0)</f>
        <v>#N/A</v>
      </c>
      <c r="G639" s="55"/>
      <c r="H639" s="53" t="e">
        <f>VLOOKUP($D639,成品本月库存!$B:$J,9,0)</f>
        <v>#N/A</v>
      </c>
      <c r="I639" s="56"/>
    </row>
    <row r="640" ht="15.75" spans="1:9">
      <c r="A640" s="20"/>
      <c r="B640" s="51"/>
      <c r="C640" s="57"/>
      <c r="D640" s="62"/>
      <c r="E640" s="53" t="e">
        <f>VLOOKUP($D640,成品本月库存!$B:$J,2,0)</f>
        <v>#N/A</v>
      </c>
      <c r="F640" s="54" t="e">
        <f>VLOOKUP($D640,成品本月库存!$B:$J,5,0)</f>
        <v>#N/A</v>
      </c>
      <c r="G640" s="55"/>
      <c r="H640" s="53" t="e">
        <f>VLOOKUP($D640,成品本月库存!$B:$J,9,0)</f>
        <v>#N/A</v>
      </c>
      <c r="I640" s="56"/>
    </row>
    <row r="641" ht="15.75" spans="1:9">
      <c r="A641" s="20"/>
      <c r="B641" s="51"/>
      <c r="C641" s="57"/>
      <c r="D641" s="62"/>
      <c r="E641" s="53" t="e">
        <f>VLOOKUP($D641,成品本月库存!$B:$J,2,0)</f>
        <v>#N/A</v>
      </c>
      <c r="F641" s="54" t="e">
        <f>VLOOKUP($D641,成品本月库存!$B:$J,5,0)</f>
        <v>#N/A</v>
      </c>
      <c r="G641" s="55"/>
      <c r="H641" s="53" t="e">
        <f>VLOOKUP($D641,成品本月库存!$B:$J,9,0)</f>
        <v>#N/A</v>
      </c>
      <c r="I641" s="56"/>
    </row>
    <row r="642" ht="15.75" spans="1:9">
      <c r="A642" s="20"/>
      <c r="B642" s="51"/>
      <c r="C642" s="57"/>
      <c r="D642" s="62"/>
      <c r="E642" s="53" t="e">
        <f>VLOOKUP($D642,成品本月库存!$B:$J,2,0)</f>
        <v>#N/A</v>
      </c>
      <c r="F642" s="54" t="e">
        <f>VLOOKUP($D642,成品本月库存!$B:$J,5,0)</f>
        <v>#N/A</v>
      </c>
      <c r="G642" s="55"/>
      <c r="H642" s="53" t="e">
        <f>VLOOKUP($D642,成品本月库存!$B:$J,9,0)</f>
        <v>#N/A</v>
      </c>
      <c r="I642" s="56"/>
    </row>
    <row r="643" ht="15.75" spans="1:9">
      <c r="A643" s="20"/>
      <c r="B643" s="51"/>
      <c r="C643" s="57"/>
      <c r="D643" s="62"/>
      <c r="E643" s="53" t="e">
        <f>VLOOKUP($D643,成品本月库存!$B:$J,2,0)</f>
        <v>#N/A</v>
      </c>
      <c r="F643" s="54" t="e">
        <f>VLOOKUP($D643,成品本月库存!$B:$J,5,0)</f>
        <v>#N/A</v>
      </c>
      <c r="G643" s="55"/>
      <c r="H643" s="53" t="e">
        <f>VLOOKUP($D643,成品本月库存!$B:$J,9,0)</f>
        <v>#N/A</v>
      </c>
      <c r="I643" s="56"/>
    </row>
    <row r="644" ht="15.75" spans="1:9">
      <c r="A644" s="20"/>
      <c r="B644" s="51"/>
      <c r="C644" s="57"/>
      <c r="D644" s="62"/>
      <c r="E644" s="53" t="e">
        <f>VLOOKUP($D644,成品本月库存!$B:$J,2,0)</f>
        <v>#N/A</v>
      </c>
      <c r="F644" s="54" t="e">
        <f>VLOOKUP($D644,成品本月库存!$B:$J,5,0)</f>
        <v>#N/A</v>
      </c>
      <c r="G644" s="55"/>
      <c r="H644" s="53" t="e">
        <f>VLOOKUP($D644,成品本月库存!$B:$J,9,0)</f>
        <v>#N/A</v>
      </c>
      <c r="I644" s="56"/>
    </row>
    <row r="645" ht="15.75" spans="1:9">
      <c r="A645" s="20"/>
      <c r="B645" s="51"/>
      <c r="C645" s="57"/>
      <c r="D645" s="62"/>
      <c r="E645" s="53" t="e">
        <f>VLOOKUP($D645,成品本月库存!$B:$J,2,0)</f>
        <v>#N/A</v>
      </c>
      <c r="F645" s="54" t="e">
        <f>VLOOKUP($D645,成品本月库存!$B:$J,5,0)</f>
        <v>#N/A</v>
      </c>
      <c r="G645" s="55"/>
      <c r="H645" s="53" t="e">
        <f>VLOOKUP($D645,成品本月库存!$B:$J,9,0)</f>
        <v>#N/A</v>
      </c>
      <c r="I645" s="56"/>
    </row>
    <row r="646" ht="15.75" spans="1:9">
      <c r="A646" s="20"/>
      <c r="B646" s="51"/>
      <c r="C646" s="57"/>
      <c r="D646" s="62"/>
      <c r="E646" s="53" t="e">
        <f>VLOOKUP($D646,成品本月库存!$B:$J,2,0)</f>
        <v>#N/A</v>
      </c>
      <c r="F646" s="54" t="e">
        <f>VLOOKUP($D646,成品本月库存!$B:$J,5,0)</f>
        <v>#N/A</v>
      </c>
      <c r="G646" s="55"/>
      <c r="H646" s="53" t="e">
        <f>VLOOKUP($D646,成品本月库存!$B:$J,9,0)</f>
        <v>#N/A</v>
      </c>
      <c r="I646" s="56"/>
    </row>
    <row r="647" ht="15.75" spans="1:9">
      <c r="A647" s="20"/>
      <c r="B647" s="51"/>
      <c r="C647" s="57"/>
      <c r="D647" s="62"/>
      <c r="E647" s="53" t="e">
        <f>VLOOKUP($D647,成品本月库存!$B:$J,2,0)</f>
        <v>#N/A</v>
      </c>
      <c r="F647" s="54" t="e">
        <f>VLOOKUP($D647,成品本月库存!$B:$J,5,0)</f>
        <v>#N/A</v>
      </c>
      <c r="G647" s="55"/>
      <c r="H647" s="53" t="e">
        <f>VLOOKUP($D647,成品本月库存!$B:$J,9,0)</f>
        <v>#N/A</v>
      </c>
      <c r="I647" s="56"/>
    </row>
    <row r="648" ht="15.75" spans="1:9">
      <c r="A648" s="20"/>
      <c r="B648" s="51"/>
      <c r="C648" s="57"/>
      <c r="D648" s="62"/>
      <c r="E648" s="53" t="e">
        <f>VLOOKUP($D648,成品本月库存!$B:$J,2,0)</f>
        <v>#N/A</v>
      </c>
      <c r="F648" s="54" t="e">
        <f>VLOOKUP($D648,成品本月库存!$B:$J,5,0)</f>
        <v>#N/A</v>
      </c>
      <c r="G648" s="55"/>
      <c r="H648" s="53" t="e">
        <f>VLOOKUP($D648,成品本月库存!$B:$J,9,0)</f>
        <v>#N/A</v>
      </c>
      <c r="I648" s="56"/>
    </row>
    <row r="649" ht="15.75" spans="1:9">
      <c r="A649" s="20"/>
      <c r="B649" s="51"/>
      <c r="C649" s="57"/>
      <c r="D649" s="62"/>
      <c r="E649" s="53" t="e">
        <f>VLOOKUP($D649,成品本月库存!$B:$J,2,0)</f>
        <v>#N/A</v>
      </c>
      <c r="F649" s="54" t="e">
        <f>VLOOKUP($D649,成品本月库存!$B:$J,5,0)</f>
        <v>#N/A</v>
      </c>
      <c r="G649" s="55"/>
      <c r="H649" s="53" t="e">
        <f>VLOOKUP($D649,成品本月库存!$B:$J,9,0)</f>
        <v>#N/A</v>
      </c>
      <c r="I649" s="56"/>
    </row>
    <row r="650" ht="15.75" spans="1:9">
      <c r="A650" s="20"/>
      <c r="B650" s="51"/>
      <c r="C650" s="57"/>
      <c r="D650" s="62"/>
      <c r="E650" s="53" t="e">
        <f>VLOOKUP($D650,成品本月库存!$B:$J,2,0)</f>
        <v>#N/A</v>
      </c>
      <c r="F650" s="54" t="e">
        <f>VLOOKUP($D650,成品本月库存!$B:$J,5,0)</f>
        <v>#N/A</v>
      </c>
      <c r="G650" s="55"/>
      <c r="H650" s="53" t="e">
        <f>VLOOKUP($D650,成品本月库存!$B:$J,9,0)</f>
        <v>#N/A</v>
      </c>
      <c r="I650" s="56"/>
    </row>
    <row r="651" ht="15.75" spans="1:9">
      <c r="A651" s="20"/>
      <c r="B651" s="51"/>
      <c r="C651" s="57"/>
      <c r="D651" s="62"/>
      <c r="E651" s="53" t="e">
        <f>VLOOKUP($D651,成品本月库存!$B:$J,2,0)</f>
        <v>#N/A</v>
      </c>
      <c r="F651" s="54" t="e">
        <f>VLOOKUP($D651,成品本月库存!$B:$J,5,0)</f>
        <v>#N/A</v>
      </c>
      <c r="G651" s="55"/>
      <c r="H651" s="53" t="e">
        <f>VLOOKUP($D651,成品本月库存!$B:$J,9,0)</f>
        <v>#N/A</v>
      </c>
      <c r="I651" s="56"/>
    </row>
    <row r="652" ht="15.75" spans="1:9">
      <c r="A652" s="20"/>
      <c r="B652" s="51"/>
      <c r="C652" s="57"/>
      <c r="D652" s="62"/>
      <c r="E652" s="53" t="e">
        <f>VLOOKUP($D652,成品本月库存!$B:$J,2,0)</f>
        <v>#N/A</v>
      </c>
      <c r="F652" s="54" t="e">
        <f>VLOOKUP($D652,成品本月库存!$B:$J,5,0)</f>
        <v>#N/A</v>
      </c>
      <c r="G652" s="55"/>
      <c r="H652" s="53" t="e">
        <f>VLOOKUP($D652,成品本月库存!$B:$J,9,0)</f>
        <v>#N/A</v>
      </c>
      <c r="I652" s="56"/>
    </row>
    <row r="653" ht="15.75" spans="1:9">
      <c r="A653" s="20"/>
      <c r="B653" s="51"/>
      <c r="C653" s="57"/>
      <c r="D653" s="62"/>
      <c r="E653" s="53" t="e">
        <f>VLOOKUP($D653,成品本月库存!$B:$J,2,0)</f>
        <v>#N/A</v>
      </c>
      <c r="F653" s="54" t="e">
        <f>VLOOKUP($D653,成品本月库存!$B:$J,5,0)</f>
        <v>#N/A</v>
      </c>
      <c r="G653" s="55"/>
      <c r="H653" s="53" t="e">
        <f>VLOOKUP($D653,成品本月库存!$B:$J,9,0)</f>
        <v>#N/A</v>
      </c>
      <c r="I653" s="56"/>
    </row>
    <row r="654" ht="15.75" spans="1:9">
      <c r="A654" s="20"/>
      <c r="B654" s="51"/>
      <c r="C654" s="57"/>
      <c r="D654" s="62"/>
      <c r="E654" s="53" t="e">
        <f>VLOOKUP($D654,成品本月库存!$B:$J,2,0)</f>
        <v>#N/A</v>
      </c>
      <c r="F654" s="54" t="e">
        <f>VLOOKUP($D654,成品本月库存!$B:$J,5,0)</f>
        <v>#N/A</v>
      </c>
      <c r="G654" s="55"/>
      <c r="H654" s="53" t="e">
        <f>VLOOKUP($D654,成品本月库存!$B:$J,9,0)</f>
        <v>#N/A</v>
      </c>
      <c r="I654" s="56"/>
    </row>
    <row r="655" ht="15.75" spans="1:9">
      <c r="A655" s="20"/>
      <c r="B655" s="51"/>
      <c r="C655" s="57"/>
      <c r="D655" s="62"/>
      <c r="E655" s="53" t="e">
        <f>VLOOKUP($D655,成品本月库存!$B:$J,2,0)</f>
        <v>#N/A</v>
      </c>
      <c r="F655" s="54" t="e">
        <f>VLOOKUP($D655,成品本月库存!$B:$J,5,0)</f>
        <v>#N/A</v>
      </c>
      <c r="G655" s="55"/>
      <c r="H655" s="53" t="e">
        <f>VLOOKUP($D655,成品本月库存!$B:$J,9,0)</f>
        <v>#N/A</v>
      </c>
      <c r="I655" s="56"/>
    </row>
    <row r="656" ht="15.75" spans="1:9">
      <c r="A656" s="20"/>
      <c r="B656" s="51"/>
      <c r="C656" s="57"/>
      <c r="D656" s="62"/>
      <c r="E656" s="53" t="e">
        <f>VLOOKUP($D656,成品本月库存!$B:$J,2,0)</f>
        <v>#N/A</v>
      </c>
      <c r="F656" s="54" t="e">
        <f>VLOOKUP($D656,成品本月库存!$B:$J,5,0)</f>
        <v>#N/A</v>
      </c>
      <c r="G656" s="55"/>
      <c r="H656" s="53" t="e">
        <f>VLOOKUP($D656,成品本月库存!$B:$J,9,0)</f>
        <v>#N/A</v>
      </c>
      <c r="I656" s="56"/>
    </row>
    <row r="657" ht="15.75" spans="1:9">
      <c r="A657" s="20"/>
      <c r="B657" s="51"/>
      <c r="C657" s="57"/>
      <c r="D657" s="62"/>
      <c r="E657" s="53" t="e">
        <f>VLOOKUP($D657,成品本月库存!$B:$J,2,0)</f>
        <v>#N/A</v>
      </c>
      <c r="F657" s="54" t="e">
        <f>VLOOKUP($D657,成品本月库存!$B:$J,5,0)</f>
        <v>#N/A</v>
      </c>
      <c r="G657" s="55"/>
      <c r="H657" s="53" t="e">
        <f>VLOOKUP($D657,成品本月库存!$B:$J,9,0)</f>
        <v>#N/A</v>
      </c>
      <c r="I657" s="56"/>
    </row>
    <row r="658" ht="15.75" spans="1:9">
      <c r="A658" s="20"/>
      <c r="B658" s="51"/>
      <c r="C658" s="57"/>
      <c r="D658" s="62"/>
      <c r="E658" s="53" t="e">
        <f>VLOOKUP($D658,成品本月库存!$B:$J,2,0)</f>
        <v>#N/A</v>
      </c>
      <c r="F658" s="54" t="e">
        <f>VLOOKUP($D658,成品本月库存!$B:$J,5,0)</f>
        <v>#N/A</v>
      </c>
      <c r="G658" s="55"/>
      <c r="H658" s="53" t="e">
        <f>VLOOKUP($D658,成品本月库存!$B:$J,9,0)</f>
        <v>#N/A</v>
      </c>
      <c r="I658" s="56"/>
    </row>
    <row r="659" ht="15.75" spans="1:9">
      <c r="A659" s="20"/>
      <c r="B659" s="51"/>
      <c r="C659" s="57"/>
      <c r="D659" s="62"/>
      <c r="E659" s="53" t="e">
        <f>VLOOKUP($D659,成品本月库存!$B:$J,2,0)</f>
        <v>#N/A</v>
      </c>
      <c r="F659" s="54" t="e">
        <f>VLOOKUP($D659,成品本月库存!$B:$J,5,0)</f>
        <v>#N/A</v>
      </c>
      <c r="G659" s="55"/>
      <c r="H659" s="53" t="e">
        <f>VLOOKUP($D659,成品本月库存!$B:$J,9,0)</f>
        <v>#N/A</v>
      </c>
      <c r="I659" s="56"/>
    </row>
    <row r="660" ht="15.75" spans="1:9">
      <c r="A660" s="20"/>
      <c r="B660" s="51"/>
      <c r="C660" s="57"/>
      <c r="D660" s="62"/>
      <c r="E660" s="53" t="e">
        <f>VLOOKUP($D660,成品本月库存!$B:$J,2,0)</f>
        <v>#N/A</v>
      </c>
      <c r="F660" s="54" t="e">
        <f>VLOOKUP($D660,成品本月库存!$B:$J,5,0)</f>
        <v>#N/A</v>
      </c>
      <c r="G660" s="55"/>
      <c r="H660" s="53" t="e">
        <f>VLOOKUP($D660,成品本月库存!$B:$J,9,0)</f>
        <v>#N/A</v>
      </c>
      <c r="I660" s="56"/>
    </row>
    <row r="661" ht="15.75" spans="1:9">
      <c r="A661" s="20"/>
      <c r="B661" s="51"/>
      <c r="C661" s="57"/>
      <c r="D661" s="62"/>
      <c r="E661" s="53" t="e">
        <f>VLOOKUP($D661,成品本月库存!$B:$J,2,0)</f>
        <v>#N/A</v>
      </c>
      <c r="F661" s="54" t="e">
        <f>VLOOKUP($D661,成品本月库存!$B:$J,5,0)</f>
        <v>#N/A</v>
      </c>
      <c r="G661" s="55"/>
      <c r="H661" s="53" t="e">
        <f>VLOOKUP($D661,成品本月库存!$B:$J,9,0)</f>
        <v>#N/A</v>
      </c>
      <c r="I661" s="56"/>
    </row>
    <row r="662" ht="15.75" spans="1:9">
      <c r="A662" s="20"/>
      <c r="B662" s="51"/>
      <c r="C662" s="57"/>
      <c r="D662" s="62"/>
      <c r="E662" s="53" t="e">
        <f>VLOOKUP($D662,成品本月库存!$B:$J,2,0)</f>
        <v>#N/A</v>
      </c>
      <c r="F662" s="54" t="e">
        <f>VLOOKUP($D662,成品本月库存!$B:$J,5,0)</f>
        <v>#N/A</v>
      </c>
      <c r="G662" s="55"/>
      <c r="H662" s="53" t="e">
        <f>VLOOKUP($D662,成品本月库存!$B:$J,9,0)</f>
        <v>#N/A</v>
      </c>
      <c r="I662" s="56"/>
    </row>
    <row r="663" ht="15.75" spans="1:9">
      <c r="A663" s="20"/>
      <c r="B663" s="51"/>
      <c r="C663" s="57"/>
      <c r="D663" s="62"/>
      <c r="E663" s="53" t="e">
        <f>VLOOKUP($D663,成品本月库存!$B:$J,2,0)</f>
        <v>#N/A</v>
      </c>
      <c r="F663" s="54" t="e">
        <f>VLOOKUP($D663,成品本月库存!$B:$J,5,0)</f>
        <v>#N/A</v>
      </c>
      <c r="G663" s="55"/>
      <c r="H663" s="53" t="e">
        <f>VLOOKUP($D663,成品本月库存!$B:$J,9,0)</f>
        <v>#N/A</v>
      </c>
      <c r="I663" s="56"/>
    </row>
    <row r="664" ht="15.75" spans="1:9">
      <c r="A664" s="20"/>
      <c r="B664" s="51"/>
      <c r="C664" s="57"/>
      <c r="D664" s="62"/>
      <c r="E664" s="53" t="e">
        <f>VLOOKUP($D664,成品本月库存!$B:$J,2,0)</f>
        <v>#N/A</v>
      </c>
      <c r="F664" s="54" t="e">
        <f>VLOOKUP($D664,成品本月库存!$B:$J,5,0)</f>
        <v>#N/A</v>
      </c>
      <c r="G664" s="55"/>
      <c r="H664" s="53" t="e">
        <f>VLOOKUP($D664,成品本月库存!$B:$J,9,0)</f>
        <v>#N/A</v>
      </c>
      <c r="I664" s="56"/>
    </row>
    <row r="665" ht="15.75" spans="1:9">
      <c r="A665" s="20"/>
      <c r="B665" s="51"/>
      <c r="C665" s="57"/>
      <c r="D665" s="62"/>
      <c r="E665" s="53" t="e">
        <f>VLOOKUP($D665,成品本月库存!$B:$J,2,0)</f>
        <v>#N/A</v>
      </c>
      <c r="F665" s="54" t="e">
        <f>VLOOKUP($D665,成品本月库存!$B:$J,5,0)</f>
        <v>#N/A</v>
      </c>
      <c r="G665" s="55"/>
      <c r="H665" s="53" t="e">
        <f>VLOOKUP($D665,成品本月库存!$B:$J,9,0)</f>
        <v>#N/A</v>
      </c>
      <c r="I665" s="56"/>
    </row>
    <row r="666" ht="15.75" spans="1:9">
      <c r="A666" s="20"/>
      <c r="B666" s="51"/>
      <c r="C666" s="57"/>
      <c r="D666" s="62"/>
      <c r="E666" s="53" t="e">
        <f>VLOOKUP($D666,成品本月库存!$B:$J,2,0)</f>
        <v>#N/A</v>
      </c>
      <c r="F666" s="54" t="e">
        <f>VLOOKUP($D666,成品本月库存!$B:$J,5,0)</f>
        <v>#N/A</v>
      </c>
      <c r="G666" s="55"/>
      <c r="H666" s="53" t="e">
        <f>VLOOKUP($D666,成品本月库存!$B:$J,9,0)</f>
        <v>#N/A</v>
      </c>
      <c r="I666" s="56"/>
    </row>
    <row r="667" ht="15.75" spans="1:9">
      <c r="A667" s="20"/>
      <c r="B667" s="51"/>
      <c r="C667" s="57"/>
      <c r="D667" s="62"/>
      <c r="E667" s="53" t="e">
        <f>VLOOKUP($D667,成品本月库存!$B:$J,2,0)</f>
        <v>#N/A</v>
      </c>
      <c r="F667" s="54" t="e">
        <f>VLOOKUP($D667,成品本月库存!$B:$J,5,0)</f>
        <v>#N/A</v>
      </c>
      <c r="G667" s="55"/>
      <c r="H667" s="53" t="e">
        <f>VLOOKUP($D667,成品本月库存!$B:$J,9,0)</f>
        <v>#N/A</v>
      </c>
      <c r="I667" s="56"/>
    </row>
    <row r="668" ht="15.75" spans="1:9">
      <c r="A668" s="20"/>
      <c r="B668" s="51"/>
      <c r="C668" s="57"/>
      <c r="D668" s="62"/>
      <c r="E668" s="53" t="e">
        <f>VLOOKUP($D668,成品本月库存!$B:$J,2,0)</f>
        <v>#N/A</v>
      </c>
      <c r="F668" s="54" t="e">
        <f>VLOOKUP($D668,成品本月库存!$B:$J,5,0)</f>
        <v>#N/A</v>
      </c>
      <c r="G668" s="55"/>
      <c r="H668" s="53" t="e">
        <f>VLOOKUP($D668,成品本月库存!$B:$J,9,0)</f>
        <v>#N/A</v>
      </c>
      <c r="I668" s="56"/>
    </row>
    <row r="669" ht="15.75" spans="1:9">
      <c r="A669" s="20"/>
      <c r="B669" s="51"/>
      <c r="C669" s="57"/>
      <c r="D669" s="62"/>
      <c r="E669" s="53" t="e">
        <f>VLOOKUP($D669,成品本月库存!$B:$J,2,0)</f>
        <v>#N/A</v>
      </c>
      <c r="F669" s="54" t="e">
        <f>VLOOKUP($D669,成品本月库存!$B:$J,5,0)</f>
        <v>#N/A</v>
      </c>
      <c r="G669" s="55"/>
      <c r="H669" s="53" t="e">
        <f>VLOOKUP($D669,成品本月库存!$B:$J,9,0)</f>
        <v>#N/A</v>
      </c>
      <c r="I669" s="56"/>
    </row>
    <row r="670" ht="15.75" spans="1:9">
      <c r="A670" s="20"/>
      <c r="B670" s="51"/>
      <c r="C670" s="57"/>
      <c r="D670" s="62"/>
      <c r="E670" s="53" t="e">
        <f>VLOOKUP($D670,成品本月库存!$B:$J,2,0)</f>
        <v>#N/A</v>
      </c>
      <c r="F670" s="54" t="e">
        <f>VLOOKUP($D670,成品本月库存!$B:$J,5,0)</f>
        <v>#N/A</v>
      </c>
      <c r="G670" s="55"/>
      <c r="H670" s="53" t="e">
        <f>VLOOKUP($D670,成品本月库存!$B:$J,9,0)</f>
        <v>#N/A</v>
      </c>
      <c r="I670" s="56"/>
    </row>
    <row r="671" ht="15.75" spans="1:9">
      <c r="A671" s="20"/>
      <c r="B671" s="51"/>
      <c r="C671" s="57"/>
      <c r="D671" s="62"/>
      <c r="E671" s="53" t="e">
        <f>VLOOKUP($D671,成品本月库存!$B:$J,2,0)</f>
        <v>#N/A</v>
      </c>
      <c r="F671" s="54" t="e">
        <f>VLOOKUP($D671,成品本月库存!$B:$J,5,0)</f>
        <v>#N/A</v>
      </c>
      <c r="G671" s="55"/>
      <c r="H671" s="53" t="e">
        <f>VLOOKUP($D671,成品本月库存!$B:$J,9,0)</f>
        <v>#N/A</v>
      </c>
      <c r="I671" s="56"/>
    </row>
    <row r="672" ht="15.75" spans="1:9">
      <c r="A672" s="20"/>
      <c r="B672" s="51"/>
      <c r="C672" s="57"/>
      <c r="D672" s="62"/>
      <c r="E672" s="53" t="e">
        <f>VLOOKUP($D672,成品本月库存!$B:$J,2,0)</f>
        <v>#N/A</v>
      </c>
      <c r="F672" s="54" t="e">
        <f>VLOOKUP($D672,成品本月库存!$B:$J,5,0)</f>
        <v>#N/A</v>
      </c>
      <c r="G672" s="55"/>
      <c r="H672" s="53" t="e">
        <f>VLOOKUP($D672,成品本月库存!$B:$J,9,0)</f>
        <v>#N/A</v>
      </c>
      <c r="I672" s="56"/>
    </row>
    <row r="673" ht="15.75" spans="1:9">
      <c r="A673" s="20"/>
      <c r="B673" s="51"/>
      <c r="C673" s="57"/>
      <c r="D673" s="62"/>
      <c r="E673" s="53" t="e">
        <f>VLOOKUP($D673,成品本月库存!$B:$J,2,0)</f>
        <v>#N/A</v>
      </c>
      <c r="F673" s="54" t="e">
        <f>VLOOKUP($D673,成品本月库存!$B:$J,5,0)</f>
        <v>#N/A</v>
      </c>
      <c r="G673" s="55"/>
      <c r="H673" s="53" t="e">
        <f>VLOOKUP($D673,成品本月库存!$B:$J,9,0)</f>
        <v>#N/A</v>
      </c>
      <c r="I673" s="56"/>
    </row>
    <row r="674" ht="15.75" spans="1:9">
      <c r="A674" s="20"/>
      <c r="B674" s="51"/>
      <c r="C674" s="57"/>
      <c r="D674" s="62"/>
      <c r="E674" s="53" t="e">
        <f>VLOOKUP($D674,成品本月库存!$B:$J,2,0)</f>
        <v>#N/A</v>
      </c>
      <c r="F674" s="54" t="e">
        <f>VLOOKUP($D674,成品本月库存!$B:$J,5,0)</f>
        <v>#N/A</v>
      </c>
      <c r="G674" s="55"/>
      <c r="H674" s="53" t="e">
        <f>VLOOKUP($D674,成品本月库存!$B:$J,9,0)</f>
        <v>#N/A</v>
      </c>
      <c r="I674" s="56"/>
    </row>
    <row r="675" ht="15.75" spans="1:9">
      <c r="A675" s="20"/>
      <c r="B675" s="51"/>
      <c r="C675" s="57"/>
      <c r="D675" s="62"/>
      <c r="E675" s="53" t="e">
        <f>VLOOKUP($D675,成品本月库存!$B:$J,2,0)</f>
        <v>#N/A</v>
      </c>
      <c r="F675" s="54" t="e">
        <f>VLOOKUP($D675,成品本月库存!$B:$J,5,0)</f>
        <v>#N/A</v>
      </c>
      <c r="G675" s="55"/>
      <c r="H675" s="53" t="e">
        <f>VLOOKUP($D675,成品本月库存!$B:$J,9,0)</f>
        <v>#N/A</v>
      </c>
      <c r="I675" s="56"/>
    </row>
    <row r="676" ht="15.75" spans="1:9">
      <c r="A676" s="20"/>
      <c r="B676" s="51"/>
      <c r="C676" s="57"/>
      <c r="D676" s="62"/>
      <c r="E676" s="53" t="e">
        <f>VLOOKUP($D676,成品本月库存!$B:$J,2,0)</f>
        <v>#N/A</v>
      </c>
      <c r="F676" s="54" t="e">
        <f>VLOOKUP($D676,成品本月库存!$B:$J,5,0)</f>
        <v>#N/A</v>
      </c>
      <c r="G676" s="55"/>
      <c r="H676" s="53" t="e">
        <f>VLOOKUP($D676,成品本月库存!$B:$J,9,0)</f>
        <v>#N/A</v>
      </c>
      <c r="I676" s="56"/>
    </row>
    <row r="677" ht="15.75" spans="1:9">
      <c r="A677" s="20"/>
      <c r="B677" s="51"/>
      <c r="C677" s="57"/>
      <c r="D677" s="62"/>
      <c r="E677" s="53" t="e">
        <f>VLOOKUP($D677,成品本月库存!$B:$J,2,0)</f>
        <v>#N/A</v>
      </c>
      <c r="F677" s="54" t="e">
        <f>VLOOKUP($D677,成品本月库存!$B:$J,5,0)</f>
        <v>#N/A</v>
      </c>
      <c r="G677" s="55"/>
      <c r="H677" s="53" t="e">
        <f>VLOOKUP($D677,成品本月库存!$B:$J,9,0)</f>
        <v>#N/A</v>
      </c>
      <c r="I677" s="56"/>
    </row>
    <row r="678" ht="15.75" spans="1:9">
      <c r="A678" s="20"/>
      <c r="B678" s="51"/>
      <c r="C678" s="57"/>
      <c r="D678" s="62"/>
      <c r="E678" s="53" t="e">
        <f>VLOOKUP($D678,成品本月库存!$B:$J,2,0)</f>
        <v>#N/A</v>
      </c>
      <c r="F678" s="54" t="e">
        <f>VLOOKUP($D678,成品本月库存!$B:$J,5,0)</f>
        <v>#N/A</v>
      </c>
      <c r="G678" s="55"/>
      <c r="H678" s="53" t="e">
        <f>VLOOKUP($D678,成品本月库存!$B:$J,9,0)</f>
        <v>#N/A</v>
      </c>
      <c r="I678" s="56"/>
    </row>
    <row r="679" ht="15.75" spans="1:9">
      <c r="A679" s="20"/>
      <c r="B679" s="51"/>
      <c r="C679" s="57"/>
      <c r="D679" s="62"/>
      <c r="E679" s="53" t="e">
        <f>VLOOKUP($D679,成品本月库存!$B:$J,2,0)</f>
        <v>#N/A</v>
      </c>
      <c r="F679" s="54" t="e">
        <f>VLOOKUP($D679,成品本月库存!$B:$J,5,0)</f>
        <v>#N/A</v>
      </c>
      <c r="G679" s="55"/>
      <c r="H679" s="53" t="e">
        <f>VLOOKUP($D679,成品本月库存!$B:$J,9,0)</f>
        <v>#N/A</v>
      </c>
      <c r="I679" s="56"/>
    </row>
    <row r="680" ht="15.75" spans="1:9">
      <c r="A680" s="20"/>
      <c r="B680" s="51"/>
      <c r="C680" s="57"/>
      <c r="D680" s="62"/>
      <c r="E680" s="53" t="e">
        <f>VLOOKUP($D680,成品本月库存!$B:$J,2,0)</f>
        <v>#N/A</v>
      </c>
      <c r="F680" s="54" t="e">
        <f>VLOOKUP($D680,成品本月库存!$B:$J,5,0)</f>
        <v>#N/A</v>
      </c>
      <c r="G680" s="55"/>
      <c r="H680" s="53" t="e">
        <f>VLOOKUP($D680,成品本月库存!$B:$J,9,0)</f>
        <v>#N/A</v>
      </c>
      <c r="I680" s="56"/>
    </row>
    <row r="681" ht="15.75" spans="1:9">
      <c r="A681" s="20"/>
      <c r="B681" s="51"/>
      <c r="C681" s="57"/>
      <c r="D681" s="62"/>
      <c r="E681" s="53" t="e">
        <f>VLOOKUP($D681,成品本月库存!$B:$J,2,0)</f>
        <v>#N/A</v>
      </c>
      <c r="F681" s="54" t="e">
        <f>VLOOKUP($D681,成品本月库存!$B:$J,5,0)</f>
        <v>#N/A</v>
      </c>
      <c r="G681" s="55"/>
      <c r="H681" s="53" t="e">
        <f>VLOOKUP($D681,成品本月库存!$B:$J,9,0)</f>
        <v>#N/A</v>
      </c>
      <c r="I681" s="56"/>
    </row>
    <row r="682" ht="15.75" spans="1:9">
      <c r="A682" s="20"/>
      <c r="B682" s="51"/>
      <c r="C682" s="57"/>
      <c r="D682" s="62"/>
      <c r="E682" s="53" t="e">
        <f>VLOOKUP($D682,成品本月库存!$B:$J,2,0)</f>
        <v>#N/A</v>
      </c>
      <c r="F682" s="54" t="e">
        <f>VLOOKUP($D682,成品本月库存!$B:$J,5,0)</f>
        <v>#N/A</v>
      </c>
      <c r="G682" s="55"/>
      <c r="H682" s="53" t="e">
        <f>VLOOKUP($D682,成品本月库存!$B:$J,9,0)</f>
        <v>#N/A</v>
      </c>
      <c r="I682" s="56"/>
    </row>
    <row r="683" ht="15.75" spans="1:9">
      <c r="A683" s="20"/>
      <c r="B683" s="51"/>
      <c r="C683" s="57"/>
      <c r="D683" s="62"/>
      <c r="E683" s="53" t="e">
        <f>VLOOKUP($D683,成品本月库存!$B:$J,2,0)</f>
        <v>#N/A</v>
      </c>
      <c r="F683" s="54" t="e">
        <f>VLOOKUP($D683,成品本月库存!$B:$J,5,0)</f>
        <v>#N/A</v>
      </c>
      <c r="G683" s="55"/>
      <c r="H683" s="53" t="e">
        <f>VLOOKUP($D683,成品本月库存!$B:$J,9,0)</f>
        <v>#N/A</v>
      </c>
      <c r="I683" s="56"/>
    </row>
    <row r="684" ht="15.75" spans="1:9">
      <c r="A684" s="20"/>
      <c r="B684" s="51"/>
      <c r="C684" s="57"/>
      <c r="D684" s="62"/>
      <c r="E684" s="53" t="e">
        <f>VLOOKUP($D684,成品本月库存!$B:$J,2,0)</f>
        <v>#N/A</v>
      </c>
      <c r="F684" s="54" t="e">
        <f>VLOOKUP($D684,成品本月库存!$B:$J,5,0)</f>
        <v>#N/A</v>
      </c>
      <c r="G684" s="55"/>
      <c r="H684" s="53" t="e">
        <f>VLOOKUP($D684,成品本月库存!$B:$J,9,0)</f>
        <v>#N/A</v>
      </c>
      <c r="I684" s="56"/>
    </row>
    <row r="685" ht="15.75" spans="1:9">
      <c r="A685" s="20"/>
      <c r="B685" s="51"/>
      <c r="C685" s="57"/>
      <c r="D685" s="62"/>
      <c r="E685" s="53" t="e">
        <f>VLOOKUP($D685,成品本月库存!$B:$J,2,0)</f>
        <v>#N/A</v>
      </c>
      <c r="F685" s="54" t="e">
        <f>VLOOKUP($D685,成品本月库存!$B:$J,5,0)</f>
        <v>#N/A</v>
      </c>
      <c r="G685" s="55"/>
      <c r="H685" s="53" t="e">
        <f>VLOOKUP($D685,成品本月库存!$B:$J,9,0)</f>
        <v>#N/A</v>
      </c>
      <c r="I685" s="56"/>
    </row>
    <row r="686" ht="15.75" spans="1:9">
      <c r="A686" s="20"/>
      <c r="B686" s="51"/>
      <c r="C686" s="57"/>
      <c r="D686" s="62"/>
      <c r="E686" s="53" t="e">
        <f>VLOOKUP($D686,成品本月库存!$B:$J,2,0)</f>
        <v>#N/A</v>
      </c>
      <c r="F686" s="54" t="e">
        <f>VLOOKUP($D686,成品本月库存!$B:$J,5,0)</f>
        <v>#N/A</v>
      </c>
      <c r="G686" s="55"/>
      <c r="H686" s="53" t="e">
        <f>VLOOKUP($D686,成品本月库存!$B:$J,9,0)</f>
        <v>#N/A</v>
      </c>
      <c r="I686" s="56"/>
    </row>
    <row r="687" ht="15.75" spans="1:9">
      <c r="A687" s="20"/>
      <c r="B687" s="51"/>
      <c r="C687" s="57"/>
      <c r="D687" s="62"/>
      <c r="E687" s="53" t="e">
        <f>VLOOKUP($D687,成品本月库存!$B:$J,2,0)</f>
        <v>#N/A</v>
      </c>
      <c r="F687" s="54" t="e">
        <f>VLOOKUP($D687,成品本月库存!$B:$J,5,0)</f>
        <v>#N/A</v>
      </c>
      <c r="G687" s="55"/>
      <c r="H687" s="53" t="e">
        <f>VLOOKUP($D687,成品本月库存!$B:$J,9,0)</f>
        <v>#N/A</v>
      </c>
      <c r="I687" s="56"/>
    </row>
    <row r="688" ht="15.75" spans="1:9">
      <c r="A688" s="20"/>
      <c r="B688" s="51"/>
      <c r="C688" s="57"/>
      <c r="D688" s="62"/>
      <c r="E688" s="53" t="e">
        <f>VLOOKUP($D688,成品本月库存!$B:$J,2,0)</f>
        <v>#N/A</v>
      </c>
      <c r="F688" s="54" t="e">
        <f>VLOOKUP($D688,成品本月库存!$B:$J,5,0)</f>
        <v>#N/A</v>
      </c>
      <c r="G688" s="55"/>
      <c r="H688" s="53" t="e">
        <f>VLOOKUP($D688,成品本月库存!$B:$J,9,0)</f>
        <v>#N/A</v>
      </c>
      <c r="I688" s="56"/>
    </row>
    <row r="689" ht="15.75" spans="1:9">
      <c r="A689" s="20"/>
      <c r="B689" s="51"/>
      <c r="C689" s="57"/>
      <c r="D689" s="62"/>
      <c r="E689" s="53" t="e">
        <f>VLOOKUP($D689,成品本月库存!$B:$J,2,0)</f>
        <v>#N/A</v>
      </c>
      <c r="F689" s="54" t="e">
        <f>VLOOKUP($D689,成品本月库存!$B:$J,5,0)</f>
        <v>#N/A</v>
      </c>
      <c r="G689" s="55"/>
      <c r="H689" s="53" t="e">
        <f>VLOOKUP($D689,成品本月库存!$B:$J,9,0)</f>
        <v>#N/A</v>
      </c>
      <c r="I689" s="56"/>
    </row>
    <row r="690" ht="15.75" spans="1:9">
      <c r="A690" s="20"/>
      <c r="B690" s="51"/>
      <c r="C690" s="57"/>
      <c r="D690" s="62"/>
      <c r="E690" s="53" t="e">
        <f>VLOOKUP($D690,成品本月库存!$B:$J,2,0)</f>
        <v>#N/A</v>
      </c>
      <c r="F690" s="54" t="e">
        <f>VLOOKUP($D690,成品本月库存!$B:$J,5,0)</f>
        <v>#N/A</v>
      </c>
      <c r="G690" s="55"/>
      <c r="H690" s="53" t="e">
        <f>VLOOKUP($D690,成品本月库存!$B:$J,9,0)</f>
        <v>#N/A</v>
      </c>
      <c r="I690" s="56"/>
    </row>
    <row r="691" ht="15" customHeight="1" spans="1:9">
      <c r="A691" s="20"/>
      <c r="B691" s="51"/>
      <c r="C691" s="57"/>
      <c r="D691" s="62"/>
      <c r="E691" s="53" t="e">
        <f>VLOOKUP($D691,成品本月库存!$B:$J,2,0)</f>
        <v>#N/A</v>
      </c>
      <c r="F691" s="54" t="e">
        <f>VLOOKUP($D691,成品本月库存!$B:$J,5,0)</f>
        <v>#N/A</v>
      </c>
      <c r="G691" s="55"/>
      <c r="H691" s="53" t="e">
        <f>VLOOKUP($D691,成品本月库存!$B:$J,9,0)</f>
        <v>#N/A</v>
      </c>
      <c r="I691" s="56"/>
    </row>
    <row r="692" ht="15" customHeight="1" spans="1:9">
      <c r="A692" s="20"/>
      <c r="B692" s="51"/>
      <c r="C692" s="57"/>
      <c r="D692" s="62"/>
      <c r="E692" s="53" t="e">
        <f>VLOOKUP($D692,成品本月库存!$B:$J,2,0)</f>
        <v>#N/A</v>
      </c>
      <c r="F692" s="54" t="e">
        <f>VLOOKUP($D692,成品本月库存!$B:$J,5,0)</f>
        <v>#N/A</v>
      </c>
      <c r="G692" s="55"/>
      <c r="H692" s="53" t="e">
        <f>VLOOKUP($D692,成品本月库存!$B:$J,9,0)</f>
        <v>#N/A</v>
      </c>
      <c r="I692" s="56"/>
    </row>
    <row r="693" ht="15" customHeight="1" spans="1:9">
      <c r="A693" s="20"/>
      <c r="B693" s="51"/>
      <c r="C693" s="57"/>
      <c r="D693" s="62"/>
      <c r="E693" s="53" t="e">
        <f>VLOOKUP($D693,成品本月库存!$B:$J,2,0)</f>
        <v>#N/A</v>
      </c>
      <c r="F693" s="54" t="e">
        <f>VLOOKUP($D693,成品本月库存!$B:$J,5,0)</f>
        <v>#N/A</v>
      </c>
      <c r="G693" s="55"/>
      <c r="H693" s="53" t="e">
        <f>VLOOKUP($D693,成品本月库存!$B:$J,9,0)</f>
        <v>#N/A</v>
      </c>
      <c r="I693" s="56"/>
    </row>
    <row r="694" ht="15" customHeight="1" spans="1:9">
      <c r="A694" s="20"/>
      <c r="B694" s="51"/>
      <c r="C694" s="57"/>
      <c r="D694" s="62"/>
      <c r="E694" s="53" t="e">
        <f>VLOOKUP($D694,成品本月库存!$B:$J,2,0)</f>
        <v>#N/A</v>
      </c>
      <c r="F694" s="54" t="e">
        <f>VLOOKUP($D694,成品本月库存!$B:$J,5,0)</f>
        <v>#N/A</v>
      </c>
      <c r="G694" s="55"/>
      <c r="H694" s="53" t="e">
        <f>VLOOKUP($D694,成品本月库存!$B:$J,9,0)</f>
        <v>#N/A</v>
      </c>
      <c r="I694" s="56"/>
    </row>
    <row r="695" ht="15" customHeight="1" spans="1:9">
      <c r="A695" s="20"/>
      <c r="B695" s="51"/>
      <c r="C695" s="57"/>
      <c r="D695" s="62"/>
      <c r="E695" s="53" t="e">
        <f>VLOOKUP($D695,成品本月库存!$B:$J,2,0)</f>
        <v>#N/A</v>
      </c>
      <c r="F695" s="54" t="e">
        <f>VLOOKUP($D695,成品本月库存!$B:$J,5,0)</f>
        <v>#N/A</v>
      </c>
      <c r="G695" s="55"/>
      <c r="H695" s="53" t="e">
        <f>VLOOKUP($D695,成品本月库存!$B:$J,9,0)</f>
        <v>#N/A</v>
      </c>
      <c r="I695" s="56"/>
    </row>
    <row r="696" ht="15" customHeight="1" spans="1:9">
      <c r="A696" s="20"/>
      <c r="B696" s="51"/>
      <c r="C696" s="57"/>
      <c r="D696" s="62"/>
      <c r="E696" s="53" t="e">
        <f>VLOOKUP($D696,成品本月库存!$B:$J,2,0)</f>
        <v>#N/A</v>
      </c>
      <c r="F696" s="54" t="e">
        <f>VLOOKUP($D696,成品本月库存!$B:$J,5,0)</f>
        <v>#N/A</v>
      </c>
      <c r="G696" s="55"/>
      <c r="H696" s="53" t="e">
        <f>VLOOKUP($D696,成品本月库存!$B:$J,9,0)</f>
        <v>#N/A</v>
      </c>
      <c r="I696" s="56"/>
    </row>
    <row r="697" ht="15" customHeight="1" spans="1:9">
      <c r="A697" s="20"/>
      <c r="B697" s="51"/>
      <c r="C697" s="57"/>
      <c r="D697" s="62"/>
      <c r="E697" s="53" t="e">
        <f>VLOOKUP($D697,成品本月库存!$B:$J,2,0)</f>
        <v>#N/A</v>
      </c>
      <c r="F697" s="54" t="e">
        <f>VLOOKUP($D697,成品本月库存!$B:$J,5,0)</f>
        <v>#N/A</v>
      </c>
      <c r="G697" s="55"/>
      <c r="H697" s="53" t="e">
        <f>VLOOKUP($D697,成品本月库存!$B:$J,9,0)</f>
        <v>#N/A</v>
      </c>
      <c r="I697" s="56"/>
    </row>
    <row r="698" ht="15" customHeight="1" spans="1:9">
      <c r="A698" s="20"/>
      <c r="B698" s="51"/>
      <c r="C698" s="57"/>
      <c r="D698" s="62"/>
      <c r="E698" s="53" t="e">
        <f>VLOOKUP($D698,成品本月库存!$B:$J,2,0)</f>
        <v>#N/A</v>
      </c>
      <c r="F698" s="54" t="e">
        <f>VLOOKUP($D698,成品本月库存!$B:$J,5,0)</f>
        <v>#N/A</v>
      </c>
      <c r="G698" s="55"/>
      <c r="H698" s="53" t="e">
        <f>VLOOKUP($D698,成品本月库存!$B:$J,9,0)</f>
        <v>#N/A</v>
      </c>
      <c r="I698" s="56"/>
    </row>
    <row r="699" ht="15" customHeight="1" spans="1:9">
      <c r="A699" s="20"/>
      <c r="B699" s="51"/>
      <c r="C699" s="57"/>
      <c r="D699" s="62"/>
      <c r="E699" s="53" t="e">
        <f>VLOOKUP($D699,成品本月库存!$B:$J,2,0)</f>
        <v>#N/A</v>
      </c>
      <c r="F699" s="54" t="e">
        <f>VLOOKUP($D699,成品本月库存!$B:$J,5,0)</f>
        <v>#N/A</v>
      </c>
      <c r="G699" s="55"/>
      <c r="H699" s="53" t="e">
        <f>VLOOKUP($D699,成品本月库存!$B:$J,9,0)</f>
        <v>#N/A</v>
      </c>
      <c r="I699" s="56"/>
    </row>
    <row r="700" ht="15" customHeight="1" spans="1:9">
      <c r="A700" s="20"/>
      <c r="B700" s="51"/>
      <c r="C700" s="57"/>
      <c r="D700" s="62"/>
      <c r="E700" s="53" t="e">
        <f>VLOOKUP($D700,成品本月库存!$B:$J,2,0)</f>
        <v>#N/A</v>
      </c>
      <c r="F700" s="54" t="e">
        <f>VLOOKUP($D700,成品本月库存!$B:$J,5,0)</f>
        <v>#N/A</v>
      </c>
      <c r="G700" s="55"/>
      <c r="H700" s="53" t="e">
        <f>VLOOKUP($D700,成品本月库存!$B:$J,9,0)</f>
        <v>#N/A</v>
      </c>
      <c r="I700" s="56"/>
    </row>
    <row r="701" ht="15" customHeight="1" spans="1:9">
      <c r="A701" s="20"/>
      <c r="B701" s="51"/>
      <c r="C701" s="57"/>
      <c r="D701" s="62"/>
      <c r="E701" s="53" t="e">
        <f>VLOOKUP($D701,成品本月库存!$B:$J,2,0)</f>
        <v>#N/A</v>
      </c>
      <c r="F701" s="54" t="e">
        <f>VLOOKUP($D701,成品本月库存!$B:$J,5,0)</f>
        <v>#N/A</v>
      </c>
      <c r="G701" s="55"/>
      <c r="H701" s="53" t="e">
        <f>VLOOKUP($D701,成品本月库存!$B:$J,9,0)</f>
        <v>#N/A</v>
      </c>
      <c r="I701" s="56"/>
    </row>
    <row r="702" ht="15" customHeight="1" spans="1:9">
      <c r="A702" s="20"/>
      <c r="B702" s="51"/>
      <c r="C702" s="57"/>
      <c r="D702" s="62"/>
      <c r="E702" s="53" t="e">
        <f>VLOOKUP($D702,成品本月库存!$B:$J,2,0)</f>
        <v>#N/A</v>
      </c>
      <c r="F702" s="54" t="e">
        <f>VLOOKUP($D702,成品本月库存!$B:$J,5,0)</f>
        <v>#N/A</v>
      </c>
      <c r="G702" s="55"/>
      <c r="H702" s="53" t="e">
        <f>VLOOKUP($D702,成品本月库存!$B:$J,9,0)</f>
        <v>#N/A</v>
      </c>
      <c r="I702" s="56"/>
    </row>
    <row r="703" ht="15" customHeight="1" spans="1:9">
      <c r="A703" s="20"/>
      <c r="B703" s="51"/>
      <c r="C703" s="57"/>
      <c r="D703" s="62"/>
      <c r="E703" s="53" t="e">
        <f>VLOOKUP($D703,成品本月库存!$B:$J,2,0)</f>
        <v>#N/A</v>
      </c>
      <c r="F703" s="54" t="e">
        <f>VLOOKUP($D703,成品本月库存!$B:$J,5,0)</f>
        <v>#N/A</v>
      </c>
      <c r="G703" s="55"/>
      <c r="H703" s="53" t="e">
        <f>VLOOKUP($D703,成品本月库存!$B:$J,9,0)</f>
        <v>#N/A</v>
      </c>
      <c r="I703" s="56"/>
    </row>
    <row r="704" ht="15" customHeight="1" spans="1:9">
      <c r="A704" s="20"/>
      <c r="B704" s="51"/>
      <c r="C704" s="57"/>
      <c r="D704" s="62"/>
      <c r="E704" s="53" t="e">
        <f>VLOOKUP($D704,成品本月库存!$B:$J,2,0)</f>
        <v>#N/A</v>
      </c>
      <c r="F704" s="54" t="e">
        <f>VLOOKUP($D704,成品本月库存!$B:$J,5,0)</f>
        <v>#N/A</v>
      </c>
      <c r="G704" s="55"/>
      <c r="H704" s="53" t="e">
        <f>VLOOKUP($D704,成品本月库存!$B:$J,9,0)</f>
        <v>#N/A</v>
      </c>
      <c r="I704" s="56"/>
    </row>
    <row r="705" ht="15" customHeight="1" spans="1:9">
      <c r="A705" s="20"/>
      <c r="B705" s="51"/>
      <c r="C705" s="57"/>
      <c r="D705" s="62"/>
      <c r="E705" s="53" t="e">
        <f>VLOOKUP($D705,成品本月库存!$B:$J,2,0)</f>
        <v>#N/A</v>
      </c>
      <c r="F705" s="54" t="e">
        <f>VLOOKUP($D705,成品本月库存!$B:$J,5,0)</f>
        <v>#N/A</v>
      </c>
      <c r="G705" s="55"/>
      <c r="H705" s="53" t="e">
        <f>VLOOKUP($D705,成品本月库存!$B:$J,9,0)</f>
        <v>#N/A</v>
      </c>
      <c r="I705" s="56"/>
    </row>
    <row r="706" ht="15" customHeight="1" spans="1:9">
      <c r="A706" s="20"/>
      <c r="B706" s="51"/>
      <c r="C706" s="57"/>
      <c r="D706" s="62"/>
      <c r="E706" s="53" t="e">
        <f>VLOOKUP($D706,成品本月库存!$B:$J,2,0)</f>
        <v>#N/A</v>
      </c>
      <c r="F706" s="54" t="e">
        <f>VLOOKUP($D706,成品本月库存!$B:$J,5,0)</f>
        <v>#N/A</v>
      </c>
      <c r="G706" s="55"/>
      <c r="H706" s="53" t="e">
        <f>VLOOKUP($D706,成品本月库存!$B:$J,9,0)</f>
        <v>#N/A</v>
      </c>
      <c r="I706" s="56"/>
    </row>
    <row r="707" ht="15" customHeight="1" spans="1:9">
      <c r="A707" s="20"/>
      <c r="B707" s="51"/>
      <c r="C707" s="57"/>
      <c r="D707" s="62"/>
      <c r="E707" s="53" t="e">
        <f>VLOOKUP($D707,成品本月库存!$B:$J,2,0)</f>
        <v>#N/A</v>
      </c>
      <c r="F707" s="54" t="e">
        <f>VLOOKUP($D707,成品本月库存!$B:$J,5,0)</f>
        <v>#N/A</v>
      </c>
      <c r="G707" s="55"/>
      <c r="H707" s="53" t="e">
        <f>VLOOKUP($D707,成品本月库存!$B:$J,9,0)</f>
        <v>#N/A</v>
      </c>
      <c r="I707" s="56"/>
    </row>
    <row r="708" ht="15" customHeight="1" spans="1:9">
      <c r="A708" s="20"/>
      <c r="B708" s="51"/>
      <c r="C708" s="57"/>
      <c r="D708" s="62"/>
      <c r="E708" s="53" t="e">
        <f>VLOOKUP($D708,成品本月库存!$B:$J,2,0)</f>
        <v>#N/A</v>
      </c>
      <c r="F708" s="54" t="e">
        <f>VLOOKUP($D708,成品本月库存!$B:$J,5,0)</f>
        <v>#N/A</v>
      </c>
      <c r="G708" s="55"/>
      <c r="H708" s="53" t="e">
        <f>VLOOKUP($D708,成品本月库存!$B:$J,9,0)</f>
        <v>#N/A</v>
      </c>
      <c r="I708" s="56"/>
    </row>
    <row r="709" ht="15" customHeight="1" spans="1:9">
      <c r="A709" s="20"/>
      <c r="B709" s="51"/>
      <c r="C709" s="57"/>
      <c r="D709" s="62"/>
      <c r="E709" s="53" t="e">
        <f>VLOOKUP($D709,成品本月库存!$B:$J,2,0)</f>
        <v>#N/A</v>
      </c>
      <c r="F709" s="54" t="e">
        <f>VLOOKUP($D709,成品本月库存!$B:$J,5,0)</f>
        <v>#N/A</v>
      </c>
      <c r="G709" s="55"/>
      <c r="H709" s="53" t="e">
        <f>VLOOKUP($D709,成品本月库存!$B:$J,9,0)</f>
        <v>#N/A</v>
      </c>
      <c r="I709" s="56"/>
    </row>
    <row r="710" ht="15.75" spans="1:9">
      <c r="A710" s="20"/>
      <c r="B710" s="51"/>
      <c r="C710" s="57"/>
      <c r="D710" s="62"/>
      <c r="E710" s="53" t="e">
        <f>VLOOKUP($D710,成品本月库存!$B:$J,2,0)</f>
        <v>#N/A</v>
      </c>
      <c r="F710" s="54" t="e">
        <f>VLOOKUP($D710,成品本月库存!$B:$J,5,0)</f>
        <v>#N/A</v>
      </c>
      <c r="G710" s="55"/>
      <c r="H710" s="53" t="e">
        <f>VLOOKUP($D710,成品本月库存!$B:$J,9,0)</f>
        <v>#N/A</v>
      </c>
      <c r="I710" s="56"/>
    </row>
    <row r="711" ht="15.75" spans="1:9">
      <c r="A711" s="20"/>
      <c r="B711" s="51"/>
      <c r="C711" s="57"/>
      <c r="D711" s="62"/>
      <c r="E711" s="53" t="e">
        <f>VLOOKUP($D711,成品本月库存!$B:$J,2,0)</f>
        <v>#N/A</v>
      </c>
      <c r="F711" s="54" t="e">
        <f>VLOOKUP($D711,成品本月库存!$B:$J,5,0)</f>
        <v>#N/A</v>
      </c>
      <c r="G711" s="55"/>
      <c r="H711" s="53" t="e">
        <f>VLOOKUP($D711,成品本月库存!$B:$J,9,0)</f>
        <v>#N/A</v>
      </c>
      <c r="I711" s="56"/>
    </row>
    <row r="712" ht="15.75" spans="1:9">
      <c r="A712" s="20"/>
      <c r="B712" s="51"/>
      <c r="C712" s="57"/>
      <c r="D712" s="62"/>
      <c r="E712" s="53" t="e">
        <f>VLOOKUP($D712,成品本月库存!$B:$J,2,0)</f>
        <v>#N/A</v>
      </c>
      <c r="F712" s="54" t="e">
        <f>VLOOKUP($D712,成品本月库存!$B:$J,5,0)</f>
        <v>#N/A</v>
      </c>
      <c r="G712" s="55"/>
      <c r="H712" s="53" t="e">
        <f>VLOOKUP($D712,成品本月库存!$B:$J,9,0)</f>
        <v>#N/A</v>
      </c>
      <c r="I712" s="56"/>
    </row>
    <row r="713" ht="15.75" spans="1:9">
      <c r="A713" s="20"/>
      <c r="B713" s="51"/>
      <c r="C713" s="57"/>
      <c r="D713" s="62"/>
      <c r="E713" s="53" t="e">
        <f>VLOOKUP($D713,成品本月库存!$B:$J,2,0)</f>
        <v>#N/A</v>
      </c>
      <c r="F713" s="54" t="e">
        <f>VLOOKUP($D713,成品本月库存!$B:$J,5,0)</f>
        <v>#N/A</v>
      </c>
      <c r="G713" s="55"/>
      <c r="H713" s="53" t="e">
        <f>VLOOKUP($D713,成品本月库存!$B:$J,9,0)</f>
        <v>#N/A</v>
      </c>
      <c r="I713" s="56"/>
    </row>
    <row r="714" ht="15.75" spans="1:9">
      <c r="A714" s="20"/>
      <c r="B714" s="51"/>
      <c r="C714" s="57"/>
      <c r="D714" s="62"/>
      <c r="E714" s="53" t="e">
        <f>VLOOKUP($D714,成品本月库存!$B:$J,2,0)</f>
        <v>#N/A</v>
      </c>
      <c r="F714" s="54" t="e">
        <f>VLOOKUP($D714,成品本月库存!$B:$J,5,0)</f>
        <v>#N/A</v>
      </c>
      <c r="G714" s="55"/>
      <c r="H714" s="53" t="e">
        <f>VLOOKUP($D714,成品本月库存!$B:$J,9,0)</f>
        <v>#N/A</v>
      </c>
      <c r="I714" s="56"/>
    </row>
    <row r="715" ht="15.75" spans="1:9">
      <c r="A715" s="20"/>
      <c r="B715" s="51"/>
      <c r="C715" s="57"/>
      <c r="D715" s="62"/>
      <c r="E715" s="53" t="e">
        <f>VLOOKUP($D715,成品本月库存!$B:$J,2,0)</f>
        <v>#N/A</v>
      </c>
      <c r="F715" s="54" t="e">
        <f>VLOOKUP($D715,成品本月库存!$B:$J,5,0)</f>
        <v>#N/A</v>
      </c>
      <c r="G715" s="55"/>
      <c r="H715" s="53" t="e">
        <f>VLOOKUP($D715,成品本月库存!$B:$J,9,0)</f>
        <v>#N/A</v>
      </c>
      <c r="I715" s="56"/>
    </row>
    <row r="716" ht="15.75" spans="1:9">
      <c r="A716" s="20"/>
      <c r="B716" s="51"/>
      <c r="C716" s="57"/>
      <c r="D716" s="62"/>
      <c r="E716" s="53" t="e">
        <f>VLOOKUP($D716,成品本月库存!$B:$J,2,0)</f>
        <v>#N/A</v>
      </c>
      <c r="F716" s="54" t="e">
        <f>VLOOKUP($D716,成品本月库存!$B:$J,5,0)</f>
        <v>#N/A</v>
      </c>
      <c r="G716" s="55"/>
      <c r="H716" s="53" t="e">
        <f>VLOOKUP($D716,成品本月库存!$B:$J,9,0)</f>
        <v>#N/A</v>
      </c>
      <c r="I716" s="56"/>
    </row>
    <row r="717" ht="15.75" spans="1:9">
      <c r="A717" s="20"/>
      <c r="B717" s="51"/>
      <c r="C717" s="57"/>
      <c r="D717" s="62"/>
      <c r="E717" s="53" t="e">
        <f>VLOOKUP($D717,成品本月库存!$B:$J,2,0)</f>
        <v>#N/A</v>
      </c>
      <c r="F717" s="54" t="e">
        <f>VLOOKUP($D717,成品本月库存!$B:$J,5,0)</f>
        <v>#N/A</v>
      </c>
      <c r="G717" s="55"/>
      <c r="H717" s="53" t="e">
        <f>VLOOKUP($D717,成品本月库存!$B:$J,9,0)</f>
        <v>#N/A</v>
      </c>
      <c r="I717" s="56"/>
    </row>
    <row r="718" ht="15.75" spans="1:9">
      <c r="A718" s="20"/>
      <c r="B718" s="51"/>
      <c r="C718" s="57"/>
      <c r="D718" s="62"/>
      <c r="E718" s="53" t="e">
        <f>VLOOKUP($D718,成品本月库存!$B:$J,2,0)</f>
        <v>#N/A</v>
      </c>
      <c r="F718" s="54" t="e">
        <f>VLOOKUP($D718,成品本月库存!$B:$J,5,0)</f>
        <v>#N/A</v>
      </c>
      <c r="G718" s="55"/>
      <c r="H718" s="53" t="e">
        <f>VLOOKUP($D718,成品本月库存!$B:$J,9,0)</f>
        <v>#N/A</v>
      </c>
      <c r="I718" s="56"/>
    </row>
    <row r="719" ht="15.75" spans="1:9">
      <c r="A719" s="20"/>
      <c r="B719" s="51"/>
      <c r="C719" s="57"/>
      <c r="D719" s="62"/>
      <c r="E719" s="53" t="e">
        <f>VLOOKUP($D719,成品本月库存!$B:$J,2,0)</f>
        <v>#N/A</v>
      </c>
      <c r="F719" s="54" t="e">
        <f>VLOOKUP($D719,成品本月库存!$B:$J,5,0)</f>
        <v>#N/A</v>
      </c>
      <c r="G719" s="55"/>
      <c r="H719" s="53" t="e">
        <f>VLOOKUP($D719,成品本月库存!$B:$J,9,0)</f>
        <v>#N/A</v>
      </c>
      <c r="I719" s="56"/>
    </row>
    <row r="720" ht="15.75" spans="1:9">
      <c r="A720" s="20"/>
      <c r="B720" s="51"/>
      <c r="C720" s="57"/>
      <c r="D720" s="62"/>
      <c r="E720" s="53" t="e">
        <f>VLOOKUP($D720,成品本月库存!$B:$J,2,0)</f>
        <v>#N/A</v>
      </c>
      <c r="F720" s="54" t="e">
        <f>VLOOKUP($D720,成品本月库存!$B:$J,5,0)</f>
        <v>#N/A</v>
      </c>
      <c r="G720" s="55"/>
      <c r="H720" s="53" t="e">
        <f>VLOOKUP($D720,成品本月库存!$B:$J,9,0)</f>
        <v>#N/A</v>
      </c>
      <c r="I720" s="56"/>
    </row>
    <row r="721" ht="15.75" spans="1:9">
      <c r="A721" s="20"/>
      <c r="B721" s="51"/>
      <c r="C721" s="57"/>
      <c r="D721" s="62"/>
      <c r="E721" s="53" t="e">
        <f>VLOOKUP($D721,成品本月库存!$B:$J,2,0)</f>
        <v>#N/A</v>
      </c>
      <c r="F721" s="54" t="e">
        <f>VLOOKUP($D721,成品本月库存!$B:$J,5,0)</f>
        <v>#N/A</v>
      </c>
      <c r="G721" s="55"/>
      <c r="H721" s="53" t="e">
        <f>VLOOKUP($D721,成品本月库存!$B:$J,9,0)</f>
        <v>#N/A</v>
      </c>
      <c r="I721" s="56"/>
    </row>
    <row r="722" ht="15.75" spans="1:9">
      <c r="A722" s="20"/>
      <c r="B722" s="51"/>
      <c r="C722" s="57"/>
      <c r="D722" s="62"/>
      <c r="E722" s="53" t="e">
        <f>VLOOKUP($D722,成品本月库存!$B:$J,2,0)</f>
        <v>#N/A</v>
      </c>
      <c r="F722" s="54" t="e">
        <f>VLOOKUP($D722,成品本月库存!$B:$J,5,0)</f>
        <v>#N/A</v>
      </c>
      <c r="G722" s="55"/>
      <c r="H722" s="53" t="e">
        <f>VLOOKUP($D722,成品本月库存!$B:$J,9,0)</f>
        <v>#N/A</v>
      </c>
      <c r="I722" s="56"/>
    </row>
    <row r="723" ht="15.75" spans="1:9">
      <c r="A723" s="20"/>
      <c r="B723" s="51"/>
      <c r="C723" s="57"/>
      <c r="D723" s="62"/>
      <c r="E723" s="53" t="e">
        <f>VLOOKUP($D723,成品本月库存!$B:$J,2,0)</f>
        <v>#N/A</v>
      </c>
      <c r="F723" s="54" t="e">
        <f>VLOOKUP($D723,成品本月库存!$B:$J,5,0)</f>
        <v>#N/A</v>
      </c>
      <c r="G723" s="55"/>
      <c r="H723" s="53" t="e">
        <f>VLOOKUP($D723,成品本月库存!$B:$J,9,0)</f>
        <v>#N/A</v>
      </c>
      <c r="I723" s="56"/>
    </row>
    <row r="724" ht="15.75" spans="1:9">
      <c r="A724" s="20"/>
      <c r="B724" s="51"/>
      <c r="C724" s="57"/>
      <c r="D724" s="62"/>
      <c r="E724" s="53" t="e">
        <f>VLOOKUP($D724,成品本月库存!$B:$J,2,0)</f>
        <v>#N/A</v>
      </c>
      <c r="F724" s="54" t="e">
        <f>VLOOKUP($D724,成品本月库存!$B:$J,5,0)</f>
        <v>#N/A</v>
      </c>
      <c r="G724" s="55"/>
      <c r="H724" s="53" t="e">
        <f>VLOOKUP($D724,成品本月库存!$B:$J,9,0)</f>
        <v>#N/A</v>
      </c>
      <c r="I724" s="56"/>
    </row>
    <row r="725" ht="15.75" spans="1:9">
      <c r="A725" s="20"/>
      <c r="B725" s="51"/>
      <c r="C725" s="57"/>
      <c r="D725" s="62"/>
      <c r="E725" s="53" t="e">
        <f>VLOOKUP($D725,成品本月库存!$B:$J,2,0)</f>
        <v>#N/A</v>
      </c>
      <c r="F725" s="54" t="e">
        <f>VLOOKUP($D725,成品本月库存!$B:$J,5,0)</f>
        <v>#N/A</v>
      </c>
      <c r="G725" s="55"/>
      <c r="H725" s="53" t="e">
        <f>VLOOKUP($D725,成品本月库存!$B:$J,9,0)</f>
        <v>#N/A</v>
      </c>
      <c r="I725" s="56"/>
    </row>
    <row r="726" ht="15.75" spans="1:9">
      <c r="A726" s="20"/>
      <c r="B726" s="51"/>
      <c r="C726" s="57"/>
      <c r="D726" s="62"/>
      <c r="E726" s="53" t="e">
        <f>VLOOKUP($D726,成品本月库存!$B:$J,2,0)</f>
        <v>#N/A</v>
      </c>
      <c r="F726" s="54" t="e">
        <f>VLOOKUP($D726,成品本月库存!$B:$J,5,0)</f>
        <v>#N/A</v>
      </c>
      <c r="G726" s="55"/>
      <c r="H726" s="53" t="e">
        <f>VLOOKUP($D726,成品本月库存!$B:$J,9,0)</f>
        <v>#N/A</v>
      </c>
      <c r="I726" s="56"/>
    </row>
    <row r="727" ht="15.75" spans="1:9">
      <c r="A727" s="20"/>
      <c r="B727" s="51"/>
      <c r="C727" s="57"/>
      <c r="D727" s="62"/>
      <c r="E727" s="53" t="e">
        <f>VLOOKUP($D727,成品本月库存!$B:$J,2,0)</f>
        <v>#N/A</v>
      </c>
      <c r="F727" s="54" t="e">
        <f>VLOOKUP($D727,成品本月库存!$B:$J,5,0)</f>
        <v>#N/A</v>
      </c>
      <c r="G727" s="55"/>
      <c r="H727" s="53" t="e">
        <f>VLOOKUP($D727,成品本月库存!$B:$J,9,0)</f>
        <v>#N/A</v>
      </c>
      <c r="I727" s="56"/>
    </row>
    <row r="728" ht="15.75" spans="1:9">
      <c r="A728" s="20"/>
      <c r="B728" s="51"/>
      <c r="C728" s="57"/>
      <c r="D728" s="62"/>
      <c r="E728" s="53" t="e">
        <f>VLOOKUP($D728,成品本月库存!$B:$J,2,0)</f>
        <v>#N/A</v>
      </c>
      <c r="F728" s="54" t="e">
        <f>VLOOKUP($D728,成品本月库存!$B:$J,5,0)</f>
        <v>#N/A</v>
      </c>
      <c r="G728" s="55"/>
      <c r="H728" s="53" t="e">
        <f>VLOOKUP($D728,成品本月库存!$B:$J,9,0)</f>
        <v>#N/A</v>
      </c>
      <c r="I728" s="56"/>
    </row>
    <row r="729" ht="15.75" spans="1:9">
      <c r="A729" s="20"/>
      <c r="B729" s="51"/>
      <c r="C729" s="57"/>
      <c r="D729" s="62"/>
      <c r="E729" s="53" t="e">
        <f>VLOOKUP($D729,成品本月库存!$B:$J,2,0)</f>
        <v>#N/A</v>
      </c>
      <c r="F729" s="54" t="e">
        <f>VLOOKUP($D729,成品本月库存!$B:$J,5,0)</f>
        <v>#N/A</v>
      </c>
      <c r="G729" s="55"/>
      <c r="H729" s="53" t="e">
        <f>VLOOKUP($D729,成品本月库存!$B:$J,9,0)</f>
        <v>#N/A</v>
      </c>
      <c r="I729" s="56"/>
    </row>
    <row r="730" ht="15.75" spans="1:9">
      <c r="A730" s="20"/>
      <c r="B730" s="51"/>
      <c r="C730" s="57"/>
      <c r="D730" s="62"/>
      <c r="E730" s="53" t="e">
        <f>VLOOKUP($D730,成品本月库存!$B:$J,2,0)</f>
        <v>#N/A</v>
      </c>
      <c r="F730" s="54" t="e">
        <f>VLOOKUP($D730,成品本月库存!$B:$J,5,0)</f>
        <v>#N/A</v>
      </c>
      <c r="G730" s="55"/>
      <c r="H730" s="53" t="e">
        <f>VLOOKUP($D730,成品本月库存!$B:$J,9,0)</f>
        <v>#N/A</v>
      </c>
      <c r="I730" s="56"/>
    </row>
    <row r="731" ht="15.75" spans="1:9">
      <c r="A731" s="20"/>
      <c r="B731" s="51"/>
      <c r="C731" s="57"/>
      <c r="D731" s="62"/>
      <c r="E731" s="53" t="e">
        <f>VLOOKUP($D731,成品本月库存!$B:$J,2,0)</f>
        <v>#N/A</v>
      </c>
      <c r="F731" s="54" t="e">
        <f>VLOOKUP($D731,成品本月库存!$B:$J,5,0)</f>
        <v>#N/A</v>
      </c>
      <c r="G731" s="55"/>
      <c r="H731" s="53" t="e">
        <f>VLOOKUP($D731,成品本月库存!$B:$J,9,0)</f>
        <v>#N/A</v>
      </c>
      <c r="I731" s="56"/>
    </row>
    <row r="732" ht="15.75" spans="1:9">
      <c r="A732" s="20"/>
      <c r="B732" s="51"/>
      <c r="C732" s="57"/>
      <c r="D732" s="62"/>
      <c r="E732" s="53" t="e">
        <f>VLOOKUP($D732,成品本月库存!$B:$J,2,0)</f>
        <v>#N/A</v>
      </c>
      <c r="F732" s="54" t="e">
        <f>VLOOKUP($D732,成品本月库存!$B:$J,5,0)</f>
        <v>#N/A</v>
      </c>
      <c r="G732" s="55"/>
      <c r="H732" s="53" t="e">
        <f>VLOOKUP($D732,成品本月库存!$B:$J,9,0)</f>
        <v>#N/A</v>
      </c>
      <c r="I732" s="56"/>
    </row>
    <row r="733" ht="15.75" spans="1:9">
      <c r="A733" s="20"/>
      <c r="B733" s="51"/>
      <c r="C733" s="57"/>
      <c r="D733" s="62"/>
      <c r="E733" s="53" t="e">
        <f>VLOOKUP($D733,成品本月库存!$B:$J,2,0)</f>
        <v>#N/A</v>
      </c>
      <c r="F733" s="54" t="e">
        <f>VLOOKUP($D733,成品本月库存!$B:$J,5,0)</f>
        <v>#N/A</v>
      </c>
      <c r="G733" s="55"/>
      <c r="H733" s="53" t="e">
        <f>VLOOKUP($D733,成品本月库存!$B:$J,9,0)</f>
        <v>#N/A</v>
      </c>
      <c r="I733" s="56"/>
    </row>
    <row r="734" ht="15.75" spans="1:9">
      <c r="A734" s="20"/>
      <c r="B734" s="51"/>
      <c r="C734" s="57"/>
      <c r="D734" s="62"/>
      <c r="E734" s="53" t="e">
        <f>VLOOKUP($D734,成品本月库存!$B:$J,2,0)</f>
        <v>#N/A</v>
      </c>
      <c r="F734" s="54" t="e">
        <f>VLOOKUP($D734,成品本月库存!$B:$J,5,0)</f>
        <v>#N/A</v>
      </c>
      <c r="G734" s="55"/>
      <c r="H734" s="53" t="e">
        <f>VLOOKUP($D734,成品本月库存!$B:$J,9,0)</f>
        <v>#N/A</v>
      </c>
      <c r="I734" s="56"/>
    </row>
    <row r="735" ht="15.75" spans="1:9">
      <c r="A735" s="20"/>
      <c r="B735" s="51"/>
      <c r="C735" s="57"/>
      <c r="D735" s="62"/>
      <c r="E735" s="53" t="e">
        <f>VLOOKUP($D735,成品本月库存!$B:$J,2,0)</f>
        <v>#N/A</v>
      </c>
      <c r="F735" s="54" t="e">
        <f>VLOOKUP($D735,成品本月库存!$B:$J,5,0)</f>
        <v>#N/A</v>
      </c>
      <c r="G735" s="55"/>
      <c r="H735" s="53" t="e">
        <f>VLOOKUP($D735,成品本月库存!$B:$J,9,0)</f>
        <v>#N/A</v>
      </c>
      <c r="I735" s="56"/>
    </row>
    <row r="736" ht="15.75" spans="1:9">
      <c r="A736" s="20"/>
      <c r="B736" s="51"/>
      <c r="C736" s="57"/>
      <c r="D736" s="62"/>
      <c r="E736" s="53" t="e">
        <f>VLOOKUP($D736,成品本月库存!$B:$J,2,0)</f>
        <v>#N/A</v>
      </c>
      <c r="F736" s="54" t="e">
        <f>VLOOKUP($D736,成品本月库存!$B:$J,5,0)</f>
        <v>#N/A</v>
      </c>
      <c r="G736" s="55"/>
      <c r="H736" s="53" t="e">
        <f>VLOOKUP($D736,成品本月库存!$B:$J,9,0)</f>
        <v>#N/A</v>
      </c>
      <c r="I736" s="56"/>
    </row>
    <row r="737" ht="15.75" spans="1:9">
      <c r="A737" s="20"/>
      <c r="B737" s="51"/>
      <c r="C737" s="57"/>
      <c r="D737" s="62"/>
      <c r="E737" s="53" t="e">
        <f>VLOOKUP($D737,成品本月库存!$B:$J,2,0)</f>
        <v>#N/A</v>
      </c>
      <c r="F737" s="54" t="e">
        <f>VLOOKUP($D737,成品本月库存!$B:$J,5,0)</f>
        <v>#N/A</v>
      </c>
      <c r="G737" s="55"/>
      <c r="H737" s="53" t="e">
        <f>VLOOKUP($D737,成品本月库存!$B:$J,9,0)</f>
        <v>#N/A</v>
      </c>
      <c r="I737" s="56"/>
    </row>
    <row r="738" ht="15.75" spans="1:9">
      <c r="A738" s="20"/>
      <c r="B738" s="51"/>
      <c r="C738" s="57"/>
      <c r="D738" s="62"/>
      <c r="E738" s="53" t="e">
        <f>VLOOKUP($D738,成品本月库存!$B:$J,2,0)</f>
        <v>#N/A</v>
      </c>
      <c r="F738" s="54" t="e">
        <f>VLOOKUP($D738,成品本月库存!$B:$J,5,0)</f>
        <v>#N/A</v>
      </c>
      <c r="G738" s="55"/>
      <c r="H738" s="53" t="e">
        <f>VLOOKUP($D738,成品本月库存!$B:$J,9,0)</f>
        <v>#N/A</v>
      </c>
      <c r="I738" s="56"/>
    </row>
    <row r="739" ht="15.75" spans="1:9">
      <c r="A739" s="20"/>
      <c r="B739" s="51"/>
      <c r="C739" s="57"/>
      <c r="D739" s="62"/>
      <c r="E739" s="53" t="e">
        <f>VLOOKUP($D739,成品本月库存!$B:$J,2,0)</f>
        <v>#N/A</v>
      </c>
      <c r="F739" s="54" t="e">
        <f>VLOOKUP($D739,成品本月库存!$B:$J,5,0)</f>
        <v>#N/A</v>
      </c>
      <c r="G739" s="55"/>
      <c r="H739" s="53" t="e">
        <f>VLOOKUP($D739,成品本月库存!$B:$J,9,0)</f>
        <v>#N/A</v>
      </c>
      <c r="I739" s="56"/>
    </row>
    <row r="740" ht="15.75" spans="1:9">
      <c r="A740" s="20"/>
      <c r="B740" s="51"/>
      <c r="C740" s="57"/>
      <c r="D740" s="62"/>
      <c r="E740" s="53" t="e">
        <f>VLOOKUP($D740,成品本月库存!$B:$J,2,0)</f>
        <v>#N/A</v>
      </c>
      <c r="F740" s="54" t="e">
        <f>VLOOKUP($D740,成品本月库存!$B:$J,5,0)</f>
        <v>#N/A</v>
      </c>
      <c r="G740" s="55"/>
      <c r="H740" s="53" t="e">
        <f>VLOOKUP($D740,成品本月库存!$B:$J,9,0)</f>
        <v>#N/A</v>
      </c>
      <c r="I740" s="56"/>
    </row>
    <row r="741" ht="15.75" spans="1:9">
      <c r="A741" s="20"/>
      <c r="B741" s="51"/>
      <c r="C741" s="57"/>
      <c r="D741" s="62"/>
      <c r="E741" s="53" t="e">
        <f>VLOOKUP($D741,成品本月库存!$B:$J,2,0)</f>
        <v>#N/A</v>
      </c>
      <c r="F741" s="54" t="e">
        <f>VLOOKUP($D741,成品本月库存!$B:$J,5,0)</f>
        <v>#N/A</v>
      </c>
      <c r="G741" s="55"/>
      <c r="H741" s="53" t="e">
        <f>VLOOKUP($D741,成品本月库存!$B:$J,9,0)</f>
        <v>#N/A</v>
      </c>
      <c r="I741" s="56"/>
    </row>
    <row r="742" ht="15.75" spans="1:9">
      <c r="A742" s="20"/>
      <c r="B742" s="51"/>
      <c r="C742" s="57"/>
      <c r="D742" s="62"/>
      <c r="E742" s="53" t="e">
        <f>VLOOKUP($D742,成品本月库存!$B:$J,2,0)</f>
        <v>#N/A</v>
      </c>
      <c r="F742" s="54" t="e">
        <f>VLOOKUP($D742,成品本月库存!$B:$J,5,0)</f>
        <v>#N/A</v>
      </c>
      <c r="G742" s="55"/>
      <c r="H742" s="53" t="e">
        <f>VLOOKUP($D742,成品本月库存!$B:$J,9,0)</f>
        <v>#N/A</v>
      </c>
      <c r="I742" s="56"/>
    </row>
    <row r="743" ht="15.75" spans="1:9">
      <c r="A743" s="20"/>
      <c r="B743" s="51"/>
      <c r="C743" s="57"/>
      <c r="D743" s="62"/>
      <c r="E743" s="53" t="e">
        <f>VLOOKUP($D743,成品本月库存!$B:$J,2,0)</f>
        <v>#N/A</v>
      </c>
      <c r="F743" s="54" t="e">
        <f>VLOOKUP($D743,成品本月库存!$B:$J,5,0)</f>
        <v>#N/A</v>
      </c>
      <c r="G743" s="55"/>
      <c r="H743" s="53" t="e">
        <f>VLOOKUP($D743,成品本月库存!$B:$J,9,0)</f>
        <v>#N/A</v>
      </c>
      <c r="I743" s="56"/>
    </row>
    <row r="744" ht="15.75" spans="1:9">
      <c r="A744" s="20"/>
      <c r="B744" s="51"/>
      <c r="C744" s="57"/>
      <c r="D744" s="62"/>
      <c r="E744" s="53" t="e">
        <f>VLOOKUP($D744,成品本月库存!$B:$J,2,0)</f>
        <v>#N/A</v>
      </c>
      <c r="F744" s="54" t="e">
        <f>VLOOKUP($D744,成品本月库存!$B:$J,5,0)</f>
        <v>#N/A</v>
      </c>
      <c r="G744" s="55"/>
      <c r="H744" s="53" t="e">
        <f>VLOOKUP($D744,成品本月库存!$B:$J,9,0)</f>
        <v>#N/A</v>
      </c>
      <c r="I744" s="56"/>
    </row>
    <row r="745" ht="15.75" spans="1:9">
      <c r="A745" s="20"/>
      <c r="B745" s="51"/>
      <c r="C745" s="57"/>
      <c r="D745" s="62"/>
      <c r="E745" s="53" t="e">
        <f>VLOOKUP($D745,成品本月库存!$B:$J,2,0)</f>
        <v>#N/A</v>
      </c>
      <c r="F745" s="54" t="e">
        <f>VLOOKUP($D745,成品本月库存!$B:$J,5,0)</f>
        <v>#N/A</v>
      </c>
      <c r="G745" s="55"/>
      <c r="H745" s="53" t="e">
        <f>VLOOKUP($D745,成品本月库存!$B:$J,9,0)</f>
        <v>#N/A</v>
      </c>
      <c r="I745" s="56"/>
    </row>
    <row r="746" ht="15.75" spans="1:9">
      <c r="A746" s="20"/>
      <c r="B746" s="51"/>
      <c r="C746" s="57"/>
      <c r="D746" s="62"/>
      <c r="E746" s="53" t="e">
        <f>VLOOKUP($D746,成品本月库存!$B:$J,2,0)</f>
        <v>#N/A</v>
      </c>
      <c r="F746" s="54" t="e">
        <f>VLOOKUP($D746,成品本月库存!$B:$J,5,0)</f>
        <v>#N/A</v>
      </c>
      <c r="G746" s="55"/>
      <c r="H746" s="53" t="e">
        <f>VLOOKUP($D746,成品本月库存!$B:$J,9,0)</f>
        <v>#N/A</v>
      </c>
      <c r="I746" s="56"/>
    </row>
    <row r="747" ht="15.75" spans="1:9">
      <c r="A747" s="20"/>
      <c r="B747" s="51"/>
      <c r="C747" s="57"/>
      <c r="D747" s="62"/>
      <c r="E747" s="53" t="e">
        <f>VLOOKUP($D747,成品本月库存!$B:$J,2,0)</f>
        <v>#N/A</v>
      </c>
      <c r="F747" s="54" t="e">
        <f>VLOOKUP($D747,成品本月库存!$B:$J,5,0)</f>
        <v>#N/A</v>
      </c>
      <c r="G747" s="55"/>
      <c r="H747" s="53" t="e">
        <f>VLOOKUP($D747,成品本月库存!$B:$J,9,0)</f>
        <v>#N/A</v>
      </c>
      <c r="I747" s="56"/>
    </row>
    <row r="748" ht="15.75" spans="1:9">
      <c r="A748" s="20"/>
      <c r="B748" s="51"/>
      <c r="C748" s="57"/>
      <c r="D748" s="62"/>
      <c r="E748" s="53" t="e">
        <f>VLOOKUP($D748,成品本月库存!$B:$J,2,0)</f>
        <v>#N/A</v>
      </c>
      <c r="F748" s="54" t="e">
        <f>VLOOKUP($D748,成品本月库存!$B:$J,5,0)</f>
        <v>#N/A</v>
      </c>
      <c r="G748" s="55"/>
      <c r="H748" s="53" t="e">
        <f>VLOOKUP($D748,成品本月库存!$B:$J,9,0)</f>
        <v>#N/A</v>
      </c>
      <c r="I748" s="56"/>
    </row>
    <row r="749" ht="15.75" spans="1:9">
      <c r="A749" s="20"/>
      <c r="B749" s="51"/>
      <c r="C749" s="57"/>
      <c r="D749" s="62"/>
      <c r="E749" s="53" t="e">
        <f>VLOOKUP($D749,成品本月库存!$B:$J,2,0)</f>
        <v>#N/A</v>
      </c>
      <c r="F749" s="54" t="e">
        <f>VLOOKUP($D749,成品本月库存!$B:$J,5,0)</f>
        <v>#N/A</v>
      </c>
      <c r="G749" s="55"/>
      <c r="H749" s="53" t="e">
        <f>VLOOKUP($D749,成品本月库存!$B:$J,9,0)</f>
        <v>#N/A</v>
      </c>
      <c r="I749" s="56"/>
    </row>
    <row r="750" ht="15.75" spans="1:9">
      <c r="A750" s="20"/>
      <c r="B750" s="51"/>
      <c r="C750" s="57"/>
      <c r="D750" s="62"/>
      <c r="E750" s="53" t="e">
        <f>VLOOKUP($D750,成品本月库存!$B:$J,2,0)</f>
        <v>#N/A</v>
      </c>
      <c r="F750" s="54" t="e">
        <f>VLOOKUP($D750,成品本月库存!$B:$J,5,0)</f>
        <v>#N/A</v>
      </c>
      <c r="G750" s="55"/>
      <c r="H750" s="53" t="e">
        <f>VLOOKUP($D750,成品本月库存!$B:$J,9,0)</f>
        <v>#N/A</v>
      </c>
      <c r="I750" s="56"/>
    </row>
    <row r="751" ht="15.75" spans="1:9">
      <c r="A751" s="20"/>
      <c r="B751" s="51"/>
      <c r="C751" s="57"/>
      <c r="D751" s="62"/>
      <c r="E751" s="53" t="e">
        <f>VLOOKUP($D751,成品本月库存!$B:$J,2,0)</f>
        <v>#N/A</v>
      </c>
      <c r="F751" s="54" t="e">
        <f>VLOOKUP($D751,成品本月库存!$B:$J,5,0)</f>
        <v>#N/A</v>
      </c>
      <c r="G751" s="55"/>
      <c r="H751" s="53" t="e">
        <f>VLOOKUP($D751,成品本月库存!$B:$J,9,0)</f>
        <v>#N/A</v>
      </c>
      <c r="I751" s="56"/>
    </row>
    <row r="752" ht="15.75" spans="1:9">
      <c r="A752" s="20"/>
      <c r="B752" s="51"/>
      <c r="C752" s="57"/>
      <c r="D752" s="62"/>
      <c r="E752" s="53" t="e">
        <f>VLOOKUP($D752,成品本月库存!$B:$J,2,0)</f>
        <v>#N/A</v>
      </c>
      <c r="F752" s="54" t="e">
        <f>VLOOKUP($D752,成品本月库存!$B:$J,5,0)</f>
        <v>#N/A</v>
      </c>
      <c r="G752" s="55"/>
      <c r="H752" s="53" t="e">
        <f>VLOOKUP($D752,成品本月库存!$B:$J,9,0)</f>
        <v>#N/A</v>
      </c>
      <c r="I752" s="56"/>
    </row>
    <row r="753" ht="15.75" spans="1:9">
      <c r="A753" s="20"/>
      <c r="B753" s="51"/>
      <c r="C753" s="57"/>
      <c r="D753" s="62"/>
      <c r="E753" s="53" t="e">
        <f>VLOOKUP($D753,成品本月库存!$B:$J,2,0)</f>
        <v>#N/A</v>
      </c>
      <c r="F753" s="54" t="e">
        <f>VLOOKUP($D753,成品本月库存!$B:$J,5,0)</f>
        <v>#N/A</v>
      </c>
      <c r="G753" s="55"/>
      <c r="H753" s="53" t="e">
        <f>VLOOKUP($D753,成品本月库存!$B:$J,9,0)</f>
        <v>#N/A</v>
      </c>
      <c r="I753" s="56"/>
    </row>
    <row r="754" ht="15.75" spans="1:9">
      <c r="A754" s="20"/>
      <c r="B754" s="51"/>
      <c r="C754" s="57"/>
      <c r="D754" s="62"/>
      <c r="E754" s="53" t="e">
        <f>VLOOKUP($D754,成品本月库存!$B:$J,2,0)</f>
        <v>#N/A</v>
      </c>
      <c r="F754" s="54" t="e">
        <f>VLOOKUP($D754,成品本月库存!$B:$J,5,0)</f>
        <v>#N/A</v>
      </c>
      <c r="G754" s="55"/>
      <c r="H754" s="53" t="e">
        <f>VLOOKUP($D754,成品本月库存!$B:$J,9,0)</f>
        <v>#N/A</v>
      </c>
      <c r="I754" s="56"/>
    </row>
    <row r="755" ht="15.75" spans="1:9">
      <c r="A755" s="20"/>
      <c r="B755" s="51"/>
      <c r="C755" s="57"/>
      <c r="D755" s="62"/>
      <c r="E755" s="53" t="e">
        <f>VLOOKUP($D755,成品本月库存!$B:$J,2,0)</f>
        <v>#N/A</v>
      </c>
      <c r="F755" s="54" t="e">
        <f>VLOOKUP($D755,成品本月库存!$B:$J,5,0)</f>
        <v>#N/A</v>
      </c>
      <c r="G755" s="55"/>
      <c r="H755" s="53" t="e">
        <f>VLOOKUP($D755,成品本月库存!$B:$J,9,0)</f>
        <v>#N/A</v>
      </c>
      <c r="I755" s="56"/>
    </row>
    <row r="756" ht="15.75" spans="1:9">
      <c r="A756" s="20"/>
      <c r="B756" s="51"/>
      <c r="C756" s="57"/>
      <c r="D756" s="62"/>
      <c r="E756" s="53" t="e">
        <f>VLOOKUP($D756,成品本月库存!$B:$J,2,0)</f>
        <v>#N/A</v>
      </c>
      <c r="F756" s="54" t="e">
        <f>VLOOKUP($D756,成品本月库存!$B:$J,5,0)</f>
        <v>#N/A</v>
      </c>
      <c r="G756" s="55"/>
      <c r="H756" s="53" t="e">
        <f>VLOOKUP($D756,成品本月库存!$B:$J,9,0)</f>
        <v>#N/A</v>
      </c>
      <c r="I756" s="56"/>
    </row>
    <row r="757" ht="15.75" spans="1:9">
      <c r="A757" s="20"/>
      <c r="B757" s="51"/>
      <c r="C757" s="57"/>
      <c r="D757" s="62"/>
      <c r="E757" s="53" t="e">
        <f>VLOOKUP($D757,成品本月库存!$B:$J,2,0)</f>
        <v>#N/A</v>
      </c>
      <c r="F757" s="54" t="e">
        <f>VLOOKUP($D757,成品本月库存!$B:$J,5,0)</f>
        <v>#N/A</v>
      </c>
      <c r="G757" s="55"/>
      <c r="H757" s="53" t="e">
        <f>VLOOKUP($D757,成品本月库存!$B:$J,9,0)</f>
        <v>#N/A</v>
      </c>
      <c r="I757" s="56"/>
    </row>
    <row r="758" ht="15.75" spans="1:9">
      <c r="A758" s="20"/>
      <c r="B758" s="51"/>
      <c r="C758" s="57"/>
      <c r="D758" s="62"/>
      <c r="E758" s="53" t="e">
        <f>VLOOKUP($D758,成品本月库存!$B:$J,2,0)</f>
        <v>#N/A</v>
      </c>
      <c r="F758" s="54" t="e">
        <f>VLOOKUP($D758,成品本月库存!$B:$J,5,0)</f>
        <v>#N/A</v>
      </c>
      <c r="G758" s="55"/>
      <c r="H758" s="53" t="e">
        <f>VLOOKUP($D758,成品本月库存!$B:$J,9,0)</f>
        <v>#N/A</v>
      </c>
      <c r="I758" s="56"/>
    </row>
    <row r="759" ht="15.75" spans="1:9">
      <c r="A759" s="20"/>
      <c r="B759" s="51"/>
      <c r="C759" s="57"/>
      <c r="D759" s="62"/>
      <c r="E759" s="53" t="e">
        <f>VLOOKUP($D759,成品本月库存!$B:$J,2,0)</f>
        <v>#N/A</v>
      </c>
      <c r="F759" s="54" t="e">
        <f>VLOOKUP($D759,成品本月库存!$B:$J,5,0)</f>
        <v>#N/A</v>
      </c>
      <c r="G759" s="55"/>
      <c r="H759" s="53" t="e">
        <f>VLOOKUP($D759,成品本月库存!$B:$J,9,0)</f>
        <v>#N/A</v>
      </c>
      <c r="I759" s="56"/>
    </row>
    <row r="760" ht="15.75" spans="1:9">
      <c r="A760" s="20"/>
      <c r="B760" s="51"/>
      <c r="C760" s="57"/>
      <c r="D760" s="62"/>
      <c r="E760" s="53" t="e">
        <f>VLOOKUP($D760,成品本月库存!$B:$J,2,0)</f>
        <v>#N/A</v>
      </c>
      <c r="F760" s="54" t="e">
        <f>VLOOKUP($D760,成品本月库存!$B:$J,5,0)</f>
        <v>#N/A</v>
      </c>
      <c r="G760" s="55"/>
      <c r="H760" s="53" t="e">
        <f>VLOOKUP($D760,成品本月库存!$B:$J,9,0)</f>
        <v>#N/A</v>
      </c>
      <c r="I760" s="56"/>
    </row>
    <row r="761" ht="15.75" spans="1:9">
      <c r="A761" s="20"/>
      <c r="B761" s="51"/>
      <c r="C761" s="57"/>
      <c r="D761" s="62"/>
      <c r="E761" s="53" t="e">
        <f>VLOOKUP($D761,成品本月库存!$B:$J,2,0)</f>
        <v>#N/A</v>
      </c>
      <c r="F761" s="54" t="e">
        <f>VLOOKUP($D761,成品本月库存!$B:$J,5,0)</f>
        <v>#N/A</v>
      </c>
      <c r="G761" s="55"/>
      <c r="H761" s="53" t="e">
        <f>VLOOKUP($D761,成品本月库存!$B:$J,9,0)</f>
        <v>#N/A</v>
      </c>
      <c r="I761" s="56"/>
    </row>
    <row r="762" ht="15.75" spans="1:9">
      <c r="A762" s="20"/>
      <c r="B762" s="51"/>
      <c r="C762" s="57"/>
      <c r="D762" s="62"/>
      <c r="E762" s="53" t="e">
        <f>VLOOKUP($D762,成品本月库存!$B:$J,2,0)</f>
        <v>#N/A</v>
      </c>
      <c r="F762" s="54" t="e">
        <f>VLOOKUP($D762,成品本月库存!$B:$J,5,0)</f>
        <v>#N/A</v>
      </c>
      <c r="G762" s="55"/>
      <c r="H762" s="53" t="e">
        <f>VLOOKUP($D762,成品本月库存!$B:$J,9,0)</f>
        <v>#N/A</v>
      </c>
      <c r="I762" s="56"/>
    </row>
    <row r="763" ht="15.75" spans="1:9">
      <c r="A763" s="20"/>
      <c r="B763" s="51"/>
      <c r="C763" s="57"/>
      <c r="D763" s="62"/>
      <c r="E763" s="53" t="e">
        <f>VLOOKUP($D763,成品本月库存!$B:$J,2,0)</f>
        <v>#N/A</v>
      </c>
      <c r="F763" s="54" t="e">
        <f>VLOOKUP($D763,成品本月库存!$B:$J,5,0)</f>
        <v>#N/A</v>
      </c>
      <c r="G763" s="55"/>
      <c r="H763" s="53" t="e">
        <f>VLOOKUP($D763,成品本月库存!$B:$J,9,0)</f>
        <v>#N/A</v>
      </c>
      <c r="I763" s="56"/>
    </row>
    <row r="764" ht="15.75" spans="1:9">
      <c r="A764" s="20"/>
      <c r="B764" s="51"/>
      <c r="C764" s="57"/>
      <c r="D764" s="62"/>
      <c r="E764" s="53" t="e">
        <f>VLOOKUP($D764,成品本月库存!$B:$J,2,0)</f>
        <v>#N/A</v>
      </c>
      <c r="F764" s="54" t="e">
        <f>VLOOKUP($D764,成品本月库存!$B:$J,5,0)</f>
        <v>#N/A</v>
      </c>
      <c r="G764" s="55"/>
      <c r="H764" s="53" t="e">
        <f>VLOOKUP($D764,成品本月库存!$B:$J,9,0)</f>
        <v>#N/A</v>
      </c>
      <c r="I764" s="56"/>
    </row>
    <row r="765" ht="15.75" spans="1:9">
      <c r="A765" s="20"/>
      <c r="B765" s="51"/>
      <c r="C765" s="57"/>
      <c r="D765" s="62"/>
      <c r="E765" s="53" t="e">
        <f>VLOOKUP($D765,成品本月库存!$B:$J,2,0)</f>
        <v>#N/A</v>
      </c>
      <c r="F765" s="54" t="e">
        <f>VLOOKUP($D765,成品本月库存!$B:$J,5,0)</f>
        <v>#N/A</v>
      </c>
      <c r="G765" s="55"/>
      <c r="H765" s="53" t="e">
        <f>VLOOKUP($D765,成品本月库存!$B:$J,9,0)</f>
        <v>#N/A</v>
      </c>
      <c r="I765" s="56"/>
    </row>
    <row r="766" ht="15.75" spans="1:9">
      <c r="A766" s="20"/>
      <c r="B766" s="51"/>
      <c r="C766" s="57"/>
      <c r="D766" s="62"/>
      <c r="E766" s="53" t="e">
        <f>VLOOKUP($D766,成品本月库存!$B:$J,2,0)</f>
        <v>#N/A</v>
      </c>
      <c r="F766" s="54" t="e">
        <f>VLOOKUP($D766,成品本月库存!$B:$J,5,0)</f>
        <v>#N/A</v>
      </c>
      <c r="G766" s="55"/>
      <c r="H766" s="53" t="e">
        <f>VLOOKUP($D766,成品本月库存!$B:$J,9,0)</f>
        <v>#N/A</v>
      </c>
      <c r="I766" s="56"/>
    </row>
    <row r="767" ht="15.75" spans="1:9">
      <c r="A767" s="20"/>
      <c r="B767" s="51"/>
      <c r="C767" s="57"/>
      <c r="D767" s="62"/>
      <c r="E767" s="53" t="e">
        <f>VLOOKUP($D767,成品本月库存!$B:$J,2,0)</f>
        <v>#N/A</v>
      </c>
      <c r="F767" s="54" t="e">
        <f>VLOOKUP($D767,成品本月库存!$B:$J,5,0)</f>
        <v>#N/A</v>
      </c>
      <c r="G767" s="55"/>
      <c r="H767" s="53" t="e">
        <f>VLOOKUP($D767,成品本月库存!$B:$J,9,0)</f>
        <v>#N/A</v>
      </c>
      <c r="I767" s="56"/>
    </row>
    <row r="768" ht="15.75" spans="1:9">
      <c r="A768" s="20"/>
      <c r="B768" s="51"/>
      <c r="C768" s="57"/>
      <c r="D768" s="62"/>
      <c r="E768" s="53" t="e">
        <f>VLOOKUP($D768,成品本月库存!$B:$J,2,0)</f>
        <v>#N/A</v>
      </c>
      <c r="F768" s="54" t="e">
        <f>VLOOKUP($D768,成品本月库存!$B:$J,5,0)</f>
        <v>#N/A</v>
      </c>
      <c r="G768" s="55"/>
      <c r="H768" s="53" t="e">
        <f>VLOOKUP($D768,成品本月库存!$B:$J,9,0)</f>
        <v>#N/A</v>
      </c>
      <c r="I768" s="56"/>
    </row>
    <row r="769" ht="15.75" spans="1:9">
      <c r="A769" s="20"/>
      <c r="B769" s="51"/>
      <c r="C769" s="57"/>
      <c r="D769" s="62"/>
      <c r="E769" s="53" t="e">
        <f>VLOOKUP($D769,成品本月库存!$B:$J,2,0)</f>
        <v>#N/A</v>
      </c>
      <c r="F769" s="54" t="e">
        <f>VLOOKUP($D769,成品本月库存!$B:$J,5,0)</f>
        <v>#N/A</v>
      </c>
      <c r="G769" s="55"/>
      <c r="H769" s="53" t="e">
        <f>VLOOKUP($D769,成品本月库存!$B:$J,9,0)</f>
        <v>#N/A</v>
      </c>
      <c r="I769" s="56"/>
    </row>
    <row r="770" ht="15.75" spans="1:9">
      <c r="A770" s="20"/>
      <c r="B770" s="51"/>
      <c r="C770" s="57"/>
      <c r="D770" s="62"/>
      <c r="E770" s="53" t="e">
        <f>VLOOKUP($D770,成品本月库存!$B:$J,2,0)</f>
        <v>#N/A</v>
      </c>
      <c r="F770" s="54" t="e">
        <f>VLOOKUP($D770,成品本月库存!$B:$J,5,0)</f>
        <v>#N/A</v>
      </c>
      <c r="G770" s="55"/>
      <c r="H770" s="53" t="e">
        <f>VLOOKUP($D770,成品本月库存!$B:$J,9,0)</f>
        <v>#N/A</v>
      </c>
      <c r="I770" s="56"/>
    </row>
    <row r="771" ht="15.75" spans="1:9">
      <c r="A771" s="20"/>
      <c r="B771" s="51"/>
      <c r="C771" s="57"/>
      <c r="D771" s="62"/>
      <c r="E771" s="53" t="e">
        <f>VLOOKUP($D771,成品本月库存!$B:$J,2,0)</f>
        <v>#N/A</v>
      </c>
      <c r="F771" s="54" t="e">
        <f>VLOOKUP($D771,成品本月库存!$B:$J,5,0)</f>
        <v>#N/A</v>
      </c>
      <c r="G771" s="55"/>
      <c r="H771" s="53" t="e">
        <f>VLOOKUP($D771,成品本月库存!$B:$J,9,0)</f>
        <v>#N/A</v>
      </c>
      <c r="I771" s="56"/>
    </row>
    <row r="772" ht="15.75" spans="1:9">
      <c r="A772" s="20"/>
      <c r="B772" s="51"/>
      <c r="C772" s="57"/>
      <c r="D772" s="62"/>
      <c r="E772" s="53" t="e">
        <f>VLOOKUP($D772,成品本月库存!$B:$J,2,0)</f>
        <v>#N/A</v>
      </c>
      <c r="F772" s="54" t="e">
        <f>VLOOKUP($D772,成品本月库存!$B:$J,5,0)</f>
        <v>#N/A</v>
      </c>
      <c r="G772" s="55"/>
      <c r="H772" s="53" t="e">
        <f>VLOOKUP($D772,成品本月库存!$B:$J,9,0)</f>
        <v>#N/A</v>
      </c>
      <c r="I772" s="56"/>
    </row>
    <row r="773" ht="15.75" spans="1:9">
      <c r="A773" s="20"/>
      <c r="B773" s="51"/>
      <c r="C773" s="57"/>
      <c r="D773" s="62"/>
      <c r="E773" s="53" t="e">
        <f>VLOOKUP($D773,成品本月库存!$B:$J,2,0)</f>
        <v>#N/A</v>
      </c>
      <c r="F773" s="54" t="e">
        <f>VLOOKUP($D773,成品本月库存!$B:$J,5,0)</f>
        <v>#N/A</v>
      </c>
      <c r="G773" s="55"/>
      <c r="H773" s="53" t="e">
        <f>VLOOKUP($D773,成品本月库存!$B:$J,9,0)</f>
        <v>#N/A</v>
      </c>
      <c r="I773" s="56"/>
    </row>
    <row r="774" ht="15.75" spans="1:9">
      <c r="A774" s="20"/>
      <c r="B774" s="51"/>
      <c r="C774" s="57"/>
      <c r="D774" s="62"/>
      <c r="E774" s="53" t="e">
        <f>VLOOKUP($D774,成品本月库存!$B:$J,2,0)</f>
        <v>#N/A</v>
      </c>
      <c r="F774" s="54" t="e">
        <f>VLOOKUP($D774,成品本月库存!$B:$J,5,0)</f>
        <v>#N/A</v>
      </c>
      <c r="G774" s="55"/>
      <c r="H774" s="53" t="e">
        <f>VLOOKUP($D774,成品本月库存!$B:$J,9,0)</f>
        <v>#N/A</v>
      </c>
      <c r="I774" s="56"/>
    </row>
    <row r="775" ht="15.75" spans="1:9">
      <c r="A775" s="20"/>
      <c r="B775" s="51"/>
      <c r="C775" s="57"/>
      <c r="D775" s="62"/>
      <c r="E775" s="53" t="e">
        <f>VLOOKUP($D775,成品本月库存!$B:$J,2,0)</f>
        <v>#N/A</v>
      </c>
      <c r="F775" s="54" t="e">
        <f>VLOOKUP($D775,成品本月库存!$B:$J,5,0)</f>
        <v>#N/A</v>
      </c>
      <c r="G775" s="55"/>
      <c r="H775" s="53" t="e">
        <f>VLOOKUP($D775,成品本月库存!$B:$J,9,0)</f>
        <v>#N/A</v>
      </c>
      <c r="I775" s="56"/>
    </row>
    <row r="776" ht="15.75" spans="1:9">
      <c r="A776" s="20"/>
      <c r="B776" s="51"/>
      <c r="C776" s="57"/>
      <c r="D776" s="62"/>
      <c r="E776" s="53" t="e">
        <f>VLOOKUP($D776,成品本月库存!$B:$J,2,0)</f>
        <v>#N/A</v>
      </c>
      <c r="F776" s="54" t="e">
        <f>VLOOKUP($D776,成品本月库存!$B:$J,5,0)</f>
        <v>#N/A</v>
      </c>
      <c r="G776" s="55"/>
      <c r="H776" s="53" t="e">
        <f>VLOOKUP($D776,成品本月库存!$B:$J,9,0)</f>
        <v>#N/A</v>
      </c>
      <c r="I776" s="56"/>
    </row>
    <row r="777" ht="15.75" spans="1:9">
      <c r="A777" s="20"/>
      <c r="B777" s="51"/>
      <c r="C777" s="57"/>
      <c r="D777" s="62"/>
      <c r="E777" s="53" t="e">
        <f>VLOOKUP($D777,成品本月库存!$B:$J,2,0)</f>
        <v>#N/A</v>
      </c>
      <c r="F777" s="54" t="e">
        <f>VLOOKUP($D777,成品本月库存!$B:$J,5,0)</f>
        <v>#N/A</v>
      </c>
      <c r="G777" s="55"/>
      <c r="H777" s="53" t="e">
        <f>VLOOKUP($D777,成品本月库存!$B:$J,9,0)</f>
        <v>#N/A</v>
      </c>
      <c r="I777" s="56"/>
    </row>
    <row r="778" ht="17" customHeight="1" spans="1:9">
      <c r="A778" s="20"/>
      <c r="B778" s="51"/>
      <c r="C778" s="57"/>
      <c r="D778" s="62"/>
      <c r="E778" s="53" t="e">
        <f>VLOOKUP($D778,成品本月库存!$B:$J,2,0)</f>
        <v>#N/A</v>
      </c>
      <c r="F778" s="54" t="e">
        <f>VLOOKUP($D778,成品本月库存!$B:$J,5,0)</f>
        <v>#N/A</v>
      </c>
      <c r="G778" s="55"/>
      <c r="H778" s="53" t="e">
        <f>VLOOKUP($D778,成品本月库存!$B:$J,9,0)</f>
        <v>#N/A</v>
      </c>
      <c r="I778" s="56"/>
    </row>
    <row r="779" ht="17" customHeight="1" spans="1:9">
      <c r="A779" s="20"/>
      <c r="B779" s="51"/>
      <c r="C779" s="57"/>
      <c r="D779" s="62"/>
      <c r="E779" s="53" t="e">
        <f>VLOOKUP($D779,成品本月库存!$B:$J,2,0)</f>
        <v>#N/A</v>
      </c>
      <c r="F779" s="54" t="e">
        <f>VLOOKUP($D779,成品本月库存!$B:$J,5,0)</f>
        <v>#N/A</v>
      </c>
      <c r="G779" s="55"/>
      <c r="H779" s="53" t="e">
        <f>VLOOKUP($D779,成品本月库存!$B:$J,9,0)</f>
        <v>#N/A</v>
      </c>
      <c r="I779" s="56"/>
    </row>
    <row r="780" ht="17" customHeight="1" spans="1:9">
      <c r="A780" s="20"/>
      <c r="B780" s="51"/>
      <c r="C780" s="57"/>
      <c r="D780" s="62"/>
      <c r="E780" s="53" t="e">
        <f>VLOOKUP($D780,成品本月库存!$B:$J,2,0)</f>
        <v>#N/A</v>
      </c>
      <c r="F780" s="54" t="e">
        <f>VLOOKUP($D780,成品本月库存!$B:$J,5,0)</f>
        <v>#N/A</v>
      </c>
      <c r="G780" s="55"/>
      <c r="H780" s="53" t="e">
        <f>VLOOKUP($D780,成品本月库存!$B:$J,9,0)</f>
        <v>#N/A</v>
      </c>
      <c r="I780" s="56"/>
    </row>
    <row r="781" ht="17" customHeight="1" spans="1:9">
      <c r="A781" s="20"/>
      <c r="B781" s="51"/>
      <c r="C781" s="57"/>
      <c r="D781" s="62"/>
      <c r="E781" s="53" t="e">
        <f>VLOOKUP($D781,成品本月库存!$B:$J,2,0)</f>
        <v>#N/A</v>
      </c>
      <c r="F781" s="54" t="e">
        <f>VLOOKUP($D781,成品本月库存!$B:$J,5,0)</f>
        <v>#N/A</v>
      </c>
      <c r="G781" s="55"/>
      <c r="H781" s="53" t="e">
        <f>VLOOKUP($D781,成品本月库存!$B:$J,9,0)</f>
        <v>#N/A</v>
      </c>
      <c r="I781" s="56"/>
    </row>
    <row r="782" ht="17" customHeight="1" spans="1:9">
      <c r="A782" s="20"/>
      <c r="B782" s="51"/>
      <c r="C782" s="57"/>
      <c r="D782" s="62"/>
      <c r="E782" s="53" t="e">
        <f>VLOOKUP($D782,成品本月库存!$B:$J,2,0)</f>
        <v>#N/A</v>
      </c>
      <c r="F782" s="54" t="e">
        <f>VLOOKUP($D782,成品本月库存!$B:$J,5,0)</f>
        <v>#N/A</v>
      </c>
      <c r="G782" s="55"/>
      <c r="H782" s="53" t="e">
        <f>VLOOKUP($D782,成品本月库存!$B:$J,9,0)</f>
        <v>#N/A</v>
      </c>
      <c r="I782" s="56"/>
    </row>
    <row r="783" ht="17" customHeight="1" spans="1:9">
      <c r="A783" s="20"/>
      <c r="B783" s="51"/>
      <c r="C783" s="57"/>
      <c r="D783" s="62"/>
      <c r="E783" s="53" t="e">
        <f>VLOOKUP($D783,成品本月库存!$B:$J,2,0)</f>
        <v>#N/A</v>
      </c>
      <c r="F783" s="54" t="e">
        <f>VLOOKUP($D783,成品本月库存!$B:$J,5,0)</f>
        <v>#N/A</v>
      </c>
      <c r="G783" s="55"/>
      <c r="H783" s="53" t="e">
        <f>VLOOKUP($D783,成品本月库存!$B:$J,9,0)</f>
        <v>#N/A</v>
      </c>
      <c r="I783" s="56"/>
    </row>
    <row r="784" ht="17" customHeight="1" spans="1:9">
      <c r="A784" s="20"/>
      <c r="B784" s="51"/>
      <c r="C784" s="57"/>
      <c r="D784" s="62"/>
      <c r="E784" s="53" t="e">
        <f>VLOOKUP($D784,成品本月库存!$B:$J,2,0)</f>
        <v>#N/A</v>
      </c>
      <c r="F784" s="54" t="e">
        <f>VLOOKUP($D784,成品本月库存!$B:$J,5,0)</f>
        <v>#N/A</v>
      </c>
      <c r="G784" s="55"/>
      <c r="H784" s="53" t="e">
        <f>VLOOKUP($D784,成品本月库存!$B:$J,9,0)</f>
        <v>#N/A</v>
      </c>
      <c r="I784" s="56"/>
    </row>
    <row r="785" ht="17" customHeight="1" spans="1:9">
      <c r="A785" s="20"/>
      <c r="B785" s="51"/>
      <c r="C785" s="57"/>
      <c r="D785" s="62"/>
      <c r="E785" s="53" t="e">
        <f>VLOOKUP($D785,成品本月库存!$B:$J,2,0)</f>
        <v>#N/A</v>
      </c>
      <c r="F785" s="54" t="e">
        <f>VLOOKUP($D785,成品本月库存!$B:$J,5,0)</f>
        <v>#N/A</v>
      </c>
      <c r="G785" s="55"/>
      <c r="H785" s="53" t="e">
        <f>VLOOKUP($D785,成品本月库存!$B:$J,9,0)</f>
        <v>#N/A</v>
      </c>
      <c r="I785" s="56"/>
    </row>
    <row r="786" ht="17" customHeight="1" spans="1:9">
      <c r="A786" s="20"/>
      <c r="B786" s="51"/>
      <c r="C786" s="57"/>
      <c r="D786" s="62"/>
      <c r="E786" s="53" t="e">
        <f>VLOOKUP($D786,成品本月库存!$B:$J,2,0)</f>
        <v>#N/A</v>
      </c>
      <c r="F786" s="54" t="e">
        <f>VLOOKUP($D786,成品本月库存!$B:$J,5,0)</f>
        <v>#N/A</v>
      </c>
      <c r="G786" s="55"/>
      <c r="H786" s="53" t="e">
        <f>VLOOKUP($D786,成品本月库存!$B:$J,9,0)</f>
        <v>#N/A</v>
      </c>
      <c r="I786" s="56"/>
    </row>
    <row r="787" ht="17" customHeight="1" spans="1:9">
      <c r="A787" s="20"/>
      <c r="B787" s="51"/>
      <c r="C787" s="57"/>
      <c r="D787" s="62"/>
      <c r="E787" s="53" t="e">
        <f>VLOOKUP($D787,成品本月库存!$B:$J,2,0)</f>
        <v>#N/A</v>
      </c>
      <c r="F787" s="54" t="e">
        <f>VLOOKUP($D787,成品本月库存!$B:$J,5,0)</f>
        <v>#N/A</v>
      </c>
      <c r="G787" s="55"/>
      <c r="H787" s="53" t="e">
        <f>VLOOKUP($D787,成品本月库存!$B:$J,9,0)</f>
        <v>#N/A</v>
      </c>
      <c r="I787" s="56"/>
    </row>
    <row r="788" ht="17" customHeight="1" spans="1:9">
      <c r="A788" s="20"/>
      <c r="B788" s="51"/>
      <c r="C788" s="57"/>
      <c r="D788" s="62"/>
      <c r="E788" s="53" t="e">
        <f>VLOOKUP($D788,成品本月库存!$B:$J,2,0)</f>
        <v>#N/A</v>
      </c>
      <c r="F788" s="54" t="e">
        <f>VLOOKUP($D788,成品本月库存!$B:$J,5,0)</f>
        <v>#N/A</v>
      </c>
      <c r="G788" s="55"/>
      <c r="H788" s="53" t="e">
        <f>VLOOKUP($D788,成品本月库存!$B:$J,9,0)</f>
        <v>#N/A</v>
      </c>
      <c r="I788" s="56"/>
    </row>
    <row r="789" ht="17" customHeight="1" spans="1:9">
      <c r="A789" s="20"/>
      <c r="B789" s="51"/>
      <c r="C789" s="57"/>
      <c r="D789" s="62"/>
      <c r="E789" s="53" t="e">
        <f>VLOOKUP($D789,成品本月库存!$B:$J,2,0)</f>
        <v>#N/A</v>
      </c>
      <c r="F789" s="54" t="e">
        <f>VLOOKUP($D789,成品本月库存!$B:$J,5,0)</f>
        <v>#N/A</v>
      </c>
      <c r="G789" s="55"/>
      <c r="H789" s="53" t="e">
        <f>VLOOKUP($D789,成品本月库存!$B:$J,9,0)</f>
        <v>#N/A</v>
      </c>
      <c r="I789" s="56"/>
    </row>
    <row r="790" ht="17" customHeight="1" spans="1:9">
      <c r="A790" s="20"/>
      <c r="B790" s="51"/>
      <c r="C790" s="57"/>
      <c r="D790" s="62"/>
      <c r="E790" s="53" t="e">
        <f>VLOOKUP($D790,成品本月库存!$B:$J,2,0)</f>
        <v>#N/A</v>
      </c>
      <c r="F790" s="54" t="e">
        <f>VLOOKUP($D790,成品本月库存!$B:$J,5,0)</f>
        <v>#N/A</v>
      </c>
      <c r="G790" s="55"/>
      <c r="H790" s="53" t="e">
        <f>VLOOKUP($D790,成品本月库存!$B:$J,9,0)</f>
        <v>#N/A</v>
      </c>
      <c r="I790" s="56"/>
    </row>
    <row r="791" ht="17" customHeight="1" spans="1:9">
      <c r="A791" s="20"/>
      <c r="B791" s="51"/>
      <c r="C791" s="57"/>
      <c r="D791" s="62"/>
      <c r="E791" s="53" t="e">
        <f>VLOOKUP($D791,成品本月库存!$B:$J,2,0)</f>
        <v>#N/A</v>
      </c>
      <c r="F791" s="54" t="e">
        <f>VLOOKUP($D791,成品本月库存!$B:$J,5,0)</f>
        <v>#N/A</v>
      </c>
      <c r="G791" s="55"/>
      <c r="H791" s="53" t="e">
        <f>VLOOKUP($D791,成品本月库存!$B:$J,9,0)</f>
        <v>#N/A</v>
      </c>
      <c r="I791" s="56"/>
    </row>
    <row r="792" ht="17" customHeight="1" spans="1:9">
      <c r="A792" s="20"/>
      <c r="B792" s="51"/>
      <c r="C792" s="57"/>
      <c r="D792" s="62"/>
      <c r="E792" s="53" t="e">
        <f>VLOOKUP($D792,成品本月库存!$B:$J,2,0)</f>
        <v>#N/A</v>
      </c>
      <c r="F792" s="54" t="e">
        <f>VLOOKUP($D792,成品本月库存!$B:$J,5,0)</f>
        <v>#N/A</v>
      </c>
      <c r="G792" s="55"/>
      <c r="H792" s="53" t="e">
        <f>VLOOKUP($D792,成品本月库存!$B:$J,9,0)</f>
        <v>#N/A</v>
      </c>
      <c r="I792" s="56"/>
    </row>
    <row r="793" ht="17" customHeight="1" spans="1:9">
      <c r="A793" s="20"/>
      <c r="B793" s="51"/>
      <c r="C793" s="57"/>
      <c r="D793" s="62"/>
      <c r="E793" s="53" t="e">
        <f>VLOOKUP($D793,成品本月库存!$B:$J,2,0)</f>
        <v>#N/A</v>
      </c>
      <c r="F793" s="54" t="e">
        <f>VLOOKUP($D793,成品本月库存!$B:$J,5,0)</f>
        <v>#N/A</v>
      </c>
      <c r="G793" s="55"/>
      <c r="H793" s="53" t="e">
        <f>VLOOKUP($D793,成品本月库存!$B:$J,9,0)</f>
        <v>#N/A</v>
      </c>
      <c r="I793" s="56"/>
    </row>
    <row r="794" ht="17" customHeight="1" spans="1:9">
      <c r="A794" s="20"/>
      <c r="B794" s="51"/>
      <c r="C794" s="57"/>
      <c r="D794" s="62"/>
      <c r="E794" s="53" t="e">
        <f>VLOOKUP($D794,成品本月库存!$B:$J,2,0)</f>
        <v>#N/A</v>
      </c>
      <c r="F794" s="54" t="e">
        <f>VLOOKUP($D794,成品本月库存!$B:$J,5,0)</f>
        <v>#N/A</v>
      </c>
      <c r="G794" s="55"/>
      <c r="H794" s="53" t="e">
        <f>VLOOKUP($D794,成品本月库存!$B:$J,9,0)</f>
        <v>#N/A</v>
      </c>
      <c r="I794" s="56"/>
    </row>
    <row r="795" ht="17" customHeight="1" spans="1:9">
      <c r="A795" s="20"/>
      <c r="B795" s="51"/>
      <c r="C795" s="57"/>
      <c r="D795" s="62"/>
      <c r="E795" s="53" t="e">
        <f>VLOOKUP($D795,成品本月库存!$B:$J,2,0)</f>
        <v>#N/A</v>
      </c>
      <c r="F795" s="54" t="e">
        <f>VLOOKUP($D795,成品本月库存!$B:$J,5,0)</f>
        <v>#N/A</v>
      </c>
      <c r="G795" s="55"/>
      <c r="H795" s="53" t="e">
        <f>VLOOKUP($D795,成品本月库存!$B:$J,9,0)</f>
        <v>#N/A</v>
      </c>
      <c r="I795" s="56"/>
    </row>
    <row r="796" ht="17" customHeight="1" spans="1:9">
      <c r="A796" s="20"/>
      <c r="B796" s="51"/>
      <c r="C796" s="57"/>
      <c r="D796" s="62"/>
      <c r="E796" s="53" t="e">
        <f>VLOOKUP($D796,成品本月库存!$B:$J,2,0)</f>
        <v>#N/A</v>
      </c>
      <c r="F796" s="54" t="e">
        <f>VLOOKUP($D796,成品本月库存!$B:$J,5,0)</f>
        <v>#N/A</v>
      </c>
      <c r="G796" s="55"/>
      <c r="H796" s="53" t="e">
        <f>VLOOKUP($D796,成品本月库存!$B:$J,9,0)</f>
        <v>#N/A</v>
      </c>
      <c r="I796" s="56"/>
    </row>
    <row r="797" ht="17" customHeight="1" spans="1:9">
      <c r="A797" s="20"/>
      <c r="B797" s="51"/>
      <c r="C797" s="57"/>
      <c r="D797" s="62"/>
      <c r="E797" s="53" t="e">
        <f>VLOOKUP($D797,成品本月库存!$B:$J,2,0)</f>
        <v>#N/A</v>
      </c>
      <c r="F797" s="54" t="e">
        <f>VLOOKUP($D797,成品本月库存!$B:$J,5,0)</f>
        <v>#N/A</v>
      </c>
      <c r="G797" s="55"/>
      <c r="H797" s="53" t="e">
        <f>VLOOKUP($D797,成品本月库存!$B:$J,9,0)</f>
        <v>#N/A</v>
      </c>
      <c r="I797" s="56"/>
    </row>
    <row r="798" ht="17" customHeight="1" spans="1:9">
      <c r="A798" s="20"/>
      <c r="B798" s="51"/>
      <c r="C798" s="57"/>
      <c r="D798" s="62"/>
      <c r="E798" s="53" t="e">
        <f>VLOOKUP($D798,成品本月库存!$B:$J,2,0)</f>
        <v>#N/A</v>
      </c>
      <c r="F798" s="54" t="e">
        <f>VLOOKUP($D798,成品本月库存!$B:$J,5,0)</f>
        <v>#N/A</v>
      </c>
      <c r="G798" s="55"/>
      <c r="H798" s="53" t="e">
        <f>VLOOKUP($D798,成品本月库存!$B:$J,9,0)</f>
        <v>#N/A</v>
      </c>
      <c r="I798" s="56"/>
    </row>
    <row r="799" ht="17" customHeight="1" spans="1:9">
      <c r="A799" s="20"/>
      <c r="B799" s="51"/>
      <c r="C799" s="57"/>
      <c r="D799" s="62"/>
      <c r="E799" s="53" t="e">
        <f>VLOOKUP($D799,成品本月库存!$B:$J,2,0)</f>
        <v>#N/A</v>
      </c>
      <c r="F799" s="54" t="e">
        <f>VLOOKUP($D799,成品本月库存!$B:$J,5,0)</f>
        <v>#N/A</v>
      </c>
      <c r="G799" s="55"/>
      <c r="H799" s="53" t="e">
        <f>VLOOKUP($D799,成品本月库存!$B:$J,9,0)</f>
        <v>#N/A</v>
      </c>
      <c r="I799" s="56"/>
    </row>
    <row r="800" ht="17" customHeight="1" spans="1:9">
      <c r="A800" s="20"/>
      <c r="B800" s="51"/>
      <c r="C800" s="57"/>
      <c r="D800" s="62"/>
      <c r="E800" s="53" t="e">
        <f>VLOOKUP($D800,成品本月库存!$B:$J,2,0)</f>
        <v>#N/A</v>
      </c>
      <c r="F800" s="54" t="e">
        <f>VLOOKUP($D800,成品本月库存!$B:$J,5,0)</f>
        <v>#N/A</v>
      </c>
      <c r="G800" s="55"/>
      <c r="H800" s="53" t="e">
        <f>VLOOKUP($D800,成品本月库存!$B:$J,9,0)</f>
        <v>#N/A</v>
      </c>
      <c r="I800" s="56"/>
    </row>
    <row r="801" ht="17" customHeight="1" spans="1:9">
      <c r="A801" s="20"/>
      <c r="B801" s="51"/>
      <c r="C801" s="57"/>
      <c r="D801" s="62"/>
      <c r="E801" s="53" t="e">
        <f>VLOOKUP($D801,成品本月库存!$B:$J,2,0)</f>
        <v>#N/A</v>
      </c>
      <c r="F801" s="54" t="e">
        <f>VLOOKUP($D801,成品本月库存!$B:$J,5,0)</f>
        <v>#N/A</v>
      </c>
      <c r="G801" s="55"/>
      <c r="H801" s="53" t="e">
        <f>VLOOKUP($D801,成品本月库存!$B:$J,9,0)</f>
        <v>#N/A</v>
      </c>
      <c r="I801" s="56"/>
    </row>
    <row r="802" ht="17" customHeight="1" spans="1:9">
      <c r="A802" s="20"/>
      <c r="B802" s="51"/>
      <c r="C802" s="57"/>
      <c r="D802" s="62"/>
      <c r="E802" s="53" t="e">
        <f>VLOOKUP($D802,成品本月库存!$B:$J,2,0)</f>
        <v>#N/A</v>
      </c>
      <c r="F802" s="54" t="e">
        <f>VLOOKUP($D802,成品本月库存!$B:$J,5,0)</f>
        <v>#N/A</v>
      </c>
      <c r="G802" s="55"/>
      <c r="H802" s="53" t="e">
        <f>VLOOKUP($D802,成品本月库存!$B:$J,9,0)</f>
        <v>#N/A</v>
      </c>
      <c r="I802" s="56"/>
    </row>
    <row r="803" ht="17" customHeight="1" spans="1:9">
      <c r="A803" s="20"/>
      <c r="B803" s="51"/>
      <c r="C803" s="57"/>
      <c r="D803" s="62"/>
      <c r="E803" s="53" t="e">
        <f>VLOOKUP($D803,成品本月库存!$B:$J,2,0)</f>
        <v>#N/A</v>
      </c>
      <c r="F803" s="54" t="e">
        <f>VLOOKUP($D803,成品本月库存!$B:$J,5,0)</f>
        <v>#N/A</v>
      </c>
      <c r="G803" s="55"/>
      <c r="H803" s="53" t="e">
        <f>VLOOKUP($D803,成品本月库存!$B:$J,9,0)</f>
        <v>#N/A</v>
      </c>
      <c r="I803" s="56"/>
    </row>
    <row r="804" ht="17" customHeight="1" spans="1:9">
      <c r="A804" s="20"/>
      <c r="B804" s="51"/>
      <c r="C804" s="57"/>
      <c r="D804" s="62"/>
      <c r="E804" s="53" t="e">
        <f>VLOOKUP($D804,成品本月库存!$B:$J,2,0)</f>
        <v>#N/A</v>
      </c>
      <c r="F804" s="54" t="e">
        <f>VLOOKUP($D804,成品本月库存!$B:$J,5,0)</f>
        <v>#N/A</v>
      </c>
      <c r="G804" s="55"/>
      <c r="H804" s="53" t="e">
        <f>VLOOKUP($D804,成品本月库存!$B:$J,9,0)</f>
        <v>#N/A</v>
      </c>
      <c r="I804" s="56"/>
    </row>
    <row r="805" ht="17" customHeight="1" spans="1:9">
      <c r="A805" s="20"/>
      <c r="B805" s="51"/>
      <c r="C805" s="57"/>
      <c r="D805" s="62"/>
      <c r="E805" s="53" t="e">
        <f>VLOOKUP($D805,成品本月库存!$B:$J,2,0)</f>
        <v>#N/A</v>
      </c>
      <c r="F805" s="54" t="e">
        <f>VLOOKUP($D805,成品本月库存!$B:$J,5,0)</f>
        <v>#N/A</v>
      </c>
      <c r="G805" s="55"/>
      <c r="H805" s="53" t="e">
        <f>VLOOKUP($D805,成品本月库存!$B:$J,9,0)</f>
        <v>#N/A</v>
      </c>
      <c r="I805" s="56"/>
    </row>
    <row r="806" ht="17" customHeight="1" spans="1:9">
      <c r="A806" s="20"/>
      <c r="B806" s="51"/>
      <c r="C806" s="57"/>
      <c r="D806" s="62"/>
      <c r="E806" s="53" t="e">
        <f>VLOOKUP($D806,成品本月库存!$B:$J,2,0)</f>
        <v>#N/A</v>
      </c>
      <c r="F806" s="54" t="e">
        <f>VLOOKUP($D806,成品本月库存!$B:$J,5,0)</f>
        <v>#N/A</v>
      </c>
      <c r="G806" s="55"/>
      <c r="H806" s="53" t="e">
        <f>VLOOKUP($D806,成品本月库存!$B:$J,9,0)</f>
        <v>#N/A</v>
      </c>
      <c r="I806" s="56"/>
    </row>
    <row r="807" ht="17" customHeight="1" spans="1:9">
      <c r="A807" s="20"/>
      <c r="B807" s="51"/>
      <c r="C807" s="57"/>
      <c r="D807" s="62"/>
      <c r="E807" s="53" t="e">
        <f>VLOOKUP($D807,成品本月库存!$B:$J,2,0)</f>
        <v>#N/A</v>
      </c>
      <c r="F807" s="54" t="e">
        <f>VLOOKUP($D807,成品本月库存!$B:$J,5,0)</f>
        <v>#N/A</v>
      </c>
      <c r="G807" s="55"/>
      <c r="H807" s="53" t="e">
        <f>VLOOKUP($D807,成品本月库存!$B:$J,9,0)</f>
        <v>#N/A</v>
      </c>
      <c r="I807" s="56"/>
    </row>
    <row r="808" ht="17" customHeight="1" spans="1:9">
      <c r="A808" s="20"/>
      <c r="B808" s="51"/>
      <c r="C808" s="57"/>
      <c r="D808" s="62"/>
      <c r="E808" s="53" t="e">
        <f>VLOOKUP($D808,成品本月库存!$B:$J,2,0)</f>
        <v>#N/A</v>
      </c>
      <c r="F808" s="54" t="e">
        <f>VLOOKUP($D808,成品本月库存!$B:$J,5,0)</f>
        <v>#N/A</v>
      </c>
      <c r="G808" s="55"/>
      <c r="H808" s="53" t="e">
        <f>VLOOKUP($D808,成品本月库存!$B:$J,9,0)</f>
        <v>#N/A</v>
      </c>
      <c r="I808" s="56"/>
    </row>
    <row r="809" ht="17" customHeight="1" spans="1:9">
      <c r="A809" s="20"/>
      <c r="B809" s="51"/>
      <c r="C809" s="57"/>
      <c r="D809" s="62"/>
      <c r="E809" s="53" t="e">
        <f>VLOOKUP($D809,成品本月库存!$B:$J,2,0)</f>
        <v>#N/A</v>
      </c>
      <c r="F809" s="54" t="e">
        <f>VLOOKUP($D809,成品本月库存!$B:$J,5,0)</f>
        <v>#N/A</v>
      </c>
      <c r="G809" s="55"/>
      <c r="H809" s="53" t="e">
        <f>VLOOKUP($D809,成品本月库存!$B:$J,9,0)</f>
        <v>#N/A</v>
      </c>
      <c r="I809" s="56"/>
    </row>
    <row r="810" ht="17" customHeight="1" spans="1:9">
      <c r="A810" s="20"/>
      <c r="B810" s="51"/>
      <c r="C810" s="57"/>
      <c r="D810" s="62"/>
      <c r="E810" s="53" t="e">
        <f>VLOOKUP($D810,成品本月库存!$B:$J,2,0)</f>
        <v>#N/A</v>
      </c>
      <c r="F810" s="54" t="e">
        <f>VLOOKUP($D810,成品本月库存!$B:$J,5,0)</f>
        <v>#N/A</v>
      </c>
      <c r="G810" s="55"/>
      <c r="H810" s="53" t="e">
        <f>VLOOKUP($D810,成品本月库存!$B:$J,9,0)</f>
        <v>#N/A</v>
      </c>
      <c r="I810" s="56"/>
    </row>
    <row r="811" ht="17" customHeight="1" spans="1:9">
      <c r="A811" s="20"/>
      <c r="B811" s="51"/>
      <c r="C811" s="57"/>
      <c r="D811" s="62"/>
      <c r="E811" s="53" t="e">
        <f>VLOOKUP($D811,成品本月库存!$B:$J,2,0)</f>
        <v>#N/A</v>
      </c>
      <c r="F811" s="54" t="e">
        <f>VLOOKUP($D811,成品本月库存!$B:$J,5,0)</f>
        <v>#N/A</v>
      </c>
      <c r="G811" s="55"/>
      <c r="H811" s="53" t="e">
        <f>VLOOKUP($D811,成品本月库存!$B:$J,9,0)</f>
        <v>#N/A</v>
      </c>
      <c r="I811" s="56"/>
    </row>
    <row r="812" ht="17" customHeight="1" spans="1:9">
      <c r="A812" s="20"/>
      <c r="B812" s="51"/>
      <c r="C812" s="57"/>
      <c r="D812" s="62"/>
      <c r="E812" s="53" t="e">
        <f>VLOOKUP($D812,成品本月库存!$B:$J,2,0)</f>
        <v>#N/A</v>
      </c>
      <c r="F812" s="54" t="e">
        <f>VLOOKUP($D812,成品本月库存!$B:$J,5,0)</f>
        <v>#N/A</v>
      </c>
      <c r="G812" s="55"/>
      <c r="H812" s="53" t="e">
        <f>VLOOKUP($D812,成品本月库存!$B:$J,9,0)</f>
        <v>#N/A</v>
      </c>
      <c r="I812" s="56"/>
    </row>
    <row r="813" ht="17" customHeight="1" spans="1:9">
      <c r="A813" s="20"/>
      <c r="B813" s="51"/>
      <c r="C813" s="57"/>
      <c r="D813" s="62"/>
      <c r="E813" s="53" t="e">
        <f>VLOOKUP($D813,成品本月库存!$B:$J,2,0)</f>
        <v>#N/A</v>
      </c>
      <c r="F813" s="54" t="e">
        <f>VLOOKUP($D813,成品本月库存!$B:$J,5,0)</f>
        <v>#N/A</v>
      </c>
      <c r="G813" s="55"/>
      <c r="H813" s="53" t="e">
        <f>VLOOKUP($D813,成品本月库存!$B:$J,9,0)</f>
        <v>#N/A</v>
      </c>
      <c r="I813" s="56"/>
    </row>
    <row r="814" ht="17" customHeight="1" spans="1:9">
      <c r="A814" s="20"/>
      <c r="B814" s="51"/>
      <c r="C814" s="57"/>
      <c r="D814" s="62"/>
      <c r="E814" s="53" t="e">
        <f>VLOOKUP($D814,成品本月库存!$B:$J,2,0)</f>
        <v>#N/A</v>
      </c>
      <c r="F814" s="54" t="e">
        <f>VLOOKUP($D814,成品本月库存!$B:$J,5,0)</f>
        <v>#N/A</v>
      </c>
      <c r="G814" s="55"/>
      <c r="H814" s="53" t="e">
        <f>VLOOKUP($D814,成品本月库存!$B:$J,9,0)</f>
        <v>#N/A</v>
      </c>
      <c r="I814" s="56"/>
    </row>
    <row r="815" ht="17" customHeight="1" spans="1:9">
      <c r="A815" s="20"/>
      <c r="B815" s="51"/>
      <c r="C815" s="57"/>
      <c r="D815" s="62"/>
      <c r="E815" s="53" t="e">
        <f>VLOOKUP($D815,成品本月库存!$B:$J,2,0)</f>
        <v>#N/A</v>
      </c>
      <c r="F815" s="54" t="e">
        <f>VLOOKUP($D815,成品本月库存!$B:$J,5,0)</f>
        <v>#N/A</v>
      </c>
      <c r="G815" s="55"/>
      <c r="H815" s="53" t="e">
        <f>VLOOKUP($D815,成品本月库存!$B:$J,9,0)</f>
        <v>#N/A</v>
      </c>
      <c r="I815" s="56"/>
    </row>
    <row r="816" ht="17" customHeight="1" spans="1:9">
      <c r="A816" s="20"/>
      <c r="B816" s="51"/>
      <c r="C816" s="57"/>
      <c r="D816" s="62"/>
      <c r="E816" s="53" t="e">
        <f>VLOOKUP($D816,成品本月库存!$B:$J,2,0)</f>
        <v>#N/A</v>
      </c>
      <c r="F816" s="54" t="e">
        <f>VLOOKUP($D816,成品本月库存!$B:$J,5,0)</f>
        <v>#N/A</v>
      </c>
      <c r="G816" s="55"/>
      <c r="H816" s="53" t="e">
        <f>VLOOKUP($D816,成品本月库存!$B:$J,9,0)</f>
        <v>#N/A</v>
      </c>
      <c r="I816" s="56"/>
    </row>
    <row r="817" ht="17" customHeight="1" spans="1:9">
      <c r="A817" s="20"/>
      <c r="B817" s="51"/>
      <c r="C817" s="57"/>
      <c r="D817" s="62"/>
      <c r="E817" s="53" t="e">
        <f>VLOOKUP($D817,成品本月库存!$B:$J,2,0)</f>
        <v>#N/A</v>
      </c>
      <c r="F817" s="54" t="e">
        <f>VLOOKUP($D817,成品本月库存!$B:$J,5,0)</f>
        <v>#N/A</v>
      </c>
      <c r="G817" s="55"/>
      <c r="H817" s="53" t="e">
        <f>VLOOKUP($D817,成品本月库存!$B:$J,9,0)</f>
        <v>#N/A</v>
      </c>
      <c r="I817" s="56"/>
    </row>
    <row r="818" ht="17" customHeight="1" spans="1:9">
      <c r="A818" s="20"/>
      <c r="B818" s="51"/>
      <c r="C818" s="57"/>
      <c r="D818" s="62"/>
      <c r="E818" s="53" t="e">
        <f>VLOOKUP($D818,成品本月库存!$B:$J,2,0)</f>
        <v>#N/A</v>
      </c>
      <c r="F818" s="54" t="e">
        <f>VLOOKUP($D818,成品本月库存!$B:$J,5,0)</f>
        <v>#N/A</v>
      </c>
      <c r="G818" s="55"/>
      <c r="H818" s="53" t="e">
        <f>VLOOKUP($D818,成品本月库存!$B:$J,9,0)</f>
        <v>#N/A</v>
      </c>
      <c r="I818" s="56"/>
    </row>
    <row r="819" ht="17" customHeight="1" spans="1:9">
      <c r="A819" s="20"/>
      <c r="B819" s="51"/>
      <c r="C819" s="57"/>
      <c r="D819" s="62"/>
      <c r="E819" s="53" t="e">
        <f>VLOOKUP($D819,成品本月库存!$B:$J,2,0)</f>
        <v>#N/A</v>
      </c>
      <c r="F819" s="54" t="e">
        <f>VLOOKUP($D819,成品本月库存!$B:$J,5,0)</f>
        <v>#N/A</v>
      </c>
      <c r="G819" s="55"/>
      <c r="H819" s="53" t="e">
        <f>VLOOKUP($D819,成品本月库存!$B:$J,9,0)</f>
        <v>#N/A</v>
      </c>
      <c r="I819" s="56"/>
    </row>
    <row r="820" ht="17" customHeight="1" spans="1:9">
      <c r="A820" s="20"/>
      <c r="B820" s="51"/>
      <c r="C820" s="57"/>
      <c r="D820" s="62"/>
      <c r="E820" s="53" t="e">
        <f>VLOOKUP($D820,成品本月库存!$B:$J,2,0)</f>
        <v>#N/A</v>
      </c>
      <c r="F820" s="54" t="e">
        <f>VLOOKUP($D820,成品本月库存!$B:$J,5,0)</f>
        <v>#N/A</v>
      </c>
      <c r="G820" s="55"/>
      <c r="H820" s="53" t="e">
        <f>VLOOKUP($D820,成品本月库存!$B:$J,9,0)</f>
        <v>#N/A</v>
      </c>
      <c r="I820" s="56"/>
    </row>
    <row r="821" ht="17" customHeight="1" spans="1:9">
      <c r="A821" s="20"/>
      <c r="B821" s="51"/>
      <c r="C821" s="57"/>
      <c r="D821" s="62"/>
      <c r="E821" s="53" t="e">
        <f>VLOOKUP($D821,成品本月库存!$B:$J,2,0)</f>
        <v>#N/A</v>
      </c>
      <c r="F821" s="54" t="e">
        <f>VLOOKUP($D821,成品本月库存!$B:$J,5,0)</f>
        <v>#N/A</v>
      </c>
      <c r="G821" s="55"/>
      <c r="H821" s="53" t="e">
        <f>VLOOKUP($D821,成品本月库存!$B:$J,9,0)</f>
        <v>#N/A</v>
      </c>
      <c r="I821" s="56"/>
    </row>
    <row r="822" ht="17" customHeight="1" spans="1:9">
      <c r="A822" s="20"/>
      <c r="B822" s="51"/>
      <c r="C822" s="57"/>
      <c r="D822" s="62"/>
      <c r="E822" s="53" t="e">
        <f>VLOOKUP($D822,成品本月库存!$B:$J,2,0)</f>
        <v>#N/A</v>
      </c>
      <c r="F822" s="54" t="e">
        <f>VLOOKUP($D822,成品本月库存!$B:$J,5,0)</f>
        <v>#N/A</v>
      </c>
      <c r="G822" s="55"/>
      <c r="H822" s="53" t="e">
        <f>VLOOKUP($D822,成品本月库存!$B:$J,9,0)</f>
        <v>#N/A</v>
      </c>
      <c r="I822" s="56"/>
    </row>
    <row r="823" ht="17" customHeight="1" spans="1:9">
      <c r="A823" s="20"/>
      <c r="B823" s="51"/>
      <c r="C823" s="57"/>
      <c r="D823" s="62"/>
      <c r="E823" s="53" t="e">
        <f>VLOOKUP($D823,成品本月库存!$B:$J,2,0)</f>
        <v>#N/A</v>
      </c>
      <c r="F823" s="54" t="e">
        <f>VLOOKUP($D823,成品本月库存!$B:$J,5,0)</f>
        <v>#N/A</v>
      </c>
      <c r="G823" s="55"/>
      <c r="H823" s="53" t="e">
        <f>VLOOKUP($D823,成品本月库存!$B:$J,9,0)</f>
        <v>#N/A</v>
      </c>
      <c r="I823" s="56"/>
    </row>
    <row r="824" ht="17" customHeight="1" spans="1:9">
      <c r="A824" s="20"/>
      <c r="B824" s="51"/>
      <c r="C824" s="57"/>
      <c r="D824" s="62"/>
      <c r="E824" s="53" t="e">
        <f>VLOOKUP($D824,成品本月库存!$B:$J,2,0)</f>
        <v>#N/A</v>
      </c>
      <c r="F824" s="54" t="e">
        <f>VLOOKUP($D824,成品本月库存!$B:$J,5,0)</f>
        <v>#N/A</v>
      </c>
      <c r="G824" s="55"/>
      <c r="H824" s="53" t="e">
        <f>VLOOKUP($D824,成品本月库存!$B:$J,9,0)</f>
        <v>#N/A</v>
      </c>
      <c r="I824" s="56"/>
    </row>
    <row r="825" ht="17" customHeight="1" spans="1:9">
      <c r="A825" s="20"/>
      <c r="B825" s="51"/>
      <c r="C825" s="57"/>
      <c r="D825" s="62"/>
      <c r="E825" s="53" t="e">
        <f>VLOOKUP($D825,成品本月库存!$B:$J,2,0)</f>
        <v>#N/A</v>
      </c>
      <c r="F825" s="54" t="e">
        <f>VLOOKUP($D825,成品本月库存!$B:$J,5,0)</f>
        <v>#N/A</v>
      </c>
      <c r="G825" s="55"/>
      <c r="H825" s="53" t="e">
        <f>VLOOKUP($D825,成品本月库存!$B:$J,9,0)</f>
        <v>#N/A</v>
      </c>
      <c r="I825" s="56"/>
    </row>
    <row r="826" ht="17" customHeight="1" spans="1:9">
      <c r="A826" s="20"/>
      <c r="B826" s="51"/>
      <c r="C826" s="57"/>
      <c r="D826" s="62"/>
      <c r="E826" s="53" t="e">
        <f>VLOOKUP($D826,成品本月库存!$B:$J,2,0)</f>
        <v>#N/A</v>
      </c>
      <c r="F826" s="54" t="e">
        <f>VLOOKUP($D826,成品本月库存!$B:$J,5,0)</f>
        <v>#N/A</v>
      </c>
      <c r="G826" s="55"/>
      <c r="H826" s="53" t="e">
        <f>VLOOKUP($D826,成品本月库存!$B:$J,9,0)</f>
        <v>#N/A</v>
      </c>
      <c r="I826" s="56"/>
    </row>
    <row r="827" ht="17" customHeight="1" spans="1:9">
      <c r="A827" s="20"/>
      <c r="B827" s="51"/>
      <c r="C827" s="57"/>
      <c r="D827" s="62"/>
      <c r="E827" s="53" t="e">
        <f>VLOOKUP($D827,成品本月库存!$B:$J,2,0)</f>
        <v>#N/A</v>
      </c>
      <c r="F827" s="54" t="e">
        <f>VLOOKUP($D827,成品本月库存!$B:$J,5,0)</f>
        <v>#N/A</v>
      </c>
      <c r="G827" s="55"/>
      <c r="H827" s="53" t="e">
        <f>VLOOKUP($D827,成品本月库存!$B:$J,9,0)</f>
        <v>#N/A</v>
      </c>
      <c r="I827" s="56"/>
    </row>
    <row r="828" ht="14" customHeight="1" spans="1:9">
      <c r="A828" s="20"/>
      <c r="B828" s="51"/>
      <c r="C828" s="57"/>
      <c r="D828" s="62"/>
      <c r="E828" s="53" t="e">
        <f>VLOOKUP($D828,成品本月库存!$B:$J,2,0)</f>
        <v>#N/A</v>
      </c>
      <c r="F828" s="54" t="e">
        <f>VLOOKUP($D828,成品本月库存!$B:$J,5,0)</f>
        <v>#N/A</v>
      </c>
      <c r="G828" s="55"/>
      <c r="H828" s="53" t="e">
        <f>VLOOKUP($D828,成品本月库存!$B:$J,9,0)</f>
        <v>#N/A</v>
      </c>
      <c r="I828" s="56"/>
    </row>
    <row r="829" ht="14" customHeight="1" spans="1:9">
      <c r="A829" s="20"/>
      <c r="B829" s="51"/>
      <c r="C829" s="57"/>
      <c r="D829" s="62"/>
      <c r="E829" s="53" t="e">
        <f>VLOOKUP($D829,成品本月库存!$B:$J,2,0)</f>
        <v>#N/A</v>
      </c>
      <c r="F829" s="54" t="e">
        <f>VLOOKUP($D829,成品本月库存!$B:$J,5,0)</f>
        <v>#N/A</v>
      </c>
      <c r="G829" s="55"/>
      <c r="H829" s="53" t="e">
        <f>VLOOKUP($D829,成品本月库存!$B:$J,9,0)</f>
        <v>#N/A</v>
      </c>
      <c r="I829" s="56"/>
    </row>
    <row r="830" ht="14" customHeight="1" spans="1:9">
      <c r="A830" s="20"/>
      <c r="B830" s="51"/>
      <c r="C830" s="57"/>
      <c r="D830" s="62"/>
      <c r="E830" s="53" t="e">
        <f>VLOOKUP($D830,成品本月库存!$B:$J,2,0)</f>
        <v>#N/A</v>
      </c>
      <c r="F830" s="54" t="e">
        <f>VLOOKUP($D830,成品本月库存!$B:$J,5,0)</f>
        <v>#N/A</v>
      </c>
      <c r="G830" s="55"/>
      <c r="H830" s="53" t="e">
        <f>VLOOKUP($D830,成品本月库存!$B:$J,9,0)</f>
        <v>#N/A</v>
      </c>
      <c r="I830" s="56"/>
    </row>
    <row r="831" ht="14" customHeight="1" spans="1:9">
      <c r="A831" s="20"/>
      <c r="B831" s="51"/>
      <c r="C831" s="57"/>
      <c r="D831" s="62"/>
      <c r="E831" s="53" t="e">
        <f>VLOOKUP($D831,成品本月库存!$B:$J,2,0)</f>
        <v>#N/A</v>
      </c>
      <c r="F831" s="54" t="e">
        <f>VLOOKUP($D831,成品本月库存!$B:$J,5,0)</f>
        <v>#N/A</v>
      </c>
      <c r="G831" s="55"/>
      <c r="H831" s="53" t="e">
        <f>VLOOKUP($D831,成品本月库存!$B:$J,9,0)</f>
        <v>#N/A</v>
      </c>
      <c r="I831" s="56"/>
    </row>
    <row r="832" ht="14" customHeight="1" spans="1:9">
      <c r="A832" s="20"/>
      <c r="B832" s="51"/>
      <c r="C832" s="57"/>
      <c r="D832" s="62"/>
      <c r="E832" s="53" t="e">
        <f>VLOOKUP($D832,成品本月库存!$B:$J,2,0)</f>
        <v>#N/A</v>
      </c>
      <c r="F832" s="54" t="e">
        <f>VLOOKUP($D832,成品本月库存!$B:$J,5,0)</f>
        <v>#N/A</v>
      </c>
      <c r="G832" s="55"/>
      <c r="H832" s="53" t="e">
        <f>VLOOKUP($D832,成品本月库存!$B:$J,9,0)</f>
        <v>#N/A</v>
      </c>
      <c r="I832" s="56"/>
    </row>
    <row r="833" ht="14" customHeight="1" spans="1:9">
      <c r="A833" s="20"/>
      <c r="B833" s="51"/>
      <c r="C833" s="57"/>
      <c r="D833" s="62"/>
      <c r="E833" s="53" t="e">
        <f>VLOOKUP($D833,成品本月库存!$B:$J,2,0)</f>
        <v>#N/A</v>
      </c>
      <c r="F833" s="54" t="e">
        <f>VLOOKUP($D833,成品本月库存!$B:$J,5,0)</f>
        <v>#N/A</v>
      </c>
      <c r="G833" s="55"/>
      <c r="H833" s="53" t="e">
        <f>VLOOKUP($D833,成品本月库存!$B:$J,9,0)</f>
        <v>#N/A</v>
      </c>
      <c r="I833" s="56"/>
    </row>
    <row r="834" ht="14" customHeight="1" spans="1:9">
      <c r="A834" s="20"/>
      <c r="B834" s="51"/>
      <c r="C834" s="57"/>
      <c r="D834" s="62"/>
      <c r="E834" s="53" t="e">
        <f>VLOOKUP($D834,成品本月库存!$B:$J,2,0)</f>
        <v>#N/A</v>
      </c>
      <c r="F834" s="54" t="e">
        <f>VLOOKUP($D834,成品本月库存!$B:$J,5,0)</f>
        <v>#N/A</v>
      </c>
      <c r="G834" s="55"/>
      <c r="H834" s="53" t="e">
        <f>VLOOKUP($D834,成品本月库存!$B:$J,9,0)</f>
        <v>#N/A</v>
      </c>
      <c r="I834" s="56"/>
    </row>
    <row r="835" ht="14" customHeight="1" spans="1:9">
      <c r="A835" s="20"/>
      <c r="B835" s="51"/>
      <c r="C835" s="57"/>
      <c r="D835" s="62"/>
      <c r="E835" s="53" t="e">
        <f>VLOOKUP($D835,成品本月库存!$B:$J,2,0)</f>
        <v>#N/A</v>
      </c>
      <c r="F835" s="54" t="e">
        <f>VLOOKUP($D835,成品本月库存!$B:$J,5,0)</f>
        <v>#N/A</v>
      </c>
      <c r="G835" s="55"/>
      <c r="H835" s="53" t="e">
        <f>VLOOKUP($D835,成品本月库存!$B:$J,9,0)</f>
        <v>#N/A</v>
      </c>
      <c r="I835" s="56"/>
    </row>
    <row r="836" ht="14" customHeight="1" spans="1:9">
      <c r="A836" s="20"/>
      <c r="B836" s="51"/>
      <c r="C836" s="57"/>
      <c r="D836" s="62"/>
      <c r="E836" s="53" t="e">
        <f>VLOOKUP($D836,成品本月库存!$B:$J,2,0)</f>
        <v>#N/A</v>
      </c>
      <c r="F836" s="54" t="e">
        <f>VLOOKUP($D836,成品本月库存!$B:$J,5,0)</f>
        <v>#N/A</v>
      </c>
      <c r="G836" s="55"/>
      <c r="H836" s="53" t="e">
        <f>VLOOKUP($D836,成品本月库存!$B:$J,9,0)</f>
        <v>#N/A</v>
      </c>
      <c r="I836" s="56"/>
    </row>
    <row r="837" ht="14" customHeight="1" spans="1:9">
      <c r="A837" s="20"/>
      <c r="B837" s="51"/>
      <c r="C837" s="57"/>
      <c r="D837" s="62"/>
      <c r="E837" s="53" t="e">
        <f>VLOOKUP($D837,成品本月库存!$B:$J,2,0)</f>
        <v>#N/A</v>
      </c>
      <c r="F837" s="54" t="e">
        <f>VLOOKUP($D837,成品本月库存!$B:$J,5,0)</f>
        <v>#N/A</v>
      </c>
      <c r="G837" s="55"/>
      <c r="H837" s="53" t="e">
        <f>VLOOKUP($D837,成品本月库存!$B:$J,9,0)</f>
        <v>#N/A</v>
      </c>
      <c r="I837" s="56"/>
    </row>
    <row r="838" ht="14" customHeight="1" spans="1:9">
      <c r="A838" s="20"/>
      <c r="B838" s="51"/>
      <c r="C838" s="57"/>
      <c r="D838" s="62"/>
      <c r="E838" s="53" t="e">
        <f>VLOOKUP($D838,成品本月库存!$B:$J,2,0)</f>
        <v>#N/A</v>
      </c>
      <c r="F838" s="54" t="e">
        <f>VLOOKUP($D838,成品本月库存!$B:$J,5,0)</f>
        <v>#N/A</v>
      </c>
      <c r="G838" s="55"/>
      <c r="H838" s="53" t="e">
        <f>VLOOKUP($D838,成品本月库存!$B:$J,9,0)</f>
        <v>#N/A</v>
      </c>
      <c r="I838" s="56"/>
    </row>
    <row r="839" ht="14" customHeight="1" spans="1:9">
      <c r="A839" s="20"/>
      <c r="B839" s="51"/>
      <c r="C839" s="57"/>
      <c r="D839" s="62"/>
      <c r="E839" s="53" t="e">
        <f>VLOOKUP($D839,成品本月库存!$B:$J,2,0)</f>
        <v>#N/A</v>
      </c>
      <c r="F839" s="54" t="e">
        <f>VLOOKUP($D839,成品本月库存!$B:$J,5,0)</f>
        <v>#N/A</v>
      </c>
      <c r="G839" s="55"/>
      <c r="H839" s="53" t="e">
        <f>VLOOKUP($D839,成品本月库存!$B:$J,9,0)</f>
        <v>#N/A</v>
      </c>
      <c r="I839" s="56"/>
    </row>
    <row r="840" ht="14" customHeight="1" spans="1:9">
      <c r="A840" s="20"/>
      <c r="B840" s="51"/>
      <c r="C840" s="57"/>
      <c r="D840" s="62"/>
      <c r="E840" s="53" t="e">
        <f>VLOOKUP($D840,成品本月库存!$B:$J,2,0)</f>
        <v>#N/A</v>
      </c>
      <c r="F840" s="54" t="e">
        <f>VLOOKUP($D840,成品本月库存!$B:$J,5,0)</f>
        <v>#N/A</v>
      </c>
      <c r="G840" s="55"/>
      <c r="H840" s="53" t="e">
        <f>VLOOKUP($D840,成品本月库存!$B:$J,9,0)</f>
        <v>#N/A</v>
      </c>
      <c r="I840" s="56"/>
    </row>
    <row r="841" ht="14" customHeight="1" spans="1:9">
      <c r="A841" s="20"/>
      <c r="B841" s="51"/>
      <c r="C841" s="57"/>
      <c r="D841" s="62"/>
      <c r="E841" s="53" t="e">
        <f>VLOOKUP($D841,成品本月库存!$B:$J,2,0)</f>
        <v>#N/A</v>
      </c>
      <c r="F841" s="54" t="e">
        <f>VLOOKUP($D841,成品本月库存!$B:$J,5,0)</f>
        <v>#N/A</v>
      </c>
      <c r="G841" s="55"/>
      <c r="H841" s="53" t="e">
        <f>VLOOKUP($D841,成品本月库存!$B:$J,9,0)</f>
        <v>#N/A</v>
      </c>
      <c r="I841" s="56"/>
    </row>
    <row r="842" ht="14" customHeight="1" spans="1:9">
      <c r="A842" s="20"/>
      <c r="B842" s="51"/>
      <c r="C842" s="57"/>
      <c r="D842" s="62"/>
      <c r="E842" s="53" t="e">
        <f>VLOOKUP($D842,成品本月库存!$B:$J,2,0)</f>
        <v>#N/A</v>
      </c>
      <c r="F842" s="54" t="e">
        <f>VLOOKUP($D842,成品本月库存!$B:$J,5,0)</f>
        <v>#N/A</v>
      </c>
      <c r="G842" s="55"/>
      <c r="H842" s="53" t="e">
        <f>VLOOKUP($D842,成品本月库存!$B:$J,9,0)</f>
        <v>#N/A</v>
      </c>
      <c r="I842" s="56"/>
    </row>
    <row r="843" ht="14" customHeight="1" spans="1:9">
      <c r="A843" s="20"/>
      <c r="B843" s="51"/>
      <c r="C843" s="57"/>
      <c r="D843" s="62"/>
      <c r="E843" s="53" t="e">
        <f>VLOOKUP($D843,成品本月库存!$B:$J,2,0)</f>
        <v>#N/A</v>
      </c>
      <c r="F843" s="54" t="e">
        <f>VLOOKUP($D843,成品本月库存!$B:$J,5,0)</f>
        <v>#N/A</v>
      </c>
      <c r="G843" s="55"/>
      <c r="H843" s="53" t="e">
        <f>VLOOKUP($D843,成品本月库存!$B:$J,9,0)</f>
        <v>#N/A</v>
      </c>
      <c r="I843" s="56"/>
    </row>
    <row r="844" ht="14" customHeight="1" spans="1:9">
      <c r="A844" s="20"/>
      <c r="B844" s="51"/>
      <c r="C844" s="57"/>
      <c r="D844" s="62"/>
      <c r="E844" s="53" t="e">
        <f>VLOOKUP($D844,成品本月库存!$B:$J,2,0)</f>
        <v>#N/A</v>
      </c>
      <c r="F844" s="54" t="e">
        <f>VLOOKUP($D844,成品本月库存!$B:$J,5,0)</f>
        <v>#N/A</v>
      </c>
      <c r="G844" s="55"/>
      <c r="H844" s="53" t="e">
        <f>VLOOKUP($D844,成品本月库存!$B:$J,9,0)</f>
        <v>#N/A</v>
      </c>
      <c r="I844" s="56"/>
    </row>
    <row r="845" ht="14" customHeight="1" spans="1:9">
      <c r="A845" s="20"/>
      <c r="B845" s="51"/>
      <c r="C845" s="57"/>
      <c r="D845" s="62"/>
      <c r="E845" s="53" t="e">
        <f>VLOOKUP($D845,成品本月库存!$B:$J,2,0)</f>
        <v>#N/A</v>
      </c>
      <c r="F845" s="54" t="e">
        <f>VLOOKUP($D845,成品本月库存!$B:$J,5,0)</f>
        <v>#N/A</v>
      </c>
      <c r="G845" s="55"/>
      <c r="H845" s="53" t="e">
        <f>VLOOKUP($D845,成品本月库存!$B:$J,9,0)</f>
        <v>#N/A</v>
      </c>
      <c r="I845" s="56"/>
    </row>
    <row r="846" ht="14" customHeight="1" spans="1:9">
      <c r="A846" s="20"/>
      <c r="B846" s="51"/>
      <c r="C846" s="57"/>
      <c r="D846" s="62"/>
      <c r="E846" s="53" t="e">
        <f>VLOOKUP($D846,成品本月库存!$B:$J,2,0)</f>
        <v>#N/A</v>
      </c>
      <c r="F846" s="54" t="e">
        <f>VLOOKUP($D846,成品本月库存!$B:$J,5,0)</f>
        <v>#N/A</v>
      </c>
      <c r="G846" s="55"/>
      <c r="H846" s="53" t="e">
        <f>VLOOKUP($D846,成品本月库存!$B:$J,9,0)</f>
        <v>#N/A</v>
      </c>
      <c r="I846" s="56"/>
    </row>
    <row r="847" ht="14" customHeight="1" spans="1:9">
      <c r="A847" s="20"/>
      <c r="B847" s="51"/>
      <c r="C847" s="57"/>
      <c r="D847" s="62"/>
      <c r="E847" s="53" t="e">
        <f>VLOOKUP($D847,成品本月库存!$B:$J,2,0)</f>
        <v>#N/A</v>
      </c>
      <c r="F847" s="54" t="e">
        <f>VLOOKUP($D847,成品本月库存!$B:$J,5,0)</f>
        <v>#N/A</v>
      </c>
      <c r="G847" s="55"/>
      <c r="H847" s="53" t="e">
        <f>VLOOKUP($D847,成品本月库存!$B:$J,9,0)</f>
        <v>#N/A</v>
      </c>
      <c r="I847" s="56"/>
    </row>
    <row r="848" ht="14" customHeight="1" spans="1:9">
      <c r="A848" s="20"/>
      <c r="B848" s="51"/>
      <c r="C848" s="57"/>
      <c r="D848" s="62"/>
      <c r="E848" s="53" t="e">
        <f>VLOOKUP($D848,成品本月库存!$B:$J,2,0)</f>
        <v>#N/A</v>
      </c>
      <c r="F848" s="54" t="e">
        <f>VLOOKUP($D848,成品本月库存!$B:$J,5,0)</f>
        <v>#N/A</v>
      </c>
      <c r="G848" s="55"/>
      <c r="H848" s="53" t="e">
        <f>VLOOKUP($D848,成品本月库存!$B:$J,9,0)</f>
        <v>#N/A</v>
      </c>
      <c r="I848" s="56"/>
    </row>
    <row r="849" ht="14" customHeight="1" spans="1:9">
      <c r="A849" s="20"/>
      <c r="B849" s="51"/>
      <c r="C849" s="57"/>
      <c r="D849" s="62"/>
      <c r="E849" s="53" t="e">
        <f>VLOOKUP($D849,成品本月库存!$B:$J,2,0)</f>
        <v>#N/A</v>
      </c>
      <c r="F849" s="54" t="e">
        <f>VLOOKUP($D849,成品本月库存!$B:$J,5,0)</f>
        <v>#N/A</v>
      </c>
      <c r="G849" s="55"/>
      <c r="H849" s="53" t="e">
        <f>VLOOKUP($D849,成品本月库存!$B:$J,9,0)</f>
        <v>#N/A</v>
      </c>
      <c r="I849" s="56"/>
    </row>
    <row r="850" ht="14" customHeight="1" spans="1:9">
      <c r="A850" s="20"/>
      <c r="B850" s="51"/>
      <c r="C850" s="57"/>
      <c r="D850" s="62"/>
      <c r="E850" s="53" t="e">
        <f>VLOOKUP($D850,成品本月库存!$B:$J,2,0)</f>
        <v>#N/A</v>
      </c>
      <c r="F850" s="54" t="e">
        <f>VLOOKUP($D850,成品本月库存!$B:$J,5,0)</f>
        <v>#N/A</v>
      </c>
      <c r="G850" s="55"/>
      <c r="H850" s="53" t="e">
        <f>VLOOKUP($D850,成品本月库存!$B:$J,9,0)</f>
        <v>#N/A</v>
      </c>
      <c r="I850" s="56"/>
    </row>
    <row r="851" ht="14" customHeight="1" spans="1:9">
      <c r="A851" s="20"/>
      <c r="B851" s="51"/>
      <c r="C851" s="57"/>
      <c r="D851" s="62"/>
      <c r="E851" s="53" t="e">
        <f>VLOOKUP($D851,成品本月库存!$B:$J,2,0)</f>
        <v>#N/A</v>
      </c>
      <c r="F851" s="54" t="e">
        <f>VLOOKUP($D851,成品本月库存!$B:$J,5,0)</f>
        <v>#N/A</v>
      </c>
      <c r="G851" s="55"/>
      <c r="H851" s="53" t="e">
        <f>VLOOKUP($D851,成品本月库存!$B:$J,9,0)</f>
        <v>#N/A</v>
      </c>
      <c r="I851" s="56"/>
    </row>
    <row r="852" ht="14" customHeight="1" spans="1:9">
      <c r="A852" s="20"/>
      <c r="B852" s="51"/>
      <c r="C852" s="57"/>
      <c r="D852" s="62"/>
      <c r="E852" s="53" t="e">
        <f>VLOOKUP($D852,成品本月库存!$B:$J,2,0)</f>
        <v>#N/A</v>
      </c>
      <c r="F852" s="54" t="e">
        <f>VLOOKUP($D852,成品本月库存!$B:$J,5,0)</f>
        <v>#N/A</v>
      </c>
      <c r="G852" s="55"/>
      <c r="H852" s="53" t="e">
        <f>VLOOKUP($D852,成品本月库存!$B:$J,9,0)</f>
        <v>#N/A</v>
      </c>
      <c r="I852" s="56"/>
    </row>
    <row r="853" ht="14" customHeight="1" spans="1:9">
      <c r="A853" s="20"/>
      <c r="B853" s="51"/>
      <c r="C853" s="57"/>
      <c r="D853" s="62"/>
      <c r="E853" s="53" t="e">
        <f>VLOOKUP($D853,成品本月库存!$B:$J,2,0)</f>
        <v>#N/A</v>
      </c>
      <c r="F853" s="54" t="e">
        <f>VLOOKUP($D853,成品本月库存!$B:$J,5,0)</f>
        <v>#N/A</v>
      </c>
      <c r="G853" s="55"/>
      <c r="H853" s="53" t="e">
        <f>VLOOKUP($D853,成品本月库存!$B:$J,9,0)</f>
        <v>#N/A</v>
      </c>
      <c r="I853" s="56"/>
    </row>
    <row r="854" ht="14" customHeight="1" spans="1:9">
      <c r="A854" s="20"/>
      <c r="B854" s="51"/>
      <c r="C854" s="57"/>
      <c r="D854" s="62"/>
      <c r="E854" s="53" t="e">
        <f>VLOOKUP($D854,成品本月库存!$B:$J,2,0)</f>
        <v>#N/A</v>
      </c>
      <c r="F854" s="54" t="e">
        <f>VLOOKUP($D854,成品本月库存!$B:$J,5,0)</f>
        <v>#N/A</v>
      </c>
      <c r="G854" s="55"/>
      <c r="H854" s="53" t="e">
        <f>VLOOKUP($D854,成品本月库存!$B:$J,9,0)</f>
        <v>#N/A</v>
      </c>
      <c r="I854" s="56"/>
    </row>
    <row r="855" ht="14" customHeight="1" spans="1:9">
      <c r="A855" s="20"/>
      <c r="B855" s="51"/>
      <c r="C855" s="57"/>
      <c r="D855" s="62"/>
      <c r="E855" s="53" t="e">
        <f>VLOOKUP($D855,成品本月库存!$B:$J,2,0)</f>
        <v>#N/A</v>
      </c>
      <c r="F855" s="54" t="e">
        <f>VLOOKUP($D855,成品本月库存!$B:$J,5,0)</f>
        <v>#N/A</v>
      </c>
      <c r="G855" s="55"/>
      <c r="H855" s="53" t="e">
        <f>VLOOKUP($D855,成品本月库存!$B:$J,9,0)</f>
        <v>#N/A</v>
      </c>
      <c r="I855" s="56"/>
    </row>
    <row r="856" ht="14" customHeight="1" spans="1:9">
      <c r="A856" s="20"/>
      <c r="B856" s="51"/>
      <c r="C856" s="57"/>
      <c r="D856" s="62"/>
      <c r="E856" s="53" t="e">
        <f>VLOOKUP($D856,成品本月库存!$B:$J,2,0)</f>
        <v>#N/A</v>
      </c>
      <c r="F856" s="54" t="e">
        <f>VLOOKUP($D856,成品本月库存!$B:$J,5,0)</f>
        <v>#N/A</v>
      </c>
      <c r="G856" s="55"/>
      <c r="H856" s="53" t="e">
        <f>VLOOKUP($D856,成品本月库存!$B:$J,9,0)</f>
        <v>#N/A</v>
      </c>
      <c r="I856" s="56"/>
    </row>
    <row r="857" ht="14" customHeight="1" spans="1:9">
      <c r="A857" s="20"/>
      <c r="B857" s="51"/>
      <c r="C857" s="57"/>
      <c r="D857" s="62"/>
      <c r="E857" s="53" t="e">
        <f>VLOOKUP($D857,成品本月库存!$B:$J,2,0)</f>
        <v>#N/A</v>
      </c>
      <c r="F857" s="54" t="e">
        <f>VLOOKUP($D857,成品本月库存!$B:$J,5,0)</f>
        <v>#N/A</v>
      </c>
      <c r="G857" s="55"/>
      <c r="H857" s="53" t="e">
        <f>VLOOKUP($D857,成品本月库存!$B:$J,9,0)</f>
        <v>#N/A</v>
      </c>
      <c r="I857" s="56"/>
    </row>
    <row r="858" ht="14" customHeight="1" spans="1:9">
      <c r="A858" s="20"/>
      <c r="B858" s="51"/>
      <c r="C858" s="57"/>
      <c r="D858" s="62"/>
      <c r="E858" s="53" t="e">
        <f>VLOOKUP($D858,成品本月库存!$B:$J,2,0)</f>
        <v>#N/A</v>
      </c>
      <c r="F858" s="54" t="e">
        <f>VLOOKUP($D858,成品本月库存!$B:$J,5,0)</f>
        <v>#N/A</v>
      </c>
      <c r="G858" s="55"/>
      <c r="H858" s="53" t="e">
        <f>VLOOKUP($D858,成品本月库存!$B:$J,9,0)</f>
        <v>#N/A</v>
      </c>
      <c r="I858" s="56"/>
    </row>
    <row r="859" ht="14" customHeight="1" spans="1:9">
      <c r="A859" s="20"/>
      <c r="B859" s="51"/>
      <c r="C859" s="57"/>
      <c r="D859" s="62"/>
      <c r="E859" s="53" t="e">
        <f>VLOOKUP($D859,成品本月库存!$B:$J,2,0)</f>
        <v>#N/A</v>
      </c>
      <c r="F859" s="54" t="e">
        <f>VLOOKUP($D859,成品本月库存!$B:$J,5,0)</f>
        <v>#N/A</v>
      </c>
      <c r="G859" s="55"/>
      <c r="H859" s="53" t="e">
        <f>VLOOKUP($D859,成品本月库存!$B:$J,9,0)</f>
        <v>#N/A</v>
      </c>
      <c r="I859" s="56"/>
    </row>
    <row r="860" ht="14" customHeight="1" spans="1:9">
      <c r="A860" s="20"/>
      <c r="B860" s="51"/>
      <c r="C860" s="57"/>
      <c r="D860" s="62"/>
      <c r="E860" s="53" t="e">
        <f>VLOOKUP($D860,成品本月库存!$B:$J,2,0)</f>
        <v>#N/A</v>
      </c>
      <c r="F860" s="54" t="e">
        <f>VLOOKUP($D860,成品本月库存!$B:$J,5,0)</f>
        <v>#N/A</v>
      </c>
      <c r="G860" s="55"/>
      <c r="H860" s="53" t="e">
        <f>VLOOKUP($D860,成品本月库存!$B:$J,9,0)</f>
        <v>#N/A</v>
      </c>
      <c r="I860" s="56"/>
    </row>
    <row r="861" ht="14" customHeight="1" spans="1:9">
      <c r="A861" s="20"/>
      <c r="B861" s="51"/>
      <c r="C861" s="57"/>
      <c r="D861" s="62"/>
      <c r="E861" s="53" t="e">
        <f>VLOOKUP($D861,成品本月库存!$B:$J,2,0)</f>
        <v>#N/A</v>
      </c>
      <c r="F861" s="54" t="e">
        <f>VLOOKUP($D861,成品本月库存!$B:$J,5,0)</f>
        <v>#N/A</v>
      </c>
      <c r="G861" s="55"/>
      <c r="H861" s="53" t="e">
        <f>VLOOKUP($D861,成品本月库存!$B:$J,9,0)</f>
        <v>#N/A</v>
      </c>
      <c r="I861" s="56"/>
    </row>
    <row r="862" ht="14" customHeight="1" spans="1:9">
      <c r="A862" s="20"/>
      <c r="B862" s="51"/>
      <c r="C862" s="57"/>
      <c r="D862" s="62"/>
      <c r="E862" s="53" t="e">
        <f>VLOOKUP($D862,成品本月库存!$B:$J,2,0)</f>
        <v>#N/A</v>
      </c>
      <c r="F862" s="54" t="e">
        <f>VLOOKUP($D862,成品本月库存!$B:$J,5,0)</f>
        <v>#N/A</v>
      </c>
      <c r="G862" s="55"/>
      <c r="H862" s="53" t="e">
        <f>VLOOKUP($D862,成品本月库存!$B:$J,9,0)</f>
        <v>#N/A</v>
      </c>
      <c r="I862" s="56"/>
    </row>
    <row r="863" ht="14" customHeight="1" spans="1:9">
      <c r="A863" s="20"/>
      <c r="B863" s="51"/>
      <c r="C863" s="57"/>
      <c r="D863" s="62"/>
      <c r="E863" s="53" t="e">
        <f>VLOOKUP($D863,成品本月库存!$B:$J,2,0)</f>
        <v>#N/A</v>
      </c>
      <c r="F863" s="54" t="e">
        <f>VLOOKUP($D863,成品本月库存!$B:$J,5,0)</f>
        <v>#N/A</v>
      </c>
      <c r="G863" s="55"/>
      <c r="H863" s="53" t="e">
        <f>VLOOKUP($D863,成品本月库存!$B:$J,9,0)</f>
        <v>#N/A</v>
      </c>
      <c r="I863" s="56"/>
    </row>
    <row r="864" ht="14" customHeight="1" spans="1:9">
      <c r="A864" s="20"/>
      <c r="B864" s="51"/>
      <c r="C864" s="57"/>
      <c r="D864" s="62"/>
      <c r="E864" s="53" t="e">
        <f>VLOOKUP($D864,成品本月库存!$B:$J,2,0)</f>
        <v>#N/A</v>
      </c>
      <c r="F864" s="54" t="e">
        <f>VLOOKUP($D864,成品本月库存!$B:$J,5,0)</f>
        <v>#N/A</v>
      </c>
      <c r="G864" s="55"/>
      <c r="H864" s="53" t="e">
        <f>VLOOKUP($D864,成品本月库存!$B:$J,9,0)</f>
        <v>#N/A</v>
      </c>
      <c r="I864" s="56"/>
    </row>
    <row r="865" ht="14" customHeight="1" spans="1:9">
      <c r="A865" s="20"/>
      <c r="B865" s="51"/>
      <c r="C865" s="57"/>
      <c r="D865" s="62"/>
      <c r="E865" s="53" t="e">
        <f>VLOOKUP($D865,成品本月库存!$B:$J,2,0)</f>
        <v>#N/A</v>
      </c>
      <c r="F865" s="54" t="e">
        <f>VLOOKUP($D865,成品本月库存!$B:$J,5,0)</f>
        <v>#N/A</v>
      </c>
      <c r="G865" s="55"/>
      <c r="H865" s="53" t="e">
        <f>VLOOKUP($D865,成品本月库存!$B:$J,9,0)</f>
        <v>#N/A</v>
      </c>
      <c r="I865" s="56"/>
    </row>
    <row r="866" ht="14" customHeight="1" spans="1:9">
      <c r="A866" s="20"/>
      <c r="B866" s="51"/>
      <c r="C866" s="57"/>
      <c r="D866" s="62"/>
      <c r="E866" s="53" t="e">
        <f>VLOOKUP($D866,成品本月库存!$B:$J,2,0)</f>
        <v>#N/A</v>
      </c>
      <c r="F866" s="54" t="e">
        <f>VLOOKUP($D866,成品本月库存!$B:$J,5,0)</f>
        <v>#N/A</v>
      </c>
      <c r="G866" s="55"/>
      <c r="H866" s="53" t="e">
        <f>VLOOKUP($D866,成品本月库存!$B:$J,9,0)</f>
        <v>#N/A</v>
      </c>
      <c r="I866" s="56"/>
    </row>
    <row r="867" ht="14" customHeight="1" spans="1:9">
      <c r="A867" s="20"/>
      <c r="B867" s="51"/>
      <c r="C867" s="57"/>
      <c r="D867" s="62"/>
      <c r="E867" s="53" t="e">
        <f>VLOOKUP($D867,成品本月库存!$B:$J,2,0)</f>
        <v>#N/A</v>
      </c>
      <c r="F867" s="54" t="e">
        <f>VLOOKUP($D867,成品本月库存!$B:$J,5,0)</f>
        <v>#N/A</v>
      </c>
      <c r="G867" s="55"/>
      <c r="H867" s="53" t="e">
        <f>VLOOKUP($D867,成品本月库存!$B:$J,9,0)</f>
        <v>#N/A</v>
      </c>
      <c r="I867" s="56"/>
    </row>
    <row r="868" ht="14" customHeight="1" spans="1:9">
      <c r="A868" s="20"/>
      <c r="B868" s="51"/>
      <c r="C868" s="57"/>
      <c r="D868" s="62"/>
      <c r="E868" s="53" t="e">
        <f>VLOOKUP($D868,成品本月库存!$B:$J,2,0)</f>
        <v>#N/A</v>
      </c>
      <c r="F868" s="54" t="e">
        <f>VLOOKUP($D868,成品本月库存!$B:$J,5,0)</f>
        <v>#N/A</v>
      </c>
      <c r="G868" s="55"/>
      <c r="H868" s="53" t="e">
        <f>VLOOKUP($D868,成品本月库存!$B:$J,9,0)</f>
        <v>#N/A</v>
      </c>
      <c r="I868" s="56"/>
    </row>
    <row r="869" ht="14" customHeight="1" spans="1:9">
      <c r="A869" s="20"/>
      <c r="B869" s="51"/>
      <c r="C869" s="57"/>
      <c r="D869" s="62"/>
      <c r="E869" s="53" t="e">
        <f>VLOOKUP($D869,成品本月库存!$B:$J,2,0)</f>
        <v>#N/A</v>
      </c>
      <c r="F869" s="54" t="e">
        <f>VLOOKUP($D869,成品本月库存!$B:$J,5,0)</f>
        <v>#N/A</v>
      </c>
      <c r="G869" s="55"/>
      <c r="H869" s="53" t="e">
        <f>VLOOKUP($D869,成品本月库存!$B:$J,9,0)</f>
        <v>#N/A</v>
      </c>
      <c r="I869" s="56"/>
    </row>
    <row r="870" ht="14" customHeight="1" spans="1:9">
      <c r="A870" s="20"/>
      <c r="B870" s="51"/>
      <c r="C870" s="57"/>
      <c r="D870" s="62"/>
      <c r="E870" s="53" t="e">
        <f>VLOOKUP($D870,成品本月库存!$B:$J,2,0)</f>
        <v>#N/A</v>
      </c>
      <c r="F870" s="54" t="e">
        <f>VLOOKUP($D870,成品本月库存!$B:$J,5,0)</f>
        <v>#N/A</v>
      </c>
      <c r="G870" s="55"/>
      <c r="H870" s="53" t="e">
        <f>VLOOKUP($D870,成品本月库存!$B:$J,9,0)</f>
        <v>#N/A</v>
      </c>
      <c r="I870" s="56"/>
    </row>
    <row r="871" ht="14" customHeight="1" spans="1:9">
      <c r="A871" s="20"/>
      <c r="B871" s="51"/>
      <c r="C871" s="57"/>
      <c r="D871" s="62"/>
      <c r="E871" s="53" t="e">
        <f>VLOOKUP($D871,成品本月库存!$B:$J,2,0)</f>
        <v>#N/A</v>
      </c>
      <c r="F871" s="54" t="e">
        <f>VLOOKUP($D871,成品本月库存!$B:$J,5,0)</f>
        <v>#N/A</v>
      </c>
      <c r="G871" s="55"/>
      <c r="H871" s="53" t="e">
        <f>VLOOKUP($D871,成品本月库存!$B:$J,9,0)</f>
        <v>#N/A</v>
      </c>
      <c r="I871" s="56"/>
    </row>
    <row r="872" ht="14" customHeight="1" spans="1:9">
      <c r="A872" s="20"/>
      <c r="B872" s="51"/>
      <c r="C872" s="57"/>
      <c r="D872" s="62"/>
      <c r="E872" s="53" t="e">
        <f>VLOOKUP($D872,成品本月库存!$B:$J,2,0)</f>
        <v>#N/A</v>
      </c>
      <c r="F872" s="54" t="e">
        <f>VLOOKUP($D872,成品本月库存!$B:$J,5,0)</f>
        <v>#N/A</v>
      </c>
      <c r="G872" s="55"/>
      <c r="H872" s="53" t="e">
        <f>VLOOKUP($D872,成品本月库存!$B:$J,9,0)</f>
        <v>#N/A</v>
      </c>
      <c r="I872" s="56"/>
    </row>
    <row r="873" ht="15.75" spans="1:9">
      <c r="A873" s="20"/>
      <c r="B873" s="51"/>
      <c r="C873" s="57"/>
      <c r="D873" s="62"/>
      <c r="E873" s="53" t="e">
        <f>VLOOKUP($D873,成品本月库存!$B:$J,2,0)</f>
        <v>#N/A</v>
      </c>
      <c r="F873" s="54" t="e">
        <f>VLOOKUP($D873,成品本月库存!$B:$J,5,0)</f>
        <v>#N/A</v>
      </c>
      <c r="G873" s="55"/>
      <c r="H873" s="53" t="e">
        <f>VLOOKUP($D873,成品本月库存!$B:$J,9,0)</f>
        <v>#N/A</v>
      </c>
      <c r="I873" s="56"/>
    </row>
    <row r="874" ht="15.75" spans="1:9">
      <c r="A874" s="20"/>
      <c r="B874" s="51"/>
      <c r="C874" s="57"/>
      <c r="D874" s="62"/>
      <c r="E874" s="53" t="e">
        <f>VLOOKUP($D874,成品本月库存!$B:$J,2,0)</f>
        <v>#N/A</v>
      </c>
      <c r="F874" s="54" t="e">
        <f>VLOOKUP($D874,成品本月库存!$B:$J,5,0)</f>
        <v>#N/A</v>
      </c>
      <c r="G874" s="55"/>
      <c r="H874" s="53" t="e">
        <f>VLOOKUP($D874,成品本月库存!$B:$J,9,0)</f>
        <v>#N/A</v>
      </c>
      <c r="I874" s="56"/>
    </row>
    <row r="875" ht="15.75" spans="1:9">
      <c r="A875" s="20"/>
      <c r="B875" s="51"/>
      <c r="C875" s="57"/>
      <c r="D875" s="62"/>
      <c r="E875" s="53" t="e">
        <f>VLOOKUP($D875,成品本月库存!$B:$J,2,0)</f>
        <v>#N/A</v>
      </c>
      <c r="F875" s="54" t="e">
        <f>VLOOKUP($D875,成品本月库存!$B:$J,5,0)</f>
        <v>#N/A</v>
      </c>
      <c r="G875" s="55"/>
      <c r="H875" s="53" t="e">
        <f>VLOOKUP($D875,成品本月库存!$B:$J,9,0)</f>
        <v>#N/A</v>
      </c>
      <c r="I875" s="56"/>
    </row>
    <row r="876" ht="15.75" spans="1:9">
      <c r="A876" s="20"/>
      <c r="B876" s="51"/>
      <c r="C876" s="57"/>
      <c r="D876" s="62"/>
      <c r="E876" s="53" t="e">
        <f>VLOOKUP($D876,成品本月库存!$B:$J,2,0)</f>
        <v>#N/A</v>
      </c>
      <c r="F876" s="54" t="e">
        <f>VLOOKUP($D876,成品本月库存!$B:$J,5,0)</f>
        <v>#N/A</v>
      </c>
      <c r="G876" s="55"/>
      <c r="H876" s="53" t="e">
        <f>VLOOKUP($D876,成品本月库存!$B:$J,9,0)</f>
        <v>#N/A</v>
      </c>
      <c r="I876" s="56"/>
    </row>
    <row r="877" ht="15.75" spans="1:9">
      <c r="A877" s="20"/>
      <c r="B877" s="51"/>
      <c r="C877" s="57"/>
      <c r="D877" s="62"/>
      <c r="E877" s="53" t="e">
        <f>VLOOKUP($D877,成品本月库存!$B:$J,2,0)</f>
        <v>#N/A</v>
      </c>
      <c r="F877" s="54" t="e">
        <f>VLOOKUP($D877,成品本月库存!$B:$J,5,0)</f>
        <v>#N/A</v>
      </c>
      <c r="G877" s="55"/>
      <c r="H877" s="53" t="e">
        <f>VLOOKUP($D877,成品本月库存!$B:$J,9,0)</f>
        <v>#N/A</v>
      </c>
      <c r="I877" s="56"/>
    </row>
    <row r="878" ht="15.75" spans="1:9">
      <c r="A878" s="20"/>
      <c r="B878" s="51"/>
      <c r="C878" s="57"/>
      <c r="D878" s="62"/>
      <c r="E878" s="53" t="e">
        <f>VLOOKUP($D878,成品本月库存!$B:$J,2,0)</f>
        <v>#N/A</v>
      </c>
      <c r="F878" s="54" t="e">
        <f>VLOOKUP($D878,成品本月库存!$B:$J,5,0)</f>
        <v>#N/A</v>
      </c>
      <c r="G878" s="55"/>
      <c r="H878" s="53" t="e">
        <f>VLOOKUP($D878,成品本月库存!$B:$J,9,0)</f>
        <v>#N/A</v>
      </c>
      <c r="I878" s="56"/>
    </row>
    <row r="879" ht="15.75" spans="1:9">
      <c r="A879" s="20"/>
      <c r="B879" s="51"/>
      <c r="C879" s="57"/>
      <c r="D879" s="62"/>
      <c r="E879" s="53" t="e">
        <f>VLOOKUP($D879,成品本月库存!$B:$J,2,0)</f>
        <v>#N/A</v>
      </c>
      <c r="F879" s="54" t="e">
        <f>VLOOKUP($D879,成品本月库存!$B:$J,5,0)</f>
        <v>#N/A</v>
      </c>
      <c r="G879" s="55"/>
      <c r="H879" s="53" t="e">
        <f>VLOOKUP($D879,成品本月库存!$B:$J,9,0)</f>
        <v>#N/A</v>
      </c>
      <c r="I879" s="56"/>
    </row>
    <row r="880" ht="15.75" spans="1:9">
      <c r="A880" s="20"/>
      <c r="B880" s="51"/>
      <c r="C880" s="57"/>
      <c r="D880" s="62"/>
      <c r="E880" s="53" t="e">
        <f>VLOOKUP($D880,成品本月库存!$B:$J,2,0)</f>
        <v>#N/A</v>
      </c>
      <c r="F880" s="54" t="e">
        <f>VLOOKUP($D880,成品本月库存!$B:$J,5,0)</f>
        <v>#N/A</v>
      </c>
      <c r="G880" s="55"/>
      <c r="H880" s="53" t="e">
        <f>VLOOKUP($D880,成品本月库存!$B:$J,9,0)</f>
        <v>#N/A</v>
      </c>
      <c r="I880" s="56"/>
    </row>
    <row r="881" ht="15.75" spans="1:9">
      <c r="A881" s="20"/>
      <c r="B881" s="51"/>
      <c r="C881" s="57"/>
      <c r="D881" s="62"/>
      <c r="E881" s="53" t="e">
        <f>VLOOKUP($D881,成品本月库存!$B:$J,2,0)</f>
        <v>#N/A</v>
      </c>
      <c r="F881" s="54" t="e">
        <f>VLOOKUP($D881,成品本月库存!$B:$J,5,0)</f>
        <v>#N/A</v>
      </c>
      <c r="G881" s="55"/>
      <c r="H881" s="53" t="e">
        <f>VLOOKUP($D881,成品本月库存!$B:$J,9,0)</f>
        <v>#N/A</v>
      </c>
      <c r="I881" s="56"/>
    </row>
    <row r="882" ht="15.75" spans="1:9">
      <c r="A882" s="20"/>
      <c r="B882" s="51"/>
      <c r="C882" s="57"/>
      <c r="D882" s="62"/>
      <c r="E882" s="53" t="e">
        <f>VLOOKUP($D882,成品本月库存!$B:$J,2,0)</f>
        <v>#N/A</v>
      </c>
      <c r="F882" s="54" t="e">
        <f>VLOOKUP($D882,成品本月库存!$B:$J,5,0)</f>
        <v>#N/A</v>
      </c>
      <c r="G882" s="55"/>
      <c r="H882" s="53" t="e">
        <f>VLOOKUP($D882,成品本月库存!$B:$J,9,0)</f>
        <v>#N/A</v>
      </c>
      <c r="I882" s="56"/>
    </row>
    <row r="883" ht="15.75" spans="1:9">
      <c r="A883" s="20"/>
      <c r="B883" s="51"/>
      <c r="C883" s="57"/>
      <c r="D883" s="62"/>
      <c r="E883" s="53" t="e">
        <f>VLOOKUP($D883,成品本月库存!$B:$J,2,0)</f>
        <v>#N/A</v>
      </c>
      <c r="F883" s="54" t="e">
        <f>VLOOKUP($D883,成品本月库存!$B:$J,5,0)</f>
        <v>#N/A</v>
      </c>
      <c r="G883" s="55"/>
      <c r="H883" s="53" t="e">
        <f>VLOOKUP($D883,成品本月库存!$B:$J,9,0)</f>
        <v>#N/A</v>
      </c>
      <c r="I883" s="56"/>
    </row>
    <row r="884" ht="15.75" spans="1:9">
      <c r="A884" s="20"/>
      <c r="B884" s="51"/>
      <c r="C884" s="57"/>
      <c r="D884" s="62"/>
      <c r="E884" s="53" t="e">
        <f>VLOOKUP($D884,成品本月库存!$B:$J,2,0)</f>
        <v>#N/A</v>
      </c>
      <c r="F884" s="54" t="e">
        <f>VLOOKUP($D884,成品本月库存!$B:$J,5,0)</f>
        <v>#N/A</v>
      </c>
      <c r="G884" s="55"/>
      <c r="H884" s="53" t="e">
        <f>VLOOKUP($D884,成品本月库存!$B:$J,9,0)</f>
        <v>#N/A</v>
      </c>
      <c r="I884" s="56"/>
    </row>
    <row r="885" ht="15.75" spans="1:9">
      <c r="A885" s="20"/>
      <c r="B885" s="51"/>
      <c r="C885" s="57"/>
      <c r="D885" s="62"/>
      <c r="E885" s="53" t="e">
        <f>VLOOKUP($D885,成品本月库存!$B:$J,2,0)</f>
        <v>#N/A</v>
      </c>
      <c r="F885" s="54" t="e">
        <f>VLOOKUP($D885,成品本月库存!$B:$J,5,0)</f>
        <v>#N/A</v>
      </c>
      <c r="G885" s="55"/>
      <c r="H885" s="53" t="e">
        <f>VLOOKUP($D885,成品本月库存!$B:$J,9,0)</f>
        <v>#N/A</v>
      </c>
      <c r="I885" s="56"/>
    </row>
    <row r="886" ht="15.75" spans="1:9">
      <c r="A886" s="20"/>
      <c r="B886" s="51"/>
      <c r="C886" s="57"/>
      <c r="D886" s="62"/>
      <c r="E886" s="53" t="e">
        <f>VLOOKUP($D886,成品本月库存!$B:$J,2,0)</f>
        <v>#N/A</v>
      </c>
      <c r="F886" s="54" t="e">
        <f>VLOOKUP($D886,成品本月库存!$B:$J,5,0)</f>
        <v>#N/A</v>
      </c>
      <c r="G886" s="55"/>
      <c r="H886" s="53" t="e">
        <f>VLOOKUP($D886,成品本月库存!$B:$J,9,0)</f>
        <v>#N/A</v>
      </c>
      <c r="I886" s="56"/>
    </row>
    <row r="887" ht="15.75" spans="1:9">
      <c r="A887" s="20"/>
      <c r="B887" s="51"/>
      <c r="C887" s="57"/>
      <c r="D887" s="62"/>
      <c r="E887" s="53" t="e">
        <f>VLOOKUP($D887,成品本月库存!$B:$J,2,0)</f>
        <v>#N/A</v>
      </c>
      <c r="F887" s="54" t="e">
        <f>VLOOKUP($D887,成品本月库存!$B:$J,5,0)</f>
        <v>#N/A</v>
      </c>
      <c r="G887" s="55"/>
      <c r="H887" s="53" t="e">
        <f>VLOOKUP($D887,成品本月库存!$B:$J,9,0)</f>
        <v>#N/A</v>
      </c>
      <c r="I887" s="56"/>
    </row>
    <row r="888" ht="15.75" spans="1:9">
      <c r="A888" s="20"/>
      <c r="B888" s="51"/>
      <c r="C888" s="57"/>
      <c r="D888" s="62"/>
      <c r="E888" s="53" t="e">
        <f>VLOOKUP($D888,成品本月库存!$B:$J,2,0)</f>
        <v>#N/A</v>
      </c>
      <c r="F888" s="54" t="e">
        <f>VLOOKUP($D888,成品本月库存!$B:$J,5,0)</f>
        <v>#N/A</v>
      </c>
      <c r="G888" s="55"/>
      <c r="H888" s="53" t="e">
        <f>VLOOKUP($D888,成品本月库存!$B:$J,9,0)</f>
        <v>#N/A</v>
      </c>
      <c r="I888" s="56"/>
    </row>
    <row r="889" ht="15.75" spans="1:9">
      <c r="A889" s="20"/>
      <c r="B889" s="51"/>
      <c r="C889" s="57"/>
      <c r="D889" s="62"/>
      <c r="E889" s="53" t="e">
        <f>VLOOKUP($D889,成品本月库存!$B:$J,2,0)</f>
        <v>#N/A</v>
      </c>
      <c r="F889" s="54" t="e">
        <f>VLOOKUP($D889,成品本月库存!$B:$J,5,0)</f>
        <v>#N/A</v>
      </c>
      <c r="G889" s="55"/>
      <c r="H889" s="53" t="e">
        <f>VLOOKUP($D889,成品本月库存!$B:$J,9,0)</f>
        <v>#N/A</v>
      </c>
      <c r="I889" s="56"/>
    </row>
    <row r="890" ht="15.75" spans="1:9">
      <c r="A890" s="20"/>
      <c r="B890" s="51"/>
      <c r="C890" s="57"/>
      <c r="D890" s="62"/>
      <c r="E890" s="53" t="e">
        <f>VLOOKUP($D890,成品本月库存!$B:$J,2,0)</f>
        <v>#N/A</v>
      </c>
      <c r="F890" s="54" t="e">
        <f>VLOOKUP($D890,成品本月库存!$B:$J,5,0)</f>
        <v>#N/A</v>
      </c>
      <c r="G890" s="55"/>
      <c r="H890" s="53" t="e">
        <f>VLOOKUP($D890,成品本月库存!$B:$J,9,0)</f>
        <v>#N/A</v>
      </c>
      <c r="I890" s="56"/>
    </row>
    <row r="891" ht="15.75" spans="1:9">
      <c r="A891" s="20"/>
      <c r="B891" s="51"/>
      <c r="C891" s="57"/>
      <c r="D891" s="62"/>
      <c r="E891" s="53" t="e">
        <f>VLOOKUP($D891,成品本月库存!$B:$J,2,0)</f>
        <v>#N/A</v>
      </c>
      <c r="F891" s="54" t="e">
        <f>VLOOKUP($D891,成品本月库存!$B:$J,5,0)</f>
        <v>#N/A</v>
      </c>
      <c r="G891" s="55"/>
      <c r="H891" s="53" t="e">
        <f>VLOOKUP($D891,成品本月库存!$B:$J,9,0)</f>
        <v>#N/A</v>
      </c>
      <c r="I891" s="56"/>
    </row>
    <row r="892" ht="15.75" spans="1:9">
      <c r="A892" s="20"/>
      <c r="B892" s="51"/>
      <c r="C892" s="57"/>
      <c r="D892" s="62"/>
      <c r="E892" s="53" t="e">
        <f>VLOOKUP($D892,成品本月库存!$B:$J,2,0)</f>
        <v>#N/A</v>
      </c>
      <c r="F892" s="54" t="e">
        <f>VLOOKUP($D892,成品本月库存!$B:$J,5,0)</f>
        <v>#N/A</v>
      </c>
      <c r="G892" s="55"/>
      <c r="H892" s="53" t="e">
        <f>VLOOKUP($D892,成品本月库存!$B:$J,9,0)</f>
        <v>#N/A</v>
      </c>
      <c r="I892" s="56"/>
    </row>
    <row r="893" ht="15.75" spans="1:9">
      <c r="A893" s="20"/>
      <c r="B893" s="51"/>
      <c r="C893" s="57"/>
      <c r="D893" s="62"/>
      <c r="E893" s="53" t="e">
        <f>VLOOKUP($D893,成品本月库存!$B:$J,2,0)</f>
        <v>#N/A</v>
      </c>
      <c r="F893" s="54" t="e">
        <f>VLOOKUP($D893,成品本月库存!$B:$J,5,0)</f>
        <v>#N/A</v>
      </c>
      <c r="G893" s="55"/>
      <c r="H893" s="53" t="e">
        <f>VLOOKUP($D893,成品本月库存!$B:$J,9,0)</f>
        <v>#N/A</v>
      </c>
      <c r="I893" s="56"/>
    </row>
    <row r="894" ht="15.75" spans="1:9">
      <c r="A894" s="20"/>
      <c r="B894" s="51"/>
      <c r="C894" s="57"/>
      <c r="D894" s="62"/>
      <c r="E894" s="53" t="e">
        <f>VLOOKUP($D894,成品本月库存!$B:$J,2,0)</f>
        <v>#N/A</v>
      </c>
      <c r="F894" s="54" t="e">
        <f>VLOOKUP($D894,成品本月库存!$B:$J,5,0)</f>
        <v>#N/A</v>
      </c>
      <c r="G894" s="55"/>
      <c r="H894" s="53" t="e">
        <f>VLOOKUP($D894,成品本月库存!$B:$J,9,0)</f>
        <v>#N/A</v>
      </c>
      <c r="I894" s="56"/>
    </row>
    <row r="895" ht="15.75" spans="1:9">
      <c r="A895" s="20"/>
      <c r="B895" s="51"/>
      <c r="C895" s="57"/>
      <c r="D895" s="62"/>
      <c r="E895" s="53" t="e">
        <f>VLOOKUP($D895,成品本月库存!$B:$J,2,0)</f>
        <v>#N/A</v>
      </c>
      <c r="F895" s="54" t="e">
        <f>VLOOKUP($D895,成品本月库存!$B:$J,5,0)</f>
        <v>#N/A</v>
      </c>
      <c r="G895" s="55"/>
      <c r="H895" s="53" t="e">
        <f>VLOOKUP($D895,成品本月库存!$B:$J,9,0)</f>
        <v>#N/A</v>
      </c>
      <c r="I895" s="56"/>
    </row>
    <row r="896" ht="15.75" spans="1:9">
      <c r="A896" s="20"/>
      <c r="B896" s="51"/>
      <c r="C896" s="57"/>
      <c r="D896" s="62"/>
      <c r="E896" s="53" t="e">
        <f>VLOOKUP($D896,成品本月库存!$B:$J,2,0)</f>
        <v>#N/A</v>
      </c>
      <c r="F896" s="54" t="e">
        <f>VLOOKUP($D896,成品本月库存!$B:$J,5,0)</f>
        <v>#N/A</v>
      </c>
      <c r="G896" s="55"/>
      <c r="H896" s="53" t="e">
        <f>VLOOKUP($D896,成品本月库存!$B:$J,9,0)</f>
        <v>#N/A</v>
      </c>
      <c r="I896" s="56"/>
    </row>
    <row r="897" ht="15.75" spans="1:9">
      <c r="A897" s="20"/>
      <c r="B897" s="51"/>
      <c r="C897" s="57"/>
      <c r="D897" s="62"/>
      <c r="E897" s="53" t="e">
        <f>VLOOKUP($D897,成品本月库存!$B:$J,2,0)</f>
        <v>#N/A</v>
      </c>
      <c r="F897" s="54" t="e">
        <f>VLOOKUP($D897,成品本月库存!$B:$J,5,0)</f>
        <v>#N/A</v>
      </c>
      <c r="G897" s="55"/>
      <c r="H897" s="53" t="e">
        <f>VLOOKUP($D897,成品本月库存!$B:$J,9,0)</f>
        <v>#N/A</v>
      </c>
      <c r="I897" s="56"/>
    </row>
    <row r="898" ht="15.75" spans="1:9">
      <c r="A898" s="20"/>
      <c r="B898" s="51"/>
      <c r="C898" s="57"/>
      <c r="D898" s="62"/>
      <c r="E898" s="53" t="e">
        <f>VLOOKUP($D898,成品本月库存!$B:$J,2,0)</f>
        <v>#N/A</v>
      </c>
      <c r="F898" s="54" t="e">
        <f>VLOOKUP($D898,成品本月库存!$B:$J,5,0)</f>
        <v>#N/A</v>
      </c>
      <c r="G898" s="55"/>
      <c r="H898" s="53" t="e">
        <f>VLOOKUP($D898,成品本月库存!$B:$J,9,0)</f>
        <v>#N/A</v>
      </c>
      <c r="I898" s="56"/>
    </row>
    <row r="899" ht="15.75" spans="1:9">
      <c r="A899" s="20"/>
      <c r="B899" s="51"/>
      <c r="C899" s="57"/>
      <c r="D899" s="62"/>
      <c r="E899" s="53" t="e">
        <f>VLOOKUP($D899,成品本月库存!$B:$J,2,0)</f>
        <v>#N/A</v>
      </c>
      <c r="F899" s="54" t="e">
        <f>VLOOKUP($D899,成品本月库存!$B:$J,5,0)</f>
        <v>#N/A</v>
      </c>
      <c r="G899" s="55"/>
      <c r="H899" s="53" t="e">
        <f>VLOOKUP($D899,成品本月库存!$B:$J,9,0)</f>
        <v>#N/A</v>
      </c>
      <c r="I899" s="56"/>
    </row>
    <row r="900" ht="15.75" spans="1:9">
      <c r="A900" s="20"/>
      <c r="B900" s="51"/>
      <c r="C900" s="57"/>
      <c r="D900" s="62"/>
      <c r="E900" s="53" t="e">
        <f>VLOOKUP($D900,成品本月库存!$B:$J,2,0)</f>
        <v>#N/A</v>
      </c>
      <c r="F900" s="54" t="e">
        <f>VLOOKUP($D900,成品本月库存!$B:$J,5,0)</f>
        <v>#N/A</v>
      </c>
      <c r="G900" s="55"/>
      <c r="H900" s="53" t="e">
        <f>VLOOKUP($D900,成品本月库存!$B:$J,9,0)</f>
        <v>#N/A</v>
      </c>
      <c r="I900" s="56"/>
    </row>
    <row r="901" ht="15.75" spans="1:9">
      <c r="A901" s="20"/>
      <c r="B901" s="51"/>
      <c r="C901" s="57"/>
      <c r="D901" s="62"/>
      <c r="E901" s="53" t="e">
        <f>VLOOKUP($D901,成品本月库存!$B:$J,2,0)</f>
        <v>#N/A</v>
      </c>
      <c r="F901" s="54" t="e">
        <f>VLOOKUP($D901,成品本月库存!$B:$J,5,0)</f>
        <v>#N/A</v>
      </c>
      <c r="G901" s="55"/>
      <c r="H901" s="53" t="e">
        <f>VLOOKUP($D901,成品本月库存!$B:$J,9,0)</f>
        <v>#N/A</v>
      </c>
      <c r="I901" s="56"/>
    </row>
    <row r="902" ht="15.75" spans="1:9">
      <c r="A902" s="20"/>
      <c r="B902" s="51"/>
      <c r="C902" s="57"/>
      <c r="D902" s="62"/>
      <c r="E902" s="53" t="e">
        <f>VLOOKUP($D902,成品本月库存!$B:$J,2,0)</f>
        <v>#N/A</v>
      </c>
      <c r="F902" s="54" t="e">
        <f>VLOOKUP($D902,成品本月库存!$B:$J,5,0)</f>
        <v>#N/A</v>
      </c>
      <c r="G902" s="55"/>
      <c r="H902" s="53" t="e">
        <f>VLOOKUP($D902,成品本月库存!$B:$J,9,0)</f>
        <v>#N/A</v>
      </c>
      <c r="I902" s="56"/>
    </row>
    <row r="903" ht="15.75" spans="1:9">
      <c r="A903" s="20"/>
      <c r="B903" s="51"/>
      <c r="C903" s="57"/>
      <c r="D903" s="62"/>
      <c r="E903" s="53" t="e">
        <f>VLOOKUP($D903,成品本月库存!$B:$J,2,0)</f>
        <v>#N/A</v>
      </c>
      <c r="F903" s="54" t="e">
        <f>VLOOKUP($D903,成品本月库存!$B:$J,5,0)</f>
        <v>#N/A</v>
      </c>
      <c r="G903" s="55"/>
      <c r="H903" s="53" t="e">
        <f>VLOOKUP($D903,成品本月库存!$B:$J,9,0)</f>
        <v>#N/A</v>
      </c>
      <c r="I903" s="56"/>
    </row>
    <row r="904" ht="15.75" spans="1:9">
      <c r="A904" s="20"/>
      <c r="B904" s="51"/>
      <c r="C904" s="57"/>
      <c r="D904" s="62"/>
      <c r="E904" s="53" t="e">
        <f>VLOOKUP($D904,成品本月库存!$B:$J,2,0)</f>
        <v>#N/A</v>
      </c>
      <c r="F904" s="54" t="e">
        <f>VLOOKUP($D904,成品本月库存!$B:$J,5,0)</f>
        <v>#N/A</v>
      </c>
      <c r="G904" s="55"/>
      <c r="H904" s="53" t="e">
        <f>VLOOKUP($D904,成品本月库存!$B:$J,9,0)</f>
        <v>#N/A</v>
      </c>
      <c r="I904" s="56"/>
    </row>
    <row r="905" ht="15.75" spans="1:9">
      <c r="A905" s="20"/>
      <c r="B905" s="51"/>
      <c r="C905" s="57"/>
      <c r="D905" s="62"/>
      <c r="E905" s="53" t="e">
        <f>VLOOKUP($D905,成品本月库存!$B:$J,2,0)</f>
        <v>#N/A</v>
      </c>
      <c r="F905" s="54" t="e">
        <f>VLOOKUP($D905,成品本月库存!$B:$J,5,0)</f>
        <v>#N/A</v>
      </c>
      <c r="G905" s="55"/>
      <c r="H905" s="53" t="e">
        <f>VLOOKUP($D905,成品本月库存!$B:$J,9,0)</f>
        <v>#N/A</v>
      </c>
      <c r="I905" s="56"/>
    </row>
    <row r="906" ht="15.75" spans="1:9">
      <c r="A906" s="20"/>
      <c r="B906" s="51"/>
      <c r="C906" s="57"/>
      <c r="D906" s="62"/>
      <c r="E906" s="53" t="e">
        <f>VLOOKUP($D906,成品本月库存!$B:$J,2,0)</f>
        <v>#N/A</v>
      </c>
      <c r="F906" s="54" t="e">
        <f>VLOOKUP($D906,成品本月库存!$B:$J,5,0)</f>
        <v>#N/A</v>
      </c>
      <c r="G906" s="55"/>
      <c r="H906" s="53" t="e">
        <f>VLOOKUP($D906,成品本月库存!$B:$J,9,0)</f>
        <v>#N/A</v>
      </c>
      <c r="I906" s="56"/>
    </row>
    <row r="907" ht="15.75" spans="1:9">
      <c r="A907" s="20"/>
      <c r="B907" s="51"/>
      <c r="C907" s="57"/>
      <c r="D907" s="62"/>
      <c r="E907" s="53" t="e">
        <f>VLOOKUP($D907,成品本月库存!$B:$J,2,0)</f>
        <v>#N/A</v>
      </c>
      <c r="F907" s="54" t="e">
        <f>VLOOKUP($D907,成品本月库存!$B:$J,5,0)</f>
        <v>#N/A</v>
      </c>
      <c r="G907" s="55"/>
      <c r="H907" s="53" t="e">
        <f>VLOOKUP($D907,成品本月库存!$B:$J,9,0)</f>
        <v>#N/A</v>
      </c>
      <c r="I907" s="56"/>
    </row>
    <row r="908" ht="15.75" spans="1:9">
      <c r="A908" s="20"/>
      <c r="B908" s="51"/>
      <c r="C908" s="57"/>
      <c r="D908" s="62"/>
      <c r="E908" s="53" t="e">
        <f>VLOOKUP($D908,成品本月库存!$B:$J,2,0)</f>
        <v>#N/A</v>
      </c>
      <c r="F908" s="54" t="e">
        <f>VLOOKUP($D908,成品本月库存!$B:$J,5,0)</f>
        <v>#N/A</v>
      </c>
      <c r="G908" s="55"/>
      <c r="H908" s="53" t="e">
        <f>VLOOKUP($D908,成品本月库存!$B:$J,9,0)</f>
        <v>#N/A</v>
      </c>
      <c r="I908" s="56"/>
    </row>
    <row r="909" ht="15.75" spans="1:9">
      <c r="A909" s="20"/>
      <c r="B909" s="51"/>
      <c r="C909" s="57"/>
      <c r="D909" s="62"/>
      <c r="E909" s="53" t="e">
        <f>VLOOKUP($D909,成品本月库存!$B:$J,2,0)</f>
        <v>#N/A</v>
      </c>
      <c r="F909" s="54" t="e">
        <f>VLOOKUP($D909,成品本月库存!$B:$J,5,0)</f>
        <v>#N/A</v>
      </c>
      <c r="G909" s="55"/>
      <c r="H909" s="53" t="e">
        <f>VLOOKUP($D909,成品本月库存!$B:$J,9,0)</f>
        <v>#N/A</v>
      </c>
      <c r="I909" s="56"/>
    </row>
    <row r="910" ht="15.75" spans="1:9">
      <c r="A910" s="20"/>
      <c r="B910" s="51"/>
      <c r="C910" s="57"/>
      <c r="D910" s="62"/>
      <c r="E910" s="53" t="e">
        <f>VLOOKUP($D910,成品本月库存!$B:$J,2,0)</f>
        <v>#N/A</v>
      </c>
      <c r="F910" s="54" t="e">
        <f>VLOOKUP($D910,成品本月库存!$B:$J,5,0)</f>
        <v>#N/A</v>
      </c>
      <c r="G910" s="55"/>
      <c r="H910" s="53" t="e">
        <f>VLOOKUP($D910,成品本月库存!$B:$J,9,0)</f>
        <v>#N/A</v>
      </c>
      <c r="I910" s="56"/>
    </row>
    <row r="911" ht="15.75" spans="1:9">
      <c r="A911" s="20"/>
      <c r="B911" s="51"/>
      <c r="C911" s="57"/>
      <c r="D911" s="62"/>
      <c r="E911" s="53" t="e">
        <f>VLOOKUP($D911,成品本月库存!$B:$J,2,0)</f>
        <v>#N/A</v>
      </c>
      <c r="F911" s="54" t="e">
        <f>VLOOKUP($D911,成品本月库存!$B:$J,5,0)</f>
        <v>#N/A</v>
      </c>
      <c r="G911" s="55"/>
      <c r="H911" s="53" t="e">
        <f>VLOOKUP($D911,成品本月库存!$B:$J,9,0)</f>
        <v>#N/A</v>
      </c>
      <c r="I911" s="56"/>
    </row>
    <row r="912" ht="15.75" spans="1:9">
      <c r="A912" s="20"/>
      <c r="B912" s="51"/>
      <c r="C912" s="57"/>
      <c r="D912" s="62"/>
      <c r="E912" s="53" t="e">
        <f>VLOOKUP($D912,成品本月库存!$B:$J,2,0)</f>
        <v>#N/A</v>
      </c>
      <c r="F912" s="54" t="e">
        <f>VLOOKUP($D912,成品本月库存!$B:$J,5,0)</f>
        <v>#N/A</v>
      </c>
      <c r="G912" s="55"/>
      <c r="H912" s="53" t="e">
        <f>VLOOKUP($D912,成品本月库存!$B:$J,9,0)</f>
        <v>#N/A</v>
      </c>
      <c r="I912" s="56"/>
    </row>
    <row r="913" ht="15.75" spans="1:9">
      <c r="A913" s="20"/>
      <c r="B913" s="51"/>
      <c r="C913" s="57"/>
      <c r="D913" s="62"/>
      <c r="E913" s="53" t="e">
        <f>VLOOKUP($D913,成品本月库存!$B:$J,2,0)</f>
        <v>#N/A</v>
      </c>
      <c r="F913" s="54" t="e">
        <f>VLOOKUP($D913,成品本月库存!$B:$J,5,0)</f>
        <v>#N/A</v>
      </c>
      <c r="G913" s="55"/>
      <c r="H913" s="53" t="e">
        <f>VLOOKUP($D913,成品本月库存!$B:$J,9,0)</f>
        <v>#N/A</v>
      </c>
      <c r="I913" s="56"/>
    </row>
    <row r="914" ht="15.75" spans="1:9">
      <c r="A914" s="20"/>
      <c r="B914" s="51"/>
      <c r="C914" s="57"/>
      <c r="D914" s="62"/>
      <c r="E914" s="53" t="e">
        <f>VLOOKUP($D914,成品本月库存!$B:$J,2,0)</f>
        <v>#N/A</v>
      </c>
      <c r="F914" s="54" t="e">
        <f>VLOOKUP($D914,成品本月库存!$B:$J,5,0)</f>
        <v>#N/A</v>
      </c>
      <c r="G914" s="55"/>
      <c r="H914" s="53" t="e">
        <f>VLOOKUP($D914,成品本月库存!$B:$J,9,0)</f>
        <v>#N/A</v>
      </c>
      <c r="I914" s="56"/>
    </row>
    <row r="915" ht="15.75" spans="1:9">
      <c r="A915" s="20"/>
      <c r="B915" s="51"/>
      <c r="C915" s="57"/>
      <c r="D915" s="62"/>
      <c r="E915" s="53" t="e">
        <f>VLOOKUP($D915,成品本月库存!$B:$J,2,0)</f>
        <v>#N/A</v>
      </c>
      <c r="F915" s="54" t="e">
        <f>VLOOKUP($D915,成品本月库存!$B:$J,5,0)</f>
        <v>#N/A</v>
      </c>
      <c r="G915" s="55"/>
      <c r="H915" s="53" t="e">
        <f>VLOOKUP($D915,成品本月库存!$B:$J,9,0)</f>
        <v>#N/A</v>
      </c>
      <c r="I915" s="56"/>
    </row>
    <row r="916" ht="15.75" spans="1:9">
      <c r="A916" s="20"/>
      <c r="B916" s="51"/>
      <c r="C916" s="57"/>
      <c r="D916" s="62"/>
      <c r="E916" s="53" t="e">
        <f>VLOOKUP($D916,成品本月库存!$B:$J,2,0)</f>
        <v>#N/A</v>
      </c>
      <c r="F916" s="54" t="e">
        <f>VLOOKUP($D916,成品本月库存!$B:$J,5,0)</f>
        <v>#N/A</v>
      </c>
      <c r="G916" s="55"/>
      <c r="H916" s="53" t="e">
        <f>VLOOKUP($D916,成品本月库存!$B:$J,9,0)</f>
        <v>#N/A</v>
      </c>
      <c r="I916" s="56"/>
    </row>
    <row r="917" ht="15.75" spans="1:9">
      <c r="A917" s="20"/>
      <c r="B917" s="51"/>
      <c r="C917" s="57"/>
      <c r="D917" s="62"/>
      <c r="E917" s="53" t="e">
        <f>VLOOKUP($D917,成品本月库存!$B:$J,2,0)</f>
        <v>#N/A</v>
      </c>
      <c r="F917" s="54" t="e">
        <f>VLOOKUP($D917,成品本月库存!$B:$J,5,0)</f>
        <v>#N/A</v>
      </c>
      <c r="G917" s="55"/>
      <c r="H917" s="53" t="e">
        <f>VLOOKUP($D917,成品本月库存!$B:$J,9,0)</f>
        <v>#N/A</v>
      </c>
      <c r="I917" s="56"/>
    </row>
    <row r="918" ht="15.75" spans="1:9">
      <c r="A918" s="20"/>
      <c r="B918" s="51"/>
      <c r="C918" s="57"/>
      <c r="D918" s="62"/>
      <c r="E918" s="53" t="e">
        <f>VLOOKUP($D918,成品本月库存!$B:$J,2,0)</f>
        <v>#N/A</v>
      </c>
      <c r="F918" s="54" t="e">
        <f>VLOOKUP($D918,成品本月库存!$B:$J,5,0)</f>
        <v>#N/A</v>
      </c>
      <c r="G918" s="55"/>
      <c r="H918" s="53" t="e">
        <f>VLOOKUP($D918,成品本月库存!$B:$J,9,0)</f>
        <v>#N/A</v>
      </c>
      <c r="I918" s="56"/>
    </row>
    <row r="919" ht="15.75" spans="1:9">
      <c r="A919" s="20"/>
      <c r="B919" s="51"/>
      <c r="C919" s="57"/>
      <c r="D919" s="62"/>
      <c r="E919" s="53" t="e">
        <f>VLOOKUP($D919,成品本月库存!$B:$J,2,0)</f>
        <v>#N/A</v>
      </c>
      <c r="F919" s="54" t="e">
        <f>VLOOKUP($D919,成品本月库存!$B:$J,5,0)</f>
        <v>#N/A</v>
      </c>
      <c r="G919" s="55"/>
      <c r="H919" s="53" t="e">
        <f>VLOOKUP($D919,成品本月库存!$B:$J,9,0)</f>
        <v>#N/A</v>
      </c>
      <c r="I919" s="56"/>
    </row>
    <row r="920" ht="15.75" spans="1:9">
      <c r="A920" s="20"/>
      <c r="B920" s="51"/>
      <c r="C920" s="57"/>
      <c r="D920" s="62"/>
      <c r="E920" s="53" t="e">
        <f>VLOOKUP($D920,成品本月库存!$B:$J,2,0)</f>
        <v>#N/A</v>
      </c>
      <c r="F920" s="54" t="e">
        <f>VLOOKUP($D920,成品本月库存!$B:$J,5,0)</f>
        <v>#N/A</v>
      </c>
      <c r="G920" s="55"/>
      <c r="H920" s="53" t="e">
        <f>VLOOKUP($D920,成品本月库存!$B:$J,9,0)</f>
        <v>#N/A</v>
      </c>
      <c r="I920" s="56"/>
    </row>
    <row r="921" ht="15.75" spans="1:9">
      <c r="A921" s="20"/>
      <c r="B921" s="51"/>
      <c r="C921" s="57"/>
      <c r="D921" s="62"/>
      <c r="E921" s="53" t="e">
        <f>VLOOKUP($D921,成品本月库存!$B:$J,2,0)</f>
        <v>#N/A</v>
      </c>
      <c r="F921" s="54" t="e">
        <f>VLOOKUP($D921,成品本月库存!$B:$J,5,0)</f>
        <v>#N/A</v>
      </c>
      <c r="G921" s="55"/>
      <c r="H921" s="53" t="e">
        <f>VLOOKUP($D921,成品本月库存!$B:$J,9,0)</f>
        <v>#N/A</v>
      </c>
      <c r="I921" s="56"/>
    </row>
    <row r="922" ht="15.75" spans="1:9">
      <c r="A922" s="20"/>
      <c r="B922" s="51"/>
      <c r="C922" s="57"/>
      <c r="D922" s="62"/>
      <c r="E922" s="53" t="e">
        <f>VLOOKUP($D922,成品本月库存!$B:$J,2,0)</f>
        <v>#N/A</v>
      </c>
      <c r="F922" s="54" t="e">
        <f>VLOOKUP($D922,成品本月库存!$B:$J,5,0)</f>
        <v>#N/A</v>
      </c>
      <c r="G922" s="55"/>
      <c r="H922" s="53" t="e">
        <f>VLOOKUP($D922,成品本月库存!$B:$J,9,0)</f>
        <v>#N/A</v>
      </c>
      <c r="I922" s="56"/>
    </row>
    <row r="923" ht="15.75" spans="1:9">
      <c r="A923" s="20"/>
      <c r="B923" s="51"/>
      <c r="C923" s="57"/>
      <c r="D923" s="62"/>
      <c r="E923" s="53" t="e">
        <f>VLOOKUP($D923,成品本月库存!$B:$J,2,0)</f>
        <v>#N/A</v>
      </c>
      <c r="F923" s="54" t="e">
        <f>VLOOKUP($D923,成品本月库存!$B:$J,5,0)</f>
        <v>#N/A</v>
      </c>
      <c r="G923" s="55"/>
      <c r="H923" s="53" t="e">
        <f>VLOOKUP($D923,成品本月库存!$B:$J,9,0)</f>
        <v>#N/A</v>
      </c>
      <c r="I923" s="56"/>
    </row>
    <row r="924" ht="15.75" spans="1:9">
      <c r="A924" s="20"/>
      <c r="B924" s="51"/>
      <c r="C924" s="57"/>
      <c r="D924" s="62"/>
      <c r="E924" s="53" t="e">
        <f>VLOOKUP($D924,成品本月库存!$B:$J,2,0)</f>
        <v>#N/A</v>
      </c>
      <c r="F924" s="54" t="e">
        <f>VLOOKUP($D924,成品本月库存!$B:$J,5,0)</f>
        <v>#N/A</v>
      </c>
      <c r="G924" s="55"/>
      <c r="H924" s="53" t="e">
        <f>VLOOKUP($D924,成品本月库存!$B:$J,9,0)</f>
        <v>#N/A</v>
      </c>
      <c r="I924" s="56"/>
    </row>
    <row r="925" ht="15.75" spans="1:9">
      <c r="A925" s="20"/>
      <c r="B925" s="51"/>
      <c r="C925" s="57"/>
      <c r="D925" s="62"/>
      <c r="E925" s="53" t="e">
        <f>VLOOKUP($D925,成品本月库存!$B:$J,2,0)</f>
        <v>#N/A</v>
      </c>
      <c r="F925" s="54" t="e">
        <f>VLOOKUP($D925,成品本月库存!$B:$J,5,0)</f>
        <v>#N/A</v>
      </c>
      <c r="G925" s="55"/>
      <c r="H925" s="53" t="e">
        <f>VLOOKUP($D925,成品本月库存!$B:$J,9,0)</f>
        <v>#N/A</v>
      </c>
      <c r="I925" s="56"/>
    </row>
    <row r="926" ht="15.75" spans="1:9">
      <c r="A926" s="20"/>
      <c r="B926" s="51"/>
      <c r="C926" s="57"/>
      <c r="D926" s="62"/>
      <c r="E926" s="53" t="e">
        <f>VLOOKUP($D926,成品本月库存!$B:$J,2,0)</f>
        <v>#N/A</v>
      </c>
      <c r="F926" s="54" t="e">
        <f>VLOOKUP($D926,成品本月库存!$B:$J,5,0)</f>
        <v>#N/A</v>
      </c>
      <c r="G926" s="55"/>
      <c r="H926" s="53" t="e">
        <f>VLOOKUP($D926,成品本月库存!$B:$J,9,0)</f>
        <v>#N/A</v>
      </c>
      <c r="I926" s="56"/>
    </row>
    <row r="927" ht="15.75" spans="1:9">
      <c r="A927" s="20"/>
      <c r="B927" s="51"/>
      <c r="C927" s="57"/>
      <c r="D927" s="62"/>
      <c r="E927" s="53" t="e">
        <f>VLOOKUP($D927,成品本月库存!$B:$J,2,0)</f>
        <v>#N/A</v>
      </c>
      <c r="F927" s="54" t="e">
        <f>VLOOKUP($D927,成品本月库存!$B:$J,5,0)</f>
        <v>#N/A</v>
      </c>
      <c r="G927" s="55"/>
      <c r="H927" s="53" t="e">
        <f>VLOOKUP($D927,成品本月库存!$B:$J,9,0)</f>
        <v>#N/A</v>
      </c>
      <c r="I927" s="56"/>
    </row>
    <row r="928" ht="15.75" spans="1:9">
      <c r="A928" s="20"/>
      <c r="B928" s="51"/>
      <c r="C928" s="57"/>
      <c r="D928" s="62"/>
      <c r="E928" s="53" t="e">
        <f>VLOOKUP($D928,成品本月库存!$B:$J,2,0)</f>
        <v>#N/A</v>
      </c>
      <c r="F928" s="54" t="e">
        <f>VLOOKUP($D928,成品本月库存!$B:$J,5,0)</f>
        <v>#N/A</v>
      </c>
      <c r="G928" s="55"/>
      <c r="H928" s="53" t="e">
        <f>VLOOKUP($D928,成品本月库存!$B:$J,9,0)</f>
        <v>#N/A</v>
      </c>
      <c r="I928" s="56"/>
    </row>
    <row r="929" ht="15.75" spans="1:9">
      <c r="A929" s="20"/>
      <c r="B929" s="51"/>
      <c r="C929" s="57"/>
      <c r="D929" s="62"/>
      <c r="E929" s="53" t="e">
        <f>VLOOKUP($D929,成品本月库存!$B:$J,2,0)</f>
        <v>#N/A</v>
      </c>
      <c r="F929" s="54" t="e">
        <f>VLOOKUP($D929,成品本月库存!$B:$J,5,0)</f>
        <v>#N/A</v>
      </c>
      <c r="G929" s="55"/>
      <c r="H929" s="53" t="e">
        <f>VLOOKUP($D929,成品本月库存!$B:$J,9,0)</f>
        <v>#N/A</v>
      </c>
      <c r="I929" s="56"/>
    </row>
    <row r="930" ht="15.75" spans="1:9">
      <c r="A930" s="20"/>
      <c r="B930" s="51"/>
      <c r="C930" s="57"/>
      <c r="D930" s="62"/>
      <c r="E930" s="53" t="e">
        <f>VLOOKUP($D930,成品本月库存!$B:$J,2,0)</f>
        <v>#N/A</v>
      </c>
      <c r="F930" s="54" t="e">
        <f>VLOOKUP($D930,成品本月库存!$B:$J,5,0)</f>
        <v>#N/A</v>
      </c>
      <c r="G930" s="55"/>
      <c r="H930" s="53" t="e">
        <f>VLOOKUP($D930,成品本月库存!$B:$J,9,0)</f>
        <v>#N/A</v>
      </c>
      <c r="I930" s="56"/>
    </row>
    <row r="931" ht="15.75" spans="1:9">
      <c r="A931" s="20"/>
      <c r="B931" s="51"/>
      <c r="C931" s="57"/>
      <c r="D931" s="62"/>
      <c r="E931" s="53" t="e">
        <f>VLOOKUP($D931,成品本月库存!$B:$J,2,0)</f>
        <v>#N/A</v>
      </c>
      <c r="F931" s="54" t="e">
        <f>VLOOKUP($D931,成品本月库存!$B:$J,5,0)</f>
        <v>#N/A</v>
      </c>
      <c r="G931" s="55"/>
      <c r="H931" s="53" t="e">
        <f>VLOOKUP($D931,成品本月库存!$B:$J,9,0)</f>
        <v>#N/A</v>
      </c>
      <c r="I931" s="56"/>
    </row>
    <row r="932" ht="15.75" spans="1:9">
      <c r="A932" s="20"/>
      <c r="B932" s="51"/>
      <c r="C932" s="57"/>
      <c r="D932" s="62"/>
      <c r="E932" s="53" t="e">
        <f>VLOOKUP($D932,成品本月库存!$B:$J,2,0)</f>
        <v>#N/A</v>
      </c>
      <c r="F932" s="54" t="e">
        <f>VLOOKUP($D932,成品本月库存!$B:$J,5,0)</f>
        <v>#N/A</v>
      </c>
      <c r="G932" s="55"/>
      <c r="H932" s="53" t="e">
        <f>VLOOKUP($D932,成品本月库存!$B:$J,9,0)</f>
        <v>#N/A</v>
      </c>
      <c r="I932" s="56"/>
    </row>
    <row r="933" ht="15.75" spans="1:9">
      <c r="A933" s="20"/>
      <c r="B933" s="51"/>
      <c r="C933" s="57"/>
      <c r="D933" s="62"/>
      <c r="E933" s="53" t="e">
        <f>VLOOKUP($D933,成品本月库存!$B:$J,2,0)</f>
        <v>#N/A</v>
      </c>
      <c r="F933" s="54" t="e">
        <f>VLOOKUP($D933,成品本月库存!$B:$J,5,0)</f>
        <v>#N/A</v>
      </c>
      <c r="G933" s="55"/>
      <c r="H933" s="53" t="e">
        <f>VLOOKUP($D933,成品本月库存!$B:$J,9,0)</f>
        <v>#N/A</v>
      </c>
      <c r="I933" s="56"/>
    </row>
    <row r="934" ht="15.75" spans="1:9">
      <c r="A934" s="20"/>
      <c r="B934" s="51"/>
      <c r="C934" s="57"/>
      <c r="D934" s="62"/>
      <c r="E934" s="53" t="e">
        <f>VLOOKUP($D934,成品本月库存!$B:$J,2,0)</f>
        <v>#N/A</v>
      </c>
      <c r="F934" s="54" t="e">
        <f>VLOOKUP($D934,成品本月库存!$B:$J,5,0)</f>
        <v>#N/A</v>
      </c>
      <c r="G934" s="55"/>
      <c r="H934" s="53" t="e">
        <f>VLOOKUP($D934,成品本月库存!$B:$J,9,0)</f>
        <v>#N/A</v>
      </c>
      <c r="I934" s="56"/>
    </row>
    <row r="935" ht="15.75" spans="1:9">
      <c r="A935" s="20"/>
      <c r="B935" s="51"/>
      <c r="C935" s="57"/>
      <c r="D935" s="62"/>
      <c r="E935" s="53" t="e">
        <f>VLOOKUP($D935,成品本月库存!$B:$J,2,0)</f>
        <v>#N/A</v>
      </c>
      <c r="F935" s="54" t="e">
        <f>VLOOKUP($D935,成品本月库存!$B:$J,5,0)</f>
        <v>#N/A</v>
      </c>
      <c r="G935" s="55"/>
      <c r="H935" s="53" t="e">
        <f>VLOOKUP($D935,成品本月库存!$B:$J,9,0)</f>
        <v>#N/A</v>
      </c>
      <c r="I935" s="56"/>
    </row>
    <row r="936" ht="15.75" spans="1:9">
      <c r="A936" s="20"/>
      <c r="B936" s="51"/>
      <c r="C936" s="57"/>
      <c r="D936" s="62"/>
      <c r="E936" s="53" t="e">
        <f>VLOOKUP($D936,成品本月库存!$B:$J,2,0)</f>
        <v>#N/A</v>
      </c>
      <c r="F936" s="54" t="e">
        <f>VLOOKUP($D936,成品本月库存!$B:$J,5,0)</f>
        <v>#N/A</v>
      </c>
      <c r="G936" s="55"/>
      <c r="H936" s="53" t="e">
        <f>VLOOKUP($D936,成品本月库存!$B:$J,9,0)</f>
        <v>#N/A</v>
      </c>
      <c r="I936" s="56"/>
    </row>
    <row r="937" ht="15.75" spans="1:9">
      <c r="A937" s="20"/>
      <c r="B937" s="51"/>
      <c r="C937" s="57"/>
      <c r="D937" s="62"/>
      <c r="E937" s="53" t="e">
        <f>VLOOKUP($D937,成品本月库存!$B:$J,2,0)</f>
        <v>#N/A</v>
      </c>
      <c r="F937" s="54" t="e">
        <f>VLOOKUP($D937,成品本月库存!$B:$J,5,0)</f>
        <v>#N/A</v>
      </c>
      <c r="G937" s="55"/>
      <c r="H937" s="53" t="e">
        <f>VLOOKUP($D937,成品本月库存!$B:$J,9,0)</f>
        <v>#N/A</v>
      </c>
      <c r="I937" s="56"/>
    </row>
    <row r="938" ht="15.75" spans="1:9">
      <c r="A938" s="20"/>
      <c r="B938" s="51"/>
      <c r="C938" s="57"/>
      <c r="D938" s="62"/>
      <c r="E938" s="53" t="e">
        <f>VLOOKUP($D938,成品本月库存!$B:$J,2,0)</f>
        <v>#N/A</v>
      </c>
      <c r="F938" s="54" t="e">
        <f>VLOOKUP($D938,成品本月库存!$B:$J,5,0)</f>
        <v>#N/A</v>
      </c>
      <c r="G938" s="55"/>
      <c r="H938" s="53" t="e">
        <f>VLOOKUP($D938,成品本月库存!$B:$J,9,0)</f>
        <v>#N/A</v>
      </c>
      <c r="I938" s="56"/>
    </row>
    <row r="939" ht="15.75" spans="1:9">
      <c r="A939" s="20"/>
      <c r="B939" s="51"/>
      <c r="C939" s="57"/>
      <c r="D939" s="62"/>
      <c r="E939" s="53" t="e">
        <f>VLOOKUP($D939,成品本月库存!$B:$J,2,0)</f>
        <v>#N/A</v>
      </c>
      <c r="F939" s="54" t="e">
        <f>VLOOKUP($D939,成品本月库存!$B:$J,5,0)</f>
        <v>#N/A</v>
      </c>
      <c r="G939" s="55"/>
      <c r="H939" s="53" t="e">
        <f>VLOOKUP($D939,成品本月库存!$B:$J,9,0)</f>
        <v>#N/A</v>
      </c>
      <c r="I939" s="56"/>
    </row>
    <row r="940" ht="15.75" spans="1:9">
      <c r="A940" s="20"/>
      <c r="B940" s="51"/>
      <c r="C940" s="57"/>
      <c r="D940" s="62"/>
      <c r="E940" s="53" t="e">
        <f>VLOOKUP($D940,成品本月库存!$B:$J,2,0)</f>
        <v>#N/A</v>
      </c>
      <c r="F940" s="54" t="e">
        <f>VLOOKUP($D940,成品本月库存!$B:$J,5,0)</f>
        <v>#N/A</v>
      </c>
      <c r="G940" s="55"/>
      <c r="H940" s="53" t="e">
        <f>VLOOKUP($D940,成品本月库存!$B:$J,9,0)</f>
        <v>#N/A</v>
      </c>
      <c r="I940" s="56"/>
    </row>
    <row r="941" ht="15.75" spans="1:9">
      <c r="A941" s="20"/>
      <c r="B941" s="51"/>
      <c r="C941" s="57"/>
      <c r="D941" s="62"/>
      <c r="E941" s="53" t="e">
        <f>VLOOKUP($D941,成品本月库存!$B:$J,2,0)</f>
        <v>#N/A</v>
      </c>
      <c r="F941" s="54" t="e">
        <f>VLOOKUP($D941,成品本月库存!$B:$J,5,0)</f>
        <v>#N/A</v>
      </c>
      <c r="G941" s="55"/>
      <c r="H941" s="53" t="e">
        <f>VLOOKUP($D941,成品本月库存!$B:$J,9,0)</f>
        <v>#N/A</v>
      </c>
      <c r="I941" s="56"/>
    </row>
    <row r="942" ht="15.75" spans="1:9">
      <c r="A942" s="20"/>
      <c r="B942" s="51"/>
      <c r="C942" s="57"/>
      <c r="D942" s="62"/>
      <c r="E942" s="53" t="e">
        <f>VLOOKUP($D942,成品本月库存!$B:$J,2,0)</f>
        <v>#N/A</v>
      </c>
      <c r="F942" s="54" t="e">
        <f>VLOOKUP($D942,成品本月库存!$B:$J,5,0)</f>
        <v>#N/A</v>
      </c>
      <c r="G942" s="55"/>
      <c r="H942" s="53" t="e">
        <f>VLOOKUP($D942,成品本月库存!$B:$J,9,0)</f>
        <v>#N/A</v>
      </c>
      <c r="I942" s="56"/>
    </row>
    <row r="943" ht="15.75" spans="1:9">
      <c r="A943" s="20"/>
      <c r="B943" s="51"/>
      <c r="C943" s="57"/>
      <c r="D943" s="62"/>
      <c r="E943" s="53" t="e">
        <f>VLOOKUP($D943,成品本月库存!$B:$J,2,0)</f>
        <v>#N/A</v>
      </c>
      <c r="F943" s="54" t="e">
        <f>VLOOKUP($D943,成品本月库存!$B:$J,5,0)</f>
        <v>#N/A</v>
      </c>
      <c r="G943" s="55"/>
      <c r="H943" s="53" t="e">
        <f>VLOOKUP($D943,成品本月库存!$B:$J,9,0)</f>
        <v>#N/A</v>
      </c>
      <c r="I943" s="56"/>
    </row>
    <row r="944" ht="15.75" spans="1:9">
      <c r="A944" s="20"/>
      <c r="B944" s="51"/>
      <c r="C944" s="57"/>
      <c r="D944" s="62"/>
      <c r="E944" s="53" t="e">
        <f>VLOOKUP($D944,成品本月库存!$B:$J,2,0)</f>
        <v>#N/A</v>
      </c>
      <c r="F944" s="54" t="e">
        <f>VLOOKUP($D944,成品本月库存!$B:$J,5,0)</f>
        <v>#N/A</v>
      </c>
      <c r="G944" s="55"/>
      <c r="H944" s="53" t="e">
        <f>VLOOKUP($D944,成品本月库存!$B:$J,9,0)</f>
        <v>#N/A</v>
      </c>
      <c r="I944" s="56"/>
    </row>
    <row r="945" ht="15.75" spans="1:10">
      <c r="A945" s="20"/>
      <c r="B945" s="51"/>
      <c r="C945" s="57"/>
      <c r="D945" s="62"/>
      <c r="E945" s="53" t="e">
        <f>VLOOKUP($D945,成品本月库存!$B:$J,2,0)</f>
        <v>#N/A</v>
      </c>
      <c r="F945" s="54" t="e">
        <f>VLOOKUP($D945,成品本月库存!$B:$J,5,0)</f>
        <v>#N/A</v>
      </c>
      <c r="G945" s="55"/>
      <c r="H945" s="53" t="e">
        <f>VLOOKUP($D945,成品本月库存!$B:$J,9,0)</f>
        <v>#N/A</v>
      </c>
      <c r="I945" s="56"/>
    </row>
    <row r="946" ht="15.75" spans="1:10">
      <c r="A946" s="20"/>
      <c r="B946" s="51"/>
      <c r="C946" s="57"/>
      <c r="D946" s="62"/>
      <c r="E946" s="53" t="e">
        <f>VLOOKUP($D946,成品本月库存!$B:$J,2,0)</f>
        <v>#N/A</v>
      </c>
      <c r="F946" s="54" t="e">
        <f>VLOOKUP($D946,成品本月库存!$B:$J,5,0)</f>
        <v>#N/A</v>
      </c>
      <c r="G946" s="55"/>
      <c r="H946" s="53" t="e">
        <f>VLOOKUP($D946,成品本月库存!$B:$J,9,0)</f>
        <v>#N/A</v>
      </c>
      <c r="I946" s="56"/>
    </row>
    <row r="947" ht="15.75" spans="1:10">
      <c r="A947" s="20"/>
      <c r="B947" s="51"/>
      <c r="C947" s="57"/>
      <c r="D947" s="62"/>
      <c r="E947" s="53" t="e">
        <f>VLOOKUP($D947,成品本月库存!$B:$J,2,0)</f>
        <v>#N/A</v>
      </c>
      <c r="F947" s="54" t="e">
        <f>VLOOKUP($D947,成品本月库存!$B:$J,5,0)</f>
        <v>#N/A</v>
      </c>
      <c r="G947" s="55"/>
      <c r="H947" s="53" t="e">
        <f>VLOOKUP($D947,成品本月库存!$B:$J,9,0)</f>
        <v>#N/A</v>
      </c>
      <c r="I947" s="56"/>
    </row>
    <row r="948" ht="15.75" spans="1:10">
      <c r="A948" s="20"/>
      <c r="B948" s="51"/>
      <c r="C948" s="57"/>
      <c r="D948" s="62"/>
      <c r="E948" s="53" t="e">
        <f>VLOOKUP($D948,成品本月库存!$B:$J,2,0)</f>
        <v>#N/A</v>
      </c>
      <c r="F948" s="54" t="e">
        <f>VLOOKUP($D948,成品本月库存!$B:$J,5,0)</f>
        <v>#N/A</v>
      </c>
      <c r="G948" s="55"/>
      <c r="H948" s="53" t="e">
        <f>VLOOKUP($D948,成品本月库存!$B:$J,9,0)</f>
        <v>#N/A</v>
      </c>
      <c r="I948" s="56"/>
      <c r="J948" s="63"/>
    </row>
    <row r="949" ht="15.75" spans="1:10">
      <c r="A949" s="20"/>
      <c r="B949" s="51"/>
      <c r="C949" s="57"/>
      <c r="D949" s="62"/>
      <c r="E949" s="53" t="e">
        <f>VLOOKUP($D949,成品本月库存!$B:$J,2,0)</f>
        <v>#N/A</v>
      </c>
      <c r="F949" s="54" t="e">
        <f>VLOOKUP($D949,成品本月库存!$B:$J,5,0)</f>
        <v>#N/A</v>
      </c>
      <c r="G949" s="55"/>
      <c r="H949" s="53" t="e">
        <f>VLOOKUP($D949,成品本月库存!$B:$J,9,0)</f>
        <v>#N/A</v>
      </c>
      <c r="I949" s="56"/>
      <c r="J949" s="63"/>
    </row>
    <row r="950" ht="15.75" spans="1:10">
      <c r="A950" s="20"/>
      <c r="B950" s="51"/>
      <c r="C950" s="57"/>
      <c r="D950" s="62"/>
      <c r="E950" s="53" t="e">
        <f>VLOOKUP($D950,成品本月库存!$B:$J,2,0)</f>
        <v>#N/A</v>
      </c>
      <c r="F950" s="54" t="e">
        <f>VLOOKUP($D950,成品本月库存!$B:$J,5,0)</f>
        <v>#N/A</v>
      </c>
      <c r="G950" s="55"/>
      <c r="H950" s="53" t="e">
        <f>VLOOKUP($D950,成品本月库存!$B:$J,9,0)</f>
        <v>#N/A</v>
      </c>
      <c r="I950" s="56"/>
      <c r="J950" s="63"/>
    </row>
    <row r="951" ht="15.75" spans="1:10">
      <c r="A951" s="20"/>
      <c r="B951" s="51"/>
      <c r="C951" s="57"/>
      <c r="D951" s="62"/>
      <c r="E951" s="53" t="e">
        <f>VLOOKUP($D951,成品本月库存!$B:$J,2,0)</f>
        <v>#N/A</v>
      </c>
      <c r="F951" s="54" t="e">
        <f>VLOOKUP($D951,成品本月库存!$B:$J,5,0)</f>
        <v>#N/A</v>
      </c>
      <c r="G951" s="55"/>
      <c r="H951" s="53" t="e">
        <f>VLOOKUP($D951,成品本月库存!$B:$J,9,0)</f>
        <v>#N/A</v>
      </c>
      <c r="I951" s="56"/>
      <c r="J951" s="63"/>
    </row>
    <row r="952" ht="15.75" spans="1:10">
      <c r="A952" s="20"/>
      <c r="B952" s="51"/>
      <c r="C952" s="57"/>
      <c r="D952" s="62"/>
      <c r="E952" s="53" t="e">
        <f>VLOOKUP($D952,成品本月库存!$B:$J,2,0)</f>
        <v>#N/A</v>
      </c>
      <c r="F952" s="54" t="e">
        <f>VLOOKUP($D952,成品本月库存!$B:$J,5,0)</f>
        <v>#N/A</v>
      </c>
      <c r="G952" s="55"/>
      <c r="H952" s="53" t="e">
        <f>VLOOKUP($D952,成品本月库存!$B:$J,9,0)</f>
        <v>#N/A</v>
      </c>
      <c r="I952" s="56"/>
      <c r="J952" s="63"/>
    </row>
    <row r="953" ht="15.75" spans="1:10">
      <c r="A953" s="20"/>
      <c r="B953" s="51"/>
      <c r="C953" s="57"/>
      <c r="D953" s="62"/>
      <c r="E953" s="53" t="e">
        <f>VLOOKUP($D953,成品本月库存!$B:$J,2,0)</f>
        <v>#N/A</v>
      </c>
      <c r="F953" s="54" t="e">
        <f>VLOOKUP($D953,成品本月库存!$B:$J,5,0)</f>
        <v>#N/A</v>
      </c>
      <c r="G953" s="55"/>
      <c r="H953" s="53" t="e">
        <f>VLOOKUP($D953,成品本月库存!$B:$J,9,0)</f>
        <v>#N/A</v>
      </c>
      <c r="I953" s="56"/>
      <c r="J953" s="63"/>
    </row>
    <row r="954" ht="15.75" spans="1:10">
      <c r="A954" s="20"/>
      <c r="B954" s="51"/>
      <c r="C954" s="57"/>
      <c r="D954" s="62"/>
      <c r="E954" s="53" t="e">
        <f>VLOOKUP($D954,成品本月库存!$B:$J,2,0)</f>
        <v>#N/A</v>
      </c>
      <c r="F954" s="54" t="e">
        <f>VLOOKUP($D954,成品本月库存!$B:$J,5,0)</f>
        <v>#N/A</v>
      </c>
      <c r="G954" s="55"/>
      <c r="H954" s="53" t="e">
        <f>VLOOKUP($D954,成品本月库存!$B:$J,9,0)</f>
        <v>#N/A</v>
      </c>
      <c r="I954" s="56"/>
      <c r="J954" s="63"/>
    </row>
    <row r="955" ht="15.75" spans="1:10">
      <c r="A955" s="20"/>
      <c r="B955" s="51"/>
      <c r="C955" s="57"/>
      <c r="D955" s="62"/>
      <c r="E955" s="53" t="e">
        <f>VLOOKUP($D955,成品本月库存!$B:$J,2,0)</f>
        <v>#N/A</v>
      </c>
      <c r="F955" s="54" t="e">
        <f>VLOOKUP($D955,成品本月库存!$B:$J,5,0)</f>
        <v>#N/A</v>
      </c>
      <c r="G955" s="55"/>
      <c r="H955" s="53" t="e">
        <f>VLOOKUP($D955,成品本月库存!$B:$J,9,0)</f>
        <v>#N/A</v>
      </c>
      <c r="I955" s="56"/>
      <c r="J955" s="64"/>
    </row>
    <row r="956" ht="15.75" spans="1:10">
      <c r="A956" s="20"/>
      <c r="B956" s="51"/>
      <c r="C956" s="57"/>
      <c r="D956" s="62"/>
      <c r="E956" s="53" t="e">
        <f>VLOOKUP($D956,成品本月库存!$B:$J,2,0)</f>
        <v>#N/A</v>
      </c>
      <c r="F956" s="54" t="e">
        <f>VLOOKUP($D956,成品本月库存!$B:$J,5,0)</f>
        <v>#N/A</v>
      </c>
      <c r="G956" s="55"/>
      <c r="H956" s="53" t="e">
        <f>VLOOKUP($D956,成品本月库存!$B:$J,9,0)</f>
        <v>#N/A</v>
      </c>
      <c r="I956" s="56"/>
    </row>
    <row r="957" ht="15.75" spans="1:10">
      <c r="A957" s="20"/>
      <c r="B957" s="51"/>
      <c r="C957" s="57"/>
      <c r="D957" s="62"/>
      <c r="E957" s="53" t="e">
        <f>VLOOKUP($D957,成品本月库存!$B:$J,2,0)</f>
        <v>#N/A</v>
      </c>
      <c r="F957" s="54" t="e">
        <f>VLOOKUP($D957,成品本月库存!$B:$J,5,0)</f>
        <v>#N/A</v>
      </c>
      <c r="G957" s="55"/>
      <c r="H957" s="53" t="e">
        <f>VLOOKUP($D957,成品本月库存!$B:$J,9,0)</f>
        <v>#N/A</v>
      </c>
      <c r="I957" s="56"/>
    </row>
    <row r="958" ht="15.75" spans="1:10">
      <c r="A958" s="20"/>
      <c r="B958" s="51"/>
      <c r="C958" s="57"/>
      <c r="D958" s="62"/>
      <c r="E958" s="53" t="e">
        <f>VLOOKUP($D958,成品本月库存!$B:$J,2,0)</f>
        <v>#N/A</v>
      </c>
      <c r="F958" s="54" t="e">
        <f>VLOOKUP($D958,成品本月库存!$B:$J,5,0)</f>
        <v>#N/A</v>
      </c>
      <c r="G958" s="55"/>
      <c r="H958" s="53" t="e">
        <f>VLOOKUP($D958,成品本月库存!$B:$J,9,0)</f>
        <v>#N/A</v>
      </c>
      <c r="I958" s="56"/>
    </row>
    <row r="959" ht="15.75" spans="1:10">
      <c r="A959" s="20"/>
      <c r="B959" s="51"/>
      <c r="C959" s="57"/>
      <c r="D959" s="62"/>
      <c r="E959" s="53" t="e">
        <f>VLOOKUP($D959,成品本月库存!$B:$J,2,0)</f>
        <v>#N/A</v>
      </c>
      <c r="F959" s="54" t="e">
        <f>VLOOKUP($D959,成品本月库存!$B:$J,5,0)</f>
        <v>#N/A</v>
      </c>
      <c r="G959" s="55"/>
      <c r="H959" s="53" t="e">
        <f>VLOOKUP($D959,成品本月库存!$B:$J,9,0)</f>
        <v>#N/A</v>
      </c>
      <c r="I959" s="56"/>
    </row>
    <row r="960" ht="15.75" spans="1:10">
      <c r="A960" s="20"/>
      <c r="B960" s="51"/>
      <c r="C960" s="57"/>
      <c r="D960" s="62"/>
      <c r="E960" s="53" t="e">
        <f>VLOOKUP($D960,成品本月库存!$B:$J,2,0)</f>
        <v>#N/A</v>
      </c>
      <c r="F960" s="54" t="e">
        <f>VLOOKUP($D960,成品本月库存!$B:$J,5,0)</f>
        <v>#N/A</v>
      </c>
      <c r="G960" s="55"/>
      <c r="H960" s="53" t="e">
        <f>VLOOKUP($D960,成品本月库存!$B:$J,9,0)</f>
        <v>#N/A</v>
      </c>
      <c r="I960" s="56"/>
    </row>
    <row r="961" ht="15.75" spans="1:9">
      <c r="A961" s="20"/>
      <c r="B961" s="51"/>
      <c r="C961" s="57"/>
      <c r="D961" s="62"/>
      <c r="E961" s="53" t="e">
        <f>VLOOKUP($D961,成品本月库存!$B:$J,2,0)</f>
        <v>#N/A</v>
      </c>
      <c r="F961" s="54" t="e">
        <f>VLOOKUP($D961,成品本月库存!$B:$J,5,0)</f>
        <v>#N/A</v>
      </c>
      <c r="G961" s="55"/>
      <c r="H961" s="53" t="e">
        <f>VLOOKUP($D961,成品本月库存!$B:$J,9,0)</f>
        <v>#N/A</v>
      </c>
      <c r="I961" s="56"/>
    </row>
    <row r="962" ht="15.75" spans="1:9">
      <c r="A962" s="20"/>
      <c r="B962" s="51"/>
      <c r="C962" s="57"/>
      <c r="D962" s="62"/>
      <c r="E962" s="53" t="e">
        <f>VLOOKUP($D962,成品本月库存!$B:$J,2,0)</f>
        <v>#N/A</v>
      </c>
      <c r="F962" s="54" t="e">
        <f>VLOOKUP($D962,成品本月库存!$B:$J,5,0)</f>
        <v>#N/A</v>
      </c>
      <c r="G962" s="55"/>
      <c r="H962" s="53" t="e">
        <f>VLOOKUP($D962,成品本月库存!$B:$J,9,0)</f>
        <v>#N/A</v>
      </c>
      <c r="I962" s="56"/>
    </row>
    <row r="963" ht="15.75" spans="1:9">
      <c r="A963" s="20"/>
      <c r="B963" s="51"/>
      <c r="C963" s="57"/>
      <c r="D963" s="62"/>
      <c r="E963" s="53" t="e">
        <f>VLOOKUP($D963,成品本月库存!$B:$J,2,0)</f>
        <v>#N/A</v>
      </c>
      <c r="F963" s="54" t="e">
        <f>VLOOKUP($D963,成品本月库存!$B:$J,5,0)</f>
        <v>#N/A</v>
      </c>
      <c r="G963" s="55"/>
      <c r="H963" s="53" t="e">
        <f>VLOOKUP($D963,成品本月库存!$B:$J,9,0)</f>
        <v>#N/A</v>
      </c>
      <c r="I963" s="56"/>
    </row>
    <row r="964" ht="15.75" spans="1:9">
      <c r="A964" s="20"/>
      <c r="B964" s="51"/>
      <c r="C964" s="57"/>
      <c r="D964" s="62"/>
      <c r="E964" s="53" t="e">
        <f>VLOOKUP($D964,成品本月库存!$B:$J,2,0)</f>
        <v>#N/A</v>
      </c>
      <c r="F964" s="54" t="e">
        <f>VLOOKUP($D964,成品本月库存!$B:$J,5,0)</f>
        <v>#N/A</v>
      </c>
      <c r="G964" s="55"/>
      <c r="H964" s="53" t="e">
        <f>VLOOKUP($D964,成品本月库存!$B:$J,9,0)</f>
        <v>#N/A</v>
      </c>
      <c r="I964" s="56"/>
    </row>
    <row r="965" ht="15.75" spans="1:9">
      <c r="A965" s="20"/>
      <c r="B965" s="51"/>
      <c r="C965" s="57"/>
      <c r="D965" s="62"/>
      <c r="E965" s="53" t="e">
        <f>VLOOKUP($D965,成品本月库存!$B:$J,2,0)</f>
        <v>#N/A</v>
      </c>
      <c r="F965" s="54" t="e">
        <f>VLOOKUP($D965,成品本月库存!$B:$J,5,0)</f>
        <v>#N/A</v>
      </c>
      <c r="G965" s="55"/>
      <c r="H965" s="53" t="e">
        <f>VLOOKUP($D965,成品本月库存!$B:$J,9,0)</f>
        <v>#N/A</v>
      </c>
      <c r="I965" s="56"/>
    </row>
    <row r="966" ht="15.75" spans="1:9">
      <c r="A966" s="20"/>
      <c r="B966" s="51"/>
      <c r="C966" s="57"/>
      <c r="D966" s="62"/>
      <c r="E966" s="53" t="e">
        <f>VLOOKUP($D966,成品本月库存!$B:$J,2,0)</f>
        <v>#N/A</v>
      </c>
      <c r="F966" s="54" t="e">
        <f>VLOOKUP($D966,成品本月库存!$B:$J,5,0)</f>
        <v>#N/A</v>
      </c>
      <c r="G966" s="55"/>
      <c r="H966" s="53" t="e">
        <f>VLOOKUP($D966,成品本月库存!$B:$J,9,0)</f>
        <v>#N/A</v>
      </c>
      <c r="I966" s="56"/>
    </row>
    <row r="967" ht="15.75" spans="1:9">
      <c r="A967" s="20"/>
      <c r="B967" s="51"/>
      <c r="C967" s="57"/>
      <c r="D967" s="62"/>
      <c r="E967" s="53" t="e">
        <f>VLOOKUP($D967,成品本月库存!$B:$J,2,0)</f>
        <v>#N/A</v>
      </c>
      <c r="F967" s="54" t="e">
        <f>VLOOKUP($D967,成品本月库存!$B:$J,5,0)</f>
        <v>#N/A</v>
      </c>
      <c r="G967" s="55"/>
      <c r="H967" s="53" t="e">
        <f>VLOOKUP($D967,成品本月库存!$B:$J,9,0)</f>
        <v>#N/A</v>
      </c>
      <c r="I967" s="56"/>
    </row>
    <row r="968" ht="15.75" spans="1:9">
      <c r="A968" s="20"/>
      <c r="B968" s="51"/>
      <c r="C968" s="57"/>
      <c r="D968" s="62"/>
      <c r="E968" s="53" t="e">
        <f>VLOOKUP($D968,成品本月库存!$B:$J,2,0)</f>
        <v>#N/A</v>
      </c>
      <c r="F968" s="54" t="e">
        <f>VLOOKUP($D968,成品本月库存!$B:$J,5,0)</f>
        <v>#N/A</v>
      </c>
      <c r="G968" s="55"/>
      <c r="H968" s="53" t="e">
        <f>VLOOKUP($D968,成品本月库存!$B:$J,9,0)</f>
        <v>#N/A</v>
      </c>
      <c r="I968" s="56"/>
    </row>
    <row r="969" ht="15.75" spans="1:9">
      <c r="A969" s="20"/>
      <c r="B969" s="51"/>
      <c r="C969" s="57"/>
      <c r="D969" s="62"/>
      <c r="E969" s="53" t="e">
        <f>VLOOKUP($D969,成品本月库存!$B:$J,2,0)</f>
        <v>#N/A</v>
      </c>
      <c r="F969" s="54" t="e">
        <f>VLOOKUP($D969,成品本月库存!$B:$J,5,0)</f>
        <v>#N/A</v>
      </c>
      <c r="G969" s="55"/>
      <c r="H969" s="53" t="e">
        <f>VLOOKUP($D969,成品本月库存!$B:$J,9,0)</f>
        <v>#N/A</v>
      </c>
      <c r="I969" s="56"/>
    </row>
    <row r="970" ht="15.75" spans="1:9">
      <c r="A970" s="20"/>
      <c r="B970" s="51"/>
      <c r="C970" s="57"/>
      <c r="D970" s="62"/>
      <c r="E970" s="53" t="e">
        <f>VLOOKUP($D970,成品本月库存!$B:$J,2,0)</f>
        <v>#N/A</v>
      </c>
      <c r="F970" s="54" t="e">
        <f>VLOOKUP($D970,成品本月库存!$B:$J,5,0)</f>
        <v>#N/A</v>
      </c>
      <c r="G970" s="55"/>
      <c r="H970" s="53" t="e">
        <f>VLOOKUP($D970,成品本月库存!$B:$J,9,0)</f>
        <v>#N/A</v>
      </c>
      <c r="I970" s="56"/>
    </row>
    <row r="971" ht="15.75" spans="1:9">
      <c r="A971" s="20"/>
      <c r="B971" s="51"/>
      <c r="C971" s="57"/>
      <c r="D971" s="62"/>
      <c r="E971" s="53" t="e">
        <f>VLOOKUP($D971,成品本月库存!$B:$J,2,0)</f>
        <v>#N/A</v>
      </c>
      <c r="F971" s="54" t="e">
        <f>VLOOKUP($D971,成品本月库存!$B:$J,5,0)</f>
        <v>#N/A</v>
      </c>
      <c r="G971" s="55"/>
      <c r="H971" s="53" t="e">
        <f>VLOOKUP($D971,成品本月库存!$B:$J,9,0)</f>
        <v>#N/A</v>
      </c>
      <c r="I971" s="56"/>
    </row>
    <row r="972" ht="15.75" spans="1:9">
      <c r="A972" s="20"/>
      <c r="B972" s="51"/>
      <c r="C972" s="57"/>
      <c r="D972" s="62"/>
      <c r="E972" s="53" t="e">
        <f>VLOOKUP($D972,成品本月库存!$B:$J,2,0)</f>
        <v>#N/A</v>
      </c>
      <c r="F972" s="54" t="e">
        <f>VLOOKUP($D972,成品本月库存!$B:$J,5,0)</f>
        <v>#N/A</v>
      </c>
      <c r="G972" s="55"/>
      <c r="H972" s="53" t="e">
        <f>VLOOKUP($D972,成品本月库存!$B:$J,9,0)</f>
        <v>#N/A</v>
      </c>
      <c r="I972" s="56"/>
    </row>
    <row r="973" ht="15.75" spans="1:9">
      <c r="A973" s="20"/>
      <c r="B973" s="51"/>
      <c r="C973" s="57"/>
      <c r="D973" s="62"/>
      <c r="E973" s="53" t="e">
        <f>VLOOKUP($D973,成品本月库存!$B:$J,2,0)</f>
        <v>#N/A</v>
      </c>
      <c r="F973" s="54" t="e">
        <f>VLOOKUP($D973,成品本月库存!$B:$J,5,0)</f>
        <v>#N/A</v>
      </c>
      <c r="G973" s="55"/>
      <c r="H973" s="53" t="e">
        <f>VLOOKUP($D973,成品本月库存!$B:$J,9,0)</f>
        <v>#N/A</v>
      </c>
      <c r="I973" s="56"/>
    </row>
    <row r="974" ht="15.75" spans="1:9">
      <c r="A974" s="20"/>
      <c r="B974" s="51"/>
      <c r="C974" s="57"/>
      <c r="D974" s="62"/>
      <c r="E974" s="53" t="e">
        <f>VLOOKUP($D974,成品本月库存!$B:$J,2,0)</f>
        <v>#N/A</v>
      </c>
      <c r="F974" s="54" t="e">
        <f>VLOOKUP($D974,成品本月库存!$B:$J,5,0)</f>
        <v>#N/A</v>
      </c>
      <c r="G974" s="55"/>
      <c r="H974" s="53" t="e">
        <f>VLOOKUP($D974,成品本月库存!$B:$J,9,0)</f>
        <v>#N/A</v>
      </c>
      <c r="I974" s="56"/>
    </row>
    <row r="975" ht="15.75" spans="1:9">
      <c r="A975" s="20"/>
      <c r="B975" s="51"/>
      <c r="C975" s="57"/>
      <c r="D975" s="62"/>
      <c r="E975" s="53" t="e">
        <f>VLOOKUP($D975,成品本月库存!$B:$J,2,0)</f>
        <v>#N/A</v>
      </c>
      <c r="F975" s="54" t="e">
        <f>VLOOKUP($D975,成品本月库存!$B:$J,5,0)</f>
        <v>#N/A</v>
      </c>
      <c r="G975" s="55"/>
      <c r="H975" s="53" t="e">
        <f>VLOOKUP($D975,成品本月库存!$B:$J,9,0)</f>
        <v>#N/A</v>
      </c>
      <c r="I975" s="56"/>
    </row>
    <row r="976" ht="15.75" spans="1:9">
      <c r="A976" s="20"/>
      <c r="B976" s="51"/>
      <c r="C976" s="57"/>
      <c r="D976" s="62"/>
      <c r="E976" s="53" t="e">
        <f>VLOOKUP($D976,成品本月库存!$B:$J,2,0)</f>
        <v>#N/A</v>
      </c>
      <c r="F976" s="54" t="e">
        <f>VLOOKUP($D976,成品本月库存!$B:$J,5,0)</f>
        <v>#N/A</v>
      </c>
      <c r="G976" s="55"/>
      <c r="H976" s="53" t="e">
        <f>VLOOKUP($D976,成品本月库存!$B:$J,9,0)</f>
        <v>#N/A</v>
      </c>
      <c r="I976" s="56"/>
    </row>
    <row r="977" ht="15.75" spans="1:9">
      <c r="A977" s="20"/>
      <c r="B977" s="51"/>
      <c r="C977" s="57"/>
      <c r="D977" s="62"/>
      <c r="E977" s="53" t="e">
        <f>VLOOKUP($D977,成品本月库存!$B:$J,2,0)</f>
        <v>#N/A</v>
      </c>
      <c r="F977" s="54" t="e">
        <f>VLOOKUP($D977,成品本月库存!$B:$J,5,0)</f>
        <v>#N/A</v>
      </c>
      <c r="G977" s="55"/>
      <c r="H977" s="53" t="e">
        <f>VLOOKUP($D977,成品本月库存!$B:$J,9,0)</f>
        <v>#N/A</v>
      </c>
      <c r="I977" s="56"/>
    </row>
    <row r="978" ht="15.75" spans="1:9">
      <c r="A978" s="20"/>
      <c r="B978" s="51"/>
      <c r="C978" s="57"/>
      <c r="D978" s="62"/>
      <c r="E978" s="53" t="e">
        <f>VLOOKUP($D978,成品本月库存!$B:$J,2,0)</f>
        <v>#N/A</v>
      </c>
      <c r="F978" s="54" t="e">
        <f>VLOOKUP($D978,成品本月库存!$B:$J,5,0)</f>
        <v>#N/A</v>
      </c>
      <c r="G978" s="55"/>
      <c r="H978" s="53" t="e">
        <f>VLOOKUP($D978,成品本月库存!$B:$J,9,0)</f>
        <v>#N/A</v>
      </c>
      <c r="I978" s="56"/>
    </row>
    <row r="979" ht="15.75" spans="1:9">
      <c r="A979" s="20"/>
      <c r="B979" s="51"/>
      <c r="C979" s="57"/>
      <c r="D979" s="62"/>
      <c r="E979" s="53" t="e">
        <f>VLOOKUP($D979,成品本月库存!$B:$J,2,0)</f>
        <v>#N/A</v>
      </c>
      <c r="F979" s="54" t="e">
        <f>VLOOKUP($D979,成品本月库存!$B:$J,5,0)</f>
        <v>#N/A</v>
      </c>
      <c r="G979" s="55"/>
      <c r="H979" s="53" t="e">
        <f>VLOOKUP($D979,成品本月库存!$B:$J,9,0)</f>
        <v>#N/A</v>
      </c>
      <c r="I979" s="56"/>
    </row>
    <row r="980" ht="15.75" spans="1:9">
      <c r="A980" s="20"/>
      <c r="B980" s="51"/>
      <c r="C980" s="57"/>
      <c r="D980" s="62"/>
      <c r="E980" s="53" t="e">
        <f>VLOOKUP($D980,成品本月库存!$B:$J,2,0)</f>
        <v>#N/A</v>
      </c>
      <c r="F980" s="54" t="e">
        <f>VLOOKUP($D980,成品本月库存!$B:$J,5,0)</f>
        <v>#N/A</v>
      </c>
      <c r="G980" s="55"/>
      <c r="H980" s="53" t="e">
        <f>VLOOKUP($D980,成品本月库存!$B:$J,9,0)</f>
        <v>#N/A</v>
      </c>
      <c r="I980" s="56"/>
    </row>
    <row r="981" ht="15.75" spans="1:9">
      <c r="A981" s="20"/>
      <c r="B981" s="51"/>
      <c r="C981" s="57"/>
      <c r="D981" s="62"/>
      <c r="E981" s="53" t="e">
        <f>VLOOKUP($D981,成品本月库存!$B:$J,2,0)</f>
        <v>#N/A</v>
      </c>
      <c r="F981" s="54" t="e">
        <f>VLOOKUP($D981,成品本月库存!$B:$J,5,0)</f>
        <v>#N/A</v>
      </c>
      <c r="G981" s="55"/>
      <c r="H981" s="53" t="e">
        <f>VLOOKUP($D981,成品本月库存!$B:$J,9,0)</f>
        <v>#N/A</v>
      </c>
      <c r="I981" s="56"/>
    </row>
    <row r="982" ht="15.75" spans="1:9">
      <c r="A982" s="20"/>
      <c r="B982" s="51"/>
      <c r="C982" s="57"/>
      <c r="D982" s="62"/>
      <c r="E982" s="53" t="e">
        <f>VLOOKUP($D982,成品本月库存!$B:$J,2,0)</f>
        <v>#N/A</v>
      </c>
      <c r="F982" s="54" t="e">
        <f>VLOOKUP($D982,成品本月库存!$B:$J,5,0)</f>
        <v>#N/A</v>
      </c>
      <c r="G982" s="55"/>
      <c r="H982" s="53" t="e">
        <f>VLOOKUP($D982,成品本月库存!$B:$J,9,0)</f>
        <v>#N/A</v>
      </c>
      <c r="I982" s="56"/>
    </row>
    <row r="983" ht="15.75" spans="1:9">
      <c r="A983" s="20"/>
      <c r="B983" s="51"/>
      <c r="C983" s="57"/>
      <c r="D983" s="62"/>
      <c r="E983" s="53" t="e">
        <f>VLOOKUP($D983,成品本月库存!$B:$J,2,0)</f>
        <v>#N/A</v>
      </c>
      <c r="F983" s="54" t="e">
        <f>VLOOKUP($D983,成品本月库存!$B:$J,5,0)</f>
        <v>#N/A</v>
      </c>
      <c r="G983" s="55"/>
      <c r="H983" s="53" t="e">
        <f>VLOOKUP($D983,成品本月库存!$B:$J,9,0)</f>
        <v>#N/A</v>
      </c>
      <c r="I983" s="56"/>
    </row>
    <row r="984" ht="15.75" spans="1:9">
      <c r="A984" s="20"/>
      <c r="B984" s="51"/>
      <c r="C984" s="57"/>
      <c r="D984" s="62"/>
      <c r="E984" s="53" t="e">
        <f>VLOOKUP($D984,成品本月库存!$B:$J,2,0)</f>
        <v>#N/A</v>
      </c>
      <c r="F984" s="54" t="e">
        <f>VLOOKUP($D984,成品本月库存!$B:$J,5,0)</f>
        <v>#N/A</v>
      </c>
      <c r="G984" s="55"/>
      <c r="H984" s="53" t="e">
        <f>VLOOKUP($D984,成品本月库存!$B:$J,9,0)</f>
        <v>#N/A</v>
      </c>
      <c r="I984" s="56"/>
    </row>
    <row r="985" ht="15.75" spans="1:9">
      <c r="A985" s="20"/>
      <c r="B985" s="51"/>
      <c r="C985" s="57"/>
      <c r="D985" s="62"/>
      <c r="E985" s="53" t="e">
        <f>VLOOKUP($D985,成品本月库存!$B:$J,2,0)</f>
        <v>#N/A</v>
      </c>
      <c r="F985" s="54" t="e">
        <f>VLOOKUP($D985,成品本月库存!$B:$J,5,0)</f>
        <v>#N/A</v>
      </c>
      <c r="G985" s="55"/>
      <c r="H985" s="53" t="e">
        <f>VLOOKUP($D985,成品本月库存!$B:$J,9,0)</f>
        <v>#N/A</v>
      </c>
      <c r="I985" s="56"/>
    </row>
    <row r="986" ht="15.75" spans="1:9">
      <c r="A986" s="20"/>
      <c r="B986" s="51"/>
      <c r="C986" s="57"/>
      <c r="D986" s="62"/>
      <c r="E986" s="53" t="e">
        <f>VLOOKUP($D986,成品本月库存!$B:$J,2,0)</f>
        <v>#N/A</v>
      </c>
      <c r="F986" s="54" t="e">
        <f>VLOOKUP($D986,成品本月库存!$B:$J,5,0)</f>
        <v>#N/A</v>
      </c>
      <c r="G986" s="55"/>
      <c r="H986" s="53" t="e">
        <f>VLOOKUP($D986,成品本月库存!$B:$J,9,0)</f>
        <v>#N/A</v>
      </c>
      <c r="I986" s="56"/>
    </row>
    <row r="987" ht="15.75" spans="1:9">
      <c r="A987" s="20"/>
      <c r="B987" s="51"/>
      <c r="C987" s="57"/>
      <c r="D987" s="62"/>
      <c r="E987" s="53" t="e">
        <f>VLOOKUP($D987,成品本月库存!$B:$J,2,0)</f>
        <v>#N/A</v>
      </c>
      <c r="F987" s="54" t="e">
        <f>VLOOKUP($D987,成品本月库存!$B:$J,5,0)</f>
        <v>#N/A</v>
      </c>
      <c r="G987" s="55"/>
      <c r="H987" s="53" t="e">
        <f>VLOOKUP($D987,成品本月库存!$B:$J,9,0)</f>
        <v>#N/A</v>
      </c>
      <c r="I987" s="56"/>
    </row>
    <row r="988" ht="15.75" spans="1:9">
      <c r="A988" s="20"/>
      <c r="B988" s="51"/>
      <c r="C988" s="57"/>
      <c r="D988" s="62"/>
      <c r="E988" s="53" t="e">
        <f>VLOOKUP($D988,成品本月库存!$B:$J,2,0)</f>
        <v>#N/A</v>
      </c>
      <c r="F988" s="54" t="e">
        <f>VLOOKUP($D988,成品本月库存!$B:$J,5,0)</f>
        <v>#N/A</v>
      </c>
      <c r="G988" s="55"/>
      <c r="H988" s="53" t="e">
        <f>VLOOKUP($D988,成品本月库存!$B:$J,9,0)</f>
        <v>#N/A</v>
      </c>
      <c r="I988" s="56"/>
    </row>
    <row r="989" ht="15.75" spans="1:9">
      <c r="A989" s="20"/>
      <c r="B989" s="51"/>
      <c r="C989" s="57"/>
      <c r="D989" s="62"/>
      <c r="E989" s="53" t="e">
        <f>VLOOKUP($D989,成品本月库存!$B:$J,2,0)</f>
        <v>#N/A</v>
      </c>
      <c r="F989" s="54" t="e">
        <f>VLOOKUP($D989,成品本月库存!$B:$J,5,0)</f>
        <v>#N/A</v>
      </c>
      <c r="G989" s="55"/>
      <c r="H989" s="53" t="e">
        <f>VLOOKUP($D989,成品本月库存!$B:$J,9,0)</f>
        <v>#N/A</v>
      </c>
      <c r="I989" s="56"/>
    </row>
    <row r="990" ht="15.75" spans="1:9">
      <c r="A990" s="20"/>
      <c r="B990" s="51"/>
      <c r="C990" s="57"/>
      <c r="D990" s="62"/>
      <c r="E990" s="53" t="e">
        <f>VLOOKUP($D990,成品本月库存!$B:$J,2,0)</f>
        <v>#N/A</v>
      </c>
      <c r="F990" s="54" t="e">
        <f>VLOOKUP($D990,成品本月库存!$B:$J,5,0)</f>
        <v>#N/A</v>
      </c>
      <c r="G990" s="55"/>
      <c r="H990" s="53" t="e">
        <f>VLOOKUP($D990,成品本月库存!$B:$J,9,0)</f>
        <v>#N/A</v>
      </c>
      <c r="I990" s="56"/>
    </row>
    <row r="991" ht="15.75" spans="1:9">
      <c r="A991" s="20"/>
      <c r="B991" s="51"/>
      <c r="C991" s="57"/>
      <c r="D991" s="62"/>
      <c r="E991" s="53" t="e">
        <f>VLOOKUP($D991,成品本月库存!$B:$J,2,0)</f>
        <v>#N/A</v>
      </c>
      <c r="F991" s="54" t="e">
        <f>VLOOKUP($D991,成品本月库存!$B:$J,5,0)</f>
        <v>#N/A</v>
      </c>
      <c r="G991" s="55"/>
      <c r="H991" s="53" t="e">
        <f>VLOOKUP($D991,成品本月库存!$B:$J,9,0)</f>
        <v>#N/A</v>
      </c>
      <c r="I991" s="56"/>
    </row>
    <row r="992" ht="15.75" spans="1:9">
      <c r="A992" s="20"/>
      <c r="B992" s="51"/>
      <c r="C992" s="57"/>
      <c r="D992" s="62"/>
      <c r="E992" s="53" t="e">
        <f>VLOOKUP($D992,成品本月库存!$B:$J,2,0)</f>
        <v>#N/A</v>
      </c>
      <c r="F992" s="54" t="e">
        <f>VLOOKUP($D992,成品本月库存!$B:$J,5,0)</f>
        <v>#N/A</v>
      </c>
      <c r="G992" s="55"/>
      <c r="H992" s="53" t="e">
        <f>VLOOKUP($D992,成品本月库存!$B:$J,9,0)</f>
        <v>#N/A</v>
      </c>
      <c r="I992" s="56"/>
    </row>
    <row r="993" ht="15.75" spans="1:9">
      <c r="A993" s="20"/>
      <c r="B993" s="51"/>
      <c r="C993" s="57"/>
      <c r="D993" s="62"/>
      <c r="E993" s="53" t="e">
        <f>VLOOKUP($D993,成品本月库存!$B:$J,2,0)</f>
        <v>#N/A</v>
      </c>
      <c r="F993" s="54" t="e">
        <f>VLOOKUP($D993,成品本月库存!$B:$J,5,0)</f>
        <v>#N/A</v>
      </c>
      <c r="G993" s="55"/>
      <c r="H993" s="53" t="e">
        <f>VLOOKUP($D993,成品本月库存!$B:$J,9,0)</f>
        <v>#N/A</v>
      </c>
      <c r="I993" s="56"/>
    </row>
    <row r="994" ht="15.75" spans="1:9">
      <c r="A994" s="20"/>
      <c r="B994" s="51"/>
      <c r="C994" s="57"/>
      <c r="D994" s="62"/>
      <c r="E994" s="53" t="e">
        <f>VLOOKUP($D994,成品本月库存!$B:$J,2,0)</f>
        <v>#N/A</v>
      </c>
      <c r="F994" s="54" t="e">
        <f>VLOOKUP($D994,成品本月库存!$B:$J,5,0)</f>
        <v>#N/A</v>
      </c>
      <c r="G994" s="55"/>
      <c r="H994" s="53" t="e">
        <f>VLOOKUP($D994,成品本月库存!$B:$J,9,0)</f>
        <v>#N/A</v>
      </c>
      <c r="I994" s="56"/>
    </row>
    <row r="995" ht="15.75" spans="1:9">
      <c r="A995" s="20"/>
      <c r="B995" s="51"/>
      <c r="C995" s="57"/>
      <c r="D995" s="62"/>
      <c r="E995" s="53" t="e">
        <f>VLOOKUP($D995,成品本月库存!$B:$J,2,0)</f>
        <v>#N/A</v>
      </c>
      <c r="F995" s="54" t="e">
        <f>VLOOKUP($D995,成品本月库存!$B:$J,5,0)</f>
        <v>#N/A</v>
      </c>
      <c r="G995" s="55"/>
      <c r="H995" s="53" t="e">
        <f>VLOOKUP($D995,成品本月库存!$B:$J,9,0)</f>
        <v>#N/A</v>
      </c>
      <c r="I995" s="56"/>
    </row>
    <row r="996" ht="15.75" spans="1:9">
      <c r="A996" s="20"/>
      <c r="B996" s="51"/>
      <c r="C996" s="57"/>
      <c r="D996" s="62"/>
      <c r="E996" s="53" t="e">
        <f>VLOOKUP($D996,成品本月库存!$B:$J,2,0)</f>
        <v>#N/A</v>
      </c>
      <c r="F996" s="54" t="e">
        <f>VLOOKUP($D996,成品本月库存!$B:$J,5,0)</f>
        <v>#N/A</v>
      </c>
      <c r="G996" s="55"/>
      <c r="H996" s="53" t="e">
        <f>VLOOKUP($D996,成品本月库存!$B:$J,9,0)</f>
        <v>#N/A</v>
      </c>
      <c r="I996" s="56"/>
    </row>
    <row r="997" ht="15.75" spans="1:9">
      <c r="A997" s="20"/>
      <c r="B997" s="51"/>
      <c r="C997" s="57"/>
      <c r="D997" s="62"/>
      <c r="E997" s="53" t="e">
        <f>VLOOKUP($D997,成品本月库存!$B:$J,2,0)</f>
        <v>#N/A</v>
      </c>
      <c r="F997" s="54" t="e">
        <f>VLOOKUP($D997,成品本月库存!$B:$J,5,0)</f>
        <v>#N/A</v>
      </c>
      <c r="G997" s="55"/>
      <c r="H997" s="53" t="e">
        <f>VLOOKUP($D997,成品本月库存!$B:$J,9,0)</f>
        <v>#N/A</v>
      </c>
      <c r="I997" s="56"/>
    </row>
    <row r="998" ht="15.75" spans="1:9">
      <c r="A998" s="20"/>
      <c r="B998" s="51"/>
      <c r="C998" s="57"/>
      <c r="D998" s="62"/>
      <c r="E998" s="53" t="e">
        <f>VLOOKUP($D998,成品本月库存!$B:$J,2,0)</f>
        <v>#N/A</v>
      </c>
      <c r="F998" s="54" t="e">
        <f>VLOOKUP($D998,成品本月库存!$B:$J,5,0)</f>
        <v>#N/A</v>
      </c>
      <c r="G998" s="55"/>
      <c r="H998" s="53" t="e">
        <f>VLOOKUP($D998,成品本月库存!$B:$J,9,0)</f>
        <v>#N/A</v>
      </c>
      <c r="I998" s="56"/>
    </row>
    <row r="999" ht="15.75" spans="1:9">
      <c r="A999" s="20"/>
      <c r="B999" s="51"/>
      <c r="C999" s="57"/>
      <c r="D999" s="62"/>
      <c r="E999" s="53" t="e">
        <f>VLOOKUP($D999,成品本月库存!$B:$J,2,0)</f>
        <v>#N/A</v>
      </c>
      <c r="F999" s="54" t="e">
        <f>VLOOKUP($D999,成品本月库存!$B:$J,5,0)</f>
        <v>#N/A</v>
      </c>
      <c r="G999" s="55"/>
      <c r="H999" s="53" t="e">
        <f>VLOOKUP($D999,成品本月库存!$B:$J,9,0)</f>
        <v>#N/A</v>
      </c>
      <c r="I999" s="56"/>
    </row>
    <row r="1000" ht="15.75" spans="1:9">
      <c r="A1000" s="20"/>
      <c r="B1000" s="51"/>
      <c r="C1000" s="57"/>
      <c r="D1000" s="62"/>
      <c r="E1000" s="53" t="e">
        <f>VLOOKUP($D1000,成品本月库存!$B:$J,2,0)</f>
        <v>#N/A</v>
      </c>
      <c r="F1000" s="54" t="e">
        <f>VLOOKUP($D1000,成品本月库存!$B:$J,5,0)</f>
        <v>#N/A</v>
      </c>
      <c r="G1000" s="55"/>
      <c r="H1000" s="53" t="e">
        <f>VLOOKUP($D1000,成品本月库存!$B:$J,9,0)</f>
        <v>#N/A</v>
      </c>
      <c r="I1000" s="56"/>
    </row>
    <row r="1001" ht="15.75" spans="1:9">
      <c r="A1001" s="20"/>
      <c r="B1001" s="51"/>
      <c r="C1001" s="57"/>
      <c r="D1001" s="62"/>
      <c r="E1001" s="53" t="e">
        <f>VLOOKUP($D1001,成品本月库存!$B:$J,2,0)</f>
        <v>#N/A</v>
      </c>
      <c r="F1001" s="54" t="e">
        <f>VLOOKUP($D1001,成品本月库存!$B:$J,5,0)</f>
        <v>#N/A</v>
      </c>
      <c r="G1001" s="55"/>
      <c r="H1001" s="53" t="e">
        <f>VLOOKUP($D1001,成品本月库存!$B:$J,9,0)</f>
        <v>#N/A</v>
      </c>
      <c r="I1001" s="56"/>
    </row>
    <row r="1002" ht="15.75" spans="1:9">
      <c r="A1002" s="20"/>
      <c r="B1002" s="51"/>
      <c r="C1002" s="57"/>
      <c r="D1002" s="62"/>
      <c r="E1002" s="53" t="e">
        <f>VLOOKUP($D1002,成品本月库存!$B:$J,2,0)</f>
        <v>#N/A</v>
      </c>
      <c r="F1002" s="54" t="e">
        <f>VLOOKUP($D1002,成品本月库存!$B:$J,5,0)</f>
        <v>#N/A</v>
      </c>
      <c r="G1002" s="55"/>
      <c r="H1002" s="53" t="e">
        <f>VLOOKUP($D1002,成品本月库存!$B:$J,9,0)</f>
        <v>#N/A</v>
      </c>
      <c r="I1002" s="56"/>
    </row>
    <row r="1003" ht="15.75" spans="1:9">
      <c r="A1003" s="20"/>
      <c r="B1003" s="51"/>
      <c r="C1003" s="57"/>
      <c r="D1003" s="62"/>
      <c r="E1003" s="53" t="e">
        <f>VLOOKUP($D1003,成品本月库存!$B:$J,2,0)</f>
        <v>#N/A</v>
      </c>
      <c r="F1003" s="54" t="e">
        <f>VLOOKUP($D1003,成品本月库存!$B:$J,5,0)</f>
        <v>#N/A</v>
      </c>
      <c r="G1003" s="55"/>
      <c r="H1003" s="53" t="e">
        <f>VLOOKUP($D1003,成品本月库存!$B:$J,9,0)</f>
        <v>#N/A</v>
      </c>
      <c r="I1003" s="56"/>
    </row>
    <row r="1004" ht="15.75" spans="1:9">
      <c r="A1004" s="20"/>
      <c r="B1004" s="51"/>
      <c r="C1004" s="57"/>
      <c r="D1004" s="62"/>
      <c r="E1004" s="53" t="e">
        <f>VLOOKUP($D1004,成品本月库存!$B:$J,2,0)</f>
        <v>#N/A</v>
      </c>
      <c r="F1004" s="54" t="e">
        <f>VLOOKUP($D1004,成品本月库存!$B:$J,5,0)</f>
        <v>#N/A</v>
      </c>
      <c r="G1004" s="55"/>
      <c r="H1004" s="53" t="e">
        <f>VLOOKUP($D1004,成品本月库存!$B:$J,9,0)</f>
        <v>#N/A</v>
      </c>
      <c r="I1004" s="56"/>
    </row>
    <row r="1005" ht="15.75" spans="1:9">
      <c r="A1005" s="20"/>
      <c r="B1005" s="51"/>
      <c r="C1005" s="57"/>
      <c r="D1005" s="62"/>
      <c r="E1005" s="53" t="e">
        <f>VLOOKUP($D1005,成品本月库存!$B:$J,2,0)</f>
        <v>#N/A</v>
      </c>
      <c r="F1005" s="54" t="e">
        <f>VLOOKUP($D1005,成品本月库存!$B:$J,5,0)</f>
        <v>#N/A</v>
      </c>
      <c r="G1005" s="55"/>
      <c r="H1005" s="53" t="e">
        <f>VLOOKUP($D1005,成品本月库存!$B:$J,9,0)</f>
        <v>#N/A</v>
      </c>
      <c r="I1005" s="56"/>
    </row>
    <row r="1006" ht="15.75" spans="1:9">
      <c r="A1006" s="20"/>
      <c r="B1006" s="51"/>
      <c r="C1006" s="57"/>
      <c r="D1006" s="62"/>
      <c r="E1006" s="53" t="e">
        <f>VLOOKUP($D1006,成品本月库存!$B:$J,2,0)</f>
        <v>#N/A</v>
      </c>
      <c r="F1006" s="54" t="e">
        <f>VLOOKUP($D1006,成品本月库存!$B:$J,5,0)</f>
        <v>#N/A</v>
      </c>
      <c r="G1006" s="55"/>
      <c r="H1006" s="53" t="e">
        <f>VLOOKUP($D1006,成品本月库存!$B:$J,9,0)</f>
        <v>#N/A</v>
      </c>
      <c r="I1006" s="56"/>
    </row>
    <row r="1007" ht="15.75" spans="1:9">
      <c r="A1007" s="20"/>
      <c r="B1007" s="51"/>
      <c r="C1007" s="57"/>
      <c r="D1007" s="62"/>
      <c r="E1007" s="53" t="e">
        <f>VLOOKUP($D1007,成品本月库存!$B:$J,2,0)</f>
        <v>#N/A</v>
      </c>
      <c r="F1007" s="54" t="e">
        <f>VLOOKUP($D1007,成品本月库存!$B:$J,5,0)</f>
        <v>#N/A</v>
      </c>
      <c r="G1007" s="55"/>
      <c r="H1007" s="53" t="e">
        <f>VLOOKUP($D1007,成品本月库存!$B:$J,9,0)</f>
        <v>#N/A</v>
      </c>
      <c r="I1007" s="56"/>
    </row>
    <row r="1008" ht="15.75" spans="1:9">
      <c r="A1008" s="20"/>
      <c r="B1008" s="51"/>
      <c r="C1008" s="57"/>
      <c r="D1008" s="62"/>
      <c r="E1008" s="53" t="e">
        <f>VLOOKUP($D1008,成品本月库存!$B:$J,2,0)</f>
        <v>#N/A</v>
      </c>
      <c r="F1008" s="54" t="e">
        <f>VLOOKUP($D1008,成品本月库存!$B:$J,5,0)</f>
        <v>#N/A</v>
      </c>
      <c r="G1008" s="55"/>
      <c r="H1008" s="53" t="e">
        <f>VLOOKUP($D1008,成品本月库存!$B:$J,9,0)</f>
        <v>#N/A</v>
      </c>
      <c r="I1008" s="56"/>
    </row>
    <row r="1009" ht="15.75" spans="1:9">
      <c r="A1009" s="20"/>
      <c r="B1009" s="51"/>
      <c r="C1009" s="57"/>
      <c r="D1009" s="62"/>
      <c r="E1009" s="53" t="e">
        <f>VLOOKUP($D1009,成品本月库存!$B:$J,2,0)</f>
        <v>#N/A</v>
      </c>
      <c r="F1009" s="54" t="e">
        <f>VLOOKUP($D1009,成品本月库存!$B:$J,5,0)</f>
        <v>#N/A</v>
      </c>
      <c r="G1009" s="55"/>
      <c r="H1009" s="53" t="e">
        <f>VLOOKUP($D1009,成品本月库存!$B:$J,9,0)</f>
        <v>#N/A</v>
      </c>
      <c r="I1009" s="56"/>
    </row>
    <row r="1010" ht="15.75" spans="1:9">
      <c r="A1010" s="20"/>
      <c r="B1010" s="51"/>
      <c r="C1010" s="57"/>
      <c r="D1010" s="62"/>
      <c r="E1010" s="53" t="e">
        <f>VLOOKUP($D1010,成品本月库存!$B:$J,2,0)</f>
        <v>#N/A</v>
      </c>
      <c r="F1010" s="54" t="e">
        <f>VLOOKUP($D1010,成品本月库存!$B:$J,5,0)</f>
        <v>#N/A</v>
      </c>
      <c r="G1010" s="55"/>
      <c r="H1010" s="53" t="e">
        <f>VLOOKUP($D1010,成品本月库存!$B:$J,9,0)</f>
        <v>#N/A</v>
      </c>
      <c r="I1010" s="56"/>
    </row>
    <row r="1011" ht="15.75" spans="1:9">
      <c r="A1011" s="20"/>
      <c r="B1011" s="51"/>
      <c r="C1011" s="57"/>
      <c r="D1011" s="62"/>
      <c r="E1011" s="53" t="e">
        <f>VLOOKUP($D1011,成品本月库存!$B:$J,2,0)</f>
        <v>#N/A</v>
      </c>
      <c r="F1011" s="54" t="e">
        <f>VLOOKUP($D1011,成品本月库存!$B:$J,5,0)</f>
        <v>#N/A</v>
      </c>
      <c r="G1011" s="55"/>
      <c r="H1011" s="53" t="e">
        <f>VLOOKUP($D1011,成品本月库存!$B:$J,9,0)</f>
        <v>#N/A</v>
      </c>
      <c r="I1011" s="56"/>
    </row>
    <row r="1012" ht="15.75" spans="1:9">
      <c r="A1012" s="20"/>
      <c r="B1012" s="51"/>
      <c r="C1012" s="57"/>
      <c r="D1012" s="62"/>
      <c r="E1012" s="53" t="e">
        <f>VLOOKUP($D1012,成品本月库存!$B:$J,2,0)</f>
        <v>#N/A</v>
      </c>
      <c r="F1012" s="54" t="e">
        <f>VLOOKUP($D1012,成品本月库存!$B:$J,5,0)</f>
        <v>#N/A</v>
      </c>
      <c r="G1012" s="55"/>
      <c r="H1012" s="53" t="e">
        <f>VLOOKUP($D1012,成品本月库存!$B:$J,9,0)</f>
        <v>#N/A</v>
      </c>
      <c r="I1012" s="56"/>
    </row>
    <row r="1013" ht="15.75" spans="1:9">
      <c r="A1013" s="20"/>
      <c r="B1013" s="51"/>
      <c r="C1013" s="57"/>
      <c r="D1013" s="62"/>
      <c r="E1013" s="53" t="e">
        <f>VLOOKUP($D1013,成品本月库存!$B:$J,2,0)</f>
        <v>#N/A</v>
      </c>
      <c r="F1013" s="54" t="e">
        <f>VLOOKUP($D1013,成品本月库存!$B:$J,5,0)</f>
        <v>#N/A</v>
      </c>
      <c r="G1013" s="55"/>
      <c r="H1013" s="53" t="e">
        <f>VLOOKUP($D1013,成品本月库存!$B:$J,9,0)</f>
        <v>#N/A</v>
      </c>
      <c r="I1013" s="56"/>
    </row>
    <row r="1014" ht="15.75" spans="1:9">
      <c r="A1014" s="20"/>
      <c r="B1014" s="51"/>
      <c r="C1014" s="57"/>
      <c r="D1014" s="62"/>
      <c r="E1014" s="53" t="e">
        <f>VLOOKUP($D1014,成品本月库存!$B:$J,2,0)</f>
        <v>#N/A</v>
      </c>
      <c r="F1014" s="54" t="e">
        <f>VLOOKUP($D1014,成品本月库存!$B:$J,5,0)</f>
        <v>#N/A</v>
      </c>
      <c r="G1014" s="55"/>
      <c r="H1014" s="53" t="e">
        <f>VLOOKUP($D1014,成品本月库存!$B:$J,9,0)</f>
        <v>#N/A</v>
      </c>
      <c r="I1014" s="56"/>
    </row>
    <row r="1015" ht="12" customHeight="1" spans="1:9">
      <c r="A1015" s="20"/>
      <c r="B1015" s="51"/>
      <c r="C1015" s="57"/>
      <c r="D1015" s="62"/>
      <c r="E1015" s="53" t="e">
        <f>VLOOKUP($D1015,成品本月库存!$B:$J,2,0)</f>
        <v>#N/A</v>
      </c>
      <c r="F1015" s="54" t="e">
        <f>VLOOKUP($D1015,成品本月库存!$B:$J,5,0)</f>
        <v>#N/A</v>
      </c>
      <c r="G1015" s="55"/>
      <c r="H1015" s="53" t="e">
        <f>VLOOKUP($D1015,成品本月库存!$B:$J,9,0)</f>
        <v>#N/A</v>
      </c>
      <c r="I1015" s="56"/>
    </row>
    <row r="1016" ht="15.75" spans="1:9">
      <c r="A1016" s="20"/>
      <c r="B1016" s="51"/>
      <c r="C1016" s="57"/>
      <c r="D1016" s="62"/>
      <c r="E1016" s="53" t="e">
        <f>VLOOKUP($D1016,成品本月库存!$B:$J,2,0)</f>
        <v>#N/A</v>
      </c>
      <c r="F1016" s="54" t="e">
        <f>VLOOKUP($D1016,成品本月库存!$B:$J,5,0)</f>
        <v>#N/A</v>
      </c>
      <c r="G1016" s="55"/>
      <c r="H1016" s="53" t="e">
        <f>VLOOKUP($D1016,成品本月库存!$B:$J,9,0)</f>
        <v>#N/A</v>
      </c>
      <c r="I1016" s="56"/>
    </row>
    <row r="1017" ht="15.75" spans="1:9">
      <c r="A1017" s="20"/>
      <c r="B1017" s="51"/>
      <c r="C1017" s="57"/>
      <c r="D1017" s="62"/>
      <c r="E1017" s="53" t="e">
        <f>VLOOKUP($D1017,成品本月库存!$B:$J,2,0)</f>
        <v>#N/A</v>
      </c>
      <c r="F1017" s="54" t="e">
        <f>VLOOKUP($D1017,成品本月库存!$B:$J,5,0)</f>
        <v>#N/A</v>
      </c>
      <c r="G1017" s="55"/>
      <c r="H1017" s="53" t="e">
        <f>VLOOKUP($D1017,成品本月库存!$B:$J,9,0)</f>
        <v>#N/A</v>
      </c>
      <c r="I1017" s="56"/>
    </row>
    <row r="1018" ht="15.75" spans="1:9">
      <c r="A1018" s="20"/>
      <c r="B1018" s="51"/>
      <c r="C1018" s="57"/>
      <c r="D1018" s="62"/>
      <c r="E1018" s="53" t="e">
        <f>VLOOKUP($D1018,成品本月库存!$B:$J,2,0)</f>
        <v>#N/A</v>
      </c>
      <c r="F1018" s="54" t="e">
        <f>VLOOKUP($D1018,成品本月库存!$B:$J,5,0)</f>
        <v>#N/A</v>
      </c>
      <c r="G1018" s="55"/>
      <c r="H1018" s="53" t="e">
        <f>VLOOKUP($D1018,成品本月库存!$B:$J,9,0)</f>
        <v>#N/A</v>
      </c>
      <c r="I1018" s="56"/>
    </row>
    <row r="1019" ht="15.75" spans="1:9">
      <c r="A1019" s="20"/>
      <c r="B1019" s="51"/>
      <c r="C1019" s="57"/>
      <c r="D1019" s="62"/>
      <c r="E1019" s="53" t="e">
        <f>VLOOKUP($D1019,成品本月库存!$B:$J,2,0)</f>
        <v>#N/A</v>
      </c>
      <c r="F1019" s="54" t="e">
        <f>VLOOKUP($D1019,成品本月库存!$B:$J,5,0)</f>
        <v>#N/A</v>
      </c>
      <c r="G1019" s="55"/>
      <c r="H1019" s="53" t="e">
        <f>VLOOKUP($D1019,成品本月库存!$B:$J,9,0)</f>
        <v>#N/A</v>
      </c>
      <c r="I1019" s="56"/>
    </row>
    <row r="1020" ht="15.75" spans="1:9">
      <c r="A1020" s="20"/>
      <c r="B1020" s="51"/>
      <c r="C1020" s="57"/>
      <c r="D1020" s="62"/>
      <c r="E1020" s="53" t="e">
        <f>VLOOKUP($D1020,成品本月库存!$B:$J,2,0)</f>
        <v>#N/A</v>
      </c>
      <c r="F1020" s="54" t="e">
        <f>VLOOKUP($D1020,成品本月库存!$B:$J,5,0)</f>
        <v>#N/A</v>
      </c>
      <c r="G1020" s="55"/>
      <c r="H1020" s="53" t="e">
        <f>VLOOKUP($D1020,成品本月库存!$B:$J,9,0)</f>
        <v>#N/A</v>
      </c>
      <c r="I1020" s="56"/>
    </row>
    <row r="1021" ht="15.75" spans="1:9">
      <c r="A1021" s="20"/>
      <c r="B1021" s="51"/>
      <c r="C1021" s="57"/>
      <c r="D1021" s="62"/>
      <c r="E1021" s="53" t="e">
        <f>VLOOKUP($D1021,成品本月库存!$B:$J,2,0)</f>
        <v>#N/A</v>
      </c>
      <c r="F1021" s="54" t="e">
        <f>VLOOKUP($D1021,成品本月库存!$B:$J,5,0)</f>
        <v>#N/A</v>
      </c>
      <c r="G1021" s="55"/>
      <c r="H1021" s="53" t="e">
        <f>VLOOKUP($D1021,成品本月库存!$B:$J,9,0)</f>
        <v>#N/A</v>
      </c>
      <c r="I1021" s="56"/>
    </row>
    <row r="1022" ht="15.75" spans="1:9">
      <c r="A1022" s="20"/>
      <c r="B1022" s="51"/>
      <c r="C1022" s="57"/>
      <c r="D1022" s="62"/>
      <c r="E1022" s="53" t="e">
        <f>VLOOKUP($D1022,成品本月库存!$B:$J,2,0)</f>
        <v>#N/A</v>
      </c>
      <c r="F1022" s="54" t="e">
        <f>VLOOKUP($D1022,成品本月库存!$B:$J,5,0)</f>
        <v>#N/A</v>
      </c>
      <c r="G1022" s="55"/>
      <c r="H1022" s="53" t="e">
        <f>VLOOKUP($D1022,成品本月库存!$B:$J,9,0)</f>
        <v>#N/A</v>
      </c>
      <c r="I1022" s="56"/>
    </row>
    <row r="1023" ht="15.75" spans="1:9">
      <c r="A1023" s="20"/>
      <c r="B1023" s="51"/>
      <c r="C1023" s="57"/>
      <c r="D1023" s="62"/>
      <c r="E1023" s="53" t="e">
        <f>VLOOKUP($D1023,成品本月库存!$B:$J,2,0)</f>
        <v>#N/A</v>
      </c>
      <c r="F1023" s="54" t="e">
        <f>VLOOKUP($D1023,成品本月库存!$B:$J,5,0)</f>
        <v>#N/A</v>
      </c>
      <c r="G1023" s="55"/>
      <c r="H1023" s="53" t="e">
        <f>VLOOKUP($D1023,成品本月库存!$B:$J,9,0)</f>
        <v>#N/A</v>
      </c>
      <c r="I1023" s="56"/>
    </row>
    <row r="1024" ht="15.75" spans="1:9">
      <c r="A1024" s="20"/>
      <c r="B1024" s="51"/>
      <c r="C1024" s="57"/>
      <c r="D1024" s="62"/>
      <c r="E1024" s="53" t="e">
        <f>VLOOKUP($D1024,成品本月库存!$B:$J,2,0)</f>
        <v>#N/A</v>
      </c>
      <c r="F1024" s="54" t="e">
        <f>VLOOKUP($D1024,成品本月库存!$B:$J,5,0)</f>
        <v>#N/A</v>
      </c>
      <c r="G1024" s="55"/>
      <c r="H1024" s="53" t="e">
        <f>VLOOKUP($D1024,成品本月库存!$B:$J,9,0)</f>
        <v>#N/A</v>
      </c>
      <c r="I1024" s="56"/>
    </row>
    <row r="1025" ht="15.75" spans="1:9">
      <c r="A1025" s="20"/>
      <c r="B1025" s="51"/>
      <c r="C1025" s="57"/>
      <c r="D1025" s="62"/>
      <c r="E1025" s="53" t="e">
        <f>VLOOKUP($D1025,成品本月库存!$B:$J,2,0)</f>
        <v>#N/A</v>
      </c>
      <c r="F1025" s="54" t="e">
        <f>VLOOKUP($D1025,成品本月库存!$B:$J,5,0)</f>
        <v>#N/A</v>
      </c>
      <c r="G1025" s="55"/>
      <c r="H1025" s="53" t="e">
        <f>VLOOKUP($D1025,成品本月库存!$B:$J,9,0)</f>
        <v>#N/A</v>
      </c>
      <c r="I1025" s="56"/>
    </row>
    <row r="1026" ht="15.75" spans="1:9">
      <c r="A1026" s="20"/>
      <c r="B1026" s="51"/>
      <c r="C1026" s="57"/>
      <c r="D1026" s="62"/>
      <c r="E1026" s="53" t="e">
        <f>VLOOKUP($D1026,成品本月库存!$B:$J,2,0)</f>
        <v>#N/A</v>
      </c>
      <c r="F1026" s="54" t="e">
        <f>VLOOKUP($D1026,成品本月库存!$B:$J,5,0)</f>
        <v>#N/A</v>
      </c>
      <c r="G1026" s="55"/>
      <c r="H1026" s="53" t="e">
        <f>VLOOKUP($D1026,成品本月库存!$B:$J,9,0)</f>
        <v>#N/A</v>
      </c>
      <c r="I1026" s="56"/>
    </row>
    <row r="1027" ht="15.75" spans="1:9">
      <c r="A1027" s="20"/>
      <c r="B1027" s="51"/>
      <c r="C1027" s="57"/>
      <c r="D1027" s="62"/>
      <c r="E1027" s="53" t="e">
        <f>VLOOKUP($D1027,成品本月库存!$B:$J,2,0)</f>
        <v>#N/A</v>
      </c>
      <c r="F1027" s="54" t="e">
        <f>VLOOKUP($D1027,成品本月库存!$B:$J,5,0)</f>
        <v>#N/A</v>
      </c>
      <c r="G1027" s="55"/>
      <c r="H1027" s="53" t="e">
        <f>VLOOKUP($D1027,成品本月库存!$B:$J,9,0)</f>
        <v>#N/A</v>
      </c>
      <c r="I1027" s="56"/>
    </row>
    <row r="1028" ht="15.75" spans="1:9">
      <c r="A1028" s="20"/>
      <c r="B1028" s="51"/>
      <c r="C1028" s="57"/>
      <c r="D1028" s="62"/>
      <c r="E1028" s="53" t="e">
        <f>VLOOKUP($D1028,成品本月库存!$B:$J,2,0)</f>
        <v>#N/A</v>
      </c>
      <c r="F1028" s="54" t="e">
        <f>VLOOKUP($D1028,成品本月库存!$B:$J,5,0)</f>
        <v>#N/A</v>
      </c>
      <c r="G1028" s="55"/>
      <c r="H1028" s="53" t="e">
        <f>VLOOKUP($D1028,成品本月库存!$B:$J,9,0)</f>
        <v>#N/A</v>
      </c>
      <c r="I1028" s="56"/>
    </row>
    <row r="1029" ht="15.75" spans="1:9">
      <c r="A1029" s="20"/>
      <c r="B1029" s="51"/>
      <c r="C1029" s="57"/>
      <c r="D1029" s="62"/>
      <c r="E1029" s="53" t="e">
        <f>VLOOKUP($D1029,成品本月库存!$B:$J,2,0)</f>
        <v>#N/A</v>
      </c>
      <c r="F1029" s="54" t="e">
        <f>VLOOKUP($D1029,成品本月库存!$B:$J,5,0)</f>
        <v>#N/A</v>
      </c>
      <c r="G1029" s="55"/>
      <c r="H1029" s="53" t="e">
        <f>VLOOKUP($D1029,成品本月库存!$B:$J,9,0)</f>
        <v>#N/A</v>
      </c>
      <c r="I1029" s="56"/>
    </row>
    <row r="1030" ht="15.75" spans="1:9">
      <c r="A1030" s="20"/>
      <c r="B1030" s="51"/>
      <c r="C1030" s="57"/>
      <c r="D1030" s="62"/>
      <c r="E1030" s="53" t="e">
        <f>VLOOKUP($D1030,成品本月库存!$B:$J,2,0)</f>
        <v>#N/A</v>
      </c>
      <c r="F1030" s="54" t="e">
        <f>VLOOKUP($D1030,成品本月库存!$B:$J,5,0)</f>
        <v>#N/A</v>
      </c>
      <c r="G1030" s="55"/>
      <c r="H1030" s="53" t="e">
        <f>VLOOKUP($D1030,成品本月库存!$B:$J,9,0)</f>
        <v>#N/A</v>
      </c>
      <c r="I1030" s="56"/>
    </row>
    <row r="1031" ht="15.75" spans="1:9">
      <c r="A1031" s="20"/>
      <c r="B1031" s="51"/>
      <c r="C1031" s="57"/>
      <c r="D1031" s="62"/>
      <c r="E1031" s="53" t="e">
        <f>VLOOKUP($D1031,成品本月库存!$B:$J,2,0)</f>
        <v>#N/A</v>
      </c>
      <c r="F1031" s="54" t="e">
        <f>VLOOKUP($D1031,成品本月库存!$B:$J,5,0)</f>
        <v>#N/A</v>
      </c>
      <c r="G1031" s="55"/>
      <c r="H1031" s="53" t="e">
        <f>VLOOKUP($D1031,成品本月库存!$B:$J,9,0)</f>
        <v>#N/A</v>
      </c>
      <c r="I1031" s="56"/>
    </row>
    <row r="1032" ht="15.75" spans="1:9">
      <c r="A1032" s="20"/>
      <c r="B1032" s="51"/>
      <c r="C1032" s="57"/>
      <c r="D1032" s="62"/>
      <c r="E1032" s="53" t="e">
        <f>VLOOKUP($D1032,成品本月库存!$B:$J,2,0)</f>
        <v>#N/A</v>
      </c>
      <c r="F1032" s="54" t="e">
        <f>VLOOKUP($D1032,成品本月库存!$B:$J,5,0)</f>
        <v>#N/A</v>
      </c>
      <c r="G1032" s="55"/>
      <c r="H1032" s="53" t="e">
        <f>VLOOKUP($D1032,成品本月库存!$B:$J,9,0)</f>
        <v>#N/A</v>
      </c>
      <c r="I1032" s="56"/>
    </row>
    <row r="1033" ht="15.75" spans="1:9">
      <c r="A1033" s="20"/>
      <c r="B1033" s="51"/>
      <c r="C1033" s="57"/>
      <c r="D1033" s="62"/>
      <c r="E1033" s="53" t="e">
        <f>VLOOKUP($D1033,成品本月库存!$B:$J,2,0)</f>
        <v>#N/A</v>
      </c>
      <c r="F1033" s="54" t="e">
        <f>VLOOKUP($D1033,成品本月库存!$B:$J,5,0)</f>
        <v>#N/A</v>
      </c>
      <c r="G1033" s="55"/>
      <c r="H1033" s="53" t="e">
        <f>VLOOKUP($D1033,成品本月库存!$B:$J,9,0)</f>
        <v>#N/A</v>
      </c>
      <c r="I1033" s="56"/>
    </row>
    <row r="1034" ht="15.75" spans="1:9">
      <c r="A1034" s="20"/>
      <c r="B1034" s="51"/>
      <c r="C1034" s="57"/>
      <c r="D1034" s="62"/>
      <c r="E1034" s="53" t="e">
        <f>VLOOKUP($D1034,成品本月库存!$B:$J,2,0)</f>
        <v>#N/A</v>
      </c>
      <c r="F1034" s="54" t="e">
        <f>VLOOKUP($D1034,成品本月库存!$B:$J,5,0)</f>
        <v>#N/A</v>
      </c>
      <c r="G1034" s="55"/>
      <c r="H1034" s="53" t="e">
        <f>VLOOKUP($D1034,成品本月库存!$B:$J,9,0)</f>
        <v>#N/A</v>
      </c>
      <c r="I1034" s="56"/>
    </row>
    <row r="1035" ht="15.75" spans="1:9">
      <c r="A1035" s="20"/>
      <c r="B1035" s="51"/>
      <c r="C1035" s="57"/>
      <c r="D1035" s="62"/>
      <c r="E1035" s="53" t="e">
        <f>VLOOKUP($D1035,成品本月库存!$B:$J,2,0)</f>
        <v>#N/A</v>
      </c>
      <c r="F1035" s="54" t="e">
        <f>VLOOKUP($D1035,成品本月库存!$B:$J,5,0)</f>
        <v>#N/A</v>
      </c>
      <c r="G1035" s="55"/>
      <c r="H1035" s="53" t="e">
        <f>VLOOKUP($D1035,成品本月库存!$B:$J,9,0)</f>
        <v>#N/A</v>
      </c>
      <c r="I1035" s="56"/>
    </row>
    <row r="1036" ht="15.75" spans="1:9">
      <c r="A1036" s="20"/>
      <c r="B1036" s="51"/>
      <c r="C1036" s="57"/>
      <c r="D1036" s="62"/>
      <c r="E1036" s="53" t="e">
        <f>VLOOKUP($D1036,成品本月库存!$B:$J,2,0)</f>
        <v>#N/A</v>
      </c>
      <c r="F1036" s="54" t="e">
        <f>VLOOKUP($D1036,成品本月库存!$B:$J,5,0)</f>
        <v>#N/A</v>
      </c>
      <c r="G1036" s="55"/>
      <c r="H1036" s="53" t="e">
        <f>VLOOKUP($D1036,成品本月库存!$B:$J,9,0)</f>
        <v>#N/A</v>
      </c>
      <c r="I1036" s="56"/>
    </row>
    <row r="1037" ht="15.75" spans="1:9">
      <c r="A1037" s="20"/>
      <c r="B1037" s="51"/>
      <c r="C1037" s="57"/>
      <c r="D1037" s="62"/>
      <c r="E1037" s="53" t="e">
        <f>VLOOKUP($D1037,成品本月库存!$B:$J,2,0)</f>
        <v>#N/A</v>
      </c>
      <c r="F1037" s="54" t="e">
        <f>VLOOKUP($D1037,成品本月库存!$B:$J,5,0)</f>
        <v>#N/A</v>
      </c>
      <c r="G1037" s="55"/>
      <c r="H1037" s="53" t="e">
        <f>VLOOKUP($D1037,成品本月库存!$B:$J,9,0)</f>
        <v>#N/A</v>
      </c>
      <c r="I1037" s="56"/>
    </row>
    <row r="1038" ht="15.75" spans="1:9">
      <c r="A1038" s="20"/>
      <c r="B1038" s="51"/>
      <c r="C1038" s="57"/>
      <c r="D1038" s="62"/>
      <c r="E1038" s="53" t="e">
        <f>VLOOKUP($D1038,成品本月库存!$B:$J,2,0)</f>
        <v>#N/A</v>
      </c>
      <c r="F1038" s="54" t="e">
        <f>VLOOKUP($D1038,成品本月库存!$B:$J,5,0)</f>
        <v>#N/A</v>
      </c>
      <c r="G1038" s="55"/>
      <c r="H1038" s="53" t="e">
        <f>VLOOKUP($D1038,成品本月库存!$B:$J,9,0)</f>
        <v>#N/A</v>
      </c>
      <c r="I1038" s="56"/>
    </row>
    <row r="1039" ht="15.75" spans="1:9">
      <c r="A1039" s="20"/>
      <c r="B1039" s="51"/>
      <c r="C1039" s="57"/>
      <c r="D1039" s="62"/>
      <c r="E1039" s="53" t="e">
        <f>VLOOKUP($D1039,成品本月库存!$B:$J,2,0)</f>
        <v>#N/A</v>
      </c>
      <c r="F1039" s="54" t="e">
        <f>VLOOKUP($D1039,成品本月库存!$B:$J,5,0)</f>
        <v>#N/A</v>
      </c>
      <c r="G1039" s="55"/>
      <c r="H1039" s="53" t="e">
        <f>VLOOKUP($D1039,成品本月库存!$B:$J,9,0)</f>
        <v>#N/A</v>
      </c>
      <c r="I1039" s="56"/>
    </row>
    <row r="1040" ht="15.75" spans="1:9">
      <c r="A1040" s="20"/>
      <c r="B1040" s="51"/>
      <c r="C1040" s="57"/>
      <c r="D1040" s="62"/>
      <c r="E1040" s="53" t="e">
        <f>VLOOKUP($D1040,成品本月库存!$B:$J,2,0)</f>
        <v>#N/A</v>
      </c>
      <c r="F1040" s="54" t="e">
        <f>VLOOKUP($D1040,成品本月库存!$B:$J,5,0)</f>
        <v>#N/A</v>
      </c>
      <c r="G1040" s="55"/>
      <c r="H1040" s="53" t="e">
        <f>VLOOKUP($D1040,成品本月库存!$B:$J,9,0)</f>
        <v>#N/A</v>
      </c>
      <c r="I1040" s="56"/>
    </row>
    <row r="1041" ht="15.75" spans="1:9">
      <c r="A1041" s="20"/>
      <c r="B1041" s="51"/>
      <c r="C1041" s="57"/>
      <c r="D1041" s="62"/>
      <c r="E1041" s="53" t="e">
        <f>VLOOKUP($D1041,成品本月库存!$B:$J,2,0)</f>
        <v>#N/A</v>
      </c>
      <c r="F1041" s="54" t="e">
        <f>VLOOKUP($D1041,成品本月库存!$B:$J,5,0)</f>
        <v>#N/A</v>
      </c>
      <c r="G1041" s="55"/>
      <c r="H1041" s="53" t="e">
        <f>VLOOKUP($D1041,成品本月库存!$B:$J,9,0)</f>
        <v>#N/A</v>
      </c>
      <c r="I1041" s="56"/>
    </row>
    <row r="1042" ht="15.75" spans="1:9">
      <c r="A1042" s="20"/>
      <c r="B1042" s="51"/>
      <c r="C1042" s="57"/>
      <c r="D1042" s="62"/>
      <c r="E1042" s="53" t="e">
        <f>VLOOKUP($D1042,成品本月库存!$B:$J,2,0)</f>
        <v>#N/A</v>
      </c>
      <c r="F1042" s="54" t="e">
        <f>VLOOKUP($D1042,成品本月库存!$B:$J,5,0)</f>
        <v>#N/A</v>
      </c>
      <c r="G1042" s="55"/>
      <c r="H1042" s="53" t="e">
        <f>VLOOKUP($D1042,成品本月库存!$B:$J,9,0)</f>
        <v>#N/A</v>
      </c>
      <c r="I1042" s="56"/>
    </row>
    <row r="1043" ht="15.75" spans="1:9">
      <c r="A1043" s="20"/>
      <c r="B1043" s="51"/>
      <c r="C1043" s="57"/>
      <c r="D1043" s="62"/>
      <c r="E1043" s="53" t="e">
        <f>VLOOKUP($D1043,成品本月库存!$B:$J,2,0)</f>
        <v>#N/A</v>
      </c>
      <c r="F1043" s="54" t="e">
        <f>VLOOKUP($D1043,成品本月库存!$B:$J,5,0)</f>
        <v>#N/A</v>
      </c>
      <c r="G1043" s="55"/>
      <c r="H1043" s="53" t="e">
        <f>VLOOKUP($D1043,成品本月库存!$B:$J,9,0)</f>
        <v>#N/A</v>
      </c>
      <c r="I1043" s="56"/>
    </row>
    <row r="1044" ht="15.75" spans="1:9">
      <c r="A1044" s="20"/>
      <c r="B1044" s="51"/>
      <c r="C1044" s="57"/>
      <c r="D1044" s="62"/>
      <c r="E1044" s="53" t="e">
        <f>VLOOKUP($D1044,成品本月库存!$B:$J,2,0)</f>
        <v>#N/A</v>
      </c>
      <c r="F1044" s="54" t="e">
        <f>VLOOKUP($D1044,成品本月库存!$B:$J,5,0)</f>
        <v>#N/A</v>
      </c>
      <c r="G1044" s="55"/>
      <c r="H1044" s="53" t="e">
        <f>VLOOKUP($D1044,成品本月库存!$B:$J,9,0)</f>
        <v>#N/A</v>
      </c>
      <c r="I1044" s="56"/>
    </row>
    <row r="1045" ht="15.75" spans="1:9">
      <c r="A1045" s="20"/>
      <c r="B1045" s="51"/>
      <c r="C1045" s="57"/>
      <c r="D1045" s="62"/>
      <c r="E1045" s="53" t="e">
        <f>VLOOKUP($D1045,成品本月库存!$B:$J,2,0)</f>
        <v>#N/A</v>
      </c>
      <c r="F1045" s="54" t="e">
        <f>VLOOKUP($D1045,成品本月库存!$B:$J,5,0)</f>
        <v>#N/A</v>
      </c>
      <c r="G1045" s="55"/>
      <c r="H1045" s="53" t="e">
        <f>VLOOKUP($D1045,成品本月库存!$B:$J,9,0)</f>
        <v>#N/A</v>
      </c>
      <c r="I1045" s="56"/>
    </row>
    <row r="1046" ht="15.75" spans="1:9">
      <c r="A1046" s="20"/>
      <c r="B1046" s="51"/>
      <c r="C1046" s="57"/>
      <c r="D1046" s="62"/>
      <c r="E1046" s="53" t="e">
        <f>VLOOKUP($D1046,成品本月库存!$B:$J,2,0)</f>
        <v>#N/A</v>
      </c>
      <c r="F1046" s="54" t="e">
        <f>VLOOKUP($D1046,成品本月库存!$B:$J,5,0)</f>
        <v>#N/A</v>
      </c>
      <c r="G1046" s="55"/>
      <c r="H1046" s="53" t="e">
        <f>VLOOKUP($D1046,成品本月库存!$B:$J,9,0)</f>
        <v>#N/A</v>
      </c>
      <c r="I1046" s="56"/>
    </row>
    <row r="1047" ht="15.75" spans="1:9">
      <c r="A1047" s="20"/>
      <c r="B1047" s="51"/>
      <c r="C1047" s="57"/>
      <c r="D1047" s="62"/>
      <c r="E1047" s="53" t="e">
        <f>VLOOKUP($D1047,成品本月库存!$B:$J,2,0)</f>
        <v>#N/A</v>
      </c>
      <c r="F1047" s="54" t="e">
        <f>VLOOKUP($D1047,成品本月库存!$B:$J,5,0)</f>
        <v>#N/A</v>
      </c>
      <c r="G1047" s="55"/>
      <c r="H1047" s="53" t="e">
        <f>VLOOKUP($D1047,成品本月库存!$B:$J,9,0)</f>
        <v>#N/A</v>
      </c>
      <c r="I1047" s="56"/>
    </row>
    <row r="1048" ht="15.75" spans="1:9">
      <c r="A1048" s="20"/>
      <c r="B1048" s="51"/>
      <c r="C1048" s="57"/>
      <c r="D1048" s="62"/>
      <c r="E1048" s="53" t="e">
        <f>VLOOKUP($D1048,成品本月库存!$B:$J,2,0)</f>
        <v>#N/A</v>
      </c>
      <c r="F1048" s="54" t="e">
        <f>VLOOKUP($D1048,成品本月库存!$B:$J,5,0)</f>
        <v>#N/A</v>
      </c>
      <c r="G1048" s="55"/>
      <c r="H1048" s="53" t="e">
        <f>VLOOKUP($D1048,成品本月库存!$B:$J,9,0)</f>
        <v>#N/A</v>
      </c>
      <c r="I1048" s="56"/>
    </row>
    <row r="1049" ht="15.75" spans="1:9">
      <c r="A1049" s="20"/>
      <c r="B1049" s="51"/>
      <c r="C1049" s="57"/>
      <c r="D1049" s="62"/>
      <c r="E1049" s="53" t="e">
        <f>VLOOKUP($D1049,成品本月库存!$B:$J,2,0)</f>
        <v>#N/A</v>
      </c>
      <c r="F1049" s="54" t="e">
        <f>VLOOKUP($D1049,成品本月库存!$B:$J,5,0)</f>
        <v>#N/A</v>
      </c>
      <c r="G1049" s="55"/>
      <c r="H1049" s="53" t="e">
        <f>VLOOKUP($D1049,成品本月库存!$B:$J,9,0)</f>
        <v>#N/A</v>
      </c>
      <c r="I1049" s="56"/>
    </row>
    <row r="1050" ht="15.75" spans="1:9">
      <c r="A1050" s="20"/>
      <c r="B1050" s="51"/>
      <c r="C1050" s="57"/>
      <c r="D1050" s="62"/>
      <c r="E1050" s="53" t="e">
        <f>VLOOKUP($D1050,成品本月库存!$B:$J,2,0)</f>
        <v>#N/A</v>
      </c>
      <c r="F1050" s="54" t="e">
        <f>VLOOKUP($D1050,成品本月库存!$B:$J,5,0)</f>
        <v>#N/A</v>
      </c>
      <c r="G1050" s="55"/>
      <c r="H1050" s="53" t="e">
        <f>VLOOKUP($D1050,成品本月库存!$B:$J,9,0)</f>
        <v>#N/A</v>
      </c>
      <c r="I1050" s="56"/>
    </row>
    <row r="1051" ht="15.75" spans="1:9">
      <c r="A1051" s="20"/>
      <c r="B1051" s="51"/>
      <c r="C1051" s="57"/>
      <c r="D1051" s="62"/>
      <c r="E1051" s="53" t="e">
        <f>VLOOKUP($D1051,成品本月库存!$B:$J,2,0)</f>
        <v>#N/A</v>
      </c>
      <c r="F1051" s="54" t="e">
        <f>VLOOKUP($D1051,成品本月库存!$B:$J,5,0)</f>
        <v>#N/A</v>
      </c>
      <c r="G1051" s="55"/>
      <c r="H1051" s="53" t="e">
        <f>VLOOKUP($D1051,成品本月库存!$B:$J,9,0)</f>
        <v>#N/A</v>
      </c>
      <c r="I1051" s="56"/>
    </row>
    <row r="1052" ht="15.75" spans="1:9">
      <c r="A1052" s="20"/>
      <c r="B1052" s="51"/>
      <c r="C1052" s="57"/>
      <c r="D1052" s="62"/>
      <c r="E1052" s="53" t="e">
        <f>VLOOKUP($D1052,成品本月库存!$B:$J,2,0)</f>
        <v>#N/A</v>
      </c>
      <c r="F1052" s="54" t="e">
        <f>VLOOKUP($D1052,成品本月库存!$B:$J,5,0)</f>
        <v>#N/A</v>
      </c>
      <c r="G1052" s="55"/>
      <c r="H1052" s="53" t="e">
        <f>VLOOKUP($D1052,成品本月库存!$B:$J,9,0)</f>
        <v>#N/A</v>
      </c>
      <c r="I1052" s="56"/>
    </row>
    <row r="1053" ht="15.75" spans="1:9">
      <c r="A1053" s="20"/>
      <c r="B1053" s="51"/>
      <c r="C1053" s="57"/>
      <c r="D1053" s="62"/>
      <c r="E1053" s="53" t="e">
        <f>VLOOKUP($D1053,成品本月库存!$B:$J,2,0)</f>
        <v>#N/A</v>
      </c>
      <c r="F1053" s="54" t="e">
        <f>VLOOKUP($D1053,成品本月库存!$B:$J,5,0)</f>
        <v>#N/A</v>
      </c>
      <c r="G1053" s="55"/>
      <c r="H1053" s="53" t="e">
        <f>VLOOKUP($D1053,成品本月库存!$B:$J,9,0)</f>
        <v>#N/A</v>
      </c>
      <c r="I1053" s="56"/>
    </row>
    <row r="1054" ht="15.75" spans="1:9">
      <c r="A1054" s="20"/>
      <c r="B1054" s="51"/>
      <c r="C1054" s="57"/>
      <c r="D1054" s="62"/>
      <c r="E1054" s="53" t="e">
        <f>VLOOKUP($D1054,成品本月库存!$B:$J,2,0)</f>
        <v>#N/A</v>
      </c>
      <c r="F1054" s="54" t="e">
        <f>VLOOKUP($D1054,成品本月库存!$B:$J,5,0)</f>
        <v>#N/A</v>
      </c>
      <c r="G1054" s="55"/>
      <c r="H1054" s="53" t="e">
        <f>VLOOKUP($D1054,成品本月库存!$B:$J,9,0)</f>
        <v>#N/A</v>
      </c>
      <c r="I1054" s="56"/>
    </row>
    <row r="1055" ht="15.75" spans="1:9">
      <c r="A1055" s="20"/>
      <c r="B1055" s="51"/>
      <c r="C1055" s="57"/>
      <c r="D1055" s="62"/>
      <c r="E1055" s="53" t="e">
        <f>VLOOKUP($D1055,成品本月库存!$B:$J,2,0)</f>
        <v>#N/A</v>
      </c>
      <c r="F1055" s="54" t="e">
        <f>VLOOKUP($D1055,成品本月库存!$B:$J,5,0)</f>
        <v>#N/A</v>
      </c>
      <c r="G1055" s="55"/>
      <c r="H1055" s="53" t="e">
        <f>VLOOKUP($D1055,成品本月库存!$B:$J,9,0)</f>
        <v>#N/A</v>
      </c>
      <c r="I1055" s="56"/>
    </row>
    <row r="1056" ht="15.75" spans="1:9">
      <c r="A1056" s="20"/>
      <c r="B1056" s="51"/>
      <c r="C1056" s="57"/>
      <c r="D1056" s="62"/>
      <c r="E1056" s="53" t="e">
        <f>VLOOKUP($D1056,成品本月库存!$B:$J,2,0)</f>
        <v>#N/A</v>
      </c>
      <c r="F1056" s="54" t="e">
        <f>VLOOKUP($D1056,成品本月库存!$B:$J,5,0)</f>
        <v>#N/A</v>
      </c>
      <c r="G1056" s="55"/>
      <c r="H1056" s="53" t="e">
        <f>VLOOKUP($D1056,成品本月库存!$B:$J,9,0)</f>
        <v>#N/A</v>
      </c>
      <c r="I1056" s="56"/>
    </row>
    <row r="1057" ht="15.75" spans="1:9">
      <c r="A1057" s="20"/>
      <c r="B1057" s="51"/>
      <c r="C1057" s="57"/>
      <c r="D1057" s="62"/>
      <c r="E1057" s="53" t="e">
        <f>VLOOKUP($D1057,成品本月库存!$B:$J,2,0)</f>
        <v>#N/A</v>
      </c>
      <c r="F1057" s="54" t="e">
        <f>VLOOKUP($D1057,成品本月库存!$B:$J,5,0)</f>
        <v>#N/A</v>
      </c>
      <c r="G1057" s="55"/>
      <c r="H1057" s="53" t="e">
        <f>VLOOKUP($D1057,成品本月库存!$B:$J,9,0)</f>
        <v>#N/A</v>
      </c>
      <c r="I1057" s="56"/>
    </row>
    <row r="1058" ht="15.75" spans="1:9">
      <c r="A1058" s="20"/>
      <c r="B1058" s="51"/>
      <c r="C1058" s="57"/>
      <c r="D1058" s="62"/>
      <c r="E1058" s="53" t="e">
        <f>VLOOKUP($D1058,成品本月库存!$B:$J,2,0)</f>
        <v>#N/A</v>
      </c>
      <c r="F1058" s="54" t="e">
        <f>VLOOKUP($D1058,成品本月库存!$B:$J,5,0)</f>
        <v>#N/A</v>
      </c>
      <c r="G1058" s="55"/>
      <c r="H1058" s="53" t="e">
        <f>VLOOKUP($D1058,成品本月库存!$B:$J,9,0)</f>
        <v>#N/A</v>
      </c>
      <c r="I1058" s="56"/>
    </row>
    <row r="1059" ht="15.75" spans="1:9">
      <c r="A1059" s="20"/>
      <c r="B1059" s="51"/>
      <c r="C1059" s="57"/>
      <c r="D1059" s="62"/>
      <c r="E1059" s="53" t="e">
        <f>VLOOKUP($D1059,成品本月库存!$B:$J,2,0)</f>
        <v>#N/A</v>
      </c>
      <c r="F1059" s="54" t="e">
        <f>VLOOKUP($D1059,成品本月库存!$B:$J,5,0)</f>
        <v>#N/A</v>
      </c>
      <c r="G1059" s="55"/>
      <c r="H1059" s="53" t="e">
        <f>VLOOKUP($D1059,成品本月库存!$B:$J,9,0)</f>
        <v>#N/A</v>
      </c>
      <c r="I1059" s="56"/>
    </row>
    <row r="1060" ht="15.75" spans="1:9">
      <c r="A1060" s="20"/>
      <c r="B1060" s="51"/>
      <c r="C1060" s="57"/>
      <c r="D1060" s="62"/>
      <c r="E1060" s="53" t="e">
        <f>VLOOKUP($D1060,成品本月库存!$B:$J,2,0)</f>
        <v>#N/A</v>
      </c>
      <c r="F1060" s="54" t="e">
        <f>VLOOKUP($D1060,成品本月库存!$B:$J,5,0)</f>
        <v>#N/A</v>
      </c>
      <c r="G1060" s="55"/>
      <c r="H1060" s="53" t="e">
        <f>VLOOKUP($D1060,成品本月库存!$B:$J,9,0)</f>
        <v>#N/A</v>
      </c>
      <c r="I1060" s="56"/>
    </row>
    <row r="1061" ht="15.75" spans="1:9">
      <c r="A1061" s="20"/>
      <c r="B1061" s="51"/>
      <c r="C1061" s="57"/>
      <c r="D1061" s="62"/>
      <c r="E1061" s="53" t="e">
        <f>VLOOKUP($D1061,成品本月库存!$B:$J,2,0)</f>
        <v>#N/A</v>
      </c>
      <c r="F1061" s="54" t="e">
        <f>VLOOKUP($D1061,成品本月库存!$B:$J,5,0)</f>
        <v>#N/A</v>
      </c>
      <c r="G1061" s="55"/>
      <c r="H1061" s="53" t="e">
        <f>VLOOKUP($D1061,成品本月库存!$B:$J,9,0)</f>
        <v>#N/A</v>
      </c>
      <c r="I1061" s="56"/>
    </row>
    <row r="1062" ht="15.75" spans="1:9">
      <c r="A1062" s="20"/>
      <c r="B1062" s="51"/>
      <c r="C1062" s="57"/>
      <c r="D1062" s="62"/>
      <c r="E1062" s="53" t="e">
        <f>VLOOKUP($D1062,成品本月库存!$B:$J,2,0)</f>
        <v>#N/A</v>
      </c>
      <c r="F1062" s="54" t="e">
        <f>VLOOKUP($D1062,成品本月库存!$B:$J,5,0)</f>
        <v>#N/A</v>
      </c>
      <c r="G1062" s="55"/>
      <c r="H1062" s="53" t="e">
        <f>VLOOKUP($D1062,成品本月库存!$B:$J,9,0)</f>
        <v>#N/A</v>
      </c>
      <c r="I1062" s="56"/>
    </row>
    <row r="1063" ht="15.75" spans="1:9">
      <c r="A1063" s="20"/>
      <c r="B1063" s="51"/>
      <c r="C1063" s="57"/>
      <c r="D1063" s="62"/>
      <c r="E1063" s="53" t="e">
        <f>VLOOKUP($D1063,成品本月库存!$B:$J,2,0)</f>
        <v>#N/A</v>
      </c>
      <c r="F1063" s="54" t="e">
        <f>VLOOKUP($D1063,成品本月库存!$B:$J,5,0)</f>
        <v>#N/A</v>
      </c>
      <c r="G1063" s="55"/>
      <c r="H1063" s="53" t="e">
        <f>VLOOKUP($D1063,成品本月库存!$B:$J,9,0)</f>
        <v>#N/A</v>
      </c>
      <c r="I1063" s="56"/>
    </row>
    <row r="1064" ht="15.75" spans="1:9">
      <c r="A1064" s="20"/>
      <c r="B1064" s="51"/>
      <c r="C1064" s="57"/>
      <c r="D1064" s="62"/>
      <c r="E1064" s="53" t="e">
        <f>VLOOKUP($D1064,成品本月库存!$B:$J,2,0)</f>
        <v>#N/A</v>
      </c>
      <c r="F1064" s="54" t="e">
        <f>VLOOKUP($D1064,成品本月库存!$B:$J,5,0)</f>
        <v>#N/A</v>
      </c>
      <c r="G1064" s="55"/>
      <c r="H1064" s="53" t="e">
        <f>VLOOKUP($D1064,成品本月库存!$B:$J,9,0)</f>
        <v>#N/A</v>
      </c>
      <c r="I1064" s="56"/>
    </row>
    <row r="1065" ht="15.75" spans="1:9">
      <c r="A1065" s="20"/>
      <c r="B1065" s="51"/>
      <c r="C1065" s="57"/>
      <c r="D1065" s="62"/>
      <c r="E1065" s="53" t="e">
        <f>VLOOKUP($D1065,成品本月库存!$B:$J,2,0)</f>
        <v>#N/A</v>
      </c>
      <c r="F1065" s="54" t="e">
        <f>VLOOKUP($D1065,成品本月库存!$B:$J,5,0)</f>
        <v>#N/A</v>
      </c>
      <c r="G1065" s="55"/>
      <c r="H1065" s="53" t="e">
        <f>VLOOKUP($D1065,成品本月库存!$B:$J,9,0)</f>
        <v>#N/A</v>
      </c>
      <c r="I1065" s="56"/>
    </row>
    <row r="1066" ht="15.75" spans="1:9">
      <c r="A1066" s="20"/>
      <c r="B1066" s="51"/>
      <c r="C1066" s="57"/>
      <c r="D1066" s="62"/>
      <c r="E1066" s="53" t="e">
        <f>VLOOKUP($D1066,成品本月库存!$B:$J,2,0)</f>
        <v>#N/A</v>
      </c>
      <c r="F1066" s="54" t="e">
        <f>VLOOKUP($D1066,成品本月库存!$B:$J,5,0)</f>
        <v>#N/A</v>
      </c>
      <c r="G1066" s="55"/>
      <c r="H1066" s="53" t="e">
        <f>VLOOKUP($D1066,成品本月库存!$B:$J,9,0)</f>
        <v>#N/A</v>
      </c>
      <c r="I1066" s="56"/>
    </row>
    <row r="1067" ht="15.75" spans="1:9">
      <c r="A1067" s="20"/>
      <c r="B1067" s="51"/>
      <c r="C1067" s="57"/>
      <c r="D1067" s="62"/>
      <c r="E1067" s="53" t="e">
        <f>VLOOKUP($D1067,成品本月库存!$B:$J,2,0)</f>
        <v>#N/A</v>
      </c>
      <c r="F1067" s="54" t="e">
        <f>VLOOKUP($D1067,成品本月库存!$B:$J,5,0)</f>
        <v>#N/A</v>
      </c>
      <c r="G1067" s="55"/>
      <c r="H1067" s="53" t="e">
        <f>VLOOKUP($D1067,成品本月库存!$B:$J,9,0)</f>
        <v>#N/A</v>
      </c>
      <c r="I1067" s="56"/>
    </row>
    <row r="1068" ht="15.75" spans="1:9">
      <c r="A1068" s="20"/>
      <c r="B1068" s="51"/>
      <c r="C1068" s="57"/>
      <c r="D1068" s="62"/>
      <c r="E1068" s="53" t="e">
        <f>VLOOKUP($D1068,成品本月库存!$B:$J,2,0)</f>
        <v>#N/A</v>
      </c>
      <c r="F1068" s="54" t="e">
        <f>VLOOKUP($D1068,成品本月库存!$B:$J,5,0)</f>
        <v>#N/A</v>
      </c>
      <c r="G1068" s="55"/>
      <c r="H1068" s="53" t="e">
        <f>VLOOKUP($D1068,成品本月库存!$B:$J,9,0)</f>
        <v>#N/A</v>
      </c>
      <c r="I1068" s="56"/>
    </row>
    <row r="1069" ht="15.75" spans="1:9">
      <c r="A1069" s="20"/>
      <c r="B1069" s="51"/>
      <c r="C1069" s="57"/>
      <c r="D1069" s="62"/>
      <c r="E1069" s="53" t="e">
        <f>VLOOKUP($D1069,成品本月库存!$B:$J,2,0)</f>
        <v>#N/A</v>
      </c>
      <c r="F1069" s="54" t="e">
        <f>VLOOKUP($D1069,成品本月库存!$B:$J,5,0)</f>
        <v>#N/A</v>
      </c>
      <c r="G1069" s="55"/>
      <c r="H1069" s="53" t="e">
        <f>VLOOKUP($D1069,成品本月库存!$B:$J,9,0)</f>
        <v>#N/A</v>
      </c>
      <c r="I1069" s="56"/>
    </row>
    <row r="1070" ht="15.75" spans="1:9">
      <c r="A1070" s="20"/>
      <c r="B1070" s="51"/>
      <c r="C1070" s="57"/>
      <c r="D1070" s="62"/>
      <c r="E1070" s="53" t="e">
        <f>VLOOKUP($D1070,成品本月库存!$B:$J,2,0)</f>
        <v>#N/A</v>
      </c>
      <c r="F1070" s="54" t="e">
        <f>VLOOKUP($D1070,成品本月库存!$B:$J,5,0)</f>
        <v>#N/A</v>
      </c>
      <c r="G1070" s="55"/>
      <c r="H1070" s="53" t="e">
        <f>VLOOKUP($D1070,成品本月库存!$B:$J,9,0)</f>
        <v>#N/A</v>
      </c>
      <c r="I1070" s="56"/>
    </row>
    <row r="1071" ht="15.75" spans="1:9">
      <c r="A1071" s="20"/>
      <c r="B1071" s="51"/>
      <c r="C1071" s="57"/>
      <c r="D1071" s="62"/>
      <c r="E1071" s="53" t="e">
        <f>VLOOKUP($D1071,成品本月库存!$B:$J,2,0)</f>
        <v>#N/A</v>
      </c>
      <c r="F1071" s="54" t="e">
        <f>VLOOKUP($D1071,成品本月库存!$B:$J,5,0)</f>
        <v>#N/A</v>
      </c>
      <c r="G1071" s="55"/>
      <c r="H1071" s="53" t="e">
        <f>VLOOKUP($D1071,成品本月库存!$B:$J,9,0)</f>
        <v>#N/A</v>
      </c>
      <c r="I1071" s="56"/>
    </row>
    <row r="1072" ht="15.75" spans="1:9">
      <c r="A1072" s="20"/>
      <c r="B1072" s="51"/>
      <c r="C1072" s="57"/>
      <c r="D1072" s="62"/>
      <c r="E1072" s="53" t="e">
        <f>VLOOKUP($D1072,成品本月库存!$B:$J,2,0)</f>
        <v>#N/A</v>
      </c>
      <c r="F1072" s="54" t="e">
        <f>VLOOKUP($D1072,成品本月库存!$B:$J,5,0)</f>
        <v>#N/A</v>
      </c>
      <c r="G1072" s="55"/>
      <c r="H1072" s="53" t="e">
        <f>VLOOKUP($D1072,成品本月库存!$B:$J,9,0)</f>
        <v>#N/A</v>
      </c>
      <c r="I1072" s="56"/>
    </row>
    <row r="1073" ht="15.75" spans="1:9">
      <c r="A1073" s="20"/>
      <c r="B1073" s="51"/>
      <c r="C1073" s="57"/>
      <c r="D1073" s="62"/>
      <c r="E1073" s="53" t="e">
        <f>VLOOKUP($D1073,成品本月库存!$B:$J,2,0)</f>
        <v>#N/A</v>
      </c>
      <c r="F1073" s="54" t="e">
        <f>VLOOKUP($D1073,成品本月库存!$B:$J,5,0)</f>
        <v>#N/A</v>
      </c>
      <c r="G1073" s="55"/>
      <c r="H1073" s="53" t="e">
        <f>VLOOKUP($D1073,成品本月库存!$B:$J,9,0)</f>
        <v>#N/A</v>
      </c>
      <c r="I1073" s="56"/>
    </row>
    <row r="1074" ht="15.75" spans="1:9">
      <c r="A1074" s="20"/>
      <c r="B1074" s="51"/>
      <c r="C1074" s="57"/>
      <c r="D1074" s="62"/>
      <c r="E1074" s="53" t="e">
        <f>VLOOKUP($D1074,成品本月库存!$B:$J,2,0)</f>
        <v>#N/A</v>
      </c>
      <c r="F1074" s="54" t="e">
        <f>VLOOKUP($D1074,成品本月库存!$B:$J,5,0)</f>
        <v>#N/A</v>
      </c>
      <c r="G1074" s="55"/>
      <c r="H1074" s="53" t="e">
        <f>VLOOKUP($D1074,成品本月库存!$B:$J,9,0)</f>
        <v>#N/A</v>
      </c>
      <c r="I1074" s="56"/>
    </row>
    <row r="1075" ht="15.75" spans="1:9">
      <c r="A1075" s="20"/>
      <c r="B1075" s="51"/>
      <c r="C1075" s="57"/>
      <c r="D1075" s="62"/>
      <c r="E1075" s="53" t="e">
        <f>VLOOKUP($D1075,成品本月库存!$B:$J,2,0)</f>
        <v>#N/A</v>
      </c>
      <c r="F1075" s="54" t="e">
        <f>VLOOKUP($D1075,成品本月库存!$B:$J,5,0)</f>
        <v>#N/A</v>
      </c>
      <c r="G1075" s="55"/>
      <c r="H1075" s="53" t="e">
        <f>VLOOKUP($D1075,成品本月库存!$B:$J,9,0)</f>
        <v>#N/A</v>
      </c>
      <c r="I1075" s="56"/>
    </row>
    <row r="1076" ht="15.75" spans="1:9">
      <c r="A1076" s="20"/>
      <c r="B1076" s="51"/>
      <c r="C1076" s="57"/>
      <c r="D1076" s="62"/>
      <c r="E1076" s="53" t="e">
        <f>VLOOKUP($D1076,成品本月库存!$B:$J,2,0)</f>
        <v>#N/A</v>
      </c>
      <c r="F1076" s="54" t="e">
        <f>VLOOKUP($D1076,成品本月库存!$B:$J,5,0)</f>
        <v>#N/A</v>
      </c>
      <c r="G1076" s="55"/>
      <c r="H1076" s="53" t="e">
        <f>VLOOKUP($D1076,成品本月库存!$B:$J,9,0)</f>
        <v>#N/A</v>
      </c>
      <c r="I1076" s="56"/>
    </row>
    <row r="1077" ht="15.75" spans="1:9">
      <c r="A1077" s="20"/>
      <c r="B1077" s="51"/>
      <c r="C1077" s="57"/>
      <c r="D1077" s="62"/>
      <c r="E1077" s="53" t="e">
        <f>VLOOKUP($D1077,成品本月库存!$B:$J,2,0)</f>
        <v>#N/A</v>
      </c>
      <c r="F1077" s="54" t="e">
        <f>VLOOKUP($D1077,成品本月库存!$B:$J,5,0)</f>
        <v>#N/A</v>
      </c>
      <c r="G1077" s="55"/>
      <c r="H1077" s="53" t="e">
        <f>VLOOKUP($D1077,成品本月库存!$B:$J,9,0)</f>
        <v>#N/A</v>
      </c>
      <c r="I1077" s="56"/>
    </row>
    <row r="1078" ht="15.75" spans="1:9">
      <c r="A1078" s="20"/>
      <c r="B1078" s="51"/>
      <c r="C1078" s="57"/>
      <c r="D1078" s="62"/>
      <c r="E1078" s="53" t="e">
        <f>VLOOKUP($D1078,成品本月库存!$B:$J,2,0)</f>
        <v>#N/A</v>
      </c>
      <c r="F1078" s="54" t="e">
        <f>VLOOKUP($D1078,成品本月库存!$B:$J,5,0)</f>
        <v>#N/A</v>
      </c>
      <c r="G1078" s="55"/>
      <c r="H1078" s="53" t="e">
        <f>VLOOKUP($D1078,成品本月库存!$B:$J,9,0)</f>
        <v>#N/A</v>
      </c>
      <c r="I1078" s="56"/>
    </row>
    <row r="1079" ht="15.75" spans="1:9">
      <c r="A1079" s="20"/>
      <c r="B1079" s="51"/>
      <c r="C1079" s="57"/>
      <c r="D1079" s="62"/>
      <c r="E1079" s="53" t="e">
        <f>VLOOKUP($D1079,成品本月库存!$B:$J,2,0)</f>
        <v>#N/A</v>
      </c>
      <c r="F1079" s="54" t="e">
        <f>VLOOKUP($D1079,成品本月库存!$B:$J,5,0)</f>
        <v>#N/A</v>
      </c>
      <c r="G1079" s="55"/>
      <c r="H1079" s="53" t="e">
        <f>VLOOKUP($D1079,成品本月库存!$B:$J,9,0)</f>
        <v>#N/A</v>
      </c>
      <c r="I1079" s="56"/>
    </row>
    <row r="1080" ht="15.75" spans="1:9">
      <c r="A1080" s="20"/>
      <c r="B1080" s="51"/>
      <c r="C1080" s="57"/>
      <c r="D1080" s="62"/>
      <c r="E1080" s="53" t="e">
        <f>VLOOKUP($D1080,成品本月库存!$B:$J,2,0)</f>
        <v>#N/A</v>
      </c>
      <c r="F1080" s="54" t="e">
        <f>VLOOKUP($D1080,成品本月库存!$B:$J,5,0)</f>
        <v>#N/A</v>
      </c>
      <c r="G1080" s="55"/>
      <c r="H1080" s="53" t="e">
        <f>VLOOKUP($D1080,成品本月库存!$B:$J,9,0)</f>
        <v>#N/A</v>
      </c>
      <c r="I1080" s="56"/>
    </row>
    <row r="1081" ht="15.75" spans="1:9">
      <c r="A1081" s="20"/>
      <c r="B1081" s="51"/>
      <c r="C1081" s="57"/>
      <c r="D1081" s="62"/>
      <c r="E1081" s="53" t="e">
        <f>VLOOKUP($D1081,成品本月库存!$B:$J,2,0)</f>
        <v>#N/A</v>
      </c>
      <c r="F1081" s="54" t="e">
        <f>VLOOKUP($D1081,成品本月库存!$B:$J,5,0)</f>
        <v>#N/A</v>
      </c>
      <c r="G1081" s="55"/>
      <c r="H1081" s="53" t="e">
        <f>VLOOKUP($D1081,成品本月库存!$B:$J,9,0)</f>
        <v>#N/A</v>
      </c>
      <c r="I1081" s="56"/>
    </row>
    <row r="1082" ht="15.75" spans="1:9">
      <c r="A1082" s="20"/>
      <c r="B1082" s="51"/>
      <c r="C1082" s="57"/>
      <c r="D1082" s="62"/>
      <c r="E1082" s="53" t="e">
        <f>VLOOKUP($D1082,成品本月库存!$B:$J,2,0)</f>
        <v>#N/A</v>
      </c>
      <c r="F1082" s="54" t="e">
        <f>VLOOKUP($D1082,成品本月库存!$B:$J,5,0)</f>
        <v>#N/A</v>
      </c>
      <c r="G1082" s="55"/>
      <c r="H1082" s="53" t="e">
        <f>VLOOKUP($D1082,成品本月库存!$B:$J,9,0)</f>
        <v>#N/A</v>
      </c>
      <c r="I1082" s="56"/>
    </row>
    <row r="1083" ht="15.75" spans="1:9">
      <c r="A1083" s="20"/>
      <c r="B1083" s="51"/>
      <c r="C1083" s="57"/>
      <c r="D1083" s="62"/>
      <c r="E1083" s="53" t="e">
        <f>VLOOKUP($D1083,成品本月库存!$B:$J,2,0)</f>
        <v>#N/A</v>
      </c>
      <c r="F1083" s="54" t="e">
        <f>VLOOKUP($D1083,成品本月库存!$B:$J,5,0)</f>
        <v>#N/A</v>
      </c>
      <c r="G1083" s="55"/>
      <c r="H1083" s="53" t="e">
        <f>VLOOKUP($D1083,成品本月库存!$B:$J,9,0)</f>
        <v>#N/A</v>
      </c>
      <c r="I1083" s="56"/>
    </row>
    <row r="1084" ht="15.75" spans="1:9">
      <c r="A1084" s="20"/>
      <c r="B1084" s="51"/>
      <c r="C1084" s="57"/>
      <c r="D1084" s="62"/>
      <c r="E1084" s="53" t="e">
        <f>VLOOKUP($D1084,成品本月库存!$B:$J,2,0)</f>
        <v>#N/A</v>
      </c>
      <c r="F1084" s="54" t="e">
        <f>VLOOKUP($D1084,成品本月库存!$B:$J,5,0)</f>
        <v>#N/A</v>
      </c>
      <c r="G1084" s="55"/>
      <c r="H1084" s="53" t="e">
        <f>VLOOKUP($D1084,成品本月库存!$B:$J,9,0)</f>
        <v>#N/A</v>
      </c>
      <c r="I1084" s="56"/>
    </row>
    <row r="1085" ht="15.75" spans="1:9">
      <c r="A1085" s="20"/>
      <c r="B1085" s="51"/>
      <c r="C1085" s="57"/>
      <c r="D1085" s="62"/>
      <c r="E1085" s="53" t="e">
        <f>VLOOKUP($D1085,成品本月库存!$B:$J,2,0)</f>
        <v>#N/A</v>
      </c>
      <c r="F1085" s="54" t="e">
        <f>VLOOKUP($D1085,成品本月库存!$B:$J,5,0)</f>
        <v>#N/A</v>
      </c>
      <c r="G1085" s="55"/>
      <c r="H1085" s="53" t="e">
        <f>VLOOKUP($D1085,成品本月库存!$B:$J,9,0)</f>
        <v>#N/A</v>
      </c>
      <c r="I1085" s="56"/>
    </row>
    <row r="1086" ht="15.75" spans="1:9">
      <c r="A1086" s="20"/>
      <c r="B1086" s="51"/>
      <c r="C1086" s="57"/>
      <c r="D1086" s="62"/>
      <c r="E1086" s="53" t="e">
        <f>VLOOKUP($D1086,成品本月库存!$B:$J,2,0)</f>
        <v>#N/A</v>
      </c>
      <c r="F1086" s="54" t="e">
        <f>VLOOKUP($D1086,成品本月库存!$B:$J,5,0)</f>
        <v>#N/A</v>
      </c>
      <c r="G1086" s="55"/>
      <c r="H1086" s="53" t="e">
        <f>VLOOKUP($D1086,成品本月库存!$B:$J,9,0)</f>
        <v>#N/A</v>
      </c>
      <c r="I1086" s="56"/>
    </row>
    <row r="1087" ht="15.75" spans="1:9">
      <c r="A1087" s="20"/>
      <c r="B1087" s="51"/>
      <c r="C1087" s="57"/>
      <c r="D1087" s="62"/>
      <c r="E1087" s="53" t="e">
        <f>VLOOKUP($D1087,成品本月库存!$B:$J,2,0)</f>
        <v>#N/A</v>
      </c>
      <c r="F1087" s="54" t="e">
        <f>VLOOKUP($D1087,成品本月库存!$B:$J,5,0)</f>
        <v>#N/A</v>
      </c>
      <c r="G1087" s="55"/>
      <c r="H1087" s="53" t="e">
        <f>VLOOKUP($D1087,成品本月库存!$B:$J,9,0)</f>
        <v>#N/A</v>
      </c>
      <c r="I1087" s="56"/>
    </row>
    <row r="1088" ht="15.75" spans="1:9">
      <c r="A1088" s="20"/>
      <c r="B1088" s="51"/>
      <c r="C1088" s="57"/>
      <c r="D1088" s="62"/>
      <c r="E1088" s="53" t="e">
        <f>VLOOKUP($D1088,成品本月库存!$B:$J,2,0)</f>
        <v>#N/A</v>
      </c>
      <c r="F1088" s="54" t="e">
        <f>VLOOKUP($D1088,成品本月库存!$B:$J,5,0)</f>
        <v>#N/A</v>
      </c>
      <c r="G1088" s="55"/>
      <c r="H1088" s="53" t="e">
        <f>VLOOKUP($D1088,成品本月库存!$B:$J,9,0)</f>
        <v>#N/A</v>
      </c>
      <c r="I1088" s="56"/>
    </row>
    <row r="1089" ht="15.75" spans="1:9">
      <c r="A1089" s="20"/>
      <c r="B1089" s="51"/>
      <c r="C1089" s="57"/>
      <c r="D1089" s="62"/>
      <c r="E1089" s="53" t="e">
        <f>VLOOKUP($D1089,成品本月库存!$B:$J,2,0)</f>
        <v>#N/A</v>
      </c>
      <c r="F1089" s="54" t="e">
        <f>VLOOKUP($D1089,成品本月库存!$B:$J,5,0)</f>
        <v>#N/A</v>
      </c>
      <c r="G1089" s="55"/>
      <c r="H1089" s="53" t="e">
        <f>VLOOKUP($D1089,成品本月库存!$B:$J,9,0)</f>
        <v>#N/A</v>
      </c>
      <c r="I1089" s="56"/>
    </row>
    <row r="1090" ht="15.75" spans="1:9">
      <c r="A1090" s="20"/>
      <c r="B1090" s="51"/>
      <c r="C1090" s="57"/>
      <c r="D1090" s="62"/>
      <c r="E1090" s="53" t="e">
        <f>VLOOKUP($D1090,成品本月库存!$B:$J,2,0)</f>
        <v>#N/A</v>
      </c>
      <c r="F1090" s="54" t="e">
        <f>VLOOKUP($D1090,成品本月库存!$B:$J,5,0)</f>
        <v>#N/A</v>
      </c>
      <c r="G1090" s="55"/>
      <c r="H1090" s="53" t="e">
        <f>VLOOKUP($D1090,成品本月库存!$B:$J,9,0)</f>
        <v>#N/A</v>
      </c>
      <c r="I1090" s="56"/>
    </row>
    <row r="1091" ht="15.75" spans="1:9">
      <c r="A1091" s="20"/>
      <c r="B1091" s="51"/>
      <c r="C1091" s="57"/>
      <c r="D1091" s="62"/>
      <c r="E1091" s="53" t="e">
        <f>VLOOKUP($D1091,成品本月库存!$B:$J,2,0)</f>
        <v>#N/A</v>
      </c>
      <c r="F1091" s="54" t="e">
        <f>VLOOKUP($D1091,成品本月库存!$B:$J,5,0)</f>
        <v>#N/A</v>
      </c>
      <c r="G1091" s="55"/>
      <c r="H1091" s="53" t="e">
        <f>VLOOKUP($D1091,成品本月库存!$B:$J,9,0)</f>
        <v>#N/A</v>
      </c>
      <c r="I1091" s="56"/>
    </row>
    <row r="1092" ht="15.75" spans="1:9">
      <c r="A1092" s="20"/>
      <c r="B1092" s="51"/>
      <c r="C1092" s="57"/>
      <c r="D1092" s="62"/>
      <c r="E1092" s="53" t="e">
        <f>VLOOKUP($D1092,成品本月库存!$B:$J,2,0)</f>
        <v>#N/A</v>
      </c>
      <c r="F1092" s="54" t="e">
        <f>VLOOKUP($D1092,成品本月库存!$B:$J,5,0)</f>
        <v>#N/A</v>
      </c>
      <c r="G1092" s="55"/>
      <c r="H1092" s="53" t="e">
        <f>VLOOKUP($D1092,成品本月库存!$B:$J,9,0)</f>
        <v>#N/A</v>
      </c>
      <c r="I1092" s="56"/>
    </row>
    <row r="1093" ht="15.75" spans="1:9">
      <c r="A1093" s="20"/>
      <c r="B1093" s="51"/>
      <c r="C1093" s="57"/>
      <c r="D1093" s="62"/>
      <c r="E1093" s="53" t="e">
        <f>VLOOKUP($D1093,成品本月库存!$B:$J,2,0)</f>
        <v>#N/A</v>
      </c>
      <c r="F1093" s="54" t="e">
        <f>VLOOKUP($D1093,成品本月库存!$B:$J,5,0)</f>
        <v>#N/A</v>
      </c>
      <c r="G1093" s="55"/>
      <c r="H1093" s="53" t="e">
        <f>VLOOKUP($D1093,成品本月库存!$B:$J,9,0)</f>
        <v>#N/A</v>
      </c>
      <c r="I1093" s="56"/>
    </row>
    <row r="1094" ht="15.75" spans="1:9">
      <c r="A1094" s="20"/>
      <c r="B1094" s="51"/>
      <c r="C1094" s="57"/>
      <c r="D1094" s="62"/>
      <c r="E1094" s="53" t="e">
        <f>VLOOKUP($D1094,成品本月库存!$B:$J,2,0)</f>
        <v>#N/A</v>
      </c>
      <c r="F1094" s="54" t="e">
        <f>VLOOKUP($D1094,成品本月库存!$B:$J,5,0)</f>
        <v>#N/A</v>
      </c>
      <c r="G1094" s="55"/>
      <c r="H1094" s="53" t="e">
        <f>VLOOKUP($D1094,成品本月库存!$B:$J,9,0)</f>
        <v>#N/A</v>
      </c>
      <c r="I1094" s="56"/>
    </row>
    <row r="1095" ht="15.75" spans="1:9">
      <c r="A1095" s="20"/>
      <c r="B1095" s="51"/>
      <c r="C1095" s="57"/>
      <c r="D1095" s="62"/>
      <c r="E1095" s="53" t="e">
        <f>VLOOKUP($D1095,成品本月库存!$B:$J,2,0)</f>
        <v>#N/A</v>
      </c>
      <c r="F1095" s="54" t="e">
        <f>VLOOKUP($D1095,成品本月库存!$B:$J,5,0)</f>
        <v>#N/A</v>
      </c>
      <c r="G1095" s="55"/>
      <c r="H1095" s="53" t="e">
        <f>VLOOKUP($D1095,成品本月库存!$B:$J,9,0)</f>
        <v>#N/A</v>
      </c>
      <c r="I1095" s="56"/>
    </row>
    <row r="1096" ht="15.75" spans="1:9">
      <c r="A1096" s="20"/>
      <c r="B1096" s="51"/>
      <c r="C1096" s="57"/>
      <c r="D1096" s="62"/>
      <c r="E1096" s="53" t="e">
        <f>VLOOKUP($D1096,成品本月库存!$B:$J,2,0)</f>
        <v>#N/A</v>
      </c>
      <c r="F1096" s="54" t="e">
        <f>VLOOKUP($D1096,成品本月库存!$B:$J,5,0)</f>
        <v>#N/A</v>
      </c>
      <c r="G1096" s="55"/>
      <c r="H1096" s="53" t="e">
        <f>VLOOKUP($D1096,成品本月库存!$B:$J,9,0)</f>
        <v>#N/A</v>
      </c>
      <c r="I1096" s="56"/>
    </row>
    <row r="1097" ht="15.75" spans="1:9">
      <c r="A1097" s="20"/>
      <c r="B1097" s="51"/>
      <c r="C1097" s="57"/>
      <c r="D1097" s="62"/>
      <c r="E1097" s="53" t="e">
        <f>VLOOKUP($D1097,成品本月库存!$B:$J,2,0)</f>
        <v>#N/A</v>
      </c>
      <c r="F1097" s="54" t="e">
        <f>VLOOKUP($D1097,成品本月库存!$B:$J,5,0)</f>
        <v>#N/A</v>
      </c>
      <c r="G1097" s="55"/>
      <c r="H1097" s="53" t="e">
        <f>VLOOKUP($D1097,成品本月库存!$B:$J,9,0)</f>
        <v>#N/A</v>
      </c>
      <c r="I1097" s="56"/>
    </row>
    <row r="1098" ht="15.75" spans="1:9">
      <c r="A1098" s="20"/>
      <c r="B1098" s="51"/>
      <c r="C1098" s="57"/>
      <c r="D1098" s="62"/>
      <c r="E1098" s="53" t="e">
        <f>VLOOKUP($D1098,成品本月库存!$B:$J,2,0)</f>
        <v>#N/A</v>
      </c>
      <c r="F1098" s="54" t="e">
        <f>VLOOKUP($D1098,成品本月库存!$B:$J,5,0)</f>
        <v>#N/A</v>
      </c>
      <c r="G1098" s="55"/>
      <c r="H1098" s="53" t="e">
        <f>VLOOKUP($D1098,成品本月库存!$B:$J,9,0)</f>
        <v>#N/A</v>
      </c>
      <c r="I1098" s="56"/>
    </row>
    <row r="1099" ht="15.75" spans="1:9">
      <c r="A1099" s="20"/>
      <c r="B1099" s="51"/>
      <c r="C1099" s="57"/>
      <c r="D1099" s="62"/>
      <c r="E1099" s="53" t="e">
        <f>VLOOKUP($D1099,成品本月库存!$B:$J,2,0)</f>
        <v>#N/A</v>
      </c>
      <c r="F1099" s="54" t="e">
        <f>VLOOKUP($D1099,成品本月库存!$B:$J,5,0)</f>
        <v>#N/A</v>
      </c>
      <c r="G1099" s="55"/>
      <c r="H1099" s="53" t="e">
        <f>VLOOKUP($D1099,成品本月库存!$B:$J,9,0)</f>
        <v>#N/A</v>
      </c>
      <c r="I1099" s="56"/>
    </row>
    <row r="1100" ht="15.75" spans="1:9">
      <c r="A1100" s="20"/>
      <c r="B1100" s="51"/>
      <c r="C1100" s="57"/>
      <c r="D1100" s="62"/>
      <c r="E1100" s="53" t="e">
        <f>VLOOKUP($D1100,成品本月库存!$B:$J,2,0)</f>
        <v>#N/A</v>
      </c>
      <c r="F1100" s="54" t="e">
        <f>VLOOKUP($D1100,成品本月库存!$B:$J,5,0)</f>
        <v>#N/A</v>
      </c>
      <c r="G1100" s="55"/>
      <c r="H1100" s="53" t="e">
        <f>VLOOKUP($D1100,成品本月库存!$B:$J,9,0)</f>
        <v>#N/A</v>
      </c>
      <c r="I1100" s="56"/>
    </row>
    <row r="1101" ht="15.75" spans="1:9">
      <c r="A1101" s="20"/>
      <c r="B1101" s="51"/>
      <c r="C1101" s="57"/>
      <c r="D1101" s="62"/>
      <c r="E1101" s="53" t="e">
        <f>VLOOKUP($D1101,成品本月库存!$B:$J,2,0)</f>
        <v>#N/A</v>
      </c>
      <c r="F1101" s="54" t="e">
        <f>VLOOKUP($D1101,成品本月库存!$B:$J,5,0)</f>
        <v>#N/A</v>
      </c>
      <c r="G1101" s="55"/>
      <c r="H1101" s="53" t="e">
        <f>VLOOKUP($D1101,成品本月库存!$B:$J,9,0)</f>
        <v>#N/A</v>
      </c>
      <c r="I1101" s="56"/>
    </row>
    <row r="1102" ht="15.75" spans="1:9">
      <c r="A1102" s="20"/>
      <c r="B1102" s="51"/>
      <c r="C1102" s="57"/>
      <c r="D1102" s="62"/>
      <c r="E1102" s="53" t="e">
        <f>VLOOKUP($D1102,成品本月库存!$B:$J,2,0)</f>
        <v>#N/A</v>
      </c>
      <c r="F1102" s="54" t="e">
        <f>VLOOKUP($D1102,成品本月库存!$B:$J,5,0)</f>
        <v>#N/A</v>
      </c>
      <c r="G1102" s="55"/>
      <c r="H1102" s="53" t="e">
        <f>VLOOKUP($D1102,成品本月库存!$B:$J,9,0)</f>
        <v>#N/A</v>
      </c>
      <c r="I1102" s="56"/>
    </row>
    <row r="1103" ht="15.75" spans="1:9">
      <c r="A1103" s="20"/>
      <c r="B1103" s="51"/>
      <c r="C1103" s="57"/>
      <c r="D1103" s="62"/>
      <c r="E1103" s="53" t="e">
        <f>VLOOKUP($D1103,成品本月库存!$B:$J,2,0)</f>
        <v>#N/A</v>
      </c>
      <c r="F1103" s="54" t="e">
        <f>VLOOKUP($D1103,成品本月库存!$B:$J,5,0)</f>
        <v>#N/A</v>
      </c>
      <c r="G1103" s="55"/>
      <c r="H1103" s="53" t="e">
        <f>VLOOKUP($D1103,成品本月库存!$B:$J,9,0)</f>
        <v>#N/A</v>
      </c>
      <c r="I1103" s="56"/>
    </row>
    <row r="1104" ht="15.75" spans="1:9">
      <c r="A1104" s="20"/>
      <c r="B1104" s="51"/>
      <c r="C1104" s="57"/>
      <c r="D1104" s="62"/>
      <c r="E1104" s="53" t="e">
        <f>VLOOKUP($D1104,成品本月库存!$B:$J,2,0)</f>
        <v>#N/A</v>
      </c>
      <c r="F1104" s="54" t="e">
        <f>VLOOKUP($D1104,成品本月库存!$B:$J,5,0)</f>
        <v>#N/A</v>
      </c>
      <c r="G1104" s="55"/>
      <c r="H1104" s="53" t="e">
        <f>VLOOKUP($D1104,成品本月库存!$B:$J,9,0)</f>
        <v>#N/A</v>
      </c>
      <c r="I1104" s="56"/>
    </row>
    <row r="1105" ht="15.75" spans="1:9">
      <c r="A1105" s="20"/>
      <c r="B1105" s="51"/>
      <c r="C1105" s="57"/>
      <c r="D1105" s="62"/>
      <c r="E1105" s="53" t="e">
        <f>VLOOKUP($D1105,成品本月库存!$B:$J,2,0)</f>
        <v>#N/A</v>
      </c>
      <c r="F1105" s="54" t="e">
        <f>VLOOKUP($D1105,成品本月库存!$B:$J,5,0)</f>
        <v>#N/A</v>
      </c>
      <c r="G1105" s="55"/>
      <c r="H1105" s="53" t="e">
        <f>VLOOKUP($D1105,成品本月库存!$B:$J,9,0)</f>
        <v>#N/A</v>
      </c>
      <c r="I1105" s="56"/>
    </row>
    <row r="1106" ht="15.75" spans="1:9">
      <c r="A1106" s="20"/>
      <c r="B1106" s="51"/>
      <c r="C1106" s="57"/>
      <c r="D1106" s="62"/>
      <c r="E1106" s="53" t="e">
        <f>VLOOKUP($D1106,成品本月库存!$B:$J,2,0)</f>
        <v>#N/A</v>
      </c>
      <c r="F1106" s="54" t="e">
        <f>VLOOKUP($D1106,成品本月库存!$B:$J,5,0)</f>
        <v>#N/A</v>
      </c>
      <c r="G1106" s="55"/>
      <c r="H1106" s="53" t="e">
        <f>VLOOKUP($D1106,成品本月库存!$B:$J,9,0)</f>
        <v>#N/A</v>
      </c>
      <c r="I1106" s="56"/>
    </row>
    <row r="1107" ht="15.75" spans="1:9">
      <c r="A1107" s="20"/>
      <c r="B1107" s="51"/>
      <c r="C1107" s="57"/>
      <c r="D1107" s="62"/>
      <c r="E1107" s="53" t="e">
        <f>VLOOKUP($D1107,成品本月库存!$B:$J,2,0)</f>
        <v>#N/A</v>
      </c>
      <c r="F1107" s="54" t="e">
        <f>VLOOKUP($D1107,成品本月库存!$B:$J,5,0)</f>
        <v>#N/A</v>
      </c>
      <c r="G1107" s="55"/>
      <c r="H1107" s="53" t="e">
        <f>VLOOKUP($D1107,成品本月库存!$B:$J,9,0)</f>
        <v>#N/A</v>
      </c>
      <c r="I1107" s="56"/>
    </row>
    <row r="1108" ht="15.75" spans="1:9">
      <c r="A1108" s="20"/>
      <c r="B1108" s="51"/>
      <c r="C1108" s="57"/>
      <c r="D1108" s="62"/>
      <c r="E1108" s="53" t="e">
        <f>VLOOKUP($D1108,成品本月库存!$B:$J,2,0)</f>
        <v>#N/A</v>
      </c>
      <c r="F1108" s="54" t="e">
        <f>VLOOKUP($D1108,成品本月库存!$B:$J,5,0)</f>
        <v>#N/A</v>
      </c>
      <c r="G1108" s="55"/>
      <c r="H1108" s="53" t="e">
        <f>VLOOKUP($D1108,成品本月库存!$B:$J,9,0)</f>
        <v>#N/A</v>
      </c>
      <c r="I1108" s="56"/>
    </row>
    <row r="1109" ht="15.75" spans="1:9">
      <c r="A1109" s="20"/>
      <c r="B1109" s="51"/>
      <c r="C1109" s="57"/>
      <c r="D1109" s="62"/>
      <c r="E1109" s="53" t="e">
        <f>VLOOKUP($D1109,成品本月库存!$B:$J,2,0)</f>
        <v>#N/A</v>
      </c>
      <c r="F1109" s="54" t="e">
        <f>VLOOKUP($D1109,成品本月库存!$B:$J,5,0)</f>
        <v>#N/A</v>
      </c>
      <c r="G1109" s="55"/>
      <c r="H1109" s="53" t="e">
        <f>VLOOKUP($D1109,成品本月库存!$B:$J,9,0)</f>
        <v>#N/A</v>
      </c>
      <c r="I1109" s="56"/>
    </row>
    <row r="1110" ht="15.75" spans="1:9">
      <c r="A1110" s="20"/>
      <c r="B1110" s="51"/>
      <c r="C1110" s="57"/>
      <c r="D1110" s="62"/>
      <c r="E1110" s="53" t="e">
        <f>VLOOKUP($D1110,成品本月库存!$B:$J,2,0)</f>
        <v>#N/A</v>
      </c>
      <c r="F1110" s="54" t="e">
        <f>VLOOKUP($D1110,成品本月库存!$B:$J,5,0)</f>
        <v>#N/A</v>
      </c>
      <c r="G1110" s="55"/>
      <c r="H1110" s="53" t="e">
        <f>VLOOKUP($D1110,成品本月库存!$B:$J,9,0)</f>
        <v>#N/A</v>
      </c>
      <c r="I1110" s="56"/>
    </row>
    <row r="1111" ht="15.75" spans="1:9">
      <c r="A1111" s="20"/>
      <c r="B1111" s="51"/>
      <c r="C1111" s="57"/>
      <c r="D1111" s="62"/>
      <c r="E1111" s="53" t="e">
        <f>VLOOKUP($D1111,成品本月库存!$B:$J,2,0)</f>
        <v>#N/A</v>
      </c>
      <c r="F1111" s="54" t="e">
        <f>VLOOKUP($D1111,成品本月库存!$B:$J,5,0)</f>
        <v>#N/A</v>
      </c>
      <c r="G1111" s="55"/>
      <c r="H1111" s="53" t="e">
        <f>VLOOKUP($D1111,成品本月库存!$B:$J,9,0)</f>
        <v>#N/A</v>
      </c>
      <c r="I1111" s="56"/>
    </row>
    <row r="1112" ht="15.75" spans="1:9">
      <c r="A1112" s="20"/>
      <c r="B1112" s="51"/>
      <c r="C1112" s="57"/>
      <c r="D1112" s="62"/>
      <c r="E1112" s="53" t="e">
        <f>VLOOKUP($D1112,成品本月库存!$B:$J,2,0)</f>
        <v>#N/A</v>
      </c>
      <c r="F1112" s="54" t="e">
        <f>VLOOKUP($D1112,成品本月库存!$B:$J,5,0)</f>
        <v>#N/A</v>
      </c>
      <c r="G1112" s="55"/>
      <c r="H1112" s="53" t="e">
        <f>VLOOKUP($D1112,成品本月库存!$B:$J,9,0)</f>
        <v>#N/A</v>
      </c>
      <c r="I1112" s="56"/>
    </row>
    <row r="1113" ht="15.75" spans="1:9">
      <c r="A1113" s="20"/>
      <c r="B1113" s="51"/>
      <c r="C1113" s="57"/>
      <c r="D1113" s="62"/>
      <c r="E1113" s="53" t="e">
        <f>VLOOKUP($D1113,成品本月库存!$B:$J,2,0)</f>
        <v>#N/A</v>
      </c>
      <c r="F1113" s="54" t="e">
        <f>VLOOKUP($D1113,成品本月库存!$B:$J,5,0)</f>
        <v>#N/A</v>
      </c>
      <c r="G1113" s="55"/>
      <c r="H1113" s="53" t="e">
        <f>VLOOKUP($D1113,成品本月库存!$B:$J,9,0)</f>
        <v>#N/A</v>
      </c>
      <c r="I1113" s="56"/>
    </row>
    <row r="1114" ht="15.75" spans="1:9">
      <c r="A1114" s="20"/>
      <c r="B1114" s="51"/>
      <c r="C1114" s="57"/>
      <c r="D1114" s="62"/>
      <c r="E1114" s="53" t="e">
        <f>VLOOKUP($D1114,成品本月库存!$B:$J,2,0)</f>
        <v>#N/A</v>
      </c>
      <c r="F1114" s="54" t="e">
        <f>VLOOKUP($D1114,成品本月库存!$B:$J,5,0)</f>
        <v>#N/A</v>
      </c>
      <c r="G1114" s="55"/>
      <c r="H1114" s="53" t="e">
        <f>VLOOKUP($D1114,成品本月库存!$B:$J,9,0)</f>
        <v>#N/A</v>
      </c>
      <c r="I1114" s="56"/>
    </row>
    <row r="1115" ht="15.75" spans="1:9">
      <c r="A1115" s="20"/>
      <c r="B1115" s="51"/>
      <c r="C1115" s="57"/>
      <c r="D1115" s="62"/>
      <c r="E1115" s="53" t="e">
        <f>VLOOKUP($D1115,成品本月库存!$B:$J,2,0)</f>
        <v>#N/A</v>
      </c>
      <c r="F1115" s="54" t="e">
        <f>VLOOKUP($D1115,成品本月库存!$B:$J,5,0)</f>
        <v>#N/A</v>
      </c>
      <c r="G1115" s="55"/>
      <c r="H1115" s="53" t="e">
        <f>VLOOKUP($D1115,成品本月库存!$B:$J,9,0)</f>
        <v>#N/A</v>
      </c>
      <c r="I1115" s="56"/>
    </row>
    <row r="1116" ht="15.75" spans="1:9">
      <c r="A1116" s="20"/>
      <c r="B1116" s="51"/>
      <c r="C1116" s="57"/>
      <c r="D1116" s="62"/>
      <c r="E1116" s="53" t="e">
        <f>VLOOKUP($D1116,成品本月库存!$B:$J,2,0)</f>
        <v>#N/A</v>
      </c>
      <c r="F1116" s="54" t="e">
        <f>VLOOKUP($D1116,成品本月库存!$B:$J,5,0)</f>
        <v>#N/A</v>
      </c>
      <c r="G1116" s="55"/>
      <c r="H1116" s="53" t="e">
        <f>VLOOKUP($D1116,成品本月库存!$B:$J,9,0)</f>
        <v>#N/A</v>
      </c>
      <c r="I1116" s="56"/>
    </row>
    <row r="1117" ht="15.75" spans="1:9">
      <c r="A1117" s="20"/>
      <c r="B1117" s="51"/>
      <c r="C1117" s="57"/>
      <c r="D1117" s="62"/>
      <c r="E1117" s="53" t="e">
        <f>VLOOKUP($D1117,成品本月库存!$B:$J,2,0)</f>
        <v>#N/A</v>
      </c>
      <c r="F1117" s="54" t="e">
        <f>VLOOKUP($D1117,成品本月库存!$B:$J,5,0)</f>
        <v>#N/A</v>
      </c>
      <c r="G1117" s="55"/>
      <c r="H1117" s="53" t="e">
        <f>VLOOKUP($D1117,成品本月库存!$B:$J,9,0)</f>
        <v>#N/A</v>
      </c>
      <c r="I1117" s="56"/>
    </row>
    <row r="1118" ht="15.75" spans="1:9">
      <c r="A1118" s="20"/>
      <c r="B1118" s="51"/>
      <c r="C1118" s="57"/>
      <c r="D1118" s="62"/>
      <c r="E1118" s="53" t="e">
        <f>VLOOKUP($D1118,成品本月库存!$B:$J,2,0)</f>
        <v>#N/A</v>
      </c>
      <c r="F1118" s="54" t="e">
        <f>VLOOKUP($D1118,成品本月库存!$B:$J,5,0)</f>
        <v>#N/A</v>
      </c>
      <c r="G1118" s="55"/>
      <c r="H1118" s="53" t="e">
        <f>VLOOKUP($D1118,成品本月库存!$B:$J,9,0)</f>
        <v>#N/A</v>
      </c>
      <c r="I1118" s="56"/>
    </row>
    <row r="1119" ht="15.75" spans="1:9">
      <c r="A1119" s="20"/>
      <c r="B1119" s="51"/>
      <c r="C1119" s="57"/>
      <c r="D1119" s="62"/>
      <c r="E1119" s="53" t="e">
        <f>VLOOKUP($D1119,成品本月库存!$B:$J,2,0)</f>
        <v>#N/A</v>
      </c>
      <c r="F1119" s="54" t="e">
        <f>VLOOKUP($D1119,成品本月库存!$B:$J,5,0)</f>
        <v>#N/A</v>
      </c>
      <c r="G1119" s="55"/>
      <c r="H1119" s="53" t="e">
        <f>VLOOKUP($D1119,成品本月库存!$B:$J,9,0)</f>
        <v>#N/A</v>
      </c>
      <c r="I1119" s="56"/>
    </row>
    <row r="1120" ht="15.75" spans="1:9">
      <c r="A1120" s="20"/>
      <c r="B1120" s="51"/>
      <c r="C1120" s="57"/>
      <c r="D1120" s="62"/>
      <c r="E1120" s="53" t="e">
        <f>VLOOKUP($D1120,成品本月库存!$B:$J,2,0)</f>
        <v>#N/A</v>
      </c>
      <c r="F1120" s="54" t="e">
        <f>VLOOKUP($D1120,成品本月库存!$B:$J,5,0)</f>
        <v>#N/A</v>
      </c>
      <c r="G1120" s="55"/>
      <c r="H1120" s="53" t="e">
        <f>VLOOKUP($D1120,成品本月库存!$B:$J,9,0)</f>
        <v>#N/A</v>
      </c>
      <c r="I1120" s="56"/>
    </row>
    <row r="1121" ht="15.75" spans="1:9">
      <c r="A1121" s="20"/>
      <c r="B1121" s="51"/>
      <c r="C1121" s="57"/>
      <c r="D1121" s="62"/>
      <c r="E1121" s="53" t="e">
        <f>VLOOKUP($D1121,成品本月库存!$B:$J,2,0)</f>
        <v>#N/A</v>
      </c>
      <c r="F1121" s="54" t="e">
        <f>VLOOKUP($D1121,成品本月库存!$B:$J,5,0)</f>
        <v>#N/A</v>
      </c>
      <c r="G1121" s="55"/>
      <c r="H1121" s="53" t="e">
        <f>VLOOKUP($D1121,成品本月库存!$B:$J,9,0)</f>
        <v>#N/A</v>
      </c>
      <c r="I1121" s="56"/>
    </row>
    <row r="1122" ht="15.75" spans="1:9">
      <c r="A1122" s="20"/>
      <c r="B1122" s="51"/>
      <c r="C1122" s="57"/>
      <c r="D1122" s="62"/>
      <c r="E1122" s="53" t="e">
        <f>VLOOKUP($D1122,成品本月库存!$B:$J,2,0)</f>
        <v>#N/A</v>
      </c>
      <c r="F1122" s="54" t="e">
        <f>VLOOKUP($D1122,成品本月库存!$B:$J,5,0)</f>
        <v>#N/A</v>
      </c>
      <c r="G1122" s="55"/>
      <c r="H1122" s="53" t="e">
        <f>VLOOKUP($D1122,成品本月库存!$B:$J,9,0)</f>
        <v>#N/A</v>
      </c>
      <c r="I1122" s="56"/>
    </row>
    <row r="1123" ht="15.75" spans="1:9">
      <c r="A1123" s="20"/>
      <c r="B1123" s="51"/>
      <c r="C1123" s="57"/>
      <c r="D1123" s="62"/>
      <c r="E1123" s="53" t="e">
        <f>VLOOKUP($D1123,成品本月库存!$B:$J,2,0)</f>
        <v>#N/A</v>
      </c>
      <c r="F1123" s="54" t="e">
        <f>VLOOKUP($D1123,成品本月库存!$B:$J,5,0)</f>
        <v>#N/A</v>
      </c>
      <c r="G1123" s="55"/>
      <c r="H1123" s="53" t="e">
        <f>VLOOKUP($D1123,成品本月库存!$B:$J,9,0)</f>
        <v>#N/A</v>
      </c>
      <c r="I1123" s="56"/>
    </row>
    <row r="1124" ht="15.75" spans="1:9">
      <c r="A1124" s="20"/>
      <c r="B1124" s="51"/>
      <c r="C1124" s="57"/>
      <c r="D1124" s="62"/>
      <c r="E1124" s="53" t="e">
        <f>VLOOKUP($D1124,成品本月库存!$B:$J,2,0)</f>
        <v>#N/A</v>
      </c>
      <c r="F1124" s="54" t="e">
        <f>VLOOKUP($D1124,成品本月库存!$B:$J,5,0)</f>
        <v>#N/A</v>
      </c>
      <c r="G1124" s="55"/>
      <c r="H1124" s="53" t="e">
        <f>VLOOKUP($D1124,成品本月库存!$B:$J,9,0)</f>
        <v>#N/A</v>
      </c>
      <c r="I1124" s="56"/>
    </row>
    <row r="1125" ht="15.75" spans="1:9">
      <c r="A1125" s="20"/>
      <c r="B1125" s="51"/>
      <c r="C1125" s="57"/>
      <c r="D1125" s="62"/>
      <c r="E1125" s="53" t="e">
        <f>VLOOKUP($D1125,成品本月库存!$B:$J,2,0)</f>
        <v>#N/A</v>
      </c>
      <c r="F1125" s="54" t="e">
        <f>VLOOKUP($D1125,成品本月库存!$B:$J,5,0)</f>
        <v>#N/A</v>
      </c>
      <c r="G1125" s="55"/>
      <c r="H1125" s="53" t="e">
        <f>VLOOKUP($D1125,成品本月库存!$B:$J,9,0)</f>
        <v>#N/A</v>
      </c>
      <c r="I1125" s="56"/>
    </row>
    <row r="1126" ht="15.75" spans="1:9">
      <c r="A1126" s="20"/>
      <c r="B1126" s="51"/>
      <c r="C1126" s="57"/>
      <c r="D1126" s="65"/>
      <c r="E1126" s="53" t="e">
        <f>VLOOKUP($D1126,成品本月库存!$B:$J,2,0)</f>
        <v>#N/A</v>
      </c>
      <c r="F1126" s="54" t="e">
        <f>VLOOKUP($D1126,成品本月库存!$B:$J,5,0)</f>
        <v>#N/A</v>
      </c>
      <c r="G1126" s="55"/>
      <c r="H1126" s="53" t="e">
        <f>VLOOKUP($D1126,成品本月库存!$B:$J,9,0)</f>
        <v>#N/A</v>
      </c>
      <c r="I1126" s="56"/>
    </row>
    <row r="1127" ht="15.75" spans="1:9">
      <c r="A1127" s="20"/>
      <c r="B1127" s="51"/>
      <c r="C1127" s="57"/>
      <c r="D1127" s="65"/>
      <c r="E1127" s="53" t="e">
        <f>VLOOKUP($D1127,成品本月库存!$B:$J,2,0)</f>
        <v>#N/A</v>
      </c>
      <c r="F1127" s="54" t="e">
        <f>VLOOKUP($D1127,成品本月库存!$B:$J,5,0)</f>
        <v>#N/A</v>
      </c>
      <c r="G1127" s="55"/>
      <c r="H1127" s="53" t="e">
        <f>VLOOKUP($D1127,成品本月库存!$B:$J,9,0)</f>
        <v>#N/A</v>
      </c>
      <c r="I1127" s="56"/>
    </row>
    <row r="1128" ht="15.75" spans="1:9">
      <c r="A1128" s="20"/>
      <c r="B1128" s="51"/>
      <c r="C1128" s="57"/>
      <c r="D1128" s="65"/>
      <c r="E1128" s="53" t="e">
        <f>VLOOKUP($D1128,成品本月库存!$B:$J,2,0)</f>
        <v>#N/A</v>
      </c>
      <c r="F1128" s="54" t="e">
        <f>VLOOKUP($D1128,成品本月库存!$B:$J,5,0)</f>
        <v>#N/A</v>
      </c>
      <c r="G1128" s="55"/>
      <c r="H1128" s="53" t="e">
        <f>VLOOKUP($D1128,成品本月库存!$B:$J,9,0)</f>
        <v>#N/A</v>
      </c>
      <c r="I1128" s="56"/>
    </row>
    <row r="1129" ht="15.75" spans="1:9">
      <c r="A1129" s="20"/>
      <c r="B1129" s="51"/>
      <c r="C1129" s="57"/>
      <c r="D1129" s="65"/>
      <c r="E1129" s="53" t="e">
        <f>VLOOKUP($D1129,成品本月库存!$B:$J,2,0)</f>
        <v>#N/A</v>
      </c>
      <c r="F1129" s="54" t="e">
        <f>VLOOKUP($D1129,成品本月库存!$B:$J,5,0)</f>
        <v>#N/A</v>
      </c>
      <c r="G1129" s="55"/>
      <c r="H1129" s="53" t="e">
        <f>VLOOKUP($D1129,成品本月库存!$B:$J,9,0)</f>
        <v>#N/A</v>
      </c>
      <c r="I1129" s="56"/>
    </row>
    <row r="1130" ht="15.75" spans="1:9">
      <c r="A1130" s="20"/>
      <c r="B1130" s="51"/>
      <c r="C1130" s="57"/>
      <c r="D1130" s="65"/>
      <c r="E1130" s="53" t="e">
        <f>VLOOKUP($D1130,成品本月库存!$B:$J,2,0)</f>
        <v>#N/A</v>
      </c>
      <c r="F1130" s="54" t="e">
        <f>VLOOKUP($D1130,成品本月库存!$B:$J,5,0)</f>
        <v>#N/A</v>
      </c>
      <c r="G1130" s="55"/>
      <c r="H1130" s="53" t="e">
        <f>VLOOKUP($D1130,成品本月库存!$B:$J,9,0)</f>
        <v>#N/A</v>
      </c>
      <c r="I1130" s="56"/>
    </row>
    <row r="1131" ht="15.75" spans="1:9">
      <c r="A1131" s="20"/>
      <c r="B1131" s="51"/>
      <c r="C1131" s="57"/>
      <c r="D1131" s="65"/>
      <c r="E1131" s="53" t="e">
        <f>VLOOKUP($D1131,成品本月库存!$B:$J,2,0)</f>
        <v>#N/A</v>
      </c>
      <c r="F1131" s="54" t="e">
        <f>VLOOKUP($D1131,成品本月库存!$B:$J,5,0)</f>
        <v>#N/A</v>
      </c>
      <c r="G1131" s="55"/>
      <c r="H1131" s="53" t="e">
        <f>VLOOKUP($D1131,成品本月库存!$B:$J,9,0)</f>
        <v>#N/A</v>
      </c>
      <c r="I1131" s="56"/>
    </row>
    <row r="1132" ht="15.75" spans="1:9">
      <c r="A1132" s="20"/>
      <c r="B1132" s="51"/>
      <c r="C1132" s="57"/>
      <c r="D1132" s="65"/>
      <c r="E1132" s="53" t="e">
        <f>VLOOKUP($D1132,成品本月库存!$B:$J,2,0)</f>
        <v>#N/A</v>
      </c>
      <c r="F1132" s="54" t="e">
        <f>VLOOKUP($D1132,成品本月库存!$B:$J,5,0)</f>
        <v>#N/A</v>
      </c>
      <c r="G1132" s="55"/>
      <c r="H1132" s="53" t="e">
        <f>VLOOKUP($D1132,成品本月库存!$B:$J,9,0)</f>
        <v>#N/A</v>
      </c>
      <c r="I1132" s="56"/>
    </row>
    <row r="1133" ht="15.75" spans="1:9">
      <c r="A1133" s="20"/>
      <c r="B1133" s="51"/>
      <c r="C1133" s="57"/>
      <c r="D1133" s="65"/>
      <c r="E1133" s="53" t="e">
        <f>VLOOKUP($D1133,成品本月库存!$B:$J,2,0)</f>
        <v>#N/A</v>
      </c>
      <c r="F1133" s="54" t="e">
        <f>VLOOKUP($D1133,成品本月库存!$B:$J,5,0)</f>
        <v>#N/A</v>
      </c>
      <c r="G1133" s="55"/>
      <c r="H1133" s="53" t="e">
        <f>VLOOKUP($D1133,成品本月库存!$B:$J,9,0)</f>
        <v>#N/A</v>
      </c>
      <c r="I1133" s="56"/>
    </row>
    <row r="1134" ht="15.75" spans="1:9">
      <c r="A1134" s="20"/>
      <c r="B1134" s="51"/>
      <c r="C1134" s="57"/>
      <c r="D1134" s="65"/>
      <c r="E1134" s="53" t="e">
        <f>VLOOKUP($D1134,成品本月库存!$B:$J,2,0)</f>
        <v>#N/A</v>
      </c>
      <c r="F1134" s="54" t="e">
        <f>VLOOKUP($D1134,成品本月库存!$B:$J,5,0)</f>
        <v>#N/A</v>
      </c>
      <c r="G1134" s="55"/>
      <c r="H1134" s="53" t="e">
        <f>VLOOKUP($D1134,成品本月库存!$B:$J,9,0)</f>
        <v>#N/A</v>
      </c>
      <c r="I1134" s="56"/>
    </row>
    <row r="1135" ht="15.75" spans="1:9">
      <c r="A1135" s="20"/>
      <c r="B1135" s="51"/>
      <c r="C1135" s="57"/>
      <c r="D1135" s="65"/>
      <c r="E1135" s="53" t="e">
        <f>VLOOKUP($D1135,成品本月库存!$B:$J,2,0)</f>
        <v>#N/A</v>
      </c>
      <c r="F1135" s="54" t="e">
        <f>VLOOKUP($D1135,成品本月库存!$B:$J,5,0)</f>
        <v>#N/A</v>
      </c>
      <c r="G1135" s="55"/>
      <c r="H1135" s="53" t="e">
        <f>VLOOKUP($D1135,成品本月库存!$B:$J,9,0)</f>
        <v>#N/A</v>
      </c>
      <c r="I1135" s="56"/>
    </row>
    <row r="1136" ht="15.75" spans="1:9">
      <c r="A1136" s="20"/>
      <c r="B1136" s="51"/>
      <c r="C1136" s="57"/>
      <c r="D1136" s="65"/>
      <c r="E1136" s="53" t="e">
        <f>VLOOKUP($D1136,成品本月库存!$B:$J,2,0)</f>
        <v>#N/A</v>
      </c>
      <c r="F1136" s="54" t="e">
        <f>VLOOKUP($D1136,成品本月库存!$B:$J,5,0)</f>
        <v>#N/A</v>
      </c>
      <c r="G1136" s="55"/>
      <c r="H1136" s="53" t="e">
        <f>VLOOKUP($D1136,成品本月库存!$B:$J,9,0)</f>
        <v>#N/A</v>
      </c>
      <c r="I1136" s="56"/>
    </row>
    <row r="1137" ht="15.75" spans="1:9">
      <c r="A1137" s="20"/>
      <c r="B1137" s="51"/>
      <c r="C1137" s="57"/>
      <c r="D1137" s="65"/>
      <c r="E1137" s="53" t="e">
        <f>VLOOKUP($D1137,成品本月库存!$B:$J,2,0)</f>
        <v>#N/A</v>
      </c>
      <c r="F1137" s="54" t="e">
        <f>VLOOKUP($D1137,成品本月库存!$B:$J,5,0)</f>
        <v>#N/A</v>
      </c>
      <c r="G1137" s="55"/>
      <c r="H1137" s="53" t="e">
        <f>VLOOKUP($D1137,成品本月库存!$B:$J,9,0)</f>
        <v>#N/A</v>
      </c>
      <c r="I1137" s="56"/>
    </row>
    <row r="1138" ht="15.75" spans="1:9">
      <c r="A1138" s="20"/>
      <c r="B1138" s="51"/>
      <c r="C1138" s="57"/>
      <c r="D1138" s="65"/>
      <c r="E1138" s="53" t="e">
        <f>VLOOKUP($D1138,成品本月库存!$B:$J,2,0)</f>
        <v>#N/A</v>
      </c>
      <c r="F1138" s="54" t="e">
        <f>VLOOKUP($D1138,成品本月库存!$B:$J,5,0)</f>
        <v>#N/A</v>
      </c>
      <c r="G1138" s="55"/>
      <c r="H1138" s="53" t="e">
        <f>VLOOKUP($D1138,成品本月库存!$B:$J,9,0)</f>
        <v>#N/A</v>
      </c>
      <c r="I1138" s="56"/>
    </row>
    <row r="1139" ht="15.75" spans="1:9">
      <c r="A1139" s="20"/>
      <c r="B1139" s="51"/>
      <c r="C1139" s="57"/>
      <c r="D1139" s="65"/>
      <c r="E1139" s="53" t="e">
        <f>VLOOKUP($D1139,成品本月库存!$B:$J,2,0)</f>
        <v>#N/A</v>
      </c>
      <c r="F1139" s="54" t="e">
        <f>VLOOKUP($D1139,成品本月库存!$B:$J,5,0)</f>
        <v>#N/A</v>
      </c>
      <c r="G1139" s="55"/>
      <c r="H1139" s="53" t="e">
        <f>VLOOKUP($D1139,成品本月库存!$B:$J,9,0)</f>
        <v>#N/A</v>
      </c>
      <c r="I1139" s="56"/>
    </row>
    <row r="1140" ht="15.75" spans="1:9">
      <c r="A1140" s="20"/>
      <c r="B1140" s="51"/>
      <c r="C1140" s="57"/>
      <c r="D1140" s="65"/>
      <c r="E1140" s="53" t="e">
        <f>VLOOKUP($D1140,成品本月库存!$B:$J,2,0)</f>
        <v>#N/A</v>
      </c>
      <c r="F1140" s="54" t="e">
        <f>VLOOKUP($D1140,成品本月库存!$B:$J,5,0)</f>
        <v>#N/A</v>
      </c>
      <c r="G1140" s="55"/>
      <c r="H1140" s="53" t="e">
        <f>VLOOKUP($D1140,成品本月库存!$B:$J,9,0)</f>
        <v>#N/A</v>
      </c>
      <c r="I1140" s="56"/>
    </row>
    <row r="1141" ht="15.75" spans="1:9">
      <c r="A1141" s="20"/>
      <c r="B1141" s="51"/>
      <c r="C1141" s="57"/>
      <c r="D1141" s="65"/>
      <c r="E1141" s="53" t="e">
        <f>VLOOKUP($D1141,成品本月库存!$B:$J,2,0)</f>
        <v>#N/A</v>
      </c>
      <c r="F1141" s="54" t="e">
        <f>VLOOKUP($D1141,成品本月库存!$B:$J,5,0)</f>
        <v>#N/A</v>
      </c>
      <c r="G1141" s="55"/>
      <c r="H1141" s="53" t="e">
        <f>VLOOKUP($D1141,成品本月库存!$B:$J,9,0)</f>
        <v>#N/A</v>
      </c>
      <c r="I1141" s="56"/>
    </row>
    <row r="1142" ht="15.75" spans="1:9">
      <c r="A1142" s="20"/>
      <c r="B1142" s="51"/>
      <c r="C1142" s="57"/>
      <c r="D1142" s="65"/>
      <c r="E1142" s="53" t="e">
        <f>VLOOKUP($D1142,成品本月库存!$B:$J,2,0)</f>
        <v>#N/A</v>
      </c>
      <c r="F1142" s="54" t="e">
        <f>VLOOKUP($D1142,成品本月库存!$B:$J,5,0)</f>
        <v>#N/A</v>
      </c>
      <c r="G1142" s="55"/>
      <c r="H1142" s="53" t="e">
        <f>VLOOKUP($D1142,成品本月库存!$B:$J,9,0)</f>
        <v>#N/A</v>
      </c>
      <c r="I1142" s="56"/>
    </row>
    <row r="1143" ht="15.75" spans="1:9">
      <c r="A1143" s="20"/>
      <c r="B1143" s="51"/>
      <c r="C1143" s="57"/>
      <c r="D1143" s="65"/>
      <c r="E1143" s="53" t="e">
        <f>VLOOKUP($D1143,成品本月库存!$B:$J,2,0)</f>
        <v>#N/A</v>
      </c>
      <c r="F1143" s="54" t="e">
        <f>VLOOKUP($D1143,成品本月库存!$B:$J,5,0)</f>
        <v>#N/A</v>
      </c>
      <c r="G1143" s="55"/>
      <c r="H1143" s="53" t="e">
        <f>VLOOKUP($D1143,成品本月库存!$B:$J,9,0)</f>
        <v>#N/A</v>
      </c>
      <c r="I1143" s="56"/>
    </row>
    <row r="1144" ht="15.75" spans="1:9">
      <c r="A1144" s="20"/>
      <c r="B1144" s="51"/>
      <c r="C1144" s="57"/>
      <c r="D1144" s="65"/>
      <c r="E1144" s="53" t="e">
        <f>VLOOKUP($D1144,成品本月库存!$B:$J,2,0)</f>
        <v>#N/A</v>
      </c>
      <c r="F1144" s="54" t="e">
        <f>VLOOKUP($D1144,成品本月库存!$B:$J,5,0)</f>
        <v>#N/A</v>
      </c>
      <c r="G1144" s="55"/>
      <c r="H1144" s="53" t="e">
        <f>VLOOKUP($D1144,成品本月库存!$B:$J,9,0)</f>
        <v>#N/A</v>
      </c>
      <c r="I1144" s="56"/>
    </row>
    <row r="1145" ht="15.75" spans="1:9">
      <c r="A1145" s="20"/>
      <c r="B1145" s="51"/>
      <c r="C1145" s="57"/>
      <c r="D1145" s="65"/>
      <c r="E1145" s="53" t="e">
        <f>VLOOKUP($D1145,成品本月库存!$B:$J,2,0)</f>
        <v>#N/A</v>
      </c>
      <c r="F1145" s="54" t="e">
        <f>VLOOKUP($D1145,成品本月库存!$B:$J,5,0)</f>
        <v>#N/A</v>
      </c>
      <c r="G1145" s="55"/>
      <c r="H1145" s="53" t="e">
        <f>VLOOKUP($D1145,成品本月库存!$B:$J,9,0)</f>
        <v>#N/A</v>
      </c>
      <c r="I1145" s="56"/>
    </row>
    <row r="1146" ht="15.75" spans="1:9">
      <c r="A1146" s="20"/>
      <c r="B1146" s="51"/>
      <c r="C1146" s="57"/>
      <c r="D1146" s="65"/>
      <c r="E1146" s="53" t="e">
        <f>VLOOKUP($D1146,成品本月库存!$B:$J,2,0)</f>
        <v>#N/A</v>
      </c>
      <c r="F1146" s="54" t="e">
        <f>VLOOKUP($D1146,成品本月库存!$B:$J,5,0)</f>
        <v>#N/A</v>
      </c>
      <c r="G1146" s="55"/>
      <c r="H1146" s="53" t="e">
        <f>VLOOKUP($D1146,成品本月库存!$B:$J,9,0)</f>
        <v>#N/A</v>
      </c>
    </row>
    <row r="1147" ht="15.75" spans="1:9">
      <c r="A1147" s="20"/>
      <c r="B1147" s="51"/>
      <c r="C1147" s="57"/>
      <c r="D1147" s="65"/>
      <c r="E1147" s="53" t="e">
        <f>VLOOKUP($D1147,成品本月库存!$B:$J,2,0)</f>
        <v>#N/A</v>
      </c>
      <c r="F1147" s="54" t="e">
        <f>VLOOKUP($D1147,成品本月库存!$B:$J,5,0)</f>
        <v>#N/A</v>
      </c>
      <c r="G1147" s="55"/>
      <c r="H1147" s="53" t="e">
        <f>VLOOKUP($D1147,成品本月库存!$B:$J,9,0)</f>
        <v>#N/A</v>
      </c>
    </row>
    <row r="1148" ht="15.75" spans="1:9">
      <c r="A1148" s="20"/>
      <c r="B1148" s="51"/>
      <c r="C1148" s="57"/>
      <c r="D1148" s="65"/>
      <c r="E1148" s="53" t="e">
        <f>VLOOKUP($D1148,成品本月库存!$B:$J,2,0)</f>
        <v>#N/A</v>
      </c>
      <c r="F1148" s="54" t="e">
        <f>VLOOKUP($D1148,成品本月库存!$B:$J,5,0)</f>
        <v>#N/A</v>
      </c>
      <c r="G1148" s="55"/>
      <c r="H1148" s="53" t="e">
        <f>VLOOKUP($D1148,成品本月库存!$B:$J,9,0)</f>
        <v>#N/A</v>
      </c>
    </row>
    <row r="1149" ht="15.75" spans="1:9">
      <c r="A1149" s="20"/>
      <c r="B1149" s="51"/>
      <c r="C1149" s="57"/>
      <c r="D1149" s="65"/>
      <c r="E1149" s="53" t="e">
        <f>VLOOKUP($D1149,成品本月库存!$B:$J,2,0)</f>
        <v>#N/A</v>
      </c>
      <c r="F1149" s="54" t="e">
        <f>VLOOKUP($D1149,成品本月库存!$B:$J,5,0)</f>
        <v>#N/A</v>
      </c>
      <c r="G1149" s="55"/>
      <c r="H1149" s="53" t="e">
        <f>VLOOKUP($D1149,成品本月库存!$B:$J,9,0)</f>
        <v>#N/A</v>
      </c>
    </row>
    <row r="1150" ht="15.75" spans="1:9">
      <c r="A1150" s="20"/>
      <c r="B1150" s="51"/>
      <c r="C1150" s="57"/>
      <c r="D1150" s="65"/>
      <c r="E1150" s="53" t="e">
        <f>VLOOKUP($D1150,成品本月库存!$B:$J,2,0)</f>
        <v>#N/A</v>
      </c>
      <c r="F1150" s="54" t="e">
        <f>VLOOKUP($D1150,成品本月库存!$B:$J,5,0)</f>
        <v>#N/A</v>
      </c>
      <c r="G1150" s="55"/>
      <c r="H1150" s="53" t="e">
        <f>VLOOKUP($D1150,成品本月库存!$B:$J,9,0)</f>
        <v>#N/A</v>
      </c>
    </row>
    <row r="1151" ht="15.75" spans="1:9">
      <c r="A1151" s="20"/>
      <c r="B1151" s="51"/>
      <c r="C1151" s="57"/>
      <c r="D1151" s="65"/>
      <c r="E1151" s="53" t="e">
        <f>VLOOKUP($D1151,成品本月库存!$B:$J,2,0)</f>
        <v>#N/A</v>
      </c>
      <c r="F1151" s="54" t="e">
        <f>VLOOKUP($D1151,成品本月库存!$B:$J,5,0)</f>
        <v>#N/A</v>
      </c>
      <c r="G1151" s="55"/>
      <c r="H1151" s="53" t="e">
        <f>VLOOKUP($D1151,成品本月库存!$B:$J,9,0)</f>
        <v>#N/A</v>
      </c>
    </row>
    <row r="1152" ht="15.75" spans="1:9">
      <c r="A1152" s="20"/>
      <c r="B1152" s="51"/>
      <c r="C1152" s="57"/>
      <c r="D1152" s="65"/>
      <c r="E1152" s="53" t="e">
        <f>VLOOKUP($D1152,成品本月库存!$B:$J,2,0)</f>
        <v>#N/A</v>
      </c>
      <c r="F1152" s="54" t="e">
        <f>VLOOKUP($D1152,成品本月库存!$B:$J,5,0)</f>
        <v>#N/A</v>
      </c>
      <c r="G1152" s="55"/>
      <c r="H1152" s="53" t="e">
        <f>VLOOKUP($D1152,成品本月库存!$B:$J,9,0)</f>
        <v>#N/A</v>
      </c>
    </row>
    <row r="1153" ht="15.75" spans="1:8">
      <c r="A1153" s="20"/>
      <c r="B1153" s="51"/>
      <c r="C1153" s="57"/>
      <c r="D1153" s="65"/>
      <c r="E1153" s="53" t="e">
        <f>VLOOKUP($D1153,成品本月库存!$B:$J,2,0)</f>
        <v>#N/A</v>
      </c>
      <c r="F1153" s="54" t="e">
        <f>VLOOKUP($D1153,成品本月库存!$B:$J,5,0)</f>
        <v>#N/A</v>
      </c>
      <c r="G1153" s="55"/>
      <c r="H1153" s="53" t="e">
        <f>VLOOKUP($D1153,成品本月库存!$B:$J,9,0)</f>
        <v>#N/A</v>
      </c>
    </row>
    <row r="1154" ht="15.75" spans="1:8">
      <c r="A1154" s="20"/>
      <c r="B1154" s="51"/>
      <c r="C1154" s="57"/>
      <c r="D1154" s="65"/>
      <c r="E1154" s="53" t="e">
        <f>VLOOKUP($D1154,成品本月库存!$B:$J,2,0)</f>
        <v>#N/A</v>
      </c>
      <c r="F1154" s="54" t="e">
        <f>VLOOKUP($D1154,成品本月库存!$B:$J,5,0)</f>
        <v>#N/A</v>
      </c>
      <c r="G1154" s="55"/>
      <c r="H1154" s="53" t="e">
        <f>VLOOKUP($D1154,成品本月库存!$B:$J,9,0)</f>
        <v>#N/A</v>
      </c>
    </row>
    <row r="1155" ht="15.75" spans="1:8">
      <c r="A1155" s="20"/>
      <c r="B1155" s="51"/>
      <c r="C1155" s="57"/>
      <c r="D1155" s="65"/>
      <c r="E1155" s="53" t="e">
        <f>VLOOKUP($D1155,成品本月库存!$B:$J,2,0)</f>
        <v>#N/A</v>
      </c>
      <c r="F1155" s="54" t="e">
        <f>VLOOKUP($D1155,成品本月库存!$B:$J,5,0)</f>
        <v>#N/A</v>
      </c>
      <c r="G1155" s="55"/>
      <c r="H1155" s="53" t="e">
        <f>VLOOKUP($D1155,成品本月库存!$B:$J,9,0)</f>
        <v>#N/A</v>
      </c>
    </row>
    <row r="1156" ht="15.75" spans="1:8">
      <c r="A1156" s="20"/>
      <c r="B1156" s="51"/>
      <c r="C1156" s="57"/>
      <c r="D1156" s="65"/>
      <c r="E1156" s="53" t="e">
        <f>VLOOKUP($D1156,成品本月库存!$B:$J,2,0)</f>
        <v>#N/A</v>
      </c>
      <c r="F1156" s="54" t="e">
        <f>VLOOKUP($D1156,成品本月库存!$B:$J,5,0)</f>
        <v>#N/A</v>
      </c>
      <c r="G1156" s="55"/>
      <c r="H1156" s="53" t="e">
        <f>VLOOKUP($D1156,成品本月库存!$B:$J,9,0)</f>
        <v>#N/A</v>
      </c>
    </row>
    <row r="1157" ht="15.75" spans="1:8">
      <c r="A1157" s="20"/>
      <c r="B1157" s="51"/>
      <c r="C1157" s="57"/>
      <c r="D1157" s="65"/>
      <c r="E1157" s="53" t="e">
        <f>VLOOKUP($D1157,成品本月库存!$B:$J,2,0)</f>
        <v>#N/A</v>
      </c>
      <c r="F1157" s="54" t="e">
        <f>VLOOKUP($D1157,成品本月库存!$B:$J,5,0)</f>
        <v>#N/A</v>
      </c>
      <c r="G1157" s="55"/>
      <c r="H1157" s="53" t="e">
        <f>VLOOKUP($D1157,成品本月库存!$B:$J,9,0)</f>
        <v>#N/A</v>
      </c>
    </row>
    <row r="1158" ht="15.75" spans="1:8">
      <c r="A1158" s="20"/>
      <c r="B1158" s="51"/>
      <c r="C1158" s="57"/>
      <c r="D1158" s="65"/>
      <c r="E1158" s="53" t="e">
        <f>VLOOKUP($D1158,成品本月库存!$B:$J,2,0)</f>
        <v>#N/A</v>
      </c>
      <c r="F1158" s="54" t="e">
        <f>VLOOKUP($D1158,成品本月库存!$B:$J,5,0)</f>
        <v>#N/A</v>
      </c>
      <c r="G1158" s="55"/>
      <c r="H1158" s="53" t="e">
        <f>VLOOKUP($D1158,成品本月库存!$B:$J,9,0)</f>
        <v>#N/A</v>
      </c>
    </row>
    <row r="1159" ht="15.75" spans="1:8">
      <c r="A1159" s="20"/>
      <c r="B1159" s="51"/>
      <c r="C1159" s="57"/>
      <c r="D1159" s="65"/>
      <c r="E1159" s="53" t="e">
        <f>VLOOKUP($D1159,成品本月库存!$B:$J,2,0)</f>
        <v>#N/A</v>
      </c>
      <c r="F1159" s="54" t="e">
        <f>VLOOKUP($D1159,成品本月库存!$B:$J,5,0)</f>
        <v>#N/A</v>
      </c>
      <c r="G1159" s="55"/>
      <c r="H1159" s="53" t="e">
        <f>VLOOKUP($D1159,成品本月库存!$B:$J,9,0)</f>
        <v>#N/A</v>
      </c>
    </row>
    <row r="1160" ht="15.75" spans="1:8">
      <c r="A1160" s="20"/>
      <c r="B1160" s="51"/>
      <c r="C1160" s="57"/>
      <c r="D1160" s="65"/>
      <c r="E1160" s="53" t="e">
        <f>VLOOKUP($D1160,成品本月库存!$B:$J,2,0)</f>
        <v>#N/A</v>
      </c>
      <c r="F1160" s="54" t="e">
        <f>VLOOKUP($D1160,成品本月库存!$B:$J,5,0)</f>
        <v>#N/A</v>
      </c>
      <c r="G1160" s="55"/>
      <c r="H1160" s="53" t="e">
        <f>VLOOKUP($D1160,成品本月库存!$B:$J,9,0)</f>
        <v>#N/A</v>
      </c>
    </row>
    <row r="1161" ht="15.75" spans="1:8">
      <c r="A1161" s="20"/>
      <c r="B1161" s="51"/>
      <c r="C1161" s="57"/>
      <c r="D1161" s="65"/>
      <c r="E1161" s="53" t="e">
        <f>VLOOKUP($D1161,成品本月库存!$B:$J,2,0)</f>
        <v>#N/A</v>
      </c>
      <c r="F1161" s="54" t="e">
        <f>VLOOKUP($D1161,成品本月库存!$B:$J,5,0)</f>
        <v>#N/A</v>
      </c>
      <c r="G1161" s="55"/>
      <c r="H1161" s="53" t="e">
        <f>VLOOKUP($D1161,成品本月库存!$B:$J,9,0)</f>
        <v>#N/A</v>
      </c>
    </row>
    <row r="1162" ht="15.75" spans="1:8">
      <c r="A1162" s="20"/>
      <c r="B1162" s="51"/>
      <c r="C1162" s="57"/>
      <c r="D1162" s="65"/>
      <c r="E1162" s="53" t="e">
        <f>VLOOKUP($D1162,成品本月库存!$B:$J,2,0)</f>
        <v>#N/A</v>
      </c>
      <c r="F1162" s="54" t="e">
        <f>VLOOKUP($D1162,成品本月库存!$B:$J,5,0)</f>
        <v>#N/A</v>
      </c>
      <c r="G1162" s="55"/>
      <c r="H1162" s="53" t="e">
        <f>VLOOKUP($D1162,成品本月库存!$B:$J,9,0)</f>
        <v>#N/A</v>
      </c>
    </row>
    <row r="1163" ht="15.75" spans="1:8">
      <c r="A1163" s="20"/>
      <c r="B1163" s="51"/>
      <c r="C1163" s="57"/>
      <c r="D1163" s="65"/>
      <c r="E1163" s="53" t="e">
        <f>VLOOKUP($D1163,成品本月库存!$B:$J,2,0)</f>
        <v>#N/A</v>
      </c>
      <c r="F1163" s="54" t="e">
        <f>VLOOKUP($D1163,成品本月库存!$B:$J,5,0)</f>
        <v>#N/A</v>
      </c>
      <c r="G1163" s="55"/>
      <c r="H1163" s="53" t="e">
        <f>VLOOKUP($D1163,成品本月库存!$B:$J,9,0)</f>
        <v>#N/A</v>
      </c>
    </row>
    <row r="1164" ht="15.75" spans="1:8">
      <c r="A1164" s="20"/>
      <c r="B1164" s="51"/>
      <c r="C1164" s="57"/>
      <c r="D1164" s="65"/>
      <c r="E1164" s="53" t="e">
        <f>VLOOKUP($D1164,成品本月库存!$B:$J,2,0)</f>
        <v>#N/A</v>
      </c>
      <c r="F1164" s="54" t="e">
        <f>VLOOKUP($D1164,成品本月库存!$B:$J,5,0)</f>
        <v>#N/A</v>
      </c>
      <c r="G1164" s="55"/>
      <c r="H1164" s="53" t="e">
        <f>VLOOKUP($D1164,成品本月库存!$B:$J,9,0)</f>
        <v>#N/A</v>
      </c>
    </row>
    <row r="1165" ht="15.75" spans="1:8">
      <c r="A1165" s="20"/>
      <c r="B1165" s="51"/>
      <c r="C1165" s="57"/>
      <c r="D1165" s="65"/>
      <c r="E1165" s="53" t="e">
        <f>VLOOKUP($D1165,成品本月库存!$B:$J,2,0)</f>
        <v>#N/A</v>
      </c>
      <c r="F1165" s="54" t="e">
        <f>VLOOKUP($D1165,成品本月库存!$B:$J,5,0)</f>
        <v>#N/A</v>
      </c>
      <c r="G1165" s="55"/>
      <c r="H1165" s="53" t="e">
        <f>VLOOKUP($D1165,成品本月库存!$B:$J,9,0)</f>
        <v>#N/A</v>
      </c>
    </row>
    <row r="1166" ht="15.75" spans="1:8">
      <c r="A1166" s="20"/>
      <c r="B1166" s="51"/>
      <c r="C1166" s="57"/>
      <c r="D1166" s="65"/>
      <c r="E1166" s="53" t="e">
        <f>VLOOKUP($D1166,成品本月库存!$B:$J,2,0)</f>
        <v>#N/A</v>
      </c>
      <c r="F1166" s="54" t="e">
        <f>VLOOKUP($D1166,成品本月库存!$B:$J,5,0)</f>
        <v>#N/A</v>
      </c>
      <c r="G1166" s="55"/>
      <c r="H1166" s="53" t="e">
        <f>VLOOKUP($D1166,成品本月库存!$B:$J,9,0)</f>
        <v>#N/A</v>
      </c>
    </row>
    <row r="1167" ht="15.75" spans="1:8">
      <c r="A1167" s="20"/>
      <c r="B1167" s="51"/>
      <c r="C1167" s="57"/>
      <c r="D1167" s="65"/>
      <c r="E1167" s="53" t="e">
        <f>VLOOKUP($D1167,成品本月库存!$B:$J,2,0)</f>
        <v>#N/A</v>
      </c>
      <c r="F1167" s="54" t="e">
        <f>VLOOKUP($D1167,成品本月库存!$B:$J,5,0)</f>
        <v>#N/A</v>
      </c>
      <c r="G1167" s="55"/>
      <c r="H1167" s="53" t="e">
        <f>VLOOKUP($D1167,成品本月库存!$B:$J,9,0)</f>
        <v>#N/A</v>
      </c>
    </row>
    <row r="1168" ht="15.75" spans="1:8">
      <c r="A1168" s="20"/>
      <c r="B1168" s="51"/>
      <c r="C1168" s="57"/>
      <c r="D1168" s="65"/>
      <c r="E1168" s="53" t="e">
        <f>VLOOKUP($D1168,成品本月库存!$B:$J,2,0)</f>
        <v>#N/A</v>
      </c>
      <c r="F1168" s="54" t="e">
        <f>VLOOKUP($D1168,成品本月库存!$B:$J,5,0)</f>
        <v>#N/A</v>
      </c>
      <c r="G1168" s="55"/>
      <c r="H1168" s="53" t="e">
        <f>VLOOKUP($D1168,成品本月库存!$B:$J,9,0)</f>
        <v>#N/A</v>
      </c>
    </row>
    <row r="1169" ht="15.75" spans="1:8">
      <c r="A1169" s="20"/>
      <c r="B1169" s="51"/>
      <c r="C1169" s="57"/>
      <c r="D1169" s="65"/>
      <c r="E1169" s="53" t="e">
        <f>VLOOKUP($D1169,成品本月库存!$B:$J,2,0)</f>
        <v>#N/A</v>
      </c>
      <c r="F1169" s="54" t="e">
        <f>VLOOKUP($D1169,成品本月库存!$B:$J,5,0)</f>
        <v>#N/A</v>
      </c>
      <c r="G1169" s="55"/>
      <c r="H1169" s="53" t="e">
        <f>VLOOKUP($D1169,成品本月库存!$B:$J,9,0)</f>
        <v>#N/A</v>
      </c>
    </row>
    <row r="1170" ht="15.75" spans="1:8">
      <c r="A1170" s="20"/>
      <c r="B1170" s="51"/>
      <c r="C1170" s="57"/>
      <c r="D1170" s="65"/>
      <c r="E1170" s="53" t="e">
        <f>VLOOKUP($D1170,成品本月库存!$B:$J,2,0)</f>
        <v>#N/A</v>
      </c>
      <c r="F1170" s="54" t="e">
        <f>VLOOKUP($D1170,成品本月库存!$B:$J,5,0)</f>
        <v>#N/A</v>
      </c>
      <c r="G1170" s="55"/>
      <c r="H1170" s="53" t="e">
        <f>VLOOKUP($D1170,成品本月库存!$B:$J,9,0)</f>
        <v>#N/A</v>
      </c>
    </row>
    <row r="1171" ht="15.75" spans="1:8">
      <c r="A1171" s="20"/>
      <c r="B1171" s="51"/>
      <c r="C1171" s="57"/>
      <c r="D1171" s="65"/>
      <c r="E1171" s="53" t="e">
        <f>VLOOKUP($D1171,成品本月库存!$B:$J,2,0)</f>
        <v>#N/A</v>
      </c>
      <c r="F1171" s="54" t="e">
        <f>VLOOKUP($D1171,成品本月库存!$B:$J,5,0)</f>
        <v>#N/A</v>
      </c>
      <c r="G1171" s="55"/>
      <c r="H1171" s="53" t="e">
        <f>VLOOKUP($D1171,成品本月库存!$B:$J,9,0)</f>
        <v>#N/A</v>
      </c>
    </row>
    <row r="1172" ht="15.75" spans="1:8">
      <c r="A1172" s="20"/>
      <c r="B1172" s="51"/>
      <c r="C1172" s="57"/>
      <c r="D1172" s="65"/>
      <c r="E1172" s="53" t="e">
        <f>VLOOKUP($D1172,成品本月库存!$B:$J,2,0)</f>
        <v>#N/A</v>
      </c>
      <c r="F1172" s="54" t="e">
        <f>VLOOKUP($D1172,成品本月库存!$B:$J,5,0)</f>
        <v>#N/A</v>
      </c>
      <c r="G1172" s="55"/>
      <c r="H1172" s="53" t="e">
        <f>VLOOKUP($D1172,成品本月库存!$B:$J,9,0)</f>
        <v>#N/A</v>
      </c>
    </row>
    <row r="1173" ht="15.75" spans="1:8">
      <c r="A1173" s="20"/>
      <c r="B1173" s="51"/>
      <c r="C1173" s="57"/>
      <c r="D1173" s="65"/>
      <c r="E1173" s="53" t="e">
        <f>VLOOKUP($D1173,成品本月库存!$B:$J,2,0)</f>
        <v>#N/A</v>
      </c>
      <c r="F1173" s="54" t="e">
        <f>VLOOKUP($D1173,成品本月库存!$B:$J,5,0)</f>
        <v>#N/A</v>
      </c>
      <c r="G1173" s="55"/>
      <c r="H1173" s="53" t="e">
        <f>VLOOKUP($D1173,成品本月库存!$B:$J,9,0)</f>
        <v>#N/A</v>
      </c>
    </row>
    <row r="1174" ht="15.75" spans="1:8">
      <c r="A1174" s="20"/>
      <c r="B1174" s="51"/>
      <c r="C1174" s="57"/>
      <c r="D1174" s="65"/>
      <c r="E1174" s="53" t="e">
        <f>VLOOKUP($D1174,成品本月库存!$B:$J,2,0)</f>
        <v>#N/A</v>
      </c>
      <c r="F1174" s="54" t="e">
        <f>VLOOKUP($D1174,成品本月库存!$B:$J,5,0)</f>
        <v>#N/A</v>
      </c>
      <c r="G1174" s="55"/>
      <c r="H1174" s="53" t="e">
        <f>VLOOKUP($D1174,成品本月库存!$B:$J,9,0)</f>
        <v>#N/A</v>
      </c>
    </row>
    <row r="1175" ht="15.75" spans="1:8">
      <c r="A1175" s="20"/>
      <c r="B1175" s="51"/>
      <c r="C1175" s="57"/>
      <c r="D1175" s="65"/>
      <c r="E1175" s="53" t="e">
        <f>VLOOKUP($D1175,成品本月库存!$B:$J,2,0)</f>
        <v>#N/A</v>
      </c>
      <c r="F1175" s="54" t="e">
        <f>VLOOKUP($D1175,成品本月库存!$B:$J,5,0)</f>
        <v>#N/A</v>
      </c>
      <c r="G1175" s="55"/>
      <c r="H1175" s="53" t="e">
        <f>VLOOKUP($D1175,成品本月库存!$B:$J,9,0)</f>
        <v>#N/A</v>
      </c>
    </row>
    <row r="1176" ht="15.75" spans="1:8">
      <c r="A1176" s="20"/>
      <c r="B1176" s="51"/>
      <c r="C1176" s="57"/>
      <c r="D1176" s="65"/>
      <c r="E1176" s="53" t="e">
        <f>VLOOKUP($D1176,成品本月库存!$B:$J,2,0)</f>
        <v>#N/A</v>
      </c>
      <c r="F1176" s="54" t="e">
        <f>VLOOKUP($D1176,成品本月库存!$B:$J,5,0)</f>
        <v>#N/A</v>
      </c>
      <c r="G1176" s="55"/>
      <c r="H1176" s="53" t="e">
        <f>VLOOKUP($D1176,成品本月库存!$B:$J,9,0)</f>
        <v>#N/A</v>
      </c>
    </row>
    <row r="1177" ht="15.75" spans="1:8">
      <c r="A1177" s="20"/>
      <c r="B1177" s="51"/>
      <c r="C1177" s="57"/>
      <c r="D1177" s="65"/>
      <c r="E1177" s="53" t="e">
        <f>VLOOKUP($D1177,成品本月库存!$B:$J,2,0)</f>
        <v>#N/A</v>
      </c>
      <c r="F1177" s="54" t="e">
        <f>VLOOKUP($D1177,成品本月库存!$B:$J,5,0)</f>
        <v>#N/A</v>
      </c>
      <c r="G1177" s="55"/>
      <c r="H1177" s="53" t="e">
        <f>VLOOKUP($D1177,成品本月库存!$B:$J,9,0)</f>
        <v>#N/A</v>
      </c>
    </row>
    <row r="1178" ht="15.75" spans="1:8">
      <c r="A1178" s="20"/>
      <c r="B1178" s="51"/>
      <c r="C1178" s="57"/>
      <c r="D1178" s="65"/>
      <c r="E1178" s="53" t="e">
        <f>VLOOKUP($D1178,成品本月库存!$B:$J,2,0)</f>
        <v>#N/A</v>
      </c>
      <c r="F1178" s="54" t="e">
        <f>VLOOKUP($D1178,成品本月库存!$B:$J,5,0)</f>
        <v>#N/A</v>
      </c>
      <c r="G1178" s="55"/>
      <c r="H1178" s="53" t="e">
        <f>VLOOKUP($D1178,成品本月库存!$B:$J,9,0)</f>
        <v>#N/A</v>
      </c>
    </row>
    <row r="1179" ht="15.75" spans="1:8">
      <c r="A1179" s="20"/>
      <c r="B1179" s="51"/>
      <c r="C1179" s="57"/>
      <c r="D1179" s="65"/>
      <c r="E1179" s="53" t="e">
        <f>VLOOKUP($D1179,成品本月库存!$B:$J,2,0)</f>
        <v>#N/A</v>
      </c>
      <c r="F1179" s="54" t="e">
        <f>VLOOKUP($D1179,成品本月库存!$B:$J,5,0)</f>
        <v>#N/A</v>
      </c>
      <c r="G1179" s="55"/>
      <c r="H1179" s="53" t="e">
        <f>VLOOKUP($D1179,成品本月库存!$B:$J,9,0)</f>
        <v>#N/A</v>
      </c>
    </row>
    <row r="1180" ht="15.75" spans="1:8">
      <c r="A1180" s="20"/>
      <c r="B1180" s="51"/>
      <c r="C1180" s="57"/>
      <c r="D1180" s="65"/>
      <c r="E1180" s="53" t="e">
        <f>VLOOKUP($D1180,成品本月库存!$B:$J,2,0)</f>
        <v>#N/A</v>
      </c>
      <c r="F1180" s="54" t="e">
        <f>VLOOKUP($D1180,成品本月库存!$B:$J,5,0)</f>
        <v>#N/A</v>
      </c>
      <c r="G1180" s="55"/>
      <c r="H1180" s="53" t="e">
        <f>VLOOKUP($D1180,成品本月库存!$B:$J,9,0)</f>
        <v>#N/A</v>
      </c>
    </row>
    <row r="1181" ht="15.75" spans="1:8">
      <c r="A1181" s="20"/>
      <c r="B1181" s="51"/>
      <c r="C1181" s="57"/>
      <c r="D1181" s="65"/>
      <c r="E1181" s="53" t="e">
        <f>VLOOKUP($D1181,成品本月库存!$B:$J,2,0)</f>
        <v>#N/A</v>
      </c>
      <c r="F1181" s="54" t="e">
        <f>VLOOKUP($D1181,成品本月库存!$B:$J,5,0)</f>
        <v>#N/A</v>
      </c>
      <c r="G1181" s="55"/>
      <c r="H1181" s="53" t="e">
        <f>VLOOKUP($D1181,成品本月库存!$B:$J,9,0)</f>
        <v>#N/A</v>
      </c>
    </row>
    <row r="1182" ht="15.75" spans="1:8">
      <c r="A1182" s="20"/>
      <c r="B1182" s="51"/>
      <c r="C1182" s="57"/>
      <c r="D1182" s="65"/>
      <c r="E1182" s="53" t="e">
        <f>VLOOKUP($D1182,成品本月库存!$B:$J,2,0)</f>
        <v>#N/A</v>
      </c>
      <c r="F1182" s="54" t="e">
        <f>VLOOKUP($D1182,成品本月库存!$B:$J,5,0)</f>
        <v>#N/A</v>
      </c>
      <c r="G1182" s="55"/>
      <c r="H1182" s="53" t="e">
        <f>VLOOKUP($D1182,成品本月库存!$B:$J,9,0)</f>
        <v>#N/A</v>
      </c>
    </row>
    <row r="1183" ht="15.75" spans="1:8">
      <c r="A1183" s="20"/>
      <c r="B1183" s="51"/>
      <c r="C1183" s="57"/>
      <c r="D1183" s="65"/>
      <c r="E1183" s="53" t="e">
        <f>VLOOKUP($D1183,成品本月库存!$B:$J,2,0)</f>
        <v>#N/A</v>
      </c>
      <c r="F1183" s="54" t="e">
        <f>VLOOKUP($D1183,成品本月库存!$B:$J,5,0)</f>
        <v>#N/A</v>
      </c>
      <c r="G1183" s="55"/>
      <c r="H1183" s="53" t="e">
        <f>VLOOKUP($D1183,成品本月库存!$B:$J,9,0)</f>
        <v>#N/A</v>
      </c>
    </row>
    <row r="1184" ht="15.75" spans="1:8">
      <c r="A1184" s="20"/>
      <c r="B1184" s="51"/>
      <c r="C1184" s="57"/>
      <c r="D1184" s="65"/>
      <c r="E1184" s="53" t="e">
        <f>VLOOKUP($D1184,成品本月库存!$B:$J,2,0)</f>
        <v>#N/A</v>
      </c>
      <c r="F1184" s="54" t="e">
        <f>VLOOKUP($D1184,成品本月库存!$B:$J,5,0)</f>
        <v>#N/A</v>
      </c>
      <c r="G1184" s="55"/>
      <c r="H1184" s="53" t="e">
        <f>VLOOKUP($D1184,成品本月库存!$B:$J,9,0)</f>
        <v>#N/A</v>
      </c>
    </row>
    <row r="1185" ht="15.75" spans="1:8">
      <c r="A1185" s="20"/>
      <c r="B1185" s="51"/>
      <c r="C1185" s="57"/>
      <c r="D1185" s="65"/>
      <c r="E1185" s="53" t="e">
        <f>VLOOKUP($D1185,成品本月库存!$B:$J,2,0)</f>
        <v>#N/A</v>
      </c>
      <c r="F1185" s="54" t="e">
        <f>VLOOKUP($D1185,成品本月库存!$B:$J,5,0)</f>
        <v>#N/A</v>
      </c>
      <c r="G1185" s="55"/>
      <c r="H1185" s="53" t="e">
        <f>VLOOKUP($D1185,成品本月库存!$B:$J,9,0)</f>
        <v>#N/A</v>
      </c>
    </row>
    <row r="1186" ht="15.75" spans="1:8">
      <c r="A1186" s="20"/>
      <c r="B1186" s="51"/>
      <c r="C1186" s="57"/>
      <c r="D1186" s="65"/>
      <c r="E1186" s="53" t="e">
        <f>VLOOKUP($D1186,成品本月库存!$B:$J,2,0)</f>
        <v>#N/A</v>
      </c>
      <c r="F1186" s="54" t="e">
        <f>VLOOKUP($D1186,成品本月库存!$B:$J,5,0)</f>
        <v>#N/A</v>
      </c>
      <c r="G1186" s="55"/>
      <c r="H1186" s="53" t="e">
        <f>VLOOKUP($D1186,成品本月库存!$B:$J,9,0)</f>
        <v>#N/A</v>
      </c>
    </row>
    <row r="1187" ht="15.75" spans="1:8">
      <c r="A1187" s="20"/>
      <c r="B1187" s="51"/>
      <c r="C1187" s="57"/>
      <c r="D1187" s="65"/>
      <c r="E1187" s="53" t="e">
        <f>VLOOKUP($D1187,成品本月库存!$B:$J,2,0)</f>
        <v>#N/A</v>
      </c>
      <c r="F1187" s="54" t="e">
        <f>VLOOKUP($D1187,成品本月库存!$B:$J,5,0)</f>
        <v>#N/A</v>
      </c>
      <c r="G1187" s="55"/>
      <c r="H1187" s="53" t="e">
        <f>VLOOKUP($D1187,成品本月库存!$B:$J,9,0)</f>
        <v>#N/A</v>
      </c>
    </row>
    <row r="1188" ht="15.75" spans="1:8">
      <c r="A1188" s="20"/>
      <c r="B1188" s="51"/>
      <c r="C1188" s="57"/>
      <c r="D1188" s="65"/>
      <c r="E1188" s="53" t="e">
        <f>VLOOKUP($D1188,成品本月库存!$B:$J,2,0)</f>
        <v>#N/A</v>
      </c>
      <c r="F1188" s="54" t="e">
        <f>VLOOKUP($D1188,成品本月库存!$B:$J,5,0)</f>
        <v>#N/A</v>
      </c>
      <c r="G1188" s="55"/>
      <c r="H1188" s="53" t="e">
        <f>VLOOKUP($D1188,成品本月库存!$B:$J,9,0)</f>
        <v>#N/A</v>
      </c>
    </row>
    <row r="1189" ht="15.75" spans="1:8">
      <c r="A1189" s="20"/>
      <c r="B1189" s="51"/>
      <c r="C1189" s="57"/>
      <c r="D1189" s="65"/>
      <c r="E1189" s="53" t="e">
        <f>VLOOKUP($D1189,成品本月库存!$B:$J,2,0)</f>
        <v>#N/A</v>
      </c>
      <c r="F1189" s="54" t="e">
        <f>VLOOKUP($D1189,成品本月库存!$B:$J,5,0)</f>
        <v>#N/A</v>
      </c>
      <c r="G1189" s="55"/>
      <c r="H1189" s="53" t="e">
        <f>VLOOKUP($D1189,成品本月库存!$B:$J,9,0)</f>
        <v>#N/A</v>
      </c>
    </row>
    <row r="1190" ht="15.75" spans="1:8">
      <c r="A1190" s="20"/>
      <c r="B1190" s="51"/>
      <c r="C1190" s="57"/>
      <c r="D1190" s="65"/>
      <c r="E1190" s="53" t="e">
        <f>VLOOKUP($D1190,成品本月库存!$B:$J,2,0)</f>
        <v>#N/A</v>
      </c>
      <c r="F1190" s="54" t="e">
        <f>VLOOKUP($D1190,成品本月库存!$B:$J,5,0)</f>
        <v>#N/A</v>
      </c>
      <c r="G1190" s="55"/>
      <c r="H1190" s="53" t="e">
        <f>VLOOKUP($D1190,成品本月库存!$B:$J,9,0)</f>
        <v>#N/A</v>
      </c>
    </row>
    <row r="1191" ht="15.75" spans="1:8">
      <c r="A1191" s="20"/>
      <c r="B1191" s="51"/>
      <c r="C1191" s="57"/>
      <c r="D1191" s="65"/>
      <c r="E1191" s="53" t="e">
        <f>VLOOKUP($D1191,成品本月库存!$B:$J,2,0)</f>
        <v>#N/A</v>
      </c>
      <c r="F1191" s="54" t="e">
        <f>VLOOKUP($D1191,成品本月库存!$B:$J,5,0)</f>
        <v>#N/A</v>
      </c>
      <c r="G1191" s="55"/>
      <c r="H1191" s="53" t="e">
        <f>VLOOKUP($D1191,成品本月库存!$B:$J,9,0)</f>
        <v>#N/A</v>
      </c>
    </row>
    <row r="1192" spans="1:8">
      <c r="A1192" s="66"/>
      <c r="B1192" s="66"/>
      <c r="C1192" s="55"/>
      <c r="D1192" s="60"/>
      <c r="E1192" s="67" t="e">
        <f>VLOOKUP($D1192,成品本月库存!$B:$J,2,0)</f>
        <v>#N/A</v>
      </c>
      <c r="F1192" s="68" t="e">
        <f>VLOOKUP($D1192,成品本月库存!$B:$J,5,0)</f>
        <v>#N/A</v>
      </c>
      <c r="G1192" s="55"/>
      <c r="H1192" s="53" t="e">
        <f>VLOOKUP($D1192,成品本月库存!$B:$J,9,0)</f>
        <v>#N/A</v>
      </c>
    </row>
    <row r="1193" spans="1:8">
      <c r="A1193" s="66"/>
      <c r="B1193" s="66"/>
      <c r="C1193" s="55"/>
      <c r="D1193" s="60"/>
      <c r="E1193" s="67" t="e">
        <f>VLOOKUP($D1193,成品本月库存!$B:$J,2,0)</f>
        <v>#N/A</v>
      </c>
      <c r="F1193" s="68" t="e">
        <f>VLOOKUP($D1193,成品本月库存!$B:$J,5,0)</f>
        <v>#N/A</v>
      </c>
      <c r="G1193" s="55"/>
      <c r="H1193" s="53" t="e">
        <f>VLOOKUP($D1193,成品本月库存!$B:$J,9,0)</f>
        <v>#N/A</v>
      </c>
    </row>
    <row r="1194" spans="1:8">
      <c r="A1194" s="66"/>
      <c r="B1194" s="66"/>
      <c r="C1194" s="55"/>
      <c r="D1194" s="60"/>
      <c r="E1194" s="67" t="e">
        <f>VLOOKUP($D1194,成品本月库存!$B:$J,2,0)</f>
        <v>#N/A</v>
      </c>
      <c r="F1194" s="68" t="e">
        <f>VLOOKUP($D1194,成品本月库存!$B:$J,5,0)</f>
        <v>#N/A</v>
      </c>
      <c r="G1194" s="55"/>
      <c r="H1194" s="53" t="e">
        <f>VLOOKUP($D1194,成品本月库存!$B:$J,9,0)</f>
        <v>#N/A</v>
      </c>
    </row>
    <row r="1195" spans="1:8">
      <c r="A1195" s="66"/>
      <c r="B1195" s="66"/>
      <c r="C1195" s="55"/>
      <c r="D1195" s="60"/>
      <c r="E1195" s="67" t="e">
        <f>VLOOKUP($D1195,成品本月库存!$B:$J,2,0)</f>
        <v>#N/A</v>
      </c>
      <c r="F1195" s="68" t="e">
        <f>VLOOKUP($D1195,成品本月库存!$B:$J,5,0)</f>
        <v>#N/A</v>
      </c>
      <c r="G1195" s="55"/>
      <c r="H1195" s="53" t="e">
        <f>VLOOKUP($D1195,成品本月库存!$B:$J,9,0)</f>
        <v>#N/A</v>
      </c>
    </row>
    <row r="1196" spans="1:8">
      <c r="A1196" s="66"/>
      <c r="B1196" s="66"/>
      <c r="C1196" s="55"/>
      <c r="D1196" s="60"/>
      <c r="E1196" s="67" t="e">
        <f>VLOOKUP($D1196,成品本月库存!$B:$J,2,0)</f>
        <v>#N/A</v>
      </c>
      <c r="F1196" s="68" t="e">
        <f>VLOOKUP($D1196,成品本月库存!$B:$J,5,0)</f>
        <v>#N/A</v>
      </c>
      <c r="G1196" s="55"/>
      <c r="H1196" s="53" t="e">
        <f>VLOOKUP($D1196,成品本月库存!$B:$J,9,0)</f>
        <v>#N/A</v>
      </c>
    </row>
  </sheetData>
  <sortState ref="A1:J426">
    <sortCondition ref="J3"/>
  </sortState>
  <pageMargins left="0.699305555555556" right="0.699305555555556" top="0.75" bottom="0.75" header="0.3" footer="0.3"/>
  <pageSetup paperSize="9" scale="61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57"/>
  <sheetViews>
    <sheetView showGridLines="0" workbookViewId="0">
      <pane ySplit="1" topLeftCell="A2" activePane="bottomLeft" state="frozen"/>
      <selection/>
      <selection pane="bottomLeft" activeCell="L10" sqref="L10"/>
    </sheetView>
  </sheetViews>
  <sheetFormatPr defaultColWidth="9" defaultRowHeight="19" customHeight="1"/>
  <cols>
    <col min="1" max="1" width="4.375" style="3" hidden="1" customWidth="1"/>
    <col min="2" max="2" width="10.625" style="4" customWidth="1"/>
    <col min="3" max="3" width="46" style="2" customWidth="1"/>
    <col min="4" max="4" width="16" style="2" customWidth="1"/>
    <col min="5" max="5" width="7" style="5" customWidth="1"/>
    <col min="6" max="6" width="4.5" style="4" customWidth="1"/>
    <col min="7" max="7" width="12" style="4" customWidth="1"/>
    <col min="8" max="9" width="9" style="4" customWidth="1"/>
    <col min="10" max="10" width="13.25" style="4" customWidth="1"/>
    <col min="11" max="11" width="17.875" style="4" customWidth="1"/>
    <col min="12" max="12" width="17.75" style="4" customWidth="1"/>
    <col min="13" max="16384" width="9" style="4"/>
  </cols>
  <sheetData>
    <row r="1" s="1" customFormat="1" ht="30" customHeight="1" spans="1:16 16384:16384">
      <c r="A1" s="6">
        <v>1</v>
      </c>
      <c r="B1" s="7" t="s">
        <v>3</v>
      </c>
      <c r="C1" s="7" t="s">
        <v>3</v>
      </c>
      <c r="D1" s="7" t="s">
        <v>317</v>
      </c>
      <c r="E1" s="7" t="s">
        <v>334</v>
      </c>
      <c r="F1" s="7" t="s">
        <v>5</v>
      </c>
      <c r="G1" s="8" t="s">
        <v>335</v>
      </c>
      <c r="H1" s="7" t="s">
        <v>336</v>
      </c>
      <c r="I1" s="7" t="s">
        <v>337</v>
      </c>
      <c r="J1" s="7" t="s">
        <v>338</v>
      </c>
      <c r="K1" s="7" t="s">
        <v>339</v>
      </c>
      <c r="L1" s="9"/>
      <c r="M1" s="9"/>
      <c r="N1" s="9"/>
      <c r="O1" s="9"/>
      <c r="P1" s="9"/>
      <c r="XFD1" s="1">
        <f>SUM(A1:XFC1)</f>
        <v>1</v>
      </c>
    </row>
    <row r="2" s="2" customFormat="1" ht="15.75" spans="1:16 16384:16384">
      <c r="A2" s="10">
        <v>2</v>
      </c>
      <c r="B2" s="10" t="s">
        <v>340</v>
      </c>
      <c r="C2" s="11" t="s">
        <v>341</v>
      </c>
      <c r="D2" s="12" t="s">
        <v>342</v>
      </c>
      <c r="E2" s="12" t="s">
        <v>334</v>
      </c>
      <c r="F2" s="10" t="s">
        <v>343</v>
      </c>
      <c r="G2" s="10">
        <f>SUMIF(成品月初库存!$C$3:$C$362,$B2,成品月初库存!$F$3:$F$362)</f>
        <v>0</v>
      </c>
      <c r="H2" s="10">
        <f>SUMIF(成品入库明细!$D$2:$D$500,$B2,成品入库明细!$G$2:$G$500)</f>
        <v>0</v>
      </c>
      <c r="I2" s="10">
        <f>SUMIF(成品出库明细!$D$2:$D$1172,$B2,成品出库明细!$G$2:$G$1172)</f>
        <v>0</v>
      </c>
      <c r="J2" s="10">
        <f t="shared" ref="J2:J65" si="0">G2+H2-I2</f>
        <v>0</v>
      </c>
      <c r="K2" s="12" t="s">
        <v>344</v>
      </c>
      <c r="L2" s="10"/>
      <c r="M2" s="10"/>
      <c r="N2" s="10"/>
      <c r="O2" s="10"/>
      <c r="P2" s="10"/>
    </row>
    <row r="3" s="2" customFormat="1" ht="15.75" spans="1:16 16384:16384">
      <c r="A3" s="10">
        <v>3</v>
      </c>
      <c r="B3" s="10" t="s">
        <v>345</v>
      </c>
      <c r="C3" s="11" t="s">
        <v>346</v>
      </c>
      <c r="D3" s="12" t="s">
        <v>342</v>
      </c>
      <c r="E3" s="12" t="s">
        <v>334</v>
      </c>
      <c r="F3" s="10" t="s">
        <v>343</v>
      </c>
      <c r="G3" s="10">
        <f>SUMIF(成品月初库存!$C$3:$C$362,$B3,成品月初库存!$F$3:$F$362)</f>
        <v>0</v>
      </c>
      <c r="H3" s="10">
        <f>SUMIF(成品入库明细!$D$2:$D$500,$B3,成品入库明细!$G$2:$G$500)</f>
        <v>0</v>
      </c>
      <c r="I3" s="10">
        <f>SUMIF(成品出库明细!$D$2:$D$1172,$B3,成品出库明细!$G$2:$G$1172)</f>
        <v>0</v>
      </c>
      <c r="J3" s="10">
        <f t="shared" si="0"/>
        <v>0</v>
      </c>
      <c r="K3" s="12" t="s">
        <v>344</v>
      </c>
      <c r="L3" s="10"/>
      <c r="M3" s="10"/>
      <c r="N3" s="10"/>
      <c r="O3" s="10"/>
      <c r="P3" s="10"/>
    </row>
    <row r="4" s="2" customFormat="1" ht="15.75" spans="1:16 16384:16384">
      <c r="A4" s="10">
        <v>4</v>
      </c>
      <c r="B4" s="10" t="s">
        <v>347</v>
      </c>
      <c r="C4" s="13" t="s">
        <v>348</v>
      </c>
      <c r="D4" s="12" t="s">
        <v>342</v>
      </c>
      <c r="E4" s="12" t="s">
        <v>334</v>
      </c>
      <c r="F4" s="10" t="s">
        <v>343</v>
      </c>
      <c r="G4" s="10">
        <f>SUMIF(成品月初库存!$C$3:$C$362,$B4,成品月初库存!$F$3:$F$362)</f>
        <v>0</v>
      </c>
      <c r="H4" s="10">
        <f>SUMIF(成品入库明细!$D$2:$D$500,$B4,成品入库明细!$G$2:$G$500)</f>
        <v>0</v>
      </c>
      <c r="I4" s="10">
        <f>SUMIF(成品出库明细!$D$2:$D$1172,$B4,成品出库明细!$G$2:$G$1172)</f>
        <v>0</v>
      </c>
      <c r="J4" s="10">
        <f t="shared" si="0"/>
        <v>0</v>
      </c>
      <c r="K4" s="12" t="s">
        <v>349</v>
      </c>
      <c r="L4" s="10"/>
      <c r="M4" s="10"/>
      <c r="N4" s="10"/>
      <c r="O4" s="10"/>
      <c r="P4" s="10"/>
    </row>
    <row r="5" s="2" customFormat="1" ht="15.75" spans="1:16 16384:16384">
      <c r="A5" s="10">
        <v>5</v>
      </c>
      <c r="B5" s="10" t="s">
        <v>350</v>
      </c>
      <c r="C5" s="13" t="s">
        <v>351</v>
      </c>
      <c r="D5" s="12" t="s">
        <v>342</v>
      </c>
      <c r="E5" s="12" t="s">
        <v>334</v>
      </c>
      <c r="F5" s="10" t="s">
        <v>343</v>
      </c>
      <c r="G5" s="10">
        <f>SUMIF(成品月初库存!$C$3:$C$362,$B5,成品月初库存!$F$3:$F$362)</f>
        <v>0</v>
      </c>
      <c r="H5" s="10">
        <f>SUMIF(成品入库明细!$D$2:$D$500,$B5,成品入库明细!$G$2:$G$500)</f>
        <v>0</v>
      </c>
      <c r="I5" s="10">
        <f>SUMIF(成品出库明细!$D$2:$D$1172,$B5,成品出库明细!$G$2:$G$1172)</f>
        <v>0</v>
      </c>
      <c r="J5" s="10">
        <f t="shared" si="0"/>
        <v>0</v>
      </c>
      <c r="K5" s="12" t="s">
        <v>349</v>
      </c>
      <c r="L5" s="10"/>
      <c r="M5" s="10"/>
      <c r="N5" s="10"/>
      <c r="O5" s="10"/>
      <c r="P5" s="10"/>
    </row>
    <row r="6" s="2" customFormat="1" ht="15.75" spans="1:16 16384:16384">
      <c r="A6" s="10">
        <v>6</v>
      </c>
      <c r="B6" s="10" t="s">
        <v>352</v>
      </c>
      <c r="C6" s="13" t="s">
        <v>353</v>
      </c>
      <c r="D6" s="12" t="s">
        <v>342</v>
      </c>
      <c r="E6" s="12" t="s">
        <v>334</v>
      </c>
      <c r="F6" s="10" t="s">
        <v>343</v>
      </c>
      <c r="G6" s="10">
        <f>SUMIF(成品月初库存!$C$3:$C$362,$B6,成品月初库存!$F$3:$F$362)</f>
        <v>0</v>
      </c>
      <c r="H6" s="10">
        <f>SUMIF(成品入库明细!$D$2:$D$500,$B6,成品入库明细!$G$2:$G$500)</f>
        <v>0</v>
      </c>
      <c r="I6" s="10">
        <f>SUMIF(成品出库明细!$D$2:$D$1172,$B6,成品出库明细!$G$2:$G$1172)</f>
        <v>0</v>
      </c>
      <c r="J6" s="10">
        <f t="shared" si="0"/>
        <v>0</v>
      </c>
      <c r="K6" s="14" t="s">
        <v>354</v>
      </c>
      <c r="L6" s="10"/>
      <c r="M6" s="10"/>
      <c r="N6" s="10"/>
      <c r="O6" s="10"/>
      <c r="P6" s="10"/>
    </row>
    <row r="7" s="2" customFormat="1" ht="14.25" spans="1:16 16384:16384">
      <c r="A7" s="10">
        <v>7</v>
      </c>
      <c r="B7" s="10" t="s">
        <v>355</v>
      </c>
      <c r="C7" s="10" t="s">
        <v>356</v>
      </c>
      <c r="D7" s="12" t="s">
        <v>342</v>
      </c>
      <c r="E7" s="12" t="s">
        <v>334</v>
      </c>
      <c r="F7" s="10" t="s">
        <v>343</v>
      </c>
      <c r="G7" s="10">
        <f>SUMIF(成品月初库存!$C$3:$C$362,$B7,成品月初库存!$F$3:$F$362)</f>
        <v>0</v>
      </c>
      <c r="H7" s="10">
        <f>SUMIF(成品入库明细!$D$2:$D$500,$B7,成品入库明细!$G$2:$G$500)</f>
        <v>0</v>
      </c>
      <c r="I7" s="10">
        <f>SUMIF(成品出库明细!$D$2:$D$1172,$B7,成品出库明细!$G$2:$G$1172)</f>
        <v>0</v>
      </c>
      <c r="J7" s="10">
        <f t="shared" si="0"/>
        <v>0</v>
      </c>
      <c r="K7" s="12" t="s">
        <v>357</v>
      </c>
      <c r="L7" s="10"/>
      <c r="N7" s="10"/>
      <c r="O7" s="10"/>
      <c r="P7" s="10"/>
    </row>
    <row r="8" s="2" customFormat="1" ht="14.25" spans="1:16 16384:16384">
      <c r="A8" s="10">
        <v>8</v>
      </c>
      <c r="B8" s="15" t="s">
        <v>358</v>
      </c>
      <c r="C8" s="10" t="s">
        <v>356</v>
      </c>
      <c r="D8" s="12" t="s">
        <v>342</v>
      </c>
      <c r="E8" s="12" t="s">
        <v>334</v>
      </c>
      <c r="F8" s="10" t="s">
        <v>343</v>
      </c>
      <c r="G8" s="10">
        <f>SUMIF(成品月初库存!$C$3:$C$362,$B8,成品月初库存!$F$3:$F$362)</f>
        <v>0</v>
      </c>
      <c r="H8" s="10">
        <f>SUMIF(成品入库明细!$D$2:$D$500,$B8,成品入库明细!$G$2:$G$500)</f>
        <v>0</v>
      </c>
      <c r="I8" s="10">
        <f>SUMIF(成品出库明细!$D$2:$D$1172,$B8,成品出库明细!$G$2:$G$1172)</f>
        <v>0</v>
      </c>
      <c r="J8" s="10">
        <f t="shared" si="0"/>
        <v>0</v>
      </c>
      <c r="K8" s="14" t="s">
        <v>359</v>
      </c>
      <c r="L8" s="10"/>
      <c r="M8" s="10"/>
      <c r="N8" s="10"/>
      <c r="O8" s="10"/>
      <c r="P8" s="10"/>
    </row>
    <row r="9" s="2" customFormat="1" ht="14.25" spans="1:16 16384:16384">
      <c r="A9" s="10">
        <v>9</v>
      </c>
      <c r="B9" s="10" t="s">
        <v>360</v>
      </c>
      <c r="C9" s="10" t="s">
        <v>361</v>
      </c>
      <c r="D9" s="12" t="s">
        <v>342</v>
      </c>
      <c r="E9" s="12" t="s">
        <v>334</v>
      </c>
      <c r="F9" s="10" t="s">
        <v>343</v>
      </c>
      <c r="G9" s="10">
        <f>SUMIF(成品月初库存!$C$3:$C$362,$B9,成品月初库存!$F$3:$F$362)</f>
        <v>0</v>
      </c>
      <c r="H9" s="10">
        <f>SUMIF(成品入库明细!$D$2:$D$500,$B9,成品入库明细!$G$2:$G$500)</f>
        <v>0</v>
      </c>
      <c r="I9" s="10">
        <f>SUMIF(成品出库明细!$D$2:$D$1172,$B9,成品出库明细!$G$2:$G$1172)</f>
        <v>0</v>
      </c>
      <c r="J9" s="10">
        <f t="shared" si="0"/>
        <v>0</v>
      </c>
      <c r="K9" s="12" t="s">
        <v>357</v>
      </c>
      <c r="L9" s="10"/>
      <c r="M9" s="10"/>
      <c r="N9" s="10"/>
      <c r="O9" s="10"/>
      <c r="P9" s="10"/>
    </row>
    <row r="10" s="2" customFormat="1" ht="14.25" spans="1:16 16384:16384">
      <c r="A10" s="10">
        <v>10</v>
      </c>
      <c r="B10" s="15" t="s">
        <v>362</v>
      </c>
      <c r="C10" s="10" t="s">
        <v>361</v>
      </c>
      <c r="D10" s="12" t="s">
        <v>342</v>
      </c>
      <c r="E10" s="12" t="s">
        <v>334</v>
      </c>
      <c r="F10" s="10" t="s">
        <v>343</v>
      </c>
      <c r="G10" s="10">
        <f>SUMIF(成品月初库存!$C$3:$C$362,$B10,成品月初库存!$F$3:$F$362)</f>
        <v>0</v>
      </c>
      <c r="H10" s="10">
        <f>SUMIF(成品入库明细!$D$2:$D$500,$B10,成品入库明细!$G$2:$G$500)</f>
        <v>0</v>
      </c>
      <c r="I10" s="10">
        <f>SUMIF(成品出库明细!$D$2:$D$1172,$B10,成品出库明细!$G$2:$G$1172)</f>
        <v>0</v>
      </c>
      <c r="J10" s="10">
        <f t="shared" si="0"/>
        <v>0</v>
      </c>
      <c r="K10" s="14" t="s">
        <v>359</v>
      </c>
      <c r="L10" s="10"/>
      <c r="M10" s="10"/>
      <c r="O10" s="10"/>
      <c r="P10" s="10"/>
    </row>
    <row r="11" s="2" customFormat="1" ht="14.25" spans="1:16 16384:16384">
      <c r="A11" s="10">
        <v>11</v>
      </c>
      <c r="B11" s="10" t="s">
        <v>363</v>
      </c>
      <c r="C11" s="10" t="s">
        <v>364</v>
      </c>
      <c r="D11" s="12" t="s">
        <v>342</v>
      </c>
      <c r="E11" s="12" t="s">
        <v>334</v>
      </c>
      <c r="F11" s="10" t="s">
        <v>343</v>
      </c>
      <c r="G11" s="10">
        <f>SUMIF(成品月初库存!$C$3:$C$362,$B11,成品月初库存!$F$3:$F$362)</f>
        <v>0</v>
      </c>
      <c r="H11" s="10">
        <f>SUMIF(成品入库明细!$D$2:$D$500,$B11,成品入库明细!$G$2:$G$500)</f>
        <v>0</v>
      </c>
      <c r="I11" s="10">
        <f>SUMIF(成品出库明细!$D$2:$D$1172,$B11,成品出库明细!$G$2:$G$1172)</f>
        <v>0</v>
      </c>
      <c r="J11" s="10">
        <f t="shared" si="0"/>
        <v>0</v>
      </c>
      <c r="K11" s="12" t="s">
        <v>349</v>
      </c>
      <c r="L11" s="10"/>
      <c r="M11" s="10"/>
      <c r="N11" s="10"/>
      <c r="O11" s="10"/>
      <c r="P11" s="10"/>
    </row>
    <row r="12" s="2" customFormat="1" ht="14.25" spans="1:16 16384:16384">
      <c r="A12" s="10">
        <v>12</v>
      </c>
      <c r="B12" s="10" t="s">
        <v>365</v>
      </c>
      <c r="C12" s="10" t="s">
        <v>366</v>
      </c>
      <c r="D12" s="12" t="s">
        <v>342</v>
      </c>
      <c r="E12" s="12" t="s">
        <v>334</v>
      </c>
      <c r="F12" s="10" t="s">
        <v>343</v>
      </c>
      <c r="G12" s="10">
        <f>SUMIF(成品月初库存!$C$3:$C$362,$B12,成品月初库存!$F$3:$F$362)</f>
        <v>0</v>
      </c>
      <c r="H12" s="10">
        <f>SUMIF(成品入库明细!$D$2:$D$500,$B12,成品入库明细!$G$2:$G$500)</f>
        <v>0</v>
      </c>
      <c r="I12" s="10">
        <f>SUMIF(成品出库明细!$D$2:$D$1172,$B12,成品出库明细!$G$2:$G$1172)</f>
        <v>0</v>
      </c>
      <c r="J12" s="10">
        <f t="shared" si="0"/>
        <v>0</v>
      </c>
      <c r="K12" s="12" t="s">
        <v>349</v>
      </c>
      <c r="L12" s="10"/>
      <c r="M12" s="10"/>
      <c r="N12" s="10"/>
      <c r="O12" s="10"/>
      <c r="P12" s="10"/>
    </row>
    <row r="13" s="2" customFormat="1" ht="14.25" spans="1:16 16384:16384">
      <c r="A13" s="10">
        <v>13</v>
      </c>
      <c r="B13" s="10" t="s">
        <v>367</v>
      </c>
      <c r="C13" s="10" t="s">
        <v>368</v>
      </c>
      <c r="D13" s="12" t="s">
        <v>369</v>
      </c>
      <c r="E13" s="12" t="s">
        <v>334</v>
      </c>
      <c r="F13" s="10" t="s">
        <v>343</v>
      </c>
      <c r="G13" s="10">
        <f>SUMIF(成品月初库存!$C$3:$C$362,$B13,成品月初库存!$F$3:$F$362)</f>
        <v>0</v>
      </c>
      <c r="H13" s="10">
        <f>SUMIF(成品入库明细!$D$2:$D$500,$B13,成品入库明细!$G$2:$G$500)</f>
        <v>0</v>
      </c>
      <c r="I13" s="10">
        <f>SUMIF(成品出库明细!$D$2:$D$1172,$B13,成品出库明细!$G$2:$G$1172)</f>
        <v>0</v>
      </c>
      <c r="J13" s="10">
        <f t="shared" si="0"/>
        <v>0</v>
      </c>
      <c r="K13" s="12" t="s">
        <v>370</v>
      </c>
      <c r="L13" s="10"/>
      <c r="M13" s="10"/>
      <c r="N13" s="10"/>
      <c r="O13" s="10"/>
      <c r="P13" s="10"/>
    </row>
    <row r="14" s="2" customFormat="1" ht="14.25" spans="1:16 16384:16384">
      <c r="A14" s="10">
        <v>14</v>
      </c>
      <c r="B14" s="10" t="s">
        <v>371</v>
      </c>
      <c r="C14" s="10" t="s">
        <v>372</v>
      </c>
      <c r="D14" s="12" t="s">
        <v>369</v>
      </c>
      <c r="E14" s="12" t="s">
        <v>334</v>
      </c>
      <c r="F14" s="10" t="s">
        <v>343</v>
      </c>
      <c r="G14" s="10">
        <f>SUMIF(成品月初库存!$C$3:$C$362,$B14,成品月初库存!$F$3:$F$362)</f>
        <v>0</v>
      </c>
      <c r="H14" s="10">
        <f>SUMIF(成品入库明细!$D$2:$D$500,$B14,成品入库明细!$G$2:$G$500)</f>
        <v>0</v>
      </c>
      <c r="I14" s="10">
        <f>SUMIF(成品出库明细!$D$2:$D$1172,$B14,成品出库明细!$G$2:$G$1172)</f>
        <v>0</v>
      </c>
      <c r="J14" s="10">
        <f t="shared" si="0"/>
        <v>0</v>
      </c>
      <c r="K14" s="12" t="s">
        <v>370</v>
      </c>
      <c r="L14" s="10"/>
      <c r="M14" s="10"/>
      <c r="O14" s="10"/>
      <c r="P14" s="10"/>
    </row>
    <row r="15" s="2" customFormat="1" ht="14.25" spans="1:16 16384:16384">
      <c r="A15" s="10">
        <v>15</v>
      </c>
      <c r="B15" s="10" t="s">
        <v>373</v>
      </c>
      <c r="C15" s="10" t="s">
        <v>374</v>
      </c>
      <c r="D15" s="12" t="s">
        <v>369</v>
      </c>
      <c r="E15" s="12" t="s">
        <v>334</v>
      </c>
      <c r="F15" s="10" t="s">
        <v>343</v>
      </c>
      <c r="G15" s="10">
        <f>SUMIF(成品月初库存!$C$3:$C$362,$B15,成品月初库存!$F$3:$F$362)</f>
        <v>0</v>
      </c>
      <c r="H15" s="10">
        <f>SUMIF(成品入库明细!$D$2:$D$500,$B15,成品入库明细!$G$2:$G$500)</f>
        <v>0</v>
      </c>
      <c r="I15" s="10">
        <f>SUMIF(成品出库明细!$D$2:$D$1172,$B15,成品出库明细!$G$2:$G$1172)</f>
        <v>0</v>
      </c>
      <c r="J15" s="10">
        <f t="shared" si="0"/>
        <v>0</v>
      </c>
      <c r="K15" s="12" t="s">
        <v>375</v>
      </c>
      <c r="L15" s="10"/>
      <c r="M15" s="10"/>
      <c r="N15" s="10"/>
      <c r="O15" s="10"/>
      <c r="P15" s="10"/>
    </row>
    <row r="16" s="2" customFormat="1" ht="14.25" spans="1:16 16384:16384">
      <c r="A16" s="10">
        <v>16</v>
      </c>
      <c r="B16" s="10" t="s">
        <v>376</v>
      </c>
      <c r="C16" s="12" t="s">
        <v>377</v>
      </c>
      <c r="D16" s="12" t="s">
        <v>378</v>
      </c>
      <c r="E16" s="12" t="s">
        <v>334</v>
      </c>
      <c r="F16" s="10" t="s">
        <v>343</v>
      </c>
      <c r="G16" s="10">
        <f>SUMIF(成品月初库存!$C$3:$C$362,$B16,成品月初库存!$F$3:$F$362)</f>
        <v>0</v>
      </c>
      <c r="H16" s="10">
        <f>SUMIF(成品入库明细!$D$2:$D$500,$B16,成品入库明细!$G$2:$G$500)</f>
        <v>0</v>
      </c>
      <c r="I16" s="10">
        <f>SUMIF(成品出库明细!$D$2:$D$1172,$B16,成品出库明细!$G$2:$G$1172)</f>
        <v>0</v>
      </c>
      <c r="J16" s="10">
        <f t="shared" si="0"/>
        <v>0</v>
      </c>
      <c r="K16" s="12" t="s">
        <v>379</v>
      </c>
      <c r="L16" s="10"/>
      <c r="M16" s="10"/>
      <c r="N16" s="10"/>
      <c r="O16" s="10"/>
      <c r="P16" s="10"/>
    </row>
    <row r="17" s="2" customFormat="1" ht="15.75" spans="1:16">
      <c r="A17" s="10">
        <v>17</v>
      </c>
      <c r="B17" s="10" t="s">
        <v>380</v>
      </c>
      <c r="C17" s="11" t="s">
        <v>381</v>
      </c>
      <c r="D17" s="12" t="s">
        <v>382</v>
      </c>
      <c r="E17" s="12" t="s">
        <v>334</v>
      </c>
      <c r="F17" s="10" t="s">
        <v>343</v>
      </c>
      <c r="G17" s="10">
        <f>SUMIF(成品月初库存!$C$3:$C$362,$B17,成品月初库存!$F$3:$F$362)</f>
        <v>0</v>
      </c>
      <c r="H17" s="10">
        <f>SUMIF(成品入库明细!$D$2:$D$500,$B17,成品入库明细!$G$2:$G$500)</f>
        <v>0</v>
      </c>
      <c r="I17" s="10">
        <f>SUMIF(成品出库明细!$D$2:$D$1172,$B17,成品出库明细!$G$2:$G$1172)</f>
        <v>0</v>
      </c>
      <c r="J17" s="10">
        <f t="shared" si="0"/>
        <v>0</v>
      </c>
      <c r="K17" s="12" t="s">
        <v>300</v>
      </c>
      <c r="L17" s="10"/>
      <c r="M17" s="10"/>
      <c r="N17" s="10"/>
      <c r="O17" s="10"/>
      <c r="P17" s="10"/>
    </row>
    <row r="18" s="2" customFormat="1" ht="14.25" spans="1:16">
      <c r="A18" s="10">
        <v>18</v>
      </c>
      <c r="B18" s="10" t="s">
        <v>383</v>
      </c>
      <c r="C18" s="10" t="s">
        <v>384</v>
      </c>
      <c r="D18" s="12" t="s">
        <v>385</v>
      </c>
      <c r="E18" s="12" t="s">
        <v>334</v>
      </c>
      <c r="F18" s="10" t="s">
        <v>343</v>
      </c>
      <c r="G18" s="10">
        <f>SUMIF(成品月初库存!$C$3:$C$362,$B18,成品月初库存!$F$3:$F$362)</f>
        <v>0</v>
      </c>
      <c r="H18" s="10">
        <f>SUMIF(成品入库明细!$D$2:$D$500,$B18,成品入库明细!$G$2:$G$500)</f>
        <v>0</v>
      </c>
      <c r="I18" s="10">
        <f>SUMIF(成品出库明细!$D$2:$D$1172,$B18,成品出库明细!$G$2:$G$1172)</f>
        <v>0</v>
      </c>
      <c r="J18" s="10">
        <f t="shared" si="0"/>
        <v>0</v>
      </c>
      <c r="K18" s="12" t="s">
        <v>370</v>
      </c>
      <c r="L18" s="10"/>
      <c r="M18" s="10"/>
      <c r="N18" s="10"/>
      <c r="O18" s="10"/>
      <c r="P18" s="10"/>
    </row>
    <row r="19" s="2" customFormat="1" ht="14.25" spans="1:16">
      <c r="A19" s="10">
        <v>19</v>
      </c>
      <c r="B19" s="10" t="s">
        <v>386</v>
      </c>
      <c r="C19" s="10" t="s">
        <v>387</v>
      </c>
      <c r="D19" s="12" t="s">
        <v>388</v>
      </c>
      <c r="E19" s="12" t="s">
        <v>334</v>
      </c>
      <c r="F19" s="10" t="s">
        <v>343</v>
      </c>
      <c r="G19" s="10">
        <f>SUMIF(成品月初库存!$C$3:$C$362,$B19,成品月初库存!$F$3:$F$362)</f>
        <v>0</v>
      </c>
      <c r="H19" s="10">
        <f>SUMIF(成品入库明细!$D$2:$D$500,$B19,成品入库明细!$G$2:$G$500)</f>
        <v>0</v>
      </c>
      <c r="I19" s="10">
        <f>SUMIF(成品出库明细!$D$2:$D$1172,$B19,成品出库明细!$G$2:$G$1172)</f>
        <v>0</v>
      </c>
      <c r="J19" s="10">
        <f t="shared" si="0"/>
        <v>0</v>
      </c>
      <c r="K19" s="12" t="s">
        <v>389</v>
      </c>
      <c r="L19" s="10"/>
      <c r="M19" s="10"/>
      <c r="N19" s="10"/>
      <c r="O19" s="10"/>
      <c r="P19" s="10"/>
    </row>
    <row r="20" s="2" customFormat="1" ht="15.75" spans="1:16">
      <c r="A20" s="10">
        <v>20</v>
      </c>
      <c r="B20" s="10" t="s">
        <v>390</v>
      </c>
      <c r="C20" s="11" t="s">
        <v>391</v>
      </c>
      <c r="D20" s="12" t="s">
        <v>388</v>
      </c>
      <c r="E20" s="12" t="s">
        <v>334</v>
      </c>
      <c r="F20" s="10" t="s">
        <v>343</v>
      </c>
      <c r="G20" s="10">
        <f>SUMIF(成品月初库存!$C$3:$C$362,$B20,成品月初库存!$F$3:$F$362)</f>
        <v>0</v>
      </c>
      <c r="H20" s="10">
        <f>SUMIF(成品入库明细!$D$2:$D$500,$B20,成品入库明细!$G$2:$G$500)</f>
        <v>0</v>
      </c>
      <c r="I20" s="10">
        <f>SUMIF(成品出库明细!$D$2:$D$1172,$B20,成品出库明细!$G$2:$G$1172)</f>
        <v>0</v>
      </c>
      <c r="J20" s="10">
        <f t="shared" si="0"/>
        <v>0</v>
      </c>
      <c r="K20" s="12" t="s">
        <v>389</v>
      </c>
      <c r="L20" s="10"/>
      <c r="M20" s="10"/>
      <c r="N20" s="10"/>
      <c r="O20" s="10"/>
      <c r="P20" s="10"/>
    </row>
    <row r="21" s="2" customFormat="1" ht="15.75" spans="1:16">
      <c r="A21" s="10">
        <v>21</v>
      </c>
      <c r="B21" s="10" t="s">
        <v>392</v>
      </c>
      <c r="C21" s="11" t="s">
        <v>393</v>
      </c>
      <c r="D21" s="12" t="s">
        <v>388</v>
      </c>
      <c r="E21" s="12" t="s">
        <v>334</v>
      </c>
      <c r="F21" s="10" t="s">
        <v>343</v>
      </c>
      <c r="G21" s="10">
        <f>SUMIF(成品月初库存!$C$3:$C$362,$B21,成品月初库存!$F$3:$F$362)</f>
        <v>0</v>
      </c>
      <c r="H21" s="10">
        <f>SUMIF(成品入库明细!$D$2:$D$500,$B21,成品入库明细!$G$2:$G$500)</f>
        <v>0</v>
      </c>
      <c r="I21" s="10">
        <f>SUMIF(成品出库明细!$D$2:$D$1172,$B21,成品出库明细!$G$2:$G$1172)</f>
        <v>0</v>
      </c>
      <c r="J21" s="10">
        <f t="shared" si="0"/>
        <v>0</v>
      </c>
      <c r="K21" s="12" t="s">
        <v>389</v>
      </c>
      <c r="L21" s="10"/>
      <c r="M21" s="10"/>
      <c r="N21" s="10"/>
      <c r="O21" s="10"/>
      <c r="P21" s="10"/>
    </row>
    <row r="22" s="2" customFormat="1" ht="15.75" spans="1:16">
      <c r="A22" s="10">
        <v>22</v>
      </c>
      <c r="B22" s="10" t="s">
        <v>394</v>
      </c>
      <c r="C22" s="11" t="s">
        <v>395</v>
      </c>
      <c r="D22" s="12" t="s">
        <v>388</v>
      </c>
      <c r="E22" s="12" t="s">
        <v>334</v>
      </c>
      <c r="F22" s="10" t="s">
        <v>343</v>
      </c>
      <c r="G22" s="10">
        <f>SUMIF(成品月初库存!$C$3:$C$362,$B22,成品月初库存!$F$3:$F$362)</f>
        <v>0</v>
      </c>
      <c r="H22" s="10">
        <f>SUMIF(成品入库明细!$D$2:$D$500,$B22,成品入库明细!$G$2:$G$500)</f>
        <v>0</v>
      </c>
      <c r="I22" s="10">
        <f>SUMIF(成品出库明细!$D$2:$D$1172,$B22,成品出库明细!$G$2:$G$1172)</f>
        <v>0</v>
      </c>
      <c r="J22" s="10">
        <f t="shared" si="0"/>
        <v>0</v>
      </c>
      <c r="K22" s="12" t="s">
        <v>389</v>
      </c>
      <c r="L22" s="10"/>
      <c r="M22" s="10"/>
      <c r="N22" s="10"/>
      <c r="O22" s="10"/>
      <c r="P22" s="10"/>
    </row>
    <row r="23" s="2" customFormat="1" ht="15.75" spans="1:16">
      <c r="A23" s="10">
        <v>23</v>
      </c>
      <c r="B23" s="10" t="s">
        <v>396</v>
      </c>
      <c r="C23" s="11" t="s">
        <v>397</v>
      </c>
      <c r="D23" s="12" t="s">
        <v>388</v>
      </c>
      <c r="E23" s="12" t="s">
        <v>334</v>
      </c>
      <c r="F23" s="10" t="s">
        <v>343</v>
      </c>
      <c r="G23" s="10">
        <f>SUMIF(成品月初库存!$C$3:$C$362,$B23,成品月初库存!$F$3:$F$362)</f>
        <v>0</v>
      </c>
      <c r="H23" s="10">
        <f>SUMIF(成品入库明细!$D$2:$D$500,$B23,成品入库明细!$G$2:$G$500)</f>
        <v>0</v>
      </c>
      <c r="I23" s="10">
        <f>SUMIF(成品出库明细!$D$2:$D$1172,$B23,成品出库明细!$G$2:$G$1172)</f>
        <v>0</v>
      </c>
      <c r="J23" s="10">
        <f t="shared" si="0"/>
        <v>0</v>
      </c>
      <c r="K23" s="12" t="s">
        <v>389</v>
      </c>
      <c r="L23" s="10"/>
      <c r="N23" s="10"/>
      <c r="O23" s="10"/>
      <c r="P23" s="10"/>
    </row>
    <row r="24" s="2" customFormat="1" ht="15.75" spans="1:16">
      <c r="A24" s="10">
        <v>24</v>
      </c>
      <c r="B24" s="10" t="s">
        <v>398</v>
      </c>
      <c r="C24" s="11" t="s">
        <v>399</v>
      </c>
      <c r="D24" s="12" t="s">
        <v>388</v>
      </c>
      <c r="E24" s="12" t="s">
        <v>334</v>
      </c>
      <c r="F24" s="10" t="s">
        <v>343</v>
      </c>
      <c r="G24" s="10">
        <f>SUMIF(成品月初库存!$C$3:$C$362,$B24,成品月初库存!$F$3:$F$362)</f>
        <v>0</v>
      </c>
      <c r="H24" s="10">
        <f>SUMIF(成品入库明细!$D$2:$D$500,$B24,成品入库明细!$G$2:$G$500)</f>
        <v>0</v>
      </c>
      <c r="I24" s="10">
        <f>SUMIF(成品出库明细!$D$2:$D$1172,$B24,成品出库明细!$G$2:$G$1172)</f>
        <v>0</v>
      </c>
      <c r="J24" s="10">
        <f t="shared" si="0"/>
        <v>0</v>
      </c>
      <c r="K24" s="12" t="s">
        <v>389</v>
      </c>
      <c r="L24" s="10"/>
      <c r="M24" s="10"/>
      <c r="N24" s="10"/>
      <c r="O24" s="10"/>
      <c r="P24" s="10"/>
    </row>
    <row r="25" s="2" customFormat="1" ht="15.75" spans="1:16">
      <c r="A25" s="10">
        <v>25</v>
      </c>
      <c r="B25" s="10" t="s">
        <v>400</v>
      </c>
      <c r="C25" s="11" t="s">
        <v>401</v>
      </c>
      <c r="D25" s="12" t="s">
        <v>388</v>
      </c>
      <c r="E25" s="12" t="s">
        <v>334</v>
      </c>
      <c r="F25" s="10" t="s">
        <v>343</v>
      </c>
      <c r="G25" s="10">
        <f>SUMIF(成品月初库存!$C$3:$C$362,$B25,成品月初库存!$F$3:$F$362)</f>
        <v>0</v>
      </c>
      <c r="H25" s="10">
        <f>SUMIF(成品入库明细!$D$2:$D$500,$B25,成品入库明细!$G$2:$G$500)</f>
        <v>0</v>
      </c>
      <c r="I25" s="10">
        <f>SUMIF(成品出库明细!$D$2:$D$1172,$B25,成品出库明细!$G$2:$G$1172)</f>
        <v>0</v>
      </c>
      <c r="J25" s="10">
        <f t="shared" si="0"/>
        <v>0</v>
      </c>
      <c r="K25" s="12" t="s">
        <v>389</v>
      </c>
      <c r="L25" s="10"/>
      <c r="M25" s="10"/>
      <c r="N25" s="10"/>
      <c r="O25" s="10"/>
      <c r="P25" s="10"/>
    </row>
    <row r="26" s="2" customFormat="1" ht="14.25" spans="1:16">
      <c r="A26" s="10">
        <v>26</v>
      </c>
      <c r="B26" s="10" t="s">
        <v>402</v>
      </c>
      <c r="C26" s="10" t="s">
        <v>403</v>
      </c>
      <c r="D26" s="12" t="s">
        <v>388</v>
      </c>
      <c r="E26" s="12" t="s">
        <v>334</v>
      </c>
      <c r="F26" s="10" t="s">
        <v>343</v>
      </c>
      <c r="G26" s="10">
        <f>SUMIF(成品月初库存!$C$3:$C$362,$B26,成品月初库存!$F$3:$F$362)</f>
        <v>0</v>
      </c>
      <c r="H26" s="10">
        <f>SUMIF(成品入库明细!$D$2:$D$500,$B26,成品入库明细!$G$2:$G$500)</f>
        <v>0</v>
      </c>
      <c r="I26" s="10">
        <f>SUMIF(成品出库明细!$D$2:$D$1172,$B26,成品出库明细!$G$2:$G$1172)</f>
        <v>0</v>
      </c>
      <c r="J26" s="10">
        <f t="shared" si="0"/>
        <v>0</v>
      </c>
      <c r="K26" s="12" t="s">
        <v>389</v>
      </c>
      <c r="L26" s="10"/>
      <c r="M26" s="10"/>
      <c r="N26" s="10"/>
      <c r="O26" s="10"/>
      <c r="P26" s="10"/>
    </row>
    <row r="27" s="2" customFormat="1" ht="14.25" spans="1:16">
      <c r="A27" s="10">
        <v>27</v>
      </c>
      <c r="B27" s="10" t="s">
        <v>404</v>
      </c>
      <c r="C27" s="10" t="s">
        <v>405</v>
      </c>
      <c r="D27" s="12" t="s">
        <v>388</v>
      </c>
      <c r="E27" s="12" t="s">
        <v>334</v>
      </c>
      <c r="F27" s="10" t="s">
        <v>343</v>
      </c>
      <c r="G27" s="10">
        <f>SUMIF(成品月初库存!$C$3:$C$362,$B27,成品月初库存!$F$3:$F$362)</f>
        <v>0</v>
      </c>
      <c r="H27" s="10">
        <f>SUMIF(成品入库明细!$D$2:$D$500,$B27,成品入库明细!$G$2:$G$500)</f>
        <v>0</v>
      </c>
      <c r="I27" s="10">
        <f>SUMIF(成品出库明细!$D$2:$D$1172,$B27,成品出库明细!$G$2:$G$1172)</f>
        <v>0</v>
      </c>
      <c r="J27" s="10">
        <f t="shared" si="0"/>
        <v>0</v>
      </c>
      <c r="K27" s="12" t="s">
        <v>389</v>
      </c>
      <c r="L27" s="10"/>
      <c r="M27" s="10"/>
      <c r="N27" s="10"/>
      <c r="O27" s="10"/>
      <c r="P27" s="10"/>
    </row>
    <row r="28" s="2" customFormat="1" ht="14.25" spans="1:16">
      <c r="A28" s="10">
        <v>28</v>
      </c>
      <c r="B28" s="10" t="s">
        <v>11</v>
      </c>
      <c r="C28" s="10" t="s">
        <v>406</v>
      </c>
      <c r="D28" s="12" t="s">
        <v>407</v>
      </c>
      <c r="E28" s="12" t="s">
        <v>334</v>
      </c>
      <c r="F28" s="10" t="s">
        <v>343</v>
      </c>
      <c r="G28" s="10">
        <f>SUMIF(成品月初库存!$C$3:$C$362,$B28,成品月初库存!$F$3:$F$362)</f>
        <v>2819</v>
      </c>
      <c r="H28" s="10">
        <f>SUMIF(成品入库明细!$D$2:$D$500,$B28,成品入库明细!$G$2:$G$500)</f>
        <v>0</v>
      </c>
      <c r="I28" s="10">
        <f>SUMIF(成品出库明细!$D$2:$D$1172,$B28,成品出库明细!$G$2:$G$1172)</f>
        <v>0</v>
      </c>
      <c r="J28" s="10">
        <f t="shared" si="0"/>
        <v>2819</v>
      </c>
      <c r="K28" s="12" t="s">
        <v>344</v>
      </c>
      <c r="L28" s="10"/>
      <c r="M28" s="10"/>
      <c r="N28" s="10"/>
      <c r="O28" s="10"/>
      <c r="P28" s="10"/>
    </row>
    <row r="29" s="2" customFormat="1" ht="14.25" spans="1:16">
      <c r="A29" s="10">
        <v>29</v>
      </c>
      <c r="B29" s="10" t="s">
        <v>12</v>
      </c>
      <c r="C29" s="10" t="s">
        <v>408</v>
      </c>
      <c r="D29" s="12" t="s">
        <v>407</v>
      </c>
      <c r="E29" s="12" t="s">
        <v>334</v>
      </c>
      <c r="F29" s="10" t="s">
        <v>343</v>
      </c>
      <c r="G29" s="10">
        <f>SUMIF(成品月初库存!$C$3:$C$362,$B29,成品月初库存!$F$3:$F$362)</f>
        <v>866</v>
      </c>
      <c r="H29" s="10">
        <f>SUMIF(成品入库明细!$D$2:$D$500,$B29,成品入库明细!$G$2:$G$500)</f>
        <v>0</v>
      </c>
      <c r="I29" s="10">
        <f>SUMIF(成品出库明细!$D$2:$D$1172,$B29,成品出库明细!$G$2:$G$1172)</f>
        <v>0</v>
      </c>
      <c r="J29" s="10">
        <f t="shared" si="0"/>
        <v>866</v>
      </c>
      <c r="K29" s="12" t="s">
        <v>344</v>
      </c>
      <c r="L29" s="10"/>
      <c r="M29" s="10"/>
      <c r="N29" s="10"/>
      <c r="O29" s="10"/>
      <c r="P29" s="10"/>
    </row>
    <row r="30" s="2" customFormat="1" ht="14.25" spans="1:16">
      <c r="A30" s="10">
        <v>30</v>
      </c>
      <c r="B30" s="10" t="s">
        <v>13</v>
      </c>
      <c r="C30" s="10" t="s">
        <v>409</v>
      </c>
      <c r="D30" s="12" t="s">
        <v>407</v>
      </c>
      <c r="E30" s="12" t="s">
        <v>334</v>
      </c>
      <c r="F30" s="10" t="s">
        <v>343</v>
      </c>
      <c r="G30" s="10">
        <f>SUMIF(成品月初库存!$C$3:$C$362,$B30,成品月初库存!$F$3:$F$362)</f>
        <v>115</v>
      </c>
      <c r="H30" s="10">
        <f>SUMIF(成品入库明细!$D$2:$D$500,$B30,成品入库明细!$G$2:$G$500)</f>
        <v>0</v>
      </c>
      <c r="I30" s="10">
        <f>SUMIF(成品出库明细!$D$2:$D$1172,$B30,成品出库明细!$G$2:$G$1172)</f>
        <v>0</v>
      </c>
      <c r="J30" s="10">
        <f t="shared" si="0"/>
        <v>115</v>
      </c>
      <c r="K30" s="12" t="s">
        <v>344</v>
      </c>
      <c r="L30" s="10"/>
      <c r="M30" s="10"/>
      <c r="N30" s="10"/>
      <c r="O30" s="10"/>
      <c r="P30" s="10"/>
    </row>
    <row r="31" s="2" customFormat="1" ht="14.25" spans="1:16">
      <c r="A31" s="10">
        <v>31</v>
      </c>
      <c r="B31" s="10" t="s">
        <v>14</v>
      </c>
      <c r="C31" s="10" t="s">
        <v>410</v>
      </c>
      <c r="D31" s="12" t="s">
        <v>407</v>
      </c>
      <c r="E31" s="12" t="s">
        <v>334</v>
      </c>
      <c r="F31" s="10" t="s">
        <v>343</v>
      </c>
      <c r="G31" s="10">
        <f>SUMIF(成品月初库存!$C$3:$C$362,$B31,成品月初库存!$F$3:$F$362)</f>
        <v>331</v>
      </c>
      <c r="H31" s="10">
        <f>SUMIF(成品入库明细!$D$2:$D$500,$B31,成品入库明细!$G$2:$G$500)</f>
        <v>0</v>
      </c>
      <c r="I31" s="10">
        <f>SUMIF(成品出库明细!$D$2:$D$1172,$B31,成品出库明细!$G$2:$G$1172)</f>
        <v>0</v>
      </c>
      <c r="J31" s="10">
        <f t="shared" si="0"/>
        <v>331</v>
      </c>
      <c r="K31" s="12" t="s">
        <v>344</v>
      </c>
      <c r="L31" s="10"/>
      <c r="M31" s="10"/>
      <c r="N31" s="10"/>
      <c r="O31" s="10"/>
      <c r="P31" s="10"/>
    </row>
    <row r="32" s="2" customFormat="1" ht="14.25" spans="1:16">
      <c r="A32" s="10">
        <v>32</v>
      </c>
      <c r="B32" s="10" t="s">
        <v>411</v>
      </c>
      <c r="C32" s="12" t="s">
        <v>412</v>
      </c>
      <c r="D32" s="12" t="s">
        <v>413</v>
      </c>
      <c r="E32" s="12" t="s">
        <v>334</v>
      </c>
      <c r="F32" s="10" t="s">
        <v>343</v>
      </c>
      <c r="G32" s="10">
        <f>SUMIF(成品月初库存!$C$3:$C$362,$B32,成品月初库存!$F$3:$F$362)</f>
        <v>0</v>
      </c>
      <c r="H32" s="10">
        <f>SUMIF(成品入库明细!$D$2:$D$500,$B32,成品入库明细!$G$2:$G$500)</f>
        <v>0</v>
      </c>
      <c r="I32" s="10">
        <f>SUMIF(成品出库明细!$D$2:$D$1172,$B32,成品出库明细!$G$2:$G$1172)</f>
        <v>0</v>
      </c>
      <c r="J32" s="10">
        <f t="shared" si="0"/>
        <v>0</v>
      </c>
      <c r="K32" s="12" t="s">
        <v>379</v>
      </c>
      <c r="L32" s="10"/>
      <c r="M32" s="10"/>
      <c r="N32" s="10"/>
      <c r="O32" s="10"/>
      <c r="P32" s="10"/>
    </row>
    <row r="33" s="2" customFormat="1" ht="14.25" spans="1:16">
      <c r="A33" s="10">
        <v>33</v>
      </c>
      <c r="B33" s="10" t="s">
        <v>414</v>
      </c>
      <c r="C33" s="10" t="s">
        <v>415</v>
      </c>
      <c r="D33" s="12" t="s">
        <v>416</v>
      </c>
      <c r="E33" s="12" t="s">
        <v>334</v>
      </c>
      <c r="F33" s="10" t="s">
        <v>343</v>
      </c>
      <c r="G33" s="10">
        <f>SUMIF(成品月初库存!$C$3:$C$362,$B33,成品月初库存!$F$3:$F$362)</f>
        <v>0</v>
      </c>
      <c r="H33" s="10">
        <f>SUMIF(成品入库明细!$D$2:$D$500,$B33,成品入库明细!$G$2:$G$500)</f>
        <v>0</v>
      </c>
      <c r="I33" s="10">
        <f>SUMIF(成品出库明细!$D$2:$D$1172,$B33,成品出库明细!$G$2:$G$1172)</f>
        <v>0</v>
      </c>
      <c r="J33" s="10">
        <f t="shared" si="0"/>
        <v>0</v>
      </c>
      <c r="K33" s="12" t="s">
        <v>300</v>
      </c>
      <c r="L33" s="10"/>
      <c r="M33" s="10"/>
      <c r="N33" s="10"/>
      <c r="O33" s="10"/>
      <c r="P33" s="10"/>
    </row>
    <row r="34" s="2" customFormat="1" ht="14.25" spans="1:16">
      <c r="A34" s="10">
        <v>34</v>
      </c>
      <c r="B34" s="10" t="s">
        <v>417</v>
      </c>
      <c r="C34" s="10" t="s">
        <v>418</v>
      </c>
      <c r="D34" s="12" t="s">
        <v>419</v>
      </c>
      <c r="E34" s="12" t="s">
        <v>334</v>
      </c>
      <c r="F34" s="10" t="s">
        <v>343</v>
      </c>
      <c r="G34" s="10">
        <f>SUMIF(成品月初库存!$C$3:$C$362,$B34,成品月初库存!$F$3:$F$362)</f>
        <v>0</v>
      </c>
      <c r="H34" s="10">
        <f>SUMIF(成品入库明细!$D$2:$D$500,$B34,成品入库明细!$G$2:$G$500)</f>
        <v>0</v>
      </c>
      <c r="I34" s="10">
        <f>SUMIF(成品出库明细!$D$2:$D$1172,$B34,成品出库明细!$G$2:$G$1172)</f>
        <v>0</v>
      </c>
      <c r="J34" s="10">
        <f t="shared" si="0"/>
        <v>0</v>
      </c>
      <c r="K34" s="12" t="s">
        <v>420</v>
      </c>
      <c r="L34" s="10"/>
      <c r="M34" s="10"/>
      <c r="N34" s="10"/>
      <c r="O34" s="10"/>
      <c r="P34" s="10"/>
    </row>
    <row r="35" s="2" customFormat="1" ht="14.25" spans="1:16">
      <c r="A35" s="10">
        <v>35</v>
      </c>
      <c r="B35" s="10" t="s">
        <v>421</v>
      </c>
      <c r="C35" s="10" t="s">
        <v>422</v>
      </c>
      <c r="D35" s="12" t="s">
        <v>419</v>
      </c>
      <c r="E35" s="12" t="s">
        <v>334</v>
      </c>
      <c r="F35" s="10" t="s">
        <v>343</v>
      </c>
      <c r="G35" s="10">
        <f>SUMIF(成品月初库存!$C$3:$C$362,$B35,成品月初库存!$F$3:$F$362)</f>
        <v>0</v>
      </c>
      <c r="H35" s="10">
        <f>SUMIF(成品入库明细!$D$2:$D$500,$B35,成品入库明细!$G$2:$G$500)</f>
        <v>0</v>
      </c>
      <c r="I35" s="10">
        <f>SUMIF(成品出库明细!$D$2:$D$1172,$B35,成品出库明细!$G$2:$G$1172)</f>
        <v>0</v>
      </c>
      <c r="J35" s="10">
        <f t="shared" si="0"/>
        <v>0</v>
      </c>
      <c r="K35" s="12" t="s">
        <v>420</v>
      </c>
      <c r="L35" s="10"/>
      <c r="M35" s="10"/>
      <c r="N35" s="10"/>
      <c r="O35" s="10"/>
      <c r="P35" s="10"/>
    </row>
    <row r="36" s="2" customFormat="1" ht="14.25" spans="1:16">
      <c r="A36" s="10">
        <v>36</v>
      </c>
      <c r="B36" s="10" t="s">
        <v>423</v>
      </c>
      <c r="C36" s="10" t="s">
        <v>424</v>
      </c>
      <c r="D36" s="12" t="s">
        <v>419</v>
      </c>
      <c r="E36" s="12" t="s">
        <v>334</v>
      </c>
      <c r="F36" s="10" t="s">
        <v>343</v>
      </c>
      <c r="G36" s="10">
        <f>SUMIF(成品月初库存!$C$3:$C$362,$B36,成品月初库存!$F$3:$F$362)</f>
        <v>0</v>
      </c>
      <c r="H36" s="10">
        <f>SUMIF(成品入库明细!$D$2:$D$500,$B36,成品入库明细!$G$2:$G$500)</f>
        <v>0</v>
      </c>
      <c r="I36" s="10">
        <f>SUMIF(成品出库明细!$D$2:$D$1172,$B36,成品出库明细!$G$2:$G$1172)</f>
        <v>0</v>
      </c>
      <c r="J36" s="10">
        <f t="shared" si="0"/>
        <v>0</v>
      </c>
      <c r="K36" s="12" t="s">
        <v>420</v>
      </c>
      <c r="L36" s="10"/>
      <c r="M36" s="10"/>
      <c r="N36" s="10"/>
      <c r="O36" s="10"/>
      <c r="P36" s="10"/>
    </row>
    <row r="37" s="2" customFormat="1" ht="14.25" spans="1:16">
      <c r="A37" s="10">
        <v>37</v>
      </c>
      <c r="B37" s="10" t="s">
        <v>425</v>
      </c>
      <c r="C37" s="10" t="s">
        <v>426</v>
      </c>
      <c r="D37" s="12" t="s">
        <v>419</v>
      </c>
      <c r="E37" s="12" t="s">
        <v>334</v>
      </c>
      <c r="F37" s="10" t="s">
        <v>343</v>
      </c>
      <c r="G37" s="10">
        <f>SUMIF(成品月初库存!$C$3:$C$362,$B37,成品月初库存!$F$3:$F$362)</f>
        <v>0</v>
      </c>
      <c r="H37" s="10">
        <f>SUMIF(成品入库明细!$D$2:$D$500,$B37,成品入库明细!$G$2:$G$500)</f>
        <v>0</v>
      </c>
      <c r="I37" s="10">
        <f>SUMIF(成品出库明细!$D$2:$D$1172,$B37,成品出库明细!$G$2:$G$1172)</f>
        <v>0</v>
      </c>
      <c r="J37" s="10">
        <f t="shared" si="0"/>
        <v>0</v>
      </c>
      <c r="K37" s="12" t="s">
        <v>420</v>
      </c>
      <c r="L37" s="10"/>
      <c r="M37" s="10"/>
      <c r="N37" s="10"/>
      <c r="O37" s="10"/>
      <c r="P37" s="10"/>
    </row>
    <row r="38" s="2" customFormat="1" ht="14.25" spans="1:16">
      <c r="A38" s="10">
        <v>38</v>
      </c>
      <c r="B38" s="10" t="s">
        <v>427</v>
      </c>
      <c r="C38" s="10" t="s">
        <v>428</v>
      </c>
      <c r="D38" s="12" t="s">
        <v>419</v>
      </c>
      <c r="E38" s="12" t="s">
        <v>334</v>
      </c>
      <c r="F38" s="10" t="s">
        <v>343</v>
      </c>
      <c r="G38" s="10">
        <f>SUMIF(成品月初库存!$C$3:$C$362,$B38,成品月初库存!$F$3:$F$362)</f>
        <v>0</v>
      </c>
      <c r="H38" s="10">
        <f>SUMIF(成品入库明细!$D$2:$D$500,$B38,成品入库明细!$G$2:$G$500)</f>
        <v>0</v>
      </c>
      <c r="I38" s="10">
        <f>SUMIF(成品出库明细!$D$2:$D$1172,$B38,成品出库明细!$G$2:$G$1172)</f>
        <v>0</v>
      </c>
      <c r="J38" s="10">
        <f t="shared" si="0"/>
        <v>0</v>
      </c>
      <c r="K38" s="12" t="s">
        <v>420</v>
      </c>
      <c r="L38" s="10"/>
      <c r="M38" s="10"/>
      <c r="N38" s="10"/>
      <c r="O38" s="10"/>
      <c r="P38" s="10"/>
    </row>
    <row r="39" s="2" customFormat="1" ht="14.25" spans="1:16">
      <c r="A39" s="10">
        <v>39</v>
      </c>
      <c r="B39" s="10" t="s">
        <v>429</v>
      </c>
      <c r="C39" s="10" t="s">
        <v>430</v>
      </c>
      <c r="D39" s="12" t="s">
        <v>419</v>
      </c>
      <c r="E39" s="12" t="s">
        <v>334</v>
      </c>
      <c r="F39" s="10" t="s">
        <v>343</v>
      </c>
      <c r="G39" s="10">
        <f>SUMIF(成品月初库存!$C$3:$C$362,$B39,成品月初库存!$F$3:$F$362)</f>
        <v>0</v>
      </c>
      <c r="H39" s="10">
        <f>SUMIF(成品入库明细!$D$2:$D$500,$B39,成品入库明细!$G$2:$G$500)</f>
        <v>0</v>
      </c>
      <c r="I39" s="10">
        <f>SUMIF(成品出库明细!$D$2:$D$1172,$B39,成品出库明细!$G$2:$G$1172)</f>
        <v>0</v>
      </c>
      <c r="J39" s="10">
        <f t="shared" si="0"/>
        <v>0</v>
      </c>
      <c r="K39" s="12" t="s">
        <v>420</v>
      </c>
      <c r="L39" s="10"/>
      <c r="M39" s="10"/>
      <c r="N39" s="10"/>
      <c r="O39" s="10"/>
      <c r="P39" s="10"/>
    </row>
    <row r="40" s="2" customFormat="1" ht="14.25" spans="1:16">
      <c r="A40" s="10">
        <v>40</v>
      </c>
      <c r="B40" s="10" t="s">
        <v>431</v>
      </c>
      <c r="C40" s="10" t="s">
        <v>432</v>
      </c>
      <c r="D40" s="12" t="s">
        <v>419</v>
      </c>
      <c r="E40" s="12" t="s">
        <v>334</v>
      </c>
      <c r="F40" s="10" t="s">
        <v>343</v>
      </c>
      <c r="G40" s="10">
        <f>SUMIF(成品月初库存!$C$3:$C$362,$B40,成品月初库存!$F$3:$F$362)</f>
        <v>0</v>
      </c>
      <c r="H40" s="10">
        <f>SUMIF(成品入库明细!$D$2:$D$500,$B40,成品入库明细!$G$2:$G$500)</f>
        <v>0</v>
      </c>
      <c r="I40" s="10">
        <f>SUMIF(成品出库明细!$D$2:$D$1172,$B40,成品出库明细!$G$2:$G$1172)</f>
        <v>0</v>
      </c>
      <c r="J40" s="10">
        <f t="shared" si="0"/>
        <v>0</v>
      </c>
      <c r="K40" s="12" t="s">
        <v>420</v>
      </c>
      <c r="L40" s="10"/>
      <c r="M40" s="10"/>
      <c r="N40" s="10"/>
      <c r="O40" s="10"/>
      <c r="P40" s="10"/>
    </row>
    <row r="41" s="2" customFormat="1" ht="14.25" spans="1:16">
      <c r="A41" s="10">
        <v>41</v>
      </c>
      <c r="B41" s="10" t="s">
        <v>433</v>
      </c>
      <c r="C41" s="10" t="s">
        <v>434</v>
      </c>
      <c r="D41" s="12" t="s">
        <v>419</v>
      </c>
      <c r="E41" s="12" t="s">
        <v>334</v>
      </c>
      <c r="F41" s="10" t="s">
        <v>343</v>
      </c>
      <c r="G41" s="10">
        <f>SUMIF(成品月初库存!$C$3:$C$362,$B41,成品月初库存!$F$3:$F$362)</f>
        <v>0</v>
      </c>
      <c r="H41" s="10">
        <f>SUMIF(成品入库明细!$D$2:$D$500,$B41,成品入库明细!$G$2:$G$500)</f>
        <v>0</v>
      </c>
      <c r="I41" s="10">
        <f>SUMIF(成品出库明细!$D$2:$D$1172,$B41,成品出库明细!$G$2:$G$1172)</f>
        <v>0</v>
      </c>
      <c r="J41" s="10">
        <f t="shared" si="0"/>
        <v>0</v>
      </c>
      <c r="K41" s="12" t="s">
        <v>420</v>
      </c>
      <c r="L41" s="10"/>
      <c r="M41" s="10"/>
      <c r="N41" s="10"/>
      <c r="O41" s="10"/>
      <c r="P41" s="10"/>
    </row>
    <row r="42" s="2" customFormat="1" ht="14.25" spans="1:16">
      <c r="A42" s="10">
        <v>42</v>
      </c>
      <c r="B42" s="10" t="s">
        <v>435</v>
      </c>
      <c r="C42" s="10" t="s">
        <v>436</v>
      </c>
      <c r="D42" s="12" t="s">
        <v>419</v>
      </c>
      <c r="E42" s="12" t="s">
        <v>334</v>
      </c>
      <c r="F42" s="10" t="s">
        <v>343</v>
      </c>
      <c r="G42" s="10">
        <f>SUMIF(成品月初库存!$C$3:$C$362,$B42,成品月初库存!$F$3:$F$362)</f>
        <v>0</v>
      </c>
      <c r="H42" s="10">
        <f>SUMIF(成品入库明细!$D$2:$D$500,$B42,成品入库明细!$G$2:$G$500)</f>
        <v>0</v>
      </c>
      <c r="I42" s="10">
        <f>SUMIF(成品出库明细!$D$2:$D$1172,$B42,成品出库明细!$G$2:$G$1172)</f>
        <v>0</v>
      </c>
      <c r="J42" s="10">
        <f t="shared" si="0"/>
        <v>0</v>
      </c>
      <c r="K42" s="12" t="s">
        <v>420</v>
      </c>
      <c r="L42" s="10"/>
      <c r="M42" s="10"/>
      <c r="N42" s="10"/>
      <c r="O42" s="10"/>
      <c r="P42" s="10"/>
    </row>
    <row r="43" s="2" customFormat="1" ht="14.25" spans="1:16">
      <c r="A43" s="10">
        <v>43</v>
      </c>
      <c r="B43" s="10" t="s">
        <v>437</v>
      </c>
      <c r="C43" s="10" t="s">
        <v>438</v>
      </c>
      <c r="D43" s="12" t="s">
        <v>419</v>
      </c>
      <c r="E43" s="12" t="s">
        <v>334</v>
      </c>
      <c r="F43" s="10" t="s">
        <v>343</v>
      </c>
      <c r="G43" s="10">
        <f>SUMIF(成品月初库存!$C$3:$C$362,$B43,成品月初库存!$F$3:$F$362)</f>
        <v>0</v>
      </c>
      <c r="H43" s="10">
        <f>SUMIF(成品入库明细!$D$2:$D$500,$B43,成品入库明细!$G$2:$G$500)</f>
        <v>0</v>
      </c>
      <c r="I43" s="10">
        <f>SUMIF(成品出库明细!$D$2:$D$1172,$B43,成品出库明细!$G$2:$G$1172)</f>
        <v>0</v>
      </c>
      <c r="J43" s="10">
        <f t="shared" si="0"/>
        <v>0</v>
      </c>
      <c r="K43" s="12" t="s">
        <v>420</v>
      </c>
      <c r="L43" s="10"/>
      <c r="M43" s="10"/>
      <c r="N43" s="10"/>
      <c r="O43" s="10"/>
      <c r="P43" s="10"/>
    </row>
    <row r="44" s="2" customFormat="1" ht="14.25" spans="1:16">
      <c r="A44" s="10">
        <v>44</v>
      </c>
      <c r="B44" s="10" t="s">
        <v>439</v>
      </c>
      <c r="C44" s="10" t="s">
        <v>440</v>
      </c>
      <c r="D44" s="12" t="s">
        <v>419</v>
      </c>
      <c r="E44" s="12" t="s">
        <v>334</v>
      </c>
      <c r="F44" s="10" t="s">
        <v>343</v>
      </c>
      <c r="G44" s="10">
        <f>SUMIF(成品月初库存!$C$3:$C$362,$B44,成品月初库存!$F$3:$F$362)</f>
        <v>0</v>
      </c>
      <c r="H44" s="10">
        <f>SUMIF(成品入库明细!$D$2:$D$500,$B44,成品入库明细!$G$2:$G$500)</f>
        <v>0</v>
      </c>
      <c r="I44" s="10">
        <f>SUMIF(成品出库明细!$D$2:$D$1172,$B44,成品出库明细!$G$2:$G$1172)</f>
        <v>0</v>
      </c>
      <c r="J44" s="10">
        <f t="shared" si="0"/>
        <v>0</v>
      </c>
      <c r="K44" s="12" t="s">
        <v>420</v>
      </c>
      <c r="L44" s="10"/>
      <c r="M44" s="10"/>
      <c r="N44" s="10"/>
      <c r="O44" s="10"/>
      <c r="P44" s="10"/>
    </row>
    <row r="45" s="2" customFormat="1" ht="14.25" spans="1:16">
      <c r="A45" s="10">
        <v>45</v>
      </c>
      <c r="B45" s="10" t="s">
        <v>441</v>
      </c>
      <c r="C45" s="10" t="s">
        <v>442</v>
      </c>
      <c r="D45" s="12" t="s">
        <v>419</v>
      </c>
      <c r="E45" s="12" t="s">
        <v>334</v>
      </c>
      <c r="F45" s="10" t="s">
        <v>343</v>
      </c>
      <c r="G45" s="10">
        <f>SUMIF(成品月初库存!$C$3:$C$362,$B45,成品月初库存!$F$3:$F$362)</f>
        <v>0</v>
      </c>
      <c r="H45" s="10">
        <f>SUMIF(成品入库明细!$D$2:$D$500,$B45,成品入库明细!$G$2:$G$500)</f>
        <v>0</v>
      </c>
      <c r="I45" s="10">
        <f>SUMIF(成品出库明细!$D$2:$D$1172,$B45,成品出库明细!$G$2:$G$1172)</f>
        <v>0</v>
      </c>
      <c r="J45" s="10">
        <f t="shared" si="0"/>
        <v>0</v>
      </c>
      <c r="K45" s="12" t="s">
        <v>420</v>
      </c>
      <c r="L45" s="10"/>
      <c r="M45" s="10"/>
      <c r="N45" s="10"/>
      <c r="O45" s="10"/>
      <c r="P45" s="10"/>
    </row>
    <row r="46" s="2" customFormat="1" ht="14.25" spans="1:16">
      <c r="A46" s="10">
        <v>46</v>
      </c>
      <c r="B46" s="10" t="s">
        <v>443</v>
      </c>
      <c r="C46" s="10" t="s">
        <v>444</v>
      </c>
      <c r="D46" s="12" t="s">
        <v>419</v>
      </c>
      <c r="E46" s="12" t="s">
        <v>445</v>
      </c>
      <c r="F46" s="10" t="s">
        <v>343</v>
      </c>
      <c r="G46" s="10">
        <f>SUMIF(成品月初库存!$C$3:$C$362,$B46,成品月初库存!$F$3:$F$362)</f>
        <v>0</v>
      </c>
      <c r="H46" s="10">
        <f>SUMIF(成品入库明细!$D$2:$D$500,$B46,成品入库明细!$G$2:$G$500)</f>
        <v>0</v>
      </c>
      <c r="I46" s="10">
        <f>SUMIF(成品出库明细!$D$2:$D$1172,$B46,成品出库明细!$G$2:$G$1172)</f>
        <v>0</v>
      </c>
      <c r="J46" s="10">
        <f t="shared" si="0"/>
        <v>0</v>
      </c>
      <c r="K46" s="12" t="s">
        <v>370</v>
      </c>
      <c r="L46" s="10"/>
      <c r="M46" s="10"/>
      <c r="N46" s="10"/>
      <c r="O46" s="10"/>
      <c r="P46" s="10"/>
    </row>
    <row r="47" s="2" customFormat="1" ht="14.25" spans="1:16">
      <c r="A47" s="10">
        <v>47</v>
      </c>
      <c r="B47" s="10" t="s">
        <v>446</v>
      </c>
      <c r="C47" s="10" t="s">
        <v>444</v>
      </c>
      <c r="D47" s="12" t="s">
        <v>419</v>
      </c>
      <c r="E47" s="12" t="s">
        <v>445</v>
      </c>
      <c r="F47" s="10" t="s">
        <v>343</v>
      </c>
      <c r="G47" s="10">
        <f>SUMIF(成品月初库存!$C$3:$C$362,$B47,成品月初库存!$F$3:$F$362)</f>
        <v>0</v>
      </c>
      <c r="H47" s="10">
        <f>SUMIF(成品入库明细!$D$2:$D$500,$B47,成品入库明细!$G$2:$G$500)</f>
        <v>0</v>
      </c>
      <c r="I47" s="10">
        <f>SUMIF(成品出库明细!$D$2:$D$1172,$B47,成品出库明细!$G$2:$G$1172)</f>
        <v>0</v>
      </c>
      <c r="J47" s="10">
        <f t="shared" si="0"/>
        <v>0</v>
      </c>
      <c r="K47" s="12" t="s">
        <v>420</v>
      </c>
      <c r="L47" s="10"/>
      <c r="M47" s="10"/>
      <c r="N47" s="10"/>
      <c r="O47" s="10"/>
      <c r="P47" s="10"/>
    </row>
    <row r="48" s="2" customFormat="1" ht="14.25" spans="1:16">
      <c r="A48" s="10">
        <v>48</v>
      </c>
      <c r="B48" s="10" t="s">
        <v>447</v>
      </c>
      <c r="C48" s="10" t="s">
        <v>448</v>
      </c>
      <c r="D48" s="12" t="s">
        <v>419</v>
      </c>
      <c r="E48" s="12" t="s">
        <v>334</v>
      </c>
      <c r="F48" s="10" t="s">
        <v>343</v>
      </c>
      <c r="G48" s="10">
        <f>SUMIF(成品月初库存!$C$3:$C$362,$B48,成品月初库存!$F$3:$F$362)</f>
        <v>0</v>
      </c>
      <c r="H48" s="10">
        <f>SUMIF(成品入库明细!$D$2:$D$500,$B48,成品入库明细!$G$2:$G$500)</f>
        <v>0</v>
      </c>
      <c r="I48" s="10">
        <f>SUMIF(成品出库明细!$D$2:$D$1172,$B48,成品出库明细!$G$2:$G$1172)</f>
        <v>0</v>
      </c>
      <c r="J48" s="10">
        <f t="shared" si="0"/>
        <v>0</v>
      </c>
      <c r="K48" s="12" t="s">
        <v>420</v>
      </c>
      <c r="L48" s="10"/>
      <c r="M48" s="10"/>
      <c r="N48" s="10"/>
      <c r="O48" s="10"/>
      <c r="P48" s="10"/>
    </row>
    <row r="49" s="2" customFormat="1" ht="14.25" spans="1:16">
      <c r="A49" s="10">
        <v>49</v>
      </c>
      <c r="B49" s="10" t="s">
        <v>449</v>
      </c>
      <c r="C49" s="10" t="s">
        <v>450</v>
      </c>
      <c r="D49" s="12" t="s">
        <v>419</v>
      </c>
      <c r="E49" s="12" t="s">
        <v>334</v>
      </c>
      <c r="F49" s="10" t="s">
        <v>343</v>
      </c>
      <c r="G49" s="10">
        <f>SUMIF(成品月初库存!$C$3:$C$362,$B49,成品月初库存!$F$3:$F$362)</f>
        <v>0</v>
      </c>
      <c r="H49" s="10">
        <f>SUMIF(成品入库明细!$D$2:$D$500,$B49,成品入库明细!$G$2:$G$500)</f>
        <v>0</v>
      </c>
      <c r="I49" s="10">
        <f>SUMIF(成品出库明细!$D$2:$D$1172,$B49,成品出库明细!$G$2:$G$1172)</f>
        <v>0</v>
      </c>
      <c r="J49" s="10">
        <f t="shared" si="0"/>
        <v>0</v>
      </c>
      <c r="K49" s="12" t="s">
        <v>420</v>
      </c>
      <c r="L49" s="10"/>
      <c r="M49" s="10"/>
      <c r="N49" s="10"/>
      <c r="O49" s="10"/>
      <c r="P49" s="10"/>
    </row>
    <row r="50" s="2" customFormat="1" ht="14.25" spans="1:16">
      <c r="A50" s="10">
        <v>50</v>
      </c>
      <c r="B50" s="10" t="s">
        <v>451</v>
      </c>
      <c r="C50" s="10" t="s">
        <v>452</v>
      </c>
      <c r="D50" s="12" t="s">
        <v>419</v>
      </c>
      <c r="E50" s="12" t="s">
        <v>334</v>
      </c>
      <c r="F50" s="10" t="s">
        <v>343</v>
      </c>
      <c r="G50" s="10">
        <f>SUMIF(成品月初库存!$C$3:$C$362,$B50,成品月初库存!$F$3:$F$362)</f>
        <v>0</v>
      </c>
      <c r="H50" s="10">
        <f>SUMIF(成品入库明细!$D$2:$D$500,$B50,成品入库明细!$G$2:$G$500)</f>
        <v>0</v>
      </c>
      <c r="I50" s="10">
        <f>SUMIF(成品出库明细!$D$2:$D$1172,$B50,成品出库明细!$G$2:$G$1172)</f>
        <v>0</v>
      </c>
      <c r="J50" s="10">
        <f t="shared" si="0"/>
        <v>0</v>
      </c>
      <c r="K50" s="12" t="s">
        <v>420</v>
      </c>
      <c r="L50" s="10"/>
      <c r="M50" s="10"/>
      <c r="N50" s="10"/>
      <c r="O50" s="10"/>
      <c r="P50" s="10"/>
    </row>
    <row r="51" s="2" customFormat="1" ht="14.25" spans="1:16">
      <c r="A51" s="10">
        <v>51</v>
      </c>
      <c r="B51" s="10" t="s">
        <v>453</v>
      </c>
      <c r="C51" s="10" t="s">
        <v>454</v>
      </c>
      <c r="D51" s="12" t="s">
        <v>419</v>
      </c>
      <c r="E51" s="12" t="s">
        <v>334</v>
      </c>
      <c r="F51" s="10" t="s">
        <v>343</v>
      </c>
      <c r="G51" s="10">
        <f>SUMIF(成品月初库存!$C$3:$C$362,$B51,成品月初库存!$F$3:$F$362)</f>
        <v>0</v>
      </c>
      <c r="H51" s="10">
        <f>SUMIF(成品入库明细!$D$2:$D$500,$B51,成品入库明细!$G$2:$G$500)</f>
        <v>0</v>
      </c>
      <c r="I51" s="10">
        <f>SUMIF(成品出库明细!$D$2:$D$1172,$B51,成品出库明细!$G$2:$G$1172)</f>
        <v>0</v>
      </c>
      <c r="J51" s="10">
        <f t="shared" si="0"/>
        <v>0</v>
      </c>
      <c r="K51" s="12" t="s">
        <v>420</v>
      </c>
      <c r="L51" s="10"/>
      <c r="M51" s="10"/>
      <c r="N51" s="10"/>
      <c r="O51" s="10"/>
      <c r="P51" s="10"/>
    </row>
    <row r="52" s="2" customFormat="1" ht="14.25" spans="1:16">
      <c r="A52" s="10">
        <v>52</v>
      </c>
      <c r="B52" s="10" t="s">
        <v>455</v>
      </c>
      <c r="C52" s="10" t="s">
        <v>456</v>
      </c>
      <c r="D52" s="12" t="s">
        <v>419</v>
      </c>
      <c r="E52" s="12" t="s">
        <v>334</v>
      </c>
      <c r="F52" s="10" t="s">
        <v>343</v>
      </c>
      <c r="G52" s="10">
        <f>SUMIF(成品月初库存!$C$3:$C$362,$B52,成品月初库存!$F$3:$F$362)</f>
        <v>0</v>
      </c>
      <c r="H52" s="10">
        <f>SUMIF(成品入库明细!$D$2:$D$500,$B52,成品入库明细!$G$2:$G$500)</f>
        <v>0</v>
      </c>
      <c r="I52" s="10">
        <f>SUMIF(成品出库明细!$D$2:$D$1172,$B52,成品出库明细!$G$2:$G$1172)</f>
        <v>0</v>
      </c>
      <c r="J52" s="10">
        <f t="shared" si="0"/>
        <v>0</v>
      </c>
      <c r="K52" s="12" t="s">
        <v>420</v>
      </c>
      <c r="L52" s="10"/>
      <c r="M52" s="10"/>
      <c r="N52" s="10"/>
      <c r="O52" s="10"/>
      <c r="P52" s="10"/>
    </row>
    <row r="53" s="2" customFormat="1" ht="14.25" spans="1:16">
      <c r="A53" s="10">
        <v>53</v>
      </c>
      <c r="B53" s="10" t="s">
        <v>457</v>
      </c>
      <c r="C53" s="10" t="s">
        <v>458</v>
      </c>
      <c r="D53" s="12" t="s">
        <v>419</v>
      </c>
      <c r="E53" s="12" t="s">
        <v>334</v>
      </c>
      <c r="F53" s="10" t="s">
        <v>343</v>
      </c>
      <c r="G53" s="10">
        <f>SUMIF(成品月初库存!$C$3:$C$362,$B53,成品月初库存!$F$3:$F$362)</f>
        <v>0</v>
      </c>
      <c r="H53" s="10">
        <f>SUMIF(成品入库明细!$D$2:$D$500,$B53,成品入库明细!$G$2:$G$500)</f>
        <v>0</v>
      </c>
      <c r="I53" s="10">
        <f>SUMIF(成品出库明细!$D$2:$D$1172,$B53,成品出库明细!$G$2:$G$1172)</f>
        <v>0</v>
      </c>
      <c r="J53" s="10">
        <f t="shared" si="0"/>
        <v>0</v>
      </c>
      <c r="K53" s="12" t="s">
        <v>420</v>
      </c>
      <c r="L53" s="10"/>
      <c r="M53" s="10"/>
      <c r="N53" s="10"/>
      <c r="O53" s="10"/>
      <c r="P53" s="10"/>
    </row>
    <row r="54" s="2" customFormat="1" ht="14.25" spans="1:16">
      <c r="A54" s="10">
        <v>54</v>
      </c>
      <c r="B54" s="10" t="s">
        <v>459</v>
      </c>
      <c r="C54" s="10" t="s">
        <v>460</v>
      </c>
      <c r="D54" s="12" t="s">
        <v>419</v>
      </c>
      <c r="E54" s="12" t="s">
        <v>334</v>
      </c>
      <c r="F54" s="10" t="s">
        <v>343</v>
      </c>
      <c r="G54" s="10">
        <f>SUMIF(成品月初库存!$C$3:$C$362,$B54,成品月初库存!$F$3:$F$362)</f>
        <v>0</v>
      </c>
      <c r="H54" s="10">
        <f>SUMIF(成品入库明细!$D$2:$D$500,$B54,成品入库明细!$G$2:$G$500)</f>
        <v>0</v>
      </c>
      <c r="I54" s="10">
        <f>SUMIF(成品出库明细!$D$2:$D$1172,$B54,成品出库明细!$G$2:$G$1172)</f>
        <v>0</v>
      </c>
      <c r="J54" s="10">
        <f t="shared" si="0"/>
        <v>0</v>
      </c>
      <c r="K54" s="12" t="s">
        <v>420</v>
      </c>
      <c r="L54" s="10"/>
      <c r="M54" s="10"/>
      <c r="N54" s="10"/>
      <c r="O54" s="10"/>
      <c r="P54" s="10"/>
    </row>
    <row r="55" s="2" customFormat="1" ht="14.25" spans="1:16">
      <c r="A55" s="10">
        <v>55</v>
      </c>
      <c r="B55" s="10" t="s">
        <v>461</v>
      </c>
      <c r="C55" s="10" t="s">
        <v>462</v>
      </c>
      <c r="D55" s="12" t="s">
        <v>419</v>
      </c>
      <c r="E55" s="12" t="s">
        <v>334</v>
      </c>
      <c r="F55" s="10" t="s">
        <v>343</v>
      </c>
      <c r="G55" s="10">
        <f>SUMIF(成品月初库存!$C$3:$C$362,$B55,成品月初库存!$F$3:$F$362)</f>
        <v>0</v>
      </c>
      <c r="H55" s="10">
        <f>SUMIF(成品入库明细!$D$2:$D$500,$B55,成品入库明细!$G$2:$G$500)</f>
        <v>0</v>
      </c>
      <c r="I55" s="10">
        <f>SUMIF(成品出库明细!$D$2:$D$1172,$B55,成品出库明细!$G$2:$G$1172)</f>
        <v>0</v>
      </c>
      <c r="J55" s="10">
        <f t="shared" si="0"/>
        <v>0</v>
      </c>
      <c r="K55" s="12" t="s">
        <v>420</v>
      </c>
      <c r="L55" s="10"/>
      <c r="M55" s="10"/>
      <c r="N55" s="10"/>
      <c r="O55" s="10"/>
      <c r="P55" s="10"/>
    </row>
    <row r="56" s="2" customFormat="1" ht="14.25" spans="1:16">
      <c r="A56" s="10">
        <v>56</v>
      </c>
      <c r="B56" s="10" t="s">
        <v>463</v>
      </c>
      <c r="C56" s="10" t="s">
        <v>464</v>
      </c>
      <c r="D56" s="12" t="s">
        <v>465</v>
      </c>
      <c r="E56" s="12" t="s">
        <v>334</v>
      </c>
      <c r="F56" s="10" t="s">
        <v>343</v>
      </c>
      <c r="G56" s="10">
        <f>SUMIF(成品月初库存!$C$3:$C$362,$B56,成品月初库存!$F$3:$F$362)</f>
        <v>0</v>
      </c>
      <c r="H56" s="10">
        <f>SUMIF(成品入库明细!$D$2:$D$500,$B56,成品入库明细!$G$2:$G$500)</f>
        <v>0</v>
      </c>
      <c r="I56" s="10">
        <f>SUMIF(成品出库明细!$D$2:$D$1172,$B56,成品出库明细!$G$2:$G$1172)</f>
        <v>0</v>
      </c>
      <c r="J56" s="10">
        <f t="shared" si="0"/>
        <v>0</v>
      </c>
      <c r="K56" s="12" t="s">
        <v>466</v>
      </c>
      <c r="L56" s="10"/>
      <c r="M56" s="10"/>
      <c r="N56" s="10"/>
      <c r="O56" s="10"/>
      <c r="P56" s="10"/>
    </row>
    <row r="57" s="2" customFormat="1" ht="14.25" spans="1:16">
      <c r="A57" s="10">
        <v>57</v>
      </c>
      <c r="B57" s="10" t="s">
        <v>15</v>
      </c>
      <c r="C57" s="10" t="s">
        <v>467</v>
      </c>
      <c r="D57" s="12" t="s">
        <v>465</v>
      </c>
      <c r="E57" s="12" t="s">
        <v>334</v>
      </c>
      <c r="F57" s="10" t="s">
        <v>343</v>
      </c>
      <c r="G57" s="10">
        <f>SUMIF(成品月初库存!$C$3:$C$362,$B57,成品月初库存!$F$3:$F$362)</f>
        <v>6097</v>
      </c>
      <c r="H57" s="10">
        <f>SUMIF(成品入库明细!$D$2:$D$500,$B57,成品入库明细!$G$2:$G$500)</f>
        <v>0</v>
      </c>
      <c r="I57" s="10">
        <f>SUMIF(成品出库明细!$D$2:$D$1172,$B57,成品出库明细!$G$2:$G$1172)</f>
        <v>0</v>
      </c>
      <c r="J57" s="10">
        <f t="shared" si="0"/>
        <v>6097</v>
      </c>
      <c r="K57" s="12" t="s">
        <v>344</v>
      </c>
      <c r="L57" s="10"/>
      <c r="M57" s="10"/>
      <c r="N57" s="10"/>
      <c r="O57" s="10"/>
      <c r="P57" s="10"/>
    </row>
    <row r="58" s="2" customFormat="1" ht="15.75" spans="1:16">
      <c r="A58" s="10">
        <v>58</v>
      </c>
      <c r="B58" s="10" t="s">
        <v>16</v>
      </c>
      <c r="C58" s="11" t="s">
        <v>468</v>
      </c>
      <c r="D58" s="12" t="s">
        <v>465</v>
      </c>
      <c r="E58" s="12" t="s">
        <v>334</v>
      </c>
      <c r="F58" s="10" t="s">
        <v>343</v>
      </c>
      <c r="G58" s="10">
        <f>SUMIF(成品月初库存!$C$3:$C$362,$B58,成品月初库存!$F$3:$F$362)</f>
        <v>22323</v>
      </c>
      <c r="H58" s="10">
        <f>SUMIF(成品入库明细!$D$2:$D$500,$B58,成品入库明细!$G$2:$G$500)</f>
        <v>0</v>
      </c>
      <c r="I58" s="10">
        <f>SUMIF(成品出库明细!$D$2:$D$1172,$B58,成品出库明细!$G$2:$G$1172)</f>
        <v>0</v>
      </c>
      <c r="J58" s="10">
        <f t="shared" si="0"/>
        <v>22323</v>
      </c>
      <c r="K58" s="12" t="s">
        <v>370</v>
      </c>
      <c r="L58" s="10" t="s">
        <v>469</v>
      </c>
      <c r="M58" s="10"/>
      <c r="N58" s="10"/>
      <c r="O58" s="10"/>
      <c r="P58" s="10"/>
    </row>
    <row r="59" s="2" customFormat="1" ht="14.25" spans="1:16">
      <c r="A59" s="10">
        <v>59</v>
      </c>
      <c r="B59" s="10" t="s">
        <v>19</v>
      </c>
      <c r="C59" s="10" t="s">
        <v>470</v>
      </c>
      <c r="D59" s="12" t="s">
        <v>465</v>
      </c>
      <c r="E59" s="12" t="s">
        <v>334</v>
      </c>
      <c r="F59" s="10" t="s">
        <v>343</v>
      </c>
      <c r="G59" s="10">
        <f>SUMIF(成品月初库存!$C$3:$C$362,$B59,成品月初库存!$F$3:$F$362)</f>
        <v>2424</v>
      </c>
      <c r="H59" s="10">
        <f>SUMIF(成品入库明细!$D$2:$D$500,$B59,成品入库明细!$G$2:$G$500)</f>
        <v>0</v>
      </c>
      <c r="I59" s="10">
        <f>SUMIF(成品出库明细!$D$2:$D$1172,$B59,成品出库明细!$G$2:$G$1172)</f>
        <v>0</v>
      </c>
      <c r="J59" s="10">
        <f t="shared" si="0"/>
        <v>2424</v>
      </c>
      <c r="K59" s="12" t="s">
        <v>344</v>
      </c>
      <c r="L59" s="10"/>
      <c r="M59" s="10"/>
      <c r="N59" s="10"/>
      <c r="O59" s="10"/>
      <c r="P59" s="10"/>
    </row>
    <row r="60" s="2" customFormat="1" ht="14.25" spans="1:16">
      <c r="A60" s="10">
        <v>60</v>
      </c>
      <c r="B60" s="10" t="s">
        <v>20</v>
      </c>
      <c r="C60" s="10" t="s">
        <v>471</v>
      </c>
      <c r="D60" s="12" t="s">
        <v>465</v>
      </c>
      <c r="E60" s="12" t="s">
        <v>334</v>
      </c>
      <c r="F60" s="10" t="s">
        <v>343</v>
      </c>
      <c r="G60" s="10">
        <f>SUMIF(成品月初库存!$C$3:$C$362,$B60,成品月初库存!$F$3:$F$362)</f>
        <v>270</v>
      </c>
      <c r="H60" s="10">
        <f>SUMIF(成品入库明细!$D$2:$D$500,$B60,成品入库明细!$G$2:$G$500)</f>
        <v>0</v>
      </c>
      <c r="I60" s="10">
        <f>SUMIF(成品出库明细!$D$2:$D$1172,$B60,成品出库明细!$G$2:$G$1172)</f>
        <v>0</v>
      </c>
      <c r="J60" s="10">
        <f t="shared" si="0"/>
        <v>270</v>
      </c>
      <c r="K60" s="12" t="s">
        <v>344</v>
      </c>
      <c r="L60" s="10"/>
      <c r="M60" s="10"/>
      <c r="N60" s="10"/>
      <c r="O60" s="10"/>
      <c r="P60" s="10"/>
    </row>
    <row r="61" s="2" customFormat="1" ht="14.25" spans="1:16">
      <c r="A61" s="10">
        <v>61</v>
      </c>
      <c r="B61" s="10" t="s">
        <v>472</v>
      </c>
      <c r="C61" s="10" t="s">
        <v>473</v>
      </c>
      <c r="D61" s="12" t="s">
        <v>465</v>
      </c>
      <c r="E61" s="12" t="s">
        <v>334</v>
      </c>
      <c r="F61" s="10" t="s">
        <v>343</v>
      </c>
      <c r="G61" s="10">
        <f>SUMIF(成品月初库存!$C$3:$C$362,$B61,成品月初库存!$F$3:$F$362)</f>
        <v>0</v>
      </c>
      <c r="H61" s="10">
        <f>SUMIF(成品入库明细!$D$2:$D$500,$B61,成品入库明细!$G$2:$G$500)</f>
        <v>0</v>
      </c>
      <c r="I61" s="10">
        <f>SUMIF(成品出库明细!$D$2:$D$1172,$B61,成品出库明细!$G$2:$G$1172)</f>
        <v>0</v>
      </c>
      <c r="J61" s="10">
        <f t="shared" si="0"/>
        <v>0</v>
      </c>
      <c r="K61" s="12" t="s">
        <v>466</v>
      </c>
      <c r="L61" s="10"/>
      <c r="M61" s="10"/>
      <c r="N61" s="10"/>
      <c r="O61" s="10"/>
      <c r="P61" s="10"/>
    </row>
    <row r="62" s="2" customFormat="1" ht="14.25" spans="1:16">
      <c r="A62" s="10">
        <v>62</v>
      </c>
      <c r="B62" s="10" t="s">
        <v>21</v>
      </c>
      <c r="C62" s="10" t="s">
        <v>474</v>
      </c>
      <c r="D62" s="12" t="s">
        <v>465</v>
      </c>
      <c r="E62" s="12" t="s">
        <v>334</v>
      </c>
      <c r="F62" s="10" t="s">
        <v>343</v>
      </c>
      <c r="G62" s="10">
        <f>SUMIF(成品月初库存!$C$3:$C$362,$B62,成品月初库存!$F$3:$F$362)</f>
        <v>2352</v>
      </c>
      <c r="H62" s="10">
        <f>SUMIF(成品入库明细!$D$2:$D$500,$B62,成品入库明细!$G$2:$G$500)</f>
        <v>0</v>
      </c>
      <c r="I62" s="10">
        <f>SUMIF(成品出库明细!$D$2:$D$1172,$B62,成品出库明细!$G$2:$G$1172)</f>
        <v>0</v>
      </c>
      <c r="J62" s="10">
        <f t="shared" si="0"/>
        <v>2352</v>
      </c>
      <c r="K62" s="12" t="s">
        <v>344</v>
      </c>
      <c r="L62" s="10"/>
      <c r="M62" s="10"/>
      <c r="N62" s="10"/>
      <c r="O62" s="10"/>
      <c r="P62" s="10"/>
    </row>
    <row r="63" s="2" customFormat="1" ht="14.25" spans="1:16">
      <c r="A63" s="10">
        <v>63</v>
      </c>
      <c r="B63" s="10" t="s">
        <v>475</v>
      </c>
      <c r="C63" s="10" t="s">
        <v>476</v>
      </c>
      <c r="D63" s="12" t="s">
        <v>465</v>
      </c>
      <c r="E63" s="12" t="s">
        <v>334</v>
      </c>
      <c r="F63" s="10" t="s">
        <v>343</v>
      </c>
      <c r="G63" s="10">
        <f>SUMIF(成品月初库存!$C$3:$C$362,$B63,成品月初库存!$F$3:$F$362)</f>
        <v>0</v>
      </c>
      <c r="H63" s="10">
        <f>SUMIF(成品入库明细!$D$2:$D$500,$B63,成品入库明细!$G$2:$G$500)</f>
        <v>0</v>
      </c>
      <c r="I63" s="10">
        <f>SUMIF(成品出库明细!$D$2:$D$1172,$B63,成品出库明细!$G$2:$G$1172)</f>
        <v>0</v>
      </c>
      <c r="J63" s="10">
        <f t="shared" si="0"/>
        <v>0</v>
      </c>
      <c r="K63" s="12" t="s">
        <v>466</v>
      </c>
      <c r="L63" s="10"/>
      <c r="M63" s="10"/>
      <c r="N63" s="10"/>
      <c r="O63" s="10"/>
      <c r="P63" s="10"/>
    </row>
    <row r="64" s="2" customFormat="1" ht="14.25" spans="1:16">
      <c r="A64" s="10">
        <v>64</v>
      </c>
      <c r="B64" s="10" t="s">
        <v>477</v>
      </c>
      <c r="C64" s="10" t="s">
        <v>478</v>
      </c>
      <c r="D64" s="12" t="s">
        <v>465</v>
      </c>
      <c r="E64" s="12" t="s">
        <v>334</v>
      </c>
      <c r="F64" s="10" t="s">
        <v>343</v>
      </c>
      <c r="G64" s="10">
        <f>SUMIF(成品月初库存!$C$3:$C$362,$B64,成品月初库存!$F$3:$F$362)</f>
        <v>0</v>
      </c>
      <c r="H64" s="10">
        <f>SUMIF(成品入库明细!$D$2:$D$500,$B64,成品入库明细!$G$2:$G$500)</f>
        <v>0</v>
      </c>
      <c r="I64" s="10">
        <f>SUMIF(成品出库明细!$D$2:$D$1172,$B64,成品出库明细!$G$2:$G$1172)</f>
        <v>0</v>
      </c>
      <c r="J64" s="10">
        <f t="shared" si="0"/>
        <v>0</v>
      </c>
      <c r="K64" s="12" t="s">
        <v>344</v>
      </c>
      <c r="L64" s="10"/>
      <c r="M64" s="10"/>
      <c r="N64" s="10"/>
      <c r="O64" s="10"/>
      <c r="P64" s="10"/>
    </row>
    <row r="65" s="2" customFormat="1" ht="14.25" spans="1:16">
      <c r="A65" s="10">
        <v>65</v>
      </c>
      <c r="B65" s="10" t="s">
        <v>22</v>
      </c>
      <c r="C65" s="10" t="s">
        <v>23</v>
      </c>
      <c r="D65" s="12" t="s">
        <v>465</v>
      </c>
      <c r="E65" s="12" t="s">
        <v>334</v>
      </c>
      <c r="F65" s="10" t="s">
        <v>343</v>
      </c>
      <c r="G65" s="10">
        <f>SUMIF(成品月初库存!$C$3:$C$362,$B65,成品月初库存!$F$3:$F$362)</f>
        <v>12778</v>
      </c>
      <c r="H65" s="10">
        <f>SUMIF(成品入库明细!$D$2:$D$500,$B65,成品入库明细!$G$2:$G$500)</f>
        <v>0</v>
      </c>
      <c r="I65" s="10">
        <f>SUMIF(成品出库明细!$D$2:$D$1172,$B65,成品出库明细!$G$2:$G$1172)</f>
        <v>0</v>
      </c>
      <c r="J65" s="10">
        <f t="shared" si="0"/>
        <v>12778</v>
      </c>
      <c r="K65" s="12" t="s">
        <v>344</v>
      </c>
      <c r="L65" s="10"/>
      <c r="M65" s="10"/>
      <c r="N65" s="10"/>
      <c r="O65" s="10"/>
      <c r="P65" s="10"/>
    </row>
    <row r="66" s="2" customFormat="1" ht="14.25" spans="1:16">
      <c r="A66" s="10">
        <v>66</v>
      </c>
      <c r="B66" s="10" t="s">
        <v>25</v>
      </c>
      <c r="C66" s="10" t="s">
        <v>479</v>
      </c>
      <c r="D66" s="12" t="s">
        <v>465</v>
      </c>
      <c r="E66" s="12" t="s">
        <v>334</v>
      </c>
      <c r="F66" s="10" t="s">
        <v>343</v>
      </c>
      <c r="G66" s="10">
        <f>SUMIF(成品月初库存!$C$3:$C$362,$B66,成品月初库存!$F$3:$F$362)</f>
        <v>136</v>
      </c>
      <c r="H66" s="10">
        <f>SUMIF(成品入库明细!$D$2:$D$500,$B66,成品入库明细!$G$2:$G$500)</f>
        <v>0</v>
      </c>
      <c r="I66" s="10">
        <f>SUMIF(成品出库明细!$D$2:$D$1172,$B66,成品出库明细!$G$2:$G$1172)</f>
        <v>0</v>
      </c>
      <c r="J66" s="10">
        <f t="shared" ref="J66:J92" si="1">G66+H66-I66</f>
        <v>136</v>
      </c>
      <c r="K66" s="12" t="s">
        <v>370</v>
      </c>
      <c r="L66" s="10"/>
      <c r="M66" s="10"/>
      <c r="N66" s="10"/>
      <c r="O66" s="10"/>
      <c r="P66" s="10"/>
    </row>
    <row r="67" s="2" customFormat="1" ht="14.25" spans="1:16">
      <c r="A67" s="10">
        <v>67</v>
      </c>
      <c r="B67" s="10" t="s">
        <v>26</v>
      </c>
      <c r="C67" s="10" t="s">
        <v>480</v>
      </c>
      <c r="D67" s="12" t="s">
        <v>465</v>
      </c>
      <c r="E67" s="12" t="s">
        <v>334</v>
      </c>
      <c r="F67" s="10" t="s">
        <v>343</v>
      </c>
      <c r="G67" s="10">
        <f>SUMIF(成品月初库存!$C$3:$C$362,$B67,成品月初库存!$F$3:$F$362)</f>
        <v>1060</v>
      </c>
      <c r="H67" s="10">
        <f>SUMIF(成品入库明细!$D$2:$D$500,$B67,成品入库明细!$G$2:$G$500)</f>
        <v>0</v>
      </c>
      <c r="I67" s="10">
        <f>SUMIF(成品出库明细!$D$2:$D$1172,$B67,成品出库明细!$G$2:$G$1172)</f>
        <v>0</v>
      </c>
      <c r="J67" s="10">
        <f t="shared" si="1"/>
        <v>1060</v>
      </c>
      <c r="K67" s="12" t="s">
        <v>370</v>
      </c>
      <c r="L67" s="10"/>
      <c r="M67" s="10"/>
      <c r="N67" s="10"/>
      <c r="O67" s="10"/>
      <c r="P67" s="10"/>
    </row>
    <row r="68" s="2" customFormat="1" ht="14.25" spans="1:16">
      <c r="A68" s="10">
        <v>68</v>
      </c>
      <c r="B68" s="10" t="s">
        <v>481</v>
      </c>
      <c r="C68" s="12" t="s">
        <v>482</v>
      </c>
      <c r="D68" s="12" t="s">
        <v>465</v>
      </c>
      <c r="E68" s="12" t="s">
        <v>334</v>
      </c>
      <c r="F68" s="10" t="s">
        <v>343</v>
      </c>
      <c r="G68" s="10">
        <f>SUMIF(成品月初库存!$C$3:$C$362,$B68,成品月初库存!$F$3:$F$362)</f>
        <v>0</v>
      </c>
      <c r="H68" s="10">
        <f>SUMIF(成品入库明细!$D$2:$D$500,$B68,成品入库明细!$G$2:$G$500)</f>
        <v>0</v>
      </c>
      <c r="I68" s="10">
        <f>SUMIF(成品出库明细!$D$2:$D$1172,$B68,成品出库明细!$G$2:$G$1172)</f>
        <v>0</v>
      </c>
      <c r="J68" s="10">
        <f t="shared" si="1"/>
        <v>0</v>
      </c>
      <c r="K68" s="12" t="s">
        <v>420</v>
      </c>
      <c r="L68" s="10"/>
      <c r="M68" s="10"/>
      <c r="N68" s="10"/>
      <c r="O68" s="10"/>
      <c r="P68" s="10"/>
    </row>
    <row r="69" s="2" customFormat="1" ht="14.25" spans="1:16">
      <c r="A69" s="10">
        <v>69</v>
      </c>
      <c r="B69" s="10" t="s">
        <v>483</v>
      </c>
      <c r="C69" s="12" t="s">
        <v>484</v>
      </c>
      <c r="D69" s="12" t="s">
        <v>465</v>
      </c>
      <c r="E69" s="12" t="s">
        <v>334</v>
      </c>
      <c r="F69" s="10" t="s">
        <v>343</v>
      </c>
      <c r="G69" s="10">
        <f>SUMIF(成品月初库存!$C$3:$C$362,$B69,成品月初库存!$F$3:$F$362)</f>
        <v>0</v>
      </c>
      <c r="H69" s="10">
        <f>SUMIF(成品入库明细!$D$2:$D$500,$B69,成品入库明细!$G$2:$G$500)</f>
        <v>0</v>
      </c>
      <c r="I69" s="10">
        <f>SUMIF(成品出库明细!$D$2:$D$1172,$B69,成品出库明细!$G$2:$G$1172)</f>
        <v>0</v>
      </c>
      <c r="J69" s="10">
        <f t="shared" si="1"/>
        <v>0</v>
      </c>
      <c r="K69" s="12" t="s">
        <v>370</v>
      </c>
      <c r="L69" s="10"/>
      <c r="M69" s="10"/>
      <c r="N69" s="10"/>
      <c r="O69" s="10"/>
      <c r="P69" s="10"/>
    </row>
    <row r="70" s="2" customFormat="1" ht="14.25" spans="1:16">
      <c r="A70" s="10">
        <v>70</v>
      </c>
      <c r="B70" s="10" t="s">
        <v>27</v>
      </c>
      <c r="C70" s="12" t="s">
        <v>485</v>
      </c>
      <c r="D70" s="12" t="s">
        <v>465</v>
      </c>
      <c r="E70" s="12" t="s">
        <v>334</v>
      </c>
      <c r="F70" s="10" t="s">
        <v>343</v>
      </c>
      <c r="G70" s="10">
        <f>SUMIF(成品月初库存!$C$3:$C$362,$B70,成品月初库存!$F$3:$F$362)</f>
        <v>144</v>
      </c>
      <c r="H70" s="10">
        <f>SUMIF(成品入库明细!$D$2:$D$500,$B70,成品入库明细!$G$2:$G$500)</f>
        <v>0</v>
      </c>
      <c r="I70" s="10">
        <f>SUMIF(成品出库明细!$D$2:$D$1172,$B70,成品出库明细!$G$2:$G$1172)</f>
        <v>0</v>
      </c>
      <c r="J70" s="10">
        <f t="shared" si="1"/>
        <v>144</v>
      </c>
      <c r="K70" s="12" t="s">
        <v>370</v>
      </c>
      <c r="L70" s="10"/>
      <c r="M70" s="10"/>
      <c r="N70" s="10"/>
      <c r="O70" s="10"/>
      <c r="P70" s="10"/>
    </row>
    <row r="71" s="2" customFormat="1" ht="14.25" spans="1:16">
      <c r="A71" s="10">
        <v>71</v>
      </c>
      <c r="B71" s="10" t="s">
        <v>28</v>
      </c>
      <c r="C71" s="10" t="s">
        <v>486</v>
      </c>
      <c r="D71" s="12" t="s">
        <v>465</v>
      </c>
      <c r="E71" s="12" t="s">
        <v>334</v>
      </c>
      <c r="F71" s="10" t="s">
        <v>343</v>
      </c>
      <c r="G71" s="10">
        <f>SUMIF(成品月初库存!$C$3:$C$362,$B71,成品月初库存!$F$3:$F$362)</f>
        <v>1453</v>
      </c>
      <c r="H71" s="10">
        <f>SUMIF(成品入库明细!$D$2:$D$500,$B71,成品入库明细!$G$2:$G$500)</f>
        <v>0</v>
      </c>
      <c r="I71" s="10">
        <f>SUMIF(成品出库明细!$D$2:$D$1172,$B71,成品出库明细!$G$2:$G$1172)</f>
        <v>0</v>
      </c>
      <c r="J71" s="10">
        <f t="shared" si="1"/>
        <v>1453</v>
      </c>
      <c r="K71" s="12" t="s">
        <v>370</v>
      </c>
      <c r="L71" s="4"/>
      <c r="M71" s="10"/>
      <c r="N71" s="10"/>
      <c r="O71" s="10"/>
      <c r="P71" s="10"/>
    </row>
    <row r="72" s="2" customFormat="1" ht="14.25" spans="1:16">
      <c r="A72" s="10">
        <v>72</v>
      </c>
      <c r="B72" s="10" t="s">
        <v>29</v>
      </c>
      <c r="C72" s="10" t="s">
        <v>487</v>
      </c>
      <c r="D72" s="12" t="s">
        <v>465</v>
      </c>
      <c r="E72" s="12" t="s">
        <v>334</v>
      </c>
      <c r="F72" s="10" t="s">
        <v>343</v>
      </c>
      <c r="G72" s="10">
        <f>SUMIF(成品月初库存!$C$3:$C$362,$B72,成品月初库存!$F$3:$F$362)</f>
        <v>3634</v>
      </c>
      <c r="H72" s="10">
        <f>SUMIF(成品入库明细!$D$2:$D$500,$B72,成品入库明细!$G$2:$G$500)</f>
        <v>0</v>
      </c>
      <c r="I72" s="10">
        <f>SUMIF(成品出库明细!$D$2:$D$1172,$B72,成品出库明细!$G$2:$G$1172)</f>
        <v>0</v>
      </c>
      <c r="J72" s="10">
        <f t="shared" si="1"/>
        <v>3634</v>
      </c>
      <c r="K72" s="12" t="s">
        <v>488</v>
      </c>
      <c r="L72" s="10"/>
      <c r="M72" s="10"/>
      <c r="N72" s="10"/>
      <c r="O72" s="10"/>
      <c r="P72" s="10"/>
    </row>
    <row r="73" s="2" customFormat="1" ht="14.25" spans="1:16">
      <c r="A73" s="10">
        <v>73</v>
      </c>
      <c r="B73" s="10" t="s">
        <v>489</v>
      </c>
      <c r="C73" s="10" t="s">
        <v>490</v>
      </c>
      <c r="D73" s="12" t="s">
        <v>465</v>
      </c>
      <c r="E73" s="12" t="s">
        <v>334</v>
      </c>
      <c r="F73" s="10" t="s">
        <v>343</v>
      </c>
      <c r="G73" s="10">
        <f>SUMIF(成品月初库存!$C$3:$C$362,$B73,成品月初库存!$F$3:$F$362)</f>
        <v>0</v>
      </c>
      <c r="H73" s="10">
        <f>SUMIF(成品入库明细!$D$2:$D$500,$B73,成品入库明细!$G$2:$G$500)</f>
        <v>0</v>
      </c>
      <c r="I73" s="10">
        <f>SUMIF(成品出库明细!$D$2:$D$1172,$B73,成品出库明细!$G$2:$G$1172)</f>
        <v>0</v>
      </c>
      <c r="J73" s="10">
        <f t="shared" si="1"/>
        <v>0</v>
      </c>
      <c r="K73" s="12" t="s">
        <v>488</v>
      </c>
      <c r="L73" s="10"/>
      <c r="M73" s="10"/>
      <c r="N73" s="10"/>
      <c r="O73" s="10"/>
      <c r="P73" s="10"/>
    </row>
    <row r="74" s="2" customFormat="1" ht="14.25" spans="1:16">
      <c r="A74" s="10"/>
      <c r="B74" s="10" t="s">
        <v>30</v>
      </c>
      <c r="C74" s="10" t="s">
        <v>491</v>
      </c>
      <c r="D74" s="12" t="s">
        <v>465</v>
      </c>
      <c r="E74" s="12" t="s">
        <v>334</v>
      </c>
      <c r="F74" s="10" t="s">
        <v>343</v>
      </c>
      <c r="G74" s="10">
        <f>SUMIF(成品月初库存!$C$3:$C$362,$B74,成品月初库存!$F$3:$F$362)</f>
        <v>1630</v>
      </c>
      <c r="H74" s="10">
        <f>SUMIF(成品入库明细!$D$2:$D$500,$B74,成品入库明细!$G$2:$G$500)</f>
        <v>0</v>
      </c>
      <c r="I74" s="10">
        <f>SUMIF(成品出库明细!$D$2:$D$1172,$B74,成品出库明细!$G$2:$G$1172)</f>
        <v>0</v>
      </c>
      <c r="J74" s="10">
        <f t="shared" si="1"/>
        <v>1630</v>
      </c>
      <c r="K74" s="12" t="s">
        <v>488</v>
      </c>
      <c r="L74" s="10"/>
      <c r="M74" s="10"/>
      <c r="N74" s="10"/>
      <c r="O74" s="10"/>
      <c r="P74" s="10"/>
    </row>
    <row r="75" s="2" customFormat="1" ht="14.25" spans="1:16">
      <c r="A75" s="10">
        <v>74</v>
      </c>
      <c r="B75" s="10" t="s">
        <v>31</v>
      </c>
      <c r="C75" s="10" t="s">
        <v>32</v>
      </c>
      <c r="D75" s="12" t="s">
        <v>465</v>
      </c>
      <c r="E75" s="12" t="s">
        <v>334</v>
      </c>
      <c r="F75" s="10" t="s">
        <v>343</v>
      </c>
      <c r="G75" s="10">
        <f>SUMIF(成品月初库存!$C$3:$C$362,$B75,成品月初库存!$F$3:$F$362)</f>
        <v>639</v>
      </c>
      <c r="H75" s="10">
        <f>SUMIF(成品入库明细!$D$2:$D$500,$B75,成品入库明细!$G$2:$G$500)</f>
        <v>0</v>
      </c>
      <c r="I75" s="10">
        <f>SUMIF(成品出库明细!$D$2:$D$1172,$B75,成品出库明细!$G$2:$G$1172)</f>
        <v>0</v>
      </c>
      <c r="J75" s="10">
        <f t="shared" si="1"/>
        <v>639</v>
      </c>
      <c r="K75" s="12" t="s">
        <v>466</v>
      </c>
      <c r="L75" s="10"/>
      <c r="M75" s="10"/>
      <c r="N75" s="10"/>
      <c r="O75" s="10"/>
      <c r="P75" s="10"/>
    </row>
    <row r="76" s="2" customFormat="1" ht="15.75" spans="1:16">
      <c r="A76" s="10">
        <v>75</v>
      </c>
      <c r="B76" s="10" t="s">
        <v>492</v>
      </c>
      <c r="C76" s="13" t="s">
        <v>493</v>
      </c>
      <c r="D76" s="12" t="s">
        <v>465</v>
      </c>
      <c r="E76" s="12" t="s">
        <v>334</v>
      </c>
      <c r="F76" s="10" t="s">
        <v>343</v>
      </c>
      <c r="G76" s="10">
        <f>SUMIF(成品月初库存!$C$3:$C$362,$B76,成品月初库存!$F$3:$F$362)</f>
        <v>0</v>
      </c>
      <c r="H76" s="10">
        <f>SUMIF(成品入库明细!$D$2:$D$500,$B76,成品入库明细!$G$2:$G$500)</f>
        <v>0</v>
      </c>
      <c r="I76" s="10">
        <f>SUMIF(成品出库明细!$D$2:$D$1172,$B76,成品出库明细!$G$2:$G$1172)</f>
        <v>0</v>
      </c>
      <c r="J76" s="10">
        <f t="shared" si="1"/>
        <v>0</v>
      </c>
      <c r="K76" s="11" t="s">
        <v>494</v>
      </c>
      <c r="L76" s="10"/>
      <c r="M76" s="10"/>
      <c r="N76" s="10"/>
      <c r="O76" s="10"/>
      <c r="P76" s="10"/>
    </row>
    <row r="77" s="2" customFormat="1" ht="15.75" spans="1:16">
      <c r="A77" s="10">
        <v>76</v>
      </c>
      <c r="B77" s="10" t="s">
        <v>495</v>
      </c>
      <c r="C77" s="13" t="s">
        <v>496</v>
      </c>
      <c r="D77" s="12" t="s">
        <v>465</v>
      </c>
      <c r="E77" s="12" t="s">
        <v>334</v>
      </c>
      <c r="F77" s="10" t="s">
        <v>343</v>
      </c>
      <c r="G77" s="10">
        <f>SUMIF(成品月初库存!$C$3:$C$362,$B77,成品月初库存!$F$3:$F$362)</f>
        <v>0</v>
      </c>
      <c r="H77" s="10">
        <f>SUMIF(成品入库明细!$D$2:$D$500,$B77,成品入库明细!$G$2:$G$500)</f>
        <v>0</v>
      </c>
      <c r="I77" s="10">
        <f>SUMIF(成品出库明细!$D$2:$D$1172,$B77,成品出库明细!$G$2:$G$1172)</f>
        <v>0</v>
      </c>
      <c r="J77" s="10">
        <f t="shared" si="1"/>
        <v>0</v>
      </c>
      <c r="K77" s="11" t="s">
        <v>494</v>
      </c>
      <c r="L77" s="10"/>
      <c r="M77" s="10"/>
      <c r="N77" s="10"/>
      <c r="O77" s="10"/>
      <c r="P77" s="10"/>
    </row>
    <row r="78" s="2" customFormat="1" ht="15.75" spans="1:16">
      <c r="A78" s="10">
        <v>77</v>
      </c>
      <c r="B78" s="10" t="s">
        <v>497</v>
      </c>
      <c r="C78" s="10" t="s">
        <v>498</v>
      </c>
      <c r="D78" s="12" t="s">
        <v>465</v>
      </c>
      <c r="E78" s="12" t="s">
        <v>334</v>
      </c>
      <c r="F78" s="10" t="s">
        <v>343</v>
      </c>
      <c r="G78" s="10">
        <f>SUMIF(成品月初库存!$C$3:$C$362,$B78,成品月初库存!$F$3:$F$362)</f>
        <v>0</v>
      </c>
      <c r="H78" s="10">
        <f>SUMIF(成品入库明细!$D$2:$D$500,$B78,成品入库明细!$G$2:$G$500)</f>
        <v>0</v>
      </c>
      <c r="I78" s="10">
        <f>SUMIF(成品出库明细!$D$2:$D$1172,$B78,成品出库明细!$G$2:$G$1172)</f>
        <v>0</v>
      </c>
      <c r="J78" s="10">
        <f t="shared" si="1"/>
        <v>0</v>
      </c>
      <c r="K78" s="11" t="s">
        <v>499</v>
      </c>
      <c r="L78" s="10"/>
      <c r="M78" s="10"/>
      <c r="N78" s="10"/>
      <c r="O78" s="10"/>
      <c r="P78" s="10"/>
    </row>
    <row r="79" s="2" customFormat="1" ht="14.25" spans="1:16">
      <c r="A79" s="10">
        <v>78</v>
      </c>
      <c r="B79" s="10" t="s">
        <v>34</v>
      </c>
      <c r="C79" s="10" t="s">
        <v>500</v>
      </c>
      <c r="D79" s="12" t="s">
        <v>465</v>
      </c>
      <c r="E79" s="12" t="s">
        <v>334</v>
      </c>
      <c r="F79" s="10" t="s">
        <v>343</v>
      </c>
      <c r="G79" s="10">
        <f>SUMIF(成品月初库存!$C$3:$C$362,$B79,成品月初库存!$F$3:$F$362)</f>
        <v>167</v>
      </c>
      <c r="H79" s="10">
        <f>SUMIF(成品入库明细!$D$2:$D$500,$B79,成品入库明细!$G$2:$G$500)</f>
        <v>0</v>
      </c>
      <c r="I79" s="10">
        <f>SUMIF(成品出库明细!$D$2:$D$1172,$B79,成品出库明细!$G$2:$G$1172)</f>
        <v>0</v>
      </c>
      <c r="J79" s="10">
        <f t="shared" si="1"/>
        <v>167</v>
      </c>
      <c r="K79" s="12" t="s">
        <v>466</v>
      </c>
      <c r="L79" s="10"/>
      <c r="M79" s="10"/>
      <c r="N79" s="10"/>
      <c r="O79" s="10"/>
      <c r="P79" s="10"/>
    </row>
    <row r="80" s="2" customFormat="1" ht="14.25" spans="1:16">
      <c r="A80" s="10">
        <v>79</v>
      </c>
      <c r="B80" s="10" t="s">
        <v>35</v>
      </c>
      <c r="C80" s="10" t="s">
        <v>501</v>
      </c>
      <c r="D80" s="12" t="s">
        <v>465</v>
      </c>
      <c r="E80" s="12" t="s">
        <v>334</v>
      </c>
      <c r="F80" s="10" t="s">
        <v>343</v>
      </c>
      <c r="G80" s="10">
        <f>SUMIF(成品月初库存!$C$3:$C$362,$B80,成品月初库存!$F$3:$F$362)</f>
        <v>237</v>
      </c>
      <c r="H80" s="10">
        <f>SUMIF(成品入库明细!$D$2:$D$500,$B80,成品入库明细!$G$2:$G$500)</f>
        <v>0</v>
      </c>
      <c r="I80" s="10">
        <f>SUMIF(成品出库明细!$D$2:$D$1172,$B80,成品出库明细!$G$2:$G$1172)</f>
        <v>0</v>
      </c>
      <c r="J80" s="10">
        <f t="shared" si="1"/>
        <v>237</v>
      </c>
      <c r="K80" s="12" t="s">
        <v>344</v>
      </c>
      <c r="L80" s="10"/>
      <c r="M80" s="10"/>
      <c r="N80" s="10"/>
      <c r="O80" s="10"/>
      <c r="P80" s="10"/>
    </row>
    <row r="81" s="2" customFormat="1" ht="14.25" spans="1:16">
      <c r="A81" s="10">
        <v>80</v>
      </c>
      <c r="B81" s="10" t="s">
        <v>36</v>
      </c>
      <c r="C81" s="10" t="s">
        <v>502</v>
      </c>
      <c r="D81" s="12" t="s">
        <v>465</v>
      </c>
      <c r="E81" s="12" t="s">
        <v>334</v>
      </c>
      <c r="F81" s="10" t="s">
        <v>343</v>
      </c>
      <c r="G81" s="10">
        <f>SUMIF(成品月初库存!$C$3:$C$362,$B81,成品月初库存!$F$3:$F$362)</f>
        <v>530</v>
      </c>
      <c r="H81" s="10">
        <f>SUMIF(成品入库明细!$D$2:$D$500,$B81,成品入库明细!$G$2:$G$500)</f>
        <v>0</v>
      </c>
      <c r="I81" s="10">
        <f>SUMIF(成品出库明细!$D$2:$D$1172,$B81,成品出库明细!$G$2:$G$1172)</f>
        <v>0</v>
      </c>
      <c r="J81" s="10">
        <f t="shared" si="1"/>
        <v>530</v>
      </c>
      <c r="K81" s="12" t="s">
        <v>344</v>
      </c>
      <c r="L81" s="10"/>
      <c r="M81" s="10"/>
      <c r="N81" s="10"/>
      <c r="O81" s="10"/>
      <c r="P81" s="10"/>
    </row>
    <row r="82" s="2" customFormat="1" ht="14.25" spans="1:16">
      <c r="A82" s="10">
        <v>81</v>
      </c>
      <c r="B82" s="10" t="s">
        <v>37</v>
      </c>
      <c r="C82" s="10" t="s">
        <v>503</v>
      </c>
      <c r="D82" s="12" t="s">
        <v>465</v>
      </c>
      <c r="E82" s="12" t="s">
        <v>334</v>
      </c>
      <c r="F82" s="10" t="s">
        <v>343</v>
      </c>
      <c r="G82" s="10">
        <f>SUMIF(成品月初库存!$C$3:$C$362,$B82,成品月初库存!$F$3:$F$362)</f>
        <v>152</v>
      </c>
      <c r="H82" s="10">
        <f>SUMIF(成品入库明细!$D$2:$D$500,$B82,成品入库明细!$G$2:$G$500)</f>
        <v>0</v>
      </c>
      <c r="I82" s="10">
        <f>SUMIF(成品出库明细!$D$2:$D$1172,$B82,成品出库明细!$G$2:$G$1172)</f>
        <v>3</v>
      </c>
      <c r="J82" s="10">
        <f t="shared" si="1"/>
        <v>149</v>
      </c>
      <c r="K82" s="14" t="s">
        <v>504</v>
      </c>
      <c r="L82" s="10"/>
      <c r="M82" s="10"/>
      <c r="N82" s="10"/>
      <c r="O82" s="10"/>
      <c r="P82" s="10"/>
    </row>
    <row r="83" s="2" customFormat="1" ht="14.25" spans="1:16">
      <c r="A83" s="10"/>
      <c r="B83" s="10" t="s">
        <v>38</v>
      </c>
      <c r="C83" s="10" t="s">
        <v>505</v>
      </c>
      <c r="D83" s="12" t="s">
        <v>465</v>
      </c>
      <c r="E83" s="12" t="s">
        <v>334</v>
      </c>
      <c r="F83" s="10" t="s">
        <v>343</v>
      </c>
      <c r="G83" s="10">
        <f>SUMIF(成品月初库存!$C$3:$C$362,$B83,成品月初库存!$F$3:$F$362)</f>
        <v>1676</v>
      </c>
      <c r="H83" s="10">
        <f>SUMIF(成品入库明细!$D$2:$D$500,$B83,成品入库明细!$G$2:$G$500)</f>
        <v>0</v>
      </c>
      <c r="I83" s="10">
        <f>SUMIF(成品出库明细!$D$2:$D$1172,$B83,成品出库明细!$G$2:$G$1172)</f>
        <v>0</v>
      </c>
      <c r="J83" s="10">
        <f t="shared" si="1"/>
        <v>1676</v>
      </c>
      <c r="K83" s="14" t="s">
        <v>488</v>
      </c>
      <c r="L83" s="10"/>
      <c r="M83" s="10"/>
      <c r="N83" s="10"/>
      <c r="O83" s="10"/>
      <c r="P83" s="10"/>
    </row>
    <row r="84" s="2" customFormat="1" ht="15.75" spans="1:16">
      <c r="A84" s="10"/>
      <c r="B84" s="10" t="s">
        <v>39</v>
      </c>
      <c r="C84" s="10" t="s">
        <v>506</v>
      </c>
      <c r="D84" s="12" t="s">
        <v>465</v>
      </c>
      <c r="E84" s="12" t="s">
        <v>334</v>
      </c>
      <c r="F84" s="10" t="s">
        <v>343</v>
      </c>
      <c r="G84" s="10">
        <f>SUMIF(成品月初库存!$C$3:$C$362,$B84,成品月初库存!$F$3:$F$362)</f>
        <v>194</v>
      </c>
      <c r="H84" s="10">
        <f>SUMIF(成品入库明细!$D$2:$D$500,$B84,成品入库明细!$G$2:$G$500)</f>
        <v>0</v>
      </c>
      <c r="I84" s="10">
        <f>SUMIF(成品出库明细!$D$2:$D$1172,$B84,成品出库明细!$G$2:$G$1172)</f>
        <v>0</v>
      </c>
      <c r="J84" s="10">
        <f t="shared" si="1"/>
        <v>194</v>
      </c>
      <c r="K84" s="16" t="s">
        <v>344</v>
      </c>
      <c r="L84" s="10"/>
      <c r="M84" s="10"/>
      <c r="N84" s="10"/>
      <c r="O84" s="10"/>
      <c r="P84" s="10"/>
    </row>
    <row r="85" s="2" customFormat="1" ht="15.75" spans="1:16">
      <c r="A85" s="10"/>
      <c r="B85" s="10" t="s">
        <v>288</v>
      </c>
      <c r="C85" s="10" t="s">
        <v>507</v>
      </c>
      <c r="D85" s="12" t="s">
        <v>465</v>
      </c>
      <c r="E85" s="12" t="s">
        <v>334</v>
      </c>
      <c r="F85" s="10" t="s">
        <v>343</v>
      </c>
      <c r="G85" s="10">
        <f>SUMIF(成品月初库存!$C$3:$C$362,$B85,成品月初库存!$F$3:$F$362)</f>
        <v>438</v>
      </c>
      <c r="H85" s="10">
        <f>SUMIF(成品入库明细!$D$2:$D$500,$B85,成品入库明细!$G$2:$G$500)</f>
        <v>0</v>
      </c>
      <c r="I85" s="10">
        <f>SUMIF(成品出库明细!$D$2:$D$1172,$B85,成品出库明细!$G$2:$G$1172)</f>
        <v>0</v>
      </c>
      <c r="J85" s="10">
        <f t="shared" si="1"/>
        <v>438</v>
      </c>
      <c r="K85" s="16" t="s">
        <v>344</v>
      </c>
      <c r="L85" s="10"/>
      <c r="M85" s="10"/>
      <c r="N85" s="10"/>
      <c r="O85" s="10"/>
      <c r="P85" s="10"/>
    </row>
    <row r="86" s="2" customFormat="1" ht="15.75" spans="1:16">
      <c r="A86" s="10"/>
      <c r="B86" s="10" t="s">
        <v>508</v>
      </c>
      <c r="C86" s="10" t="s">
        <v>509</v>
      </c>
      <c r="D86" s="12" t="s">
        <v>465</v>
      </c>
      <c r="E86" s="12" t="s">
        <v>334</v>
      </c>
      <c r="F86" s="10" t="s">
        <v>343</v>
      </c>
      <c r="G86" s="10">
        <f>SUMIF(成品月初库存!$C$3:$C$362,$B86,成品月初库存!$F$3:$F$362)</f>
        <v>0</v>
      </c>
      <c r="H86" s="10">
        <f>SUMIF(成品入库明细!$D$2:$D$500,$B86,成品入库明细!$G$2:$G$500)</f>
        <v>0</v>
      </c>
      <c r="I86" s="10">
        <f>SUMIF(成品出库明细!$D$2:$D$1172,$B86,成品出库明细!$G$2:$G$1172)</f>
        <v>0</v>
      </c>
      <c r="J86" s="10">
        <f t="shared" si="1"/>
        <v>0</v>
      </c>
      <c r="K86" s="16" t="s">
        <v>466</v>
      </c>
      <c r="L86" s="10"/>
      <c r="M86" s="10"/>
      <c r="N86" s="10"/>
      <c r="O86" s="10"/>
      <c r="P86" s="10"/>
    </row>
    <row r="87" s="2" customFormat="1" ht="15.75" spans="1:16">
      <c r="A87" s="10"/>
      <c r="B87" s="10" t="s">
        <v>40</v>
      </c>
      <c r="C87" s="10" t="s">
        <v>510</v>
      </c>
      <c r="D87" s="12" t="s">
        <v>465</v>
      </c>
      <c r="E87" s="12" t="s">
        <v>334</v>
      </c>
      <c r="F87" s="10" t="s">
        <v>343</v>
      </c>
      <c r="G87" s="10">
        <f>SUMIF(成品月初库存!$C$3:$C$362,$B87,成品月初库存!$F$3:$F$362)</f>
        <v>242</v>
      </c>
      <c r="H87" s="10">
        <f>SUMIF(成品入库明细!$D$2:$D$500,$B87,成品入库明细!$G$2:$G$500)</f>
        <v>0</v>
      </c>
      <c r="I87" s="10">
        <f>SUMIF(成品出库明细!$D$2:$D$1172,$B87,成品出库明细!$G$2:$G$1172)</f>
        <v>0</v>
      </c>
      <c r="J87" s="10">
        <f t="shared" si="1"/>
        <v>242</v>
      </c>
      <c r="K87" s="16" t="s">
        <v>466</v>
      </c>
      <c r="L87" s="10"/>
      <c r="M87" s="10"/>
      <c r="N87" s="10"/>
      <c r="O87" s="10"/>
      <c r="P87" s="10"/>
    </row>
    <row r="88" s="2" customFormat="1" ht="15.75" spans="1:16">
      <c r="A88" s="10"/>
      <c r="B88" s="10" t="s">
        <v>511</v>
      </c>
      <c r="C88" s="17" t="s">
        <v>512</v>
      </c>
      <c r="D88" s="12" t="s">
        <v>513</v>
      </c>
      <c r="E88" s="12" t="s">
        <v>334</v>
      </c>
      <c r="F88" s="10" t="s">
        <v>343</v>
      </c>
      <c r="G88" s="10">
        <f>SUMIF(成品月初库存!$C$3:$C$362,$B88,成品月初库存!$F$3:$F$362)</f>
        <v>0</v>
      </c>
      <c r="H88" s="10">
        <f>SUMIF(成品入库明细!$D$2:$D$500,$B88,成品入库明细!$G$2:$G$500)</f>
        <v>0</v>
      </c>
      <c r="I88" s="10">
        <f>SUMIF(成品出库明细!$D$2:$D$1172,$B88,成品出库明细!$G$2:$G$1172)</f>
        <v>0</v>
      </c>
      <c r="J88" s="10">
        <f t="shared" si="1"/>
        <v>0</v>
      </c>
      <c r="K88" s="16" t="s">
        <v>514</v>
      </c>
      <c r="L88" s="10"/>
      <c r="M88" s="10"/>
      <c r="N88" s="10"/>
      <c r="O88" s="10"/>
      <c r="P88" s="10"/>
    </row>
    <row r="89" s="2" customFormat="1" ht="15.75" spans="1:16">
      <c r="A89" s="10"/>
      <c r="B89" s="10" t="s">
        <v>515</v>
      </c>
      <c r="C89" s="18" t="s">
        <v>516</v>
      </c>
      <c r="D89" s="12" t="s">
        <v>517</v>
      </c>
      <c r="E89" s="12" t="s">
        <v>334</v>
      </c>
      <c r="F89" s="10" t="s">
        <v>343</v>
      </c>
      <c r="G89" s="10">
        <f>SUMIF(成品月初库存!$C$3:$C$362,$B89,成品月初库存!$F$3:$F$362)</f>
        <v>0</v>
      </c>
      <c r="H89" s="10">
        <f>SUMIF(成品入库明细!$D$2:$D$500,$B89,成品入库明细!$G$2:$G$500)</f>
        <v>0</v>
      </c>
      <c r="I89" s="10">
        <f>SUMIF(成品出库明细!$D$2:$D$1172,$B89,成品出库明细!$G$2:$G$1172)</f>
        <v>0</v>
      </c>
      <c r="J89" s="10">
        <f t="shared" si="1"/>
        <v>0</v>
      </c>
      <c r="K89" s="19" t="s">
        <v>518</v>
      </c>
      <c r="L89" s="10"/>
      <c r="M89" s="10"/>
      <c r="N89" s="10"/>
      <c r="O89" s="10"/>
      <c r="P89" s="10"/>
    </row>
    <row r="90" s="2" customFormat="1" ht="15.75" spans="1:16">
      <c r="A90" s="10"/>
      <c r="B90" s="10" t="s">
        <v>41</v>
      </c>
      <c r="C90" s="18" t="s">
        <v>519</v>
      </c>
      <c r="D90" s="12" t="s">
        <v>520</v>
      </c>
      <c r="E90" s="12" t="s">
        <v>334</v>
      </c>
      <c r="F90" s="10" t="s">
        <v>343</v>
      </c>
      <c r="G90" s="10">
        <f>SUMIF(成品月初库存!$C$3:$C$362,$B90,成品月初库存!$F$3:$F$362)</f>
        <v>1836</v>
      </c>
      <c r="H90" s="10">
        <f>SUMIF(成品入库明细!$D$2:$D$500,$B90,成品入库明细!$G$2:$G$500)</f>
        <v>0</v>
      </c>
      <c r="I90" s="10">
        <f>SUMIF(成品出库明细!$D$2:$D$1172,$B90,成品出库明细!$G$2:$G$1172)</f>
        <v>0</v>
      </c>
      <c r="J90" s="10">
        <f t="shared" si="1"/>
        <v>1836</v>
      </c>
      <c r="K90" s="20" t="s">
        <v>370</v>
      </c>
      <c r="L90" s="10"/>
      <c r="M90" s="10"/>
      <c r="N90" s="10"/>
      <c r="O90" s="10"/>
      <c r="P90" s="10"/>
    </row>
    <row r="91" s="2" customFormat="1" ht="15.75" spans="1:16">
      <c r="A91" s="10"/>
      <c r="B91" s="10" t="s">
        <v>43</v>
      </c>
      <c r="C91" s="18" t="s">
        <v>521</v>
      </c>
      <c r="D91" s="12" t="s">
        <v>520</v>
      </c>
      <c r="E91" s="12" t="s">
        <v>334</v>
      </c>
      <c r="F91" s="10" t="s">
        <v>343</v>
      </c>
      <c r="G91" s="10">
        <f>SUMIF(成品月初库存!$C$3:$C$362,$B91,成品月初库存!$F$3:$F$362)</f>
        <v>3102</v>
      </c>
      <c r="H91" s="10">
        <f>SUMIF(成品入库明细!$D$2:$D$500,$B91,成品入库明细!$G$2:$G$500)</f>
        <v>0</v>
      </c>
      <c r="I91" s="10">
        <f>SUMIF(成品出库明细!$D$2:$D$1172,$B91,成品出库明细!$G$2:$G$1172)</f>
        <v>0</v>
      </c>
      <c r="J91" s="10">
        <f t="shared" si="1"/>
        <v>3102</v>
      </c>
      <c r="K91" s="20" t="s">
        <v>504</v>
      </c>
      <c r="L91" s="10"/>
      <c r="M91" s="10"/>
      <c r="N91" s="10"/>
      <c r="O91" s="10"/>
      <c r="P91" s="10"/>
    </row>
    <row r="92" s="2" customFormat="1" ht="15.75" spans="1:16">
      <c r="A92" s="10"/>
      <c r="B92" s="10" t="s">
        <v>522</v>
      </c>
      <c r="C92" s="18" t="s">
        <v>523</v>
      </c>
      <c r="D92" s="12" t="s">
        <v>520</v>
      </c>
      <c r="E92" s="12" t="s">
        <v>334</v>
      </c>
      <c r="F92" s="10" t="s">
        <v>343</v>
      </c>
      <c r="G92" s="10">
        <f>SUMIF(成品月初库存!$C$3:$C$362,$B92,成品月初库存!$F$3:$F$362)</f>
        <v>0</v>
      </c>
      <c r="H92" s="10">
        <f>SUMIF(成品入库明细!$D$2:$D$500,$B92,成品入库明细!$G$2:$G$500)</f>
        <v>0</v>
      </c>
      <c r="I92" s="10">
        <f>SUMIF(成品出库明细!$D$2:$D$1172,$B92,成品出库明细!$G$2:$G$1172)</f>
        <v>0</v>
      </c>
      <c r="J92" s="10">
        <f t="shared" si="1"/>
        <v>0</v>
      </c>
      <c r="K92" s="20"/>
      <c r="L92" s="10"/>
      <c r="M92" s="10"/>
      <c r="N92" s="10"/>
      <c r="O92" s="10"/>
      <c r="P92" s="10"/>
    </row>
    <row r="93" s="2" customFormat="1" ht="15.75" spans="1:16">
      <c r="A93" s="10"/>
      <c r="B93" s="10" t="s">
        <v>524</v>
      </c>
      <c r="C93" s="18" t="s">
        <v>525</v>
      </c>
      <c r="D93" s="12" t="s">
        <v>513</v>
      </c>
      <c r="E93" s="12" t="s">
        <v>334</v>
      </c>
      <c r="F93" s="10" t="s">
        <v>343</v>
      </c>
      <c r="G93" s="10">
        <f>SUMIF(成品月初库存!$C$3:$C$362,$B93,成品月初库存!$F$3:$F$362)</f>
        <v>0</v>
      </c>
      <c r="H93" s="10">
        <f>SUMIF(成品入库明细!$D$2:$D$500,$B93,成品入库明细!$G$2:$G$500)</f>
        <v>0</v>
      </c>
      <c r="I93" s="10">
        <f>SUMIF(成品出库明细!$D$2:$D$1172,$B93,成品出库明细!$G$2:$G$1172)</f>
        <v>0</v>
      </c>
      <c r="J93" s="10">
        <f t="shared" ref="J93:J132" si="2">G93+H93-I93</f>
        <v>0</v>
      </c>
      <c r="K93" s="16" t="s">
        <v>514</v>
      </c>
      <c r="L93" s="10"/>
      <c r="M93" s="10"/>
      <c r="N93" s="10"/>
      <c r="O93" s="10"/>
      <c r="P93" s="10"/>
    </row>
    <row r="94" s="2" customFormat="1" ht="15.75" spans="1:16">
      <c r="A94" s="10"/>
      <c r="B94" s="10" t="s">
        <v>526</v>
      </c>
      <c r="C94" s="18" t="s">
        <v>527</v>
      </c>
      <c r="D94" s="12" t="s">
        <v>513</v>
      </c>
      <c r="E94" s="12" t="s">
        <v>334</v>
      </c>
      <c r="F94" s="10" t="s">
        <v>343</v>
      </c>
      <c r="G94" s="10">
        <f>SUMIF(成品月初库存!$C$3:$C$362,$B94,成品月初库存!$F$3:$F$362)</f>
        <v>0</v>
      </c>
      <c r="H94" s="10">
        <f>SUMIF(成品入库明细!$D$2:$D$500,$B94,成品入库明细!$G$2:$G$500)</f>
        <v>0</v>
      </c>
      <c r="I94" s="10">
        <f>SUMIF(成品出库明细!$D$2:$D$1172,$B94,成品出库明细!$G$2:$G$1172)</f>
        <v>0</v>
      </c>
      <c r="J94" s="10">
        <f t="shared" si="2"/>
        <v>0</v>
      </c>
      <c r="K94" s="19" t="s">
        <v>528</v>
      </c>
      <c r="L94" s="10"/>
      <c r="M94" s="10"/>
      <c r="N94" s="10"/>
      <c r="O94" s="10"/>
      <c r="P94" s="10"/>
    </row>
    <row r="95" s="2" customFormat="1" ht="15.75" spans="1:16">
      <c r="A95" s="10"/>
      <c r="B95" s="10" t="s">
        <v>46</v>
      </c>
      <c r="C95" s="18" t="s">
        <v>529</v>
      </c>
      <c r="D95" s="12" t="s">
        <v>513</v>
      </c>
      <c r="E95" s="12" t="s">
        <v>334</v>
      </c>
      <c r="F95" s="10" t="s">
        <v>343</v>
      </c>
      <c r="G95" s="10">
        <f>SUMIF(成品月初库存!$C$3:$C$362,$B95,成品月初库存!$F$3:$F$362)</f>
        <v>362</v>
      </c>
      <c r="H95" s="10">
        <f>SUMIF(成品入库明细!$D$2:$D$500,$B95,成品入库明细!$G$2:$G$500)</f>
        <v>0</v>
      </c>
      <c r="I95" s="10">
        <f>SUMIF(成品出库明细!$D$2:$D$1172,$B95,成品出库明细!$G$2:$G$1172)</f>
        <v>0</v>
      </c>
      <c r="J95" s="10">
        <f t="shared" si="2"/>
        <v>362</v>
      </c>
      <c r="K95" s="19" t="s">
        <v>528</v>
      </c>
      <c r="L95" s="10"/>
      <c r="M95" s="10"/>
      <c r="N95" s="10"/>
      <c r="O95" s="10"/>
      <c r="P95" s="10"/>
    </row>
    <row r="96" s="2" customFormat="1" ht="15.75" spans="1:16">
      <c r="A96" s="10"/>
      <c r="B96" s="4" t="s">
        <v>530</v>
      </c>
      <c r="C96" s="18" t="s">
        <v>531</v>
      </c>
      <c r="D96" s="21" t="s">
        <v>513</v>
      </c>
      <c r="E96" s="21" t="s">
        <v>334</v>
      </c>
      <c r="F96" s="4" t="s">
        <v>343</v>
      </c>
      <c r="G96" s="4">
        <f>SUMIF(成品月初库存!$C$3:$C$362,$B96,成品月初库存!$F$3:$F$362)</f>
        <v>0</v>
      </c>
      <c r="H96" s="4">
        <f>SUMIF(成品入库明细!$D$2:$D$500,$B96,成品入库明细!$G$2:$G$500)</f>
        <v>0</v>
      </c>
      <c r="I96" s="4">
        <f>SUMIF(成品出库明细!$D$2:$D$1172,$B96,成品出库明细!$G$2:$G$1172)</f>
        <v>0</v>
      </c>
      <c r="J96" s="4">
        <f t="shared" si="2"/>
        <v>0</v>
      </c>
      <c r="K96" s="19" t="s">
        <v>528</v>
      </c>
      <c r="L96" s="4"/>
      <c r="M96" s="4"/>
      <c r="N96" s="4"/>
      <c r="O96" s="4"/>
      <c r="P96" s="4"/>
    </row>
    <row r="97" s="2" customFormat="1" ht="15.75" spans="1:16">
      <c r="A97" s="10"/>
      <c r="B97" s="10" t="s">
        <v>47</v>
      </c>
      <c r="C97" s="18" t="s">
        <v>532</v>
      </c>
      <c r="D97" s="12" t="s">
        <v>533</v>
      </c>
      <c r="E97" s="12" t="s">
        <v>334</v>
      </c>
      <c r="F97" s="10" t="s">
        <v>343</v>
      </c>
      <c r="G97" s="10">
        <f>SUMIF(成品月初库存!$C$3:$C$362,$B97,成品月初库存!$F$3:$F$362)</f>
        <v>113</v>
      </c>
      <c r="H97" s="10">
        <f>SUMIF(成品入库明细!$D$2:$D$500,$B97,成品入库明细!$G$2:$G$500)</f>
        <v>0</v>
      </c>
      <c r="I97" s="10">
        <f>SUMIF(成品出库明细!$D$2:$D$1172,$B97,成品出库明细!$G$2:$G$1172)</f>
        <v>0</v>
      </c>
      <c r="J97" s="10">
        <f t="shared" si="2"/>
        <v>113</v>
      </c>
      <c r="K97" s="20" t="s">
        <v>466</v>
      </c>
      <c r="L97" s="10"/>
      <c r="M97" s="10"/>
      <c r="N97" s="10"/>
      <c r="O97" s="10"/>
      <c r="P97" s="10"/>
    </row>
    <row r="98" s="2" customFormat="1" ht="15.75" spans="1:16">
      <c r="A98" s="10"/>
      <c r="B98" s="10" t="s">
        <v>48</v>
      </c>
      <c r="C98" s="18" t="s">
        <v>534</v>
      </c>
      <c r="D98" s="12" t="s">
        <v>465</v>
      </c>
      <c r="E98" s="12" t="s">
        <v>334</v>
      </c>
      <c r="F98" s="10" t="s">
        <v>343</v>
      </c>
      <c r="G98" s="10">
        <f>SUMIF(成品月初库存!$C$3:$C$362,$B98,成品月初库存!$F$3:$F$362)</f>
        <v>4312</v>
      </c>
      <c r="H98" s="10">
        <f>SUMIF(成品入库明细!$D$2:$D$500,$B98,成品入库明细!$G$2:$G$500)</f>
        <v>0</v>
      </c>
      <c r="I98" s="10">
        <f>SUMIF(成品出库明细!$D$2:$D$1172,$B98,成品出库明细!$G$2:$G$1172)</f>
        <v>0</v>
      </c>
      <c r="J98" s="10">
        <f t="shared" si="2"/>
        <v>4312</v>
      </c>
      <c r="K98" s="20" t="s">
        <v>504</v>
      </c>
      <c r="L98" s="10"/>
      <c r="M98" s="10"/>
      <c r="N98" s="10"/>
      <c r="O98" s="10"/>
      <c r="P98" s="10"/>
    </row>
    <row r="99" s="2" customFormat="1" ht="15.75" spans="1:16">
      <c r="A99" s="10"/>
      <c r="B99" s="10" t="s">
        <v>49</v>
      </c>
      <c r="C99" s="18" t="s">
        <v>535</v>
      </c>
      <c r="D99" s="12" t="s">
        <v>465</v>
      </c>
      <c r="E99" s="12" t="s">
        <v>334</v>
      </c>
      <c r="F99" s="10" t="s">
        <v>343</v>
      </c>
      <c r="G99" s="10">
        <f>SUMIF(成品月初库存!$C$3:$C$362,$B99,成品月初库存!$F$3:$F$362)</f>
        <v>1768</v>
      </c>
      <c r="H99" s="10">
        <f>SUMIF(成品入库明细!$D$2:$D$500,$B99,成品入库明细!$G$2:$G$500)</f>
        <v>0</v>
      </c>
      <c r="I99" s="10">
        <f>SUMIF(成品出库明细!$D$2:$D$1172,$B99,成品出库明细!$G$2:$G$1172)</f>
        <v>0</v>
      </c>
      <c r="J99" s="10">
        <f t="shared" si="2"/>
        <v>1768</v>
      </c>
      <c r="K99" s="20" t="s">
        <v>504</v>
      </c>
      <c r="L99" s="10"/>
      <c r="M99" s="10"/>
      <c r="N99" s="10"/>
      <c r="O99" s="10"/>
      <c r="P99" s="10"/>
    </row>
    <row r="100" s="2" customFormat="1" ht="15.75" spans="1:16">
      <c r="A100" s="10"/>
      <c r="B100" s="10" t="s">
        <v>50</v>
      </c>
      <c r="C100" s="18" t="s">
        <v>536</v>
      </c>
      <c r="D100" s="12" t="s">
        <v>465</v>
      </c>
      <c r="E100" s="12" t="s">
        <v>334</v>
      </c>
      <c r="F100" s="10" t="s">
        <v>343</v>
      </c>
      <c r="G100" s="10">
        <f>SUMIF(成品月初库存!$C$3:$C$362,$B100,成品月初库存!$F$3:$F$362)</f>
        <v>1394</v>
      </c>
      <c r="H100" s="10">
        <f>SUMIF(成品入库明细!$D$2:$D$500,$B100,成品入库明细!$G$2:$G$500)</f>
        <v>0</v>
      </c>
      <c r="I100" s="10">
        <f>SUMIF(成品出库明细!$D$2:$D$1172,$B100,成品出库明细!$G$2:$G$1172)</f>
        <v>0</v>
      </c>
      <c r="J100" s="10">
        <f t="shared" si="2"/>
        <v>1394</v>
      </c>
      <c r="K100" s="20" t="s">
        <v>504</v>
      </c>
      <c r="L100" s="10"/>
      <c r="M100" s="10"/>
      <c r="N100" s="10"/>
      <c r="O100" s="10"/>
      <c r="P100" s="10"/>
    </row>
    <row r="101" s="2" customFormat="1" ht="15.75" spans="1:16">
      <c r="A101" s="10"/>
      <c r="B101" s="10" t="s">
        <v>289</v>
      </c>
      <c r="C101" s="18" t="s">
        <v>537</v>
      </c>
      <c r="D101" s="12" t="s">
        <v>465</v>
      </c>
      <c r="E101" s="12" t="s">
        <v>334</v>
      </c>
      <c r="F101" s="10" t="s">
        <v>343</v>
      </c>
      <c r="G101" s="10">
        <f>SUMIF(成品月初库存!$C$3:$C$362,$B101,成品月初库存!$F$3:$F$362)</f>
        <v>199</v>
      </c>
      <c r="H101" s="10">
        <f>SUMIF(成品入库明细!$D$2:$D$500,$B101,成品入库明细!$G$2:$G$500)</f>
        <v>0</v>
      </c>
      <c r="I101" s="10">
        <f>SUMIF(成品出库明细!$D$2:$D$1172,$B101,成品出库明细!$G$2:$G$1172)</f>
        <v>0</v>
      </c>
      <c r="J101" s="10">
        <f t="shared" si="2"/>
        <v>199</v>
      </c>
      <c r="K101" s="20" t="s">
        <v>538</v>
      </c>
      <c r="L101" s="10"/>
      <c r="M101" s="10"/>
      <c r="N101" s="10"/>
      <c r="O101" s="10"/>
      <c r="P101" s="10"/>
    </row>
    <row r="102" s="2" customFormat="1" ht="15.75" spans="1:16">
      <c r="A102" s="10"/>
      <c r="B102" s="10" t="s">
        <v>51</v>
      </c>
      <c r="C102" s="18" t="s">
        <v>539</v>
      </c>
      <c r="D102" s="12" t="s">
        <v>465</v>
      </c>
      <c r="E102" s="12" t="s">
        <v>334</v>
      </c>
      <c r="F102" s="10" t="s">
        <v>343</v>
      </c>
      <c r="G102" s="10">
        <f>SUMIF(成品月初库存!$C$3:$C$362,$B102,成品月初库存!$F$3:$F$362)</f>
        <v>376</v>
      </c>
      <c r="H102" s="10">
        <f>SUMIF(成品入库明细!$D$2:$D$500,$B102,成品入库明细!$G$2:$G$500)</f>
        <v>0</v>
      </c>
      <c r="I102" s="10">
        <f>SUMIF(成品出库明细!$D$2:$D$1172,$B102,成品出库明细!$G$2:$G$1172)</f>
        <v>0</v>
      </c>
      <c r="J102" s="10">
        <f t="shared" si="2"/>
        <v>376</v>
      </c>
      <c r="K102" s="20" t="s">
        <v>504</v>
      </c>
      <c r="L102" s="10"/>
      <c r="M102" s="10"/>
      <c r="N102" s="10"/>
      <c r="O102" s="10"/>
      <c r="P102" s="10"/>
    </row>
    <row r="103" s="2" customFormat="1" ht="15.75" spans="1:16">
      <c r="A103" s="10"/>
      <c r="B103" s="10" t="s">
        <v>52</v>
      </c>
      <c r="C103" s="17" t="s">
        <v>540</v>
      </c>
      <c r="D103" s="12" t="s">
        <v>465</v>
      </c>
      <c r="E103" s="12" t="s">
        <v>334</v>
      </c>
      <c r="F103" s="10" t="s">
        <v>343</v>
      </c>
      <c r="G103" s="10">
        <f>SUMIF(成品月初库存!$C$3:$C$362,$B103,成品月初库存!$F$3:$F$362)</f>
        <v>4759</v>
      </c>
      <c r="H103" s="10">
        <f>SUMIF(成品入库明细!$D$2:$D$500,$B103,成品入库明细!$G$2:$G$500)</f>
        <v>0</v>
      </c>
      <c r="I103" s="10">
        <f>SUMIF(成品出库明细!$D$2:$D$1172,$B103,成品出库明细!$G$2:$G$1172)</f>
        <v>0</v>
      </c>
      <c r="J103" s="10">
        <f t="shared" si="2"/>
        <v>4759</v>
      </c>
      <c r="K103" s="20" t="s">
        <v>504</v>
      </c>
      <c r="L103" s="10"/>
      <c r="M103" s="10"/>
      <c r="N103" s="10"/>
      <c r="O103" s="10"/>
      <c r="P103" s="10"/>
    </row>
    <row r="104" s="2" customFormat="1" ht="15.75" spans="1:16">
      <c r="A104" s="10"/>
      <c r="B104" s="10" t="s">
        <v>54</v>
      </c>
      <c r="C104" s="17" t="s">
        <v>541</v>
      </c>
      <c r="D104" s="12" t="s">
        <v>465</v>
      </c>
      <c r="E104" s="12" t="s">
        <v>334</v>
      </c>
      <c r="F104" s="10" t="s">
        <v>343</v>
      </c>
      <c r="G104" s="10">
        <f>SUMIF(成品月初库存!$C$3:$C$362,$B104,成品月初库存!$F$3:$F$362)</f>
        <v>5757</v>
      </c>
      <c r="H104" s="10">
        <f>SUMIF(成品入库明细!$D$2:$D$500,$B104,成品入库明细!$G$2:$G$500)</f>
        <v>0</v>
      </c>
      <c r="I104" s="10">
        <f>SUMIF(成品出库明细!$D$2:$D$1172,$B104,成品出库明细!$G$2:$G$1172)</f>
        <v>0</v>
      </c>
      <c r="J104" s="10">
        <f t="shared" si="2"/>
        <v>5757</v>
      </c>
      <c r="K104" s="20" t="s">
        <v>542</v>
      </c>
      <c r="L104" s="10"/>
      <c r="M104" s="10"/>
      <c r="N104" s="10"/>
      <c r="O104" s="10"/>
      <c r="P104" s="10"/>
    </row>
    <row r="105" s="2" customFormat="1" ht="15.75" spans="1:16">
      <c r="A105" s="10">
        <v>82</v>
      </c>
      <c r="B105" s="10" t="s">
        <v>543</v>
      </c>
      <c r="C105" s="11" t="s">
        <v>544</v>
      </c>
      <c r="D105" s="12" t="s">
        <v>545</v>
      </c>
      <c r="E105" s="12" t="s">
        <v>334</v>
      </c>
      <c r="F105" s="10" t="s">
        <v>343</v>
      </c>
      <c r="G105" s="10">
        <f>SUMIF(成品月初库存!$C$3:$C$362,$B105,成品月初库存!$F$3:$F$362)</f>
        <v>0</v>
      </c>
      <c r="H105" s="10">
        <f>SUMIF(成品入库明细!$D$2:$D$500,$B105,成品入库明细!$G$2:$G$500)</f>
        <v>0</v>
      </c>
      <c r="I105" s="10">
        <f>SUMIF(成品出库明细!$D$2:$D$1172,$B105,成品出库明细!$G$2:$G$1172)</f>
        <v>0</v>
      </c>
      <c r="J105" s="10">
        <f t="shared" si="2"/>
        <v>0</v>
      </c>
      <c r="K105" s="12" t="s">
        <v>370</v>
      </c>
      <c r="L105" s="10"/>
      <c r="M105" s="10"/>
      <c r="N105" s="10"/>
      <c r="O105" s="10"/>
      <c r="P105" s="10"/>
    </row>
    <row r="106" s="2" customFormat="1" ht="15.75" spans="1:16">
      <c r="A106" s="10">
        <v>83</v>
      </c>
      <c r="B106" s="10" t="s">
        <v>546</v>
      </c>
      <c r="C106" s="11" t="s">
        <v>547</v>
      </c>
      <c r="D106" s="12" t="s">
        <v>545</v>
      </c>
      <c r="E106" s="12" t="s">
        <v>334</v>
      </c>
      <c r="F106" s="10" t="s">
        <v>343</v>
      </c>
      <c r="G106" s="10">
        <f>SUMIF(成品月初库存!$C$3:$C$362,$B106,成品月初库存!$F$3:$F$362)</f>
        <v>0</v>
      </c>
      <c r="H106" s="10">
        <f>SUMIF(成品入库明细!$D$2:$D$500,$B106,成品入库明细!$G$2:$G$500)</f>
        <v>0</v>
      </c>
      <c r="I106" s="10">
        <f>SUMIF(成品出库明细!$D$2:$D$1172,$B106,成品出库明细!$G$2:$G$1172)</f>
        <v>0</v>
      </c>
      <c r="J106" s="10">
        <f t="shared" si="2"/>
        <v>0</v>
      </c>
      <c r="K106" s="12" t="s">
        <v>370</v>
      </c>
      <c r="L106" s="10"/>
      <c r="M106" s="10"/>
      <c r="N106" s="10"/>
      <c r="O106" s="10"/>
      <c r="P106" s="10"/>
    </row>
    <row r="107" s="2" customFormat="1" ht="14.25" spans="1:16">
      <c r="A107" s="10">
        <v>84</v>
      </c>
      <c r="B107" s="10" t="s">
        <v>548</v>
      </c>
      <c r="C107" s="12" t="s">
        <v>549</v>
      </c>
      <c r="D107" s="12" t="s">
        <v>550</v>
      </c>
      <c r="E107" s="12" t="s">
        <v>334</v>
      </c>
      <c r="F107" s="10" t="s">
        <v>343</v>
      </c>
      <c r="G107" s="10">
        <f>SUMIF(成品月初库存!$C$3:$C$362,$B107,成品月初库存!$F$3:$F$362)</f>
        <v>0</v>
      </c>
      <c r="H107" s="10">
        <f>SUMIF(成品入库明细!$D$2:$D$500,$B107,成品入库明细!$G$2:$G$500)</f>
        <v>0</v>
      </c>
      <c r="I107" s="10">
        <f>SUMIF(成品出库明细!$D$2:$D$1172,$B107,成品出库明细!$G$2:$G$1172)</f>
        <v>0</v>
      </c>
      <c r="J107" s="10">
        <f t="shared" si="2"/>
        <v>0</v>
      </c>
      <c r="K107" s="12" t="s">
        <v>370</v>
      </c>
      <c r="L107" s="10"/>
      <c r="M107" s="10"/>
      <c r="N107" s="10"/>
      <c r="O107" s="10"/>
      <c r="P107" s="10"/>
    </row>
    <row r="108" s="2" customFormat="1" ht="14.25" spans="1:16">
      <c r="A108" s="10">
        <v>85</v>
      </c>
      <c r="B108" s="10" t="s">
        <v>551</v>
      </c>
      <c r="C108" s="10" t="s">
        <v>552</v>
      </c>
      <c r="D108" s="12" t="s">
        <v>553</v>
      </c>
      <c r="E108" s="12" t="s">
        <v>334</v>
      </c>
      <c r="F108" s="10" t="s">
        <v>343</v>
      </c>
      <c r="G108" s="10">
        <f>SUMIF(成品月初库存!$C$3:$C$362,$B108,成品月初库存!$F$3:$F$362)</f>
        <v>0</v>
      </c>
      <c r="H108" s="10">
        <f>SUMIF(成品入库明细!$D$2:$D$500,$B108,成品入库明细!$G$2:$G$500)</f>
        <v>0</v>
      </c>
      <c r="I108" s="10">
        <f>SUMIF(成品出库明细!$D$2:$D$1172,$B108,成品出库明细!$G$2:$G$1172)</f>
        <v>0</v>
      </c>
      <c r="J108" s="10">
        <f t="shared" si="2"/>
        <v>0</v>
      </c>
      <c r="K108" s="12" t="s">
        <v>300</v>
      </c>
      <c r="L108" s="10"/>
      <c r="M108" s="10"/>
      <c r="N108" s="10"/>
      <c r="O108" s="10"/>
      <c r="P108" s="10"/>
    </row>
    <row r="109" s="2" customFormat="1" ht="14.25" spans="1:16">
      <c r="A109" s="10">
        <v>86</v>
      </c>
      <c r="B109" s="10" t="s">
        <v>554</v>
      </c>
      <c r="C109" s="10" t="s">
        <v>555</v>
      </c>
      <c r="D109" s="12" t="s">
        <v>556</v>
      </c>
      <c r="E109" s="12" t="s">
        <v>334</v>
      </c>
      <c r="F109" s="10" t="s">
        <v>343</v>
      </c>
      <c r="G109" s="10">
        <f>SUMIF(成品月初库存!$C$3:$C$362,$B109,成品月初库存!$F$3:$F$362)</f>
        <v>0</v>
      </c>
      <c r="H109" s="10">
        <f>SUMIF(成品入库明细!$D$2:$D$500,$B109,成品入库明细!$G$2:$G$500)</f>
        <v>0</v>
      </c>
      <c r="I109" s="10">
        <f>SUMIF(成品出库明细!$D$2:$D$1172,$B109,成品出库明细!$G$2:$G$1172)</f>
        <v>0</v>
      </c>
      <c r="J109" s="10">
        <f t="shared" si="2"/>
        <v>0</v>
      </c>
      <c r="K109" s="12" t="s">
        <v>466</v>
      </c>
      <c r="L109" s="10"/>
      <c r="M109" s="10"/>
      <c r="N109" s="10"/>
      <c r="O109" s="10"/>
      <c r="P109" s="10"/>
    </row>
    <row r="110" s="2" customFormat="1" ht="14.25" spans="1:16">
      <c r="A110" s="10">
        <v>87</v>
      </c>
      <c r="B110" s="10" t="s">
        <v>557</v>
      </c>
      <c r="C110" s="10" t="s">
        <v>558</v>
      </c>
      <c r="D110" s="12" t="s">
        <v>556</v>
      </c>
      <c r="E110" s="12" t="s">
        <v>334</v>
      </c>
      <c r="F110" s="10" t="s">
        <v>343</v>
      </c>
      <c r="G110" s="10">
        <f>SUMIF(成品月初库存!$C$3:$C$362,$B110,成品月初库存!$F$3:$F$362)</f>
        <v>0</v>
      </c>
      <c r="H110" s="10">
        <f>SUMIF(成品入库明细!$D$2:$D$500,$B110,成品入库明细!$G$2:$G$500)</f>
        <v>0</v>
      </c>
      <c r="I110" s="10">
        <f>SUMIF(成品出库明细!$D$2:$D$1172,$B110,成品出库明细!$G$2:$G$1172)</f>
        <v>0</v>
      </c>
      <c r="J110" s="10">
        <f t="shared" si="2"/>
        <v>0</v>
      </c>
      <c r="K110" s="12" t="s">
        <v>466</v>
      </c>
      <c r="L110" s="10"/>
      <c r="M110" s="10"/>
      <c r="N110" s="10"/>
      <c r="O110" s="10"/>
      <c r="P110" s="10"/>
    </row>
    <row r="111" s="2" customFormat="1" ht="14.25" spans="1:16">
      <c r="A111" s="10">
        <v>88</v>
      </c>
      <c r="B111" s="10" t="s">
        <v>559</v>
      </c>
      <c r="C111" s="10" t="s">
        <v>560</v>
      </c>
      <c r="D111" s="12" t="s">
        <v>556</v>
      </c>
      <c r="E111" s="12" t="s">
        <v>334</v>
      </c>
      <c r="F111" s="10" t="s">
        <v>343</v>
      </c>
      <c r="G111" s="10">
        <f>SUMIF(成品月初库存!$C$3:$C$362,$B111,成品月初库存!$F$3:$F$362)</f>
        <v>0</v>
      </c>
      <c r="H111" s="10">
        <f>SUMIF(成品入库明细!$D$2:$D$500,$B111,成品入库明细!$G$2:$G$500)</f>
        <v>0</v>
      </c>
      <c r="I111" s="10">
        <f>SUMIF(成品出库明细!$D$2:$D$1172,$B111,成品出库明细!$G$2:$G$1172)</f>
        <v>0</v>
      </c>
      <c r="J111" s="10">
        <f t="shared" si="2"/>
        <v>0</v>
      </c>
      <c r="K111" s="12" t="s">
        <v>466</v>
      </c>
      <c r="L111" s="10"/>
      <c r="M111" s="10"/>
      <c r="N111" s="10"/>
      <c r="O111" s="10"/>
      <c r="P111" s="10"/>
    </row>
    <row r="112" s="2" customFormat="1" ht="14.25" spans="1:16">
      <c r="A112" s="10">
        <v>89</v>
      </c>
      <c r="B112" s="10" t="s">
        <v>561</v>
      </c>
      <c r="C112" s="10" t="s">
        <v>562</v>
      </c>
      <c r="D112" s="12" t="s">
        <v>556</v>
      </c>
      <c r="E112" s="12" t="s">
        <v>334</v>
      </c>
      <c r="F112" s="10" t="s">
        <v>343</v>
      </c>
      <c r="G112" s="10">
        <f>SUMIF(成品月初库存!$C$3:$C$362,$B112,成品月初库存!$F$3:$F$362)</f>
        <v>0</v>
      </c>
      <c r="H112" s="10">
        <f>SUMIF(成品入库明细!$D$2:$D$500,$B112,成品入库明细!$G$2:$G$500)</f>
        <v>0</v>
      </c>
      <c r="I112" s="10">
        <f>SUMIF(成品出库明细!$D$2:$D$1172,$B112,成品出库明细!$G$2:$G$1172)</f>
        <v>0</v>
      </c>
      <c r="J112" s="10">
        <f t="shared" si="2"/>
        <v>0</v>
      </c>
      <c r="K112" s="12" t="s">
        <v>466</v>
      </c>
      <c r="L112" s="10"/>
      <c r="M112" s="10"/>
      <c r="N112" s="10"/>
      <c r="O112" s="10"/>
      <c r="P112" s="10"/>
    </row>
    <row r="113" s="2" customFormat="1" ht="14.25" spans="1:16">
      <c r="A113" s="10">
        <v>90</v>
      </c>
      <c r="B113" s="10" t="s">
        <v>563</v>
      </c>
      <c r="C113" s="10" t="s">
        <v>564</v>
      </c>
      <c r="D113" s="12" t="s">
        <v>565</v>
      </c>
      <c r="E113" s="12" t="s">
        <v>334</v>
      </c>
      <c r="F113" s="10" t="s">
        <v>343</v>
      </c>
      <c r="G113" s="10">
        <f>SUMIF(成品月初库存!$C$3:$C$362,$B113,成品月初库存!$F$3:$F$362)</f>
        <v>0</v>
      </c>
      <c r="H113" s="10">
        <f>SUMIF(成品入库明细!$D$2:$D$500,$B113,成品入库明细!$G$2:$G$500)</f>
        <v>0</v>
      </c>
      <c r="I113" s="10">
        <f>SUMIF(成品出库明细!$D$2:$D$1172,$B113,成品出库明细!$G$2:$G$1172)</f>
        <v>0</v>
      </c>
      <c r="J113" s="10">
        <f t="shared" si="2"/>
        <v>0</v>
      </c>
      <c r="K113" s="12" t="s">
        <v>334</v>
      </c>
      <c r="L113" s="10"/>
      <c r="M113" s="10"/>
      <c r="N113" s="10"/>
      <c r="O113" s="10"/>
      <c r="P113" s="10"/>
    </row>
    <row r="114" s="2" customFormat="1" ht="14.25" spans="1:16">
      <c r="A114" s="10">
        <v>91</v>
      </c>
      <c r="B114" s="10" t="s">
        <v>566</v>
      </c>
      <c r="C114" s="10" t="s">
        <v>567</v>
      </c>
      <c r="D114" s="12" t="s">
        <v>565</v>
      </c>
      <c r="E114" s="12" t="s">
        <v>334</v>
      </c>
      <c r="F114" s="10" t="s">
        <v>343</v>
      </c>
      <c r="G114" s="10">
        <f>SUMIF(成品月初库存!$C$3:$C$362,$B114,成品月初库存!$F$3:$F$362)</f>
        <v>0</v>
      </c>
      <c r="H114" s="10">
        <f>SUMIF(成品入库明细!$D$2:$D$500,$B114,成品入库明细!$G$2:$G$500)</f>
        <v>0</v>
      </c>
      <c r="I114" s="10">
        <f>SUMIF(成品出库明细!$D$2:$D$1172,$B114,成品出库明细!$G$2:$G$1172)</f>
        <v>0</v>
      </c>
      <c r="J114" s="10">
        <f t="shared" si="2"/>
        <v>0</v>
      </c>
      <c r="K114" s="12" t="s">
        <v>334</v>
      </c>
      <c r="L114" s="10"/>
      <c r="M114" s="10"/>
      <c r="N114" s="10"/>
      <c r="O114" s="10"/>
      <c r="P114" s="10"/>
    </row>
    <row r="115" s="2" customFormat="1" ht="14.25" spans="1:16">
      <c r="A115" s="10">
        <v>92</v>
      </c>
      <c r="B115" s="10" t="s">
        <v>568</v>
      </c>
      <c r="C115" s="10" t="s">
        <v>569</v>
      </c>
      <c r="D115" s="12" t="s">
        <v>565</v>
      </c>
      <c r="E115" s="12" t="s">
        <v>334</v>
      </c>
      <c r="F115" s="10" t="s">
        <v>343</v>
      </c>
      <c r="G115" s="10">
        <f>SUMIF(成品月初库存!$C$3:$C$362,$B115,成品月初库存!$F$3:$F$362)</f>
        <v>0</v>
      </c>
      <c r="H115" s="10">
        <f>SUMIF(成品入库明细!$D$2:$D$500,$B115,成品入库明细!$G$2:$G$500)</f>
        <v>0</v>
      </c>
      <c r="I115" s="10">
        <f>SUMIF(成品出库明细!$D$2:$D$1172,$B115,成品出库明细!$G$2:$G$1172)</f>
        <v>0</v>
      </c>
      <c r="J115" s="10">
        <f t="shared" si="2"/>
        <v>0</v>
      </c>
      <c r="K115" s="12" t="s">
        <v>334</v>
      </c>
      <c r="L115" s="10"/>
      <c r="M115" s="10"/>
      <c r="N115" s="10"/>
      <c r="O115" s="10"/>
      <c r="P115" s="10"/>
    </row>
    <row r="116" s="2" customFormat="1" ht="14.25" spans="1:16">
      <c r="A116" s="10">
        <v>93</v>
      </c>
      <c r="B116" s="10" t="s">
        <v>570</v>
      </c>
      <c r="C116" s="10" t="s">
        <v>571</v>
      </c>
      <c r="D116" s="12" t="s">
        <v>565</v>
      </c>
      <c r="E116" s="12" t="s">
        <v>334</v>
      </c>
      <c r="F116" s="10" t="s">
        <v>343</v>
      </c>
      <c r="G116" s="10">
        <f>SUMIF(成品月初库存!$C$3:$C$362,$B116,成品月初库存!$F$3:$F$362)</f>
        <v>0</v>
      </c>
      <c r="H116" s="10">
        <f>SUMIF(成品入库明细!$D$2:$D$500,$B116,成品入库明细!$G$2:$G$500)</f>
        <v>0</v>
      </c>
      <c r="I116" s="10">
        <f>SUMIF(成品出库明细!$D$2:$D$1172,$B116,成品出库明细!$G$2:$G$1172)</f>
        <v>0</v>
      </c>
      <c r="J116" s="10">
        <f t="shared" si="2"/>
        <v>0</v>
      </c>
      <c r="K116" s="12" t="s">
        <v>334</v>
      </c>
      <c r="L116" s="10"/>
      <c r="M116" s="10"/>
      <c r="N116" s="10"/>
      <c r="O116" s="10"/>
      <c r="P116" s="10"/>
    </row>
    <row r="117" s="2" customFormat="1" ht="14.25" spans="1:16">
      <c r="A117" s="10">
        <v>94</v>
      </c>
      <c r="B117" s="10" t="s">
        <v>572</v>
      </c>
      <c r="C117" s="10" t="s">
        <v>573</v>
      </c>
      <c r="D117" s="12" t="s">
        <v>565</v>
      </c>
      <c r="E117" s="12" t="s">
        <v>334</v>
      </c>
      <c r="F117" s="10" t="s">
        <v>343</v>
      </c>
      <c r="G117" s="10">
        <f>SUMIF(成品月初库存!$C$3:$C$362,$B117,成品月初库存!$F$3:$F$362)</f>
        <v>0</v>
      </c>
      <c r="H117" s="10">
        <f>SUMIF(成品入库明细!$D$2:$D$500,$B117,成品入库明细!$G$2:$G$500)</f>
        <v>0</v>
      </c>
      <c r="I117" s="10">
        <f>SUMIF(成品出库明细!$D$2:$D$1172,$B117,成品出库明细!$G$2:$G$1172)</f>
        <v>0</v>
      </c>
      <c r="J117" s="10">
        <f t="shared" si="2"/>
        <v>0</v>
      </c>
      <c r="K117" s="12" t="s">
        <v>334</v>
      </c>
      <c r="L117" s="10"/>
      <c r="M117" s="10"/>
      <c r="N117" s="10"/>
      <c r="O117" s="10"/>
      <c r="P117" s="10"/>
    </row>
    <row r="118" s="2" customFormat="1" ht="14.25" spans="1:16">
      <c r="A118" s="10">
        <v>95</v>
      </c>
      <c r="B118" s="10" t="s">
        <v>574</v>
      </c>
      <c r="C118" s="10" t="s">
        <v>575</v>
      </c>
      <c r="D118" s="12" t="s">
        <v>565</v>
      </c>
      <c r="E118" s="12" t="s">
        <v>334</v>
      </c>
      <c r="F118" s="10" t="s">
        <v>343</v>
      </c>
      <c r="G118" s="10">
        <f>SUMIF(成品月初库存!$C$3:$C$362,$B118,成品月初库存!$F$3:$F$362)</f>
        <v>0</v>
      </c>
      <c r="H118" s="10">
        <f>SUMIF(成品入库明细!$D$2:$D$500,$B118,成品入库明细!$G$2:$G$500)</f>
        <v>0</v>
      </c>
      <c r="I118" s="10">
        <f>SUMIF(成品出库明细!$D$2:$D$1172,$B118,成品出库明细!$G$2:$G$1172)</f>
        <v>0</v>
      </c>
      <c r="J118" s="10">
        <f t="shared" si="2"/>
        <v>0</v>
      </c>
      <c r="K118" s="12" t="s">
        <v>334</v>
      </c>
      <c r="L118" s="10"/>
      <c r="M118" s="10"/>
      <c r="N118" s="10"/>
      <c r="O118" s="10"/>
      <c r="P118" s="10"/>
    </row>
    <row r="119" s="2" customFormat="1" ht="14.25" spans="1:16">
      <c r="A119" s="10">
        <v>96</v>
      </c>
      <c r="B119" s="10" t="s">
        <v>576</v>
      </c>
      <c r="C119" s="10" t="s">
        <v>577</v>
      </c>
      <c r="D119" s="12" t="s">
        <v>565</v>
      </c>
      <c r="E119" s="12" t="s">
        <v>334</v>
      </c>
      <c r="F119" s="10" t="s">
        <v>343</v>
      </c>
      <c r="G119" s="10">
        <f>SUMIF(成品月初库存!$C$3:$C$362,$B119,成品月初库存!$F$3:$F$362)</f>
        <v>0</v>
      </c>
      <c r="H119" s="10">
        <f>SUMIF(成品入库明细!$D$2:$D$500,$B119,成品入库明细!$G$2:$G$500)</f>
        <v>0</v>
      </c>
      <c r="I119" s="10">
        <f>SUMIF(成品出库明细!$D$2:$D$1172,$B119,成品出库明细!$G$2:$G$1172)</f>
        <v>0</v>
      </c>
      <c r="J119" s="10">
        <f t="shared" si="2"/>
        <v>0</v>
      </c>
      <c r="K119" s="12" t="s">
        <v>334</v>
      </c>
      <c r="L119" s="10"/>
      <c r="M119" s="10"/>
      <c r="N119" s="10"/>
      <c r="O119" s="10"/>
      <c r="P119" s="10"/>
    </row>
    <row r="120" s="2" customFormat="1" ht="14.25" spans="1:16">
      <c r="A120" s="10">
        <v>97</v>
      </c>
      <c r="B120" s="10" t="s">
        <v>578</v>
      </c>
      <c r="C120" s="10" t="s">
        <v>579</v>
      </c>
      <c r="D120" s="12" t="s">
        <v>565</v>
      </c>
      <c r="E120" s="12" t="s">
        <v>334</v>
      </c>
      <c r="F120" s="10" t="s">
        <v>343</v>
      </c>
      <c r="G120" s="10">
        <f>SUMIF(成品月初库存!$C$3:$C$362,$B120,成品月初库存!$F$3:$F$362)</f>
        <v>0</v>
      </c>
      <c r="H120" s="10">
        <f>SUMIF(成品入库明细!$D$2:$D$500,$B120,成品入库明细!$G$2:$G$500)</f>
        <v>0</v>
      </c>
      <c r="I120" s="10">
        <f>SUMIF(成品出库明细!$D$2:$D$1172,$B120,成品出库明细!$G$2:$G$1172)</f>
        <v>0</v>
      </c>
      <c r="J120" s="10">
        <f t="shared" si="2"/>
        <v>0</v>
      </c>
      <c r="K120" s="12" t="s">
        <v>334</v>
      </c>
      <c r="L120" s="10"/>
      <c r="M120" s="10"/>
      <c r="N120" s="10"/>
      <c r="O120" s="10"/>
      <c r="P120" s="10"/>
    </row>
    <row r="121" s="2" customFormat="1" ht="14.25" spans="1:16">
      <c r="A121" s="10">
        <v>98</v>
      </c>
      <c r="B121" s="10" t="s">
        <v>580</v>
      </c>
      <c r="C121" s="10" t="s">
        <v>581</v>
      </c>
      <c r="D121" s="12" t="s">
        <v>565</v>
      </c>
      <c r="E121" s="12" t="s">
        <v>334</v>
      </c>
      <c r="F121" s="10" t="s">
        <v>343</v>
      </c>
      <c r="G121" s="10">
        <f>SUMIF(成品月初库存!$C$3:$C$362,$B121,成品月初库存!$F$3:$F$362)</f>
        <v>0</v>
      </c>
      <c r="H121" s="10">
        <f>SUMIF(成品入库明细!$D$2:$D$500,$B121,成品入库明细!$G$2:$G$500)</f>
        <v>0</v>
      </c>
      <c r="I121" s="10">
        <f>SUMIF(成品出库明细!$D$2:$D$1172,$B121,成品出库明细!$G$2:$G$1172)</f>
        <v>0</v>
      </c>
      <c r="J121" s="10">
        <f t="shared" si="2"/>
        <v>0</v>
      </c>
      <c r="K121" s="12" t="s">
        <v>334</v>
      </c>
      <c r="L121" s="10"/>
      <c r="M121" s="10"/>
      <c r="N121" s="10"/>
      <c r="O121" s="10"/>
      <c r="P121" s="10"/>
    </row>
    <row r="122" s="2" customFormat="1" ht="14.25" spans="1:16">
      <c r="A122" s="10">
        <v>99</v>
      </c>
      <c r="B122" s="10" t="s">
        <v>582</v>
      </c>
      <c r="C122" s="10" t="s">
        <v>583</v>
      </c>
      <c r="D122" s="12" t="s">
        <v>565</v>
      </c>
      <c r="E122" s="12" t="s">
        <v>334</v>
      </c>
      <c r="F122" s="10" t="s">
        <v>343</v>
      </c>
      <c r="G122" s="10">
        <f>SUMIF(成品月初库存!$C$3:$C$362,$B122,成品月初库存!$F$3:$F$362)</f>
        <v>0</v>
      </c>
      <c r="H122" s="10">
        <f>SUMIF(成品入库明细!$D$2:$D$500,$B122,成品入库明细!$G$2:$G$500)</f>
        <v>0</v>
      </c>
      <c r="I122" s="10">
        <f>SUMIF(成品出库明细!$D$2:$D$1172,$B122,成品出库明细!$G$2:$G$1172)</f>
        <v>0</v>
      </c>
      <c r="J122" s="10">
        <f t="shared" si="2"/>
        <v>0</v>
      </c>
      <c r="K122" s="12" t="s">
        <v>334</v>
      </c>
      <c r="L122" s="10"/>
      <c r="M122" s="10"/>
      <c r="N122" s="10"/>
      <c r="O122" s="10"/>
      <c r="P122" s="10"/>
    </row>
    <row r="123" s="2" customFormat="1" ht="14.25" spans="1:16">
      <c r="A123" s="10">
        <v>100</v>
      </c>
      <c r="B123" s="10" t="s">
        <v>584</v>
      </c>
      <c r="C123" s="10" t="s">
        <v>585</v>
      </c>
      <c r="D123" s="12" t="s">
        <v>565</v>
      </c>
      <c r="E123" s="12" t="s">
        <v>334</v>
      </c>
      <c r="F123" s="10" t="s">
        <v>343</v>
      </c>
      <c r="G123" s="10">
        <f>SUMIF(成品月初库存!$C$3:$C$362,$B123,成品月初库存!$F$3:$F$362)</f>
        <v>0</v>
      </c>
      <c r="H123" s="10">
        <f>SUMIF(成品入库明细!$D$2:$D$500,$B123,成品入库明细!$G$2:$G$500)</f>
        <v>0</v>
      </c>
      <c r="I123" s="10">
        <f>SUMIF(成品出库明细!$D$2:$D$1172,$B123,成品出库明细!$G$2:$G$1172)</f>
        <v>0</v>
      </c>
      <c r="J123" s="10">
        <f t="shared" si="2"/>
        <v>0</v>
      </c>
      <c r="K123" s="12" t="s">
        <v>334</v>
      </c>
      <c r="L123" s="10"/>
      <c r="M123" s="10"/>
      <c r="N123" s="10"/>
      <c r="O123" s="10"/>
      <c r="P123" s="10"/>
    </row>
    <row r="124" s="2" customFormat="1" ht="14.25" spans="1:16">
      <c r="A124" s="10">
        <v>101</v>
      </c>
      <c r="B124" s="10" t="s">
        <v>586</v>
      </c>
      <c r="C124" s="10" t="s">
        <v>587</v>
      </c>
      <c r="D124" s="12" t="s">
        <v>565</v>
      </c>
      <c r="E124" s="12" t="s">
        <v>334</v>
      </c>
      <c r="F124" s="10" t="s">
        <v>343</v>
      </c>
      <c r="G124" s="10">
        <f>SUMIF(成品月初库存!$C$3:$C$362,$B124,成品月初库存!$F$3:$F$362)</f>
        <v>0</v>
      </c>
      <c r="H124" s="10">
        <f>SUMIF(成品入库明细!$D$2:$D$500,$B124,成品入库明细!$G$2:$G$500)</f>
        <v>0</v>
      </c>
      <c r="I124" s="10">
        <f>SUMIF(成品出库明细!$D$2:$D$1172,$B124,成品出库明细!$G$2:$G$1172)</f>
        <v>0</v>
      </c>
      <c r="J124" s="10">
        <f t="shared" si="2"/>
        <v>0</v>
      </c>
      <c r="K124" s="12" t="s">
        <v>334</v>
      </c>
      <c r="L124" s="10"/>
      <c r="M124" s="10"/>
      <c r="N124" s="10"/>
      <c r="O124" s="10"/>
      <c r="P124" s="10"/>
    </row>
    <row r="125" s="2" customFormat="1" ht="14.25" spans="1:16">
      <c r="A125" s="10">
        <v>102</v>
      </c>
      <c r="B125" s="10" t="s">
        <v>588</v>
      </c>
      <c r="C125" s="10" t="s">
        <v>589</v>
      </c>
      <c r="D125" s="12" t="s">
        <v>565</v>
      </c>
      <c r="E125" s="12" t="s">
        <v>334</v>
      </c>
      <c r="F125" s="10" t="s">
        <v>343</v>
      </c>
      <c r="G125" s="10">
        <f>SUMIF(成品月初库存!$C$3:$C$362,$B125,成品月初库存!$F$3:$F$362)</f>
        <v>0</v>
      </c>
      <c r="H125" s="10">
        <f>SUMIF(成品入库明细!$D$2:$D$500,$B125,成品入库明细!$G$2:$G$500)</f>
        <v>0</v>
      </c>
      <c r="I125" s="10">
        <f>SUMIF(成品出库明细!$D$2:$D$1172,$B125,成品出库明细!$G$2:$G$1172)</f>
        <v>0</v>
      </c>
      <c r="J125" s="10">
        <f t="shared" si="2"/>
        <v>0</v>
      </c>
      <c r="K125" s="12" t="s">
        <v>334</v>
      </c>
      <c r="L125" s="10"/>
      <c r="M125" s="10"/>
      <c r="N125" s="10"/>
      <c r="O125" s="10"/>
      <c r="P125" s="10"/>
    </row>
    <row r="126" s="2" customFormat="1" ht="14.25" spans="1:16">
      <c r="A126" s="10">
        <v>103</v>
      </c>
      <c r="B126" s="10" t="s">
        <v>590</v>
      </c>
      <c r="C126" s="10" t="s">
        <v>591</v>
      </c>
      <c r="D126" s="12" t="s">
        <v>565</v>
      </c>
      <c r="E126" s="12" t="s">
        <v>334</v>
      </c>
      <c r="F126" s="10" t="s">
        <v>343</v>
      </c>
      <c r="G126" s="10">
        <f>SUMIF(成品月初库存!$C$3:$C$362,$B126,成品月初库存!$F$3:$F$362)</f>
        <v>0</v>
      </c>
      <c r="H126" s="10">
        <f>SUMIF(成品入库明细!$D$2:$D$500,$B126,成品入库明细!$G$2:$G$500)</f>
        <v>0</v>
      </c>
      <c r="I126" s="10">
        <f>SUMIF(成品出库明细!$D$2:$D$1172,$B126,成品出库明细!$G$2:$G$1172)</f>
        <v>0</v>
      </c>
      <c r="J126" s="10">
        <f t="shared" si="2"/>
        <v>0</v>
      </c>
      <c r="K126" s="12" t="s">
        <v>334</v>
      </c>
      <c r="L126" s="10"/>
      <c r="M126" s="10"/>
      <c r="N126" s="10"/>
      <c r="O126" s="10"/>
      <c r="P126" s="10"/>
    </row>
    <row r="127" s="2" customFormat="1" ht="14.25" spans="1:16">
      <c r="A127" s="10">
        <v>104</v>
      </c>
      <c r="B127" s="10" t="s">
        <v>592</v>
      </c>
      <c r="C127" s="10" t="s">
        <v>593</v>
      </c>
      <c r="D127" s="12" t="s">
        <v>565</v>
      </c>
      <c r="E127" s="12" t="s">
        <v>334</v>
      </c>
      <c r="F127" s="10" t="s">
        <v>343</v>
      </c>
      <c r="G127" s="10">
        <f>SUMIF(成品月初库存!$C$3:$C$362,$B127,成品月初库存!$F$3:$F$362)</f>
        <v>0</v>
      </c>
      <c r="H127" s="10">
        <f>SUMIF(成品入库明细!$D$2:$D$500,$B127,成品入库明细!$G$2:$G$500)</f>
        <v>0</v>
      </c>
      <c r="I127" s="10">
        <f>SUMIF(成品出库明细!$D$2:$D$1172,$B127,成品出库明细!$G$2:$G$1172)</f>
        <v>0</v>
      </c>
      <c r="J127" s="10">
        <f t="shared" si="2"/>
        <v>0</v>
      </c>
      <c r="K127" s="12" t="s">
        <v>334</v>
      </c>
      <c r="L127" s="10"/>
      <c r="M127" s="10"/>
      <c r="N127" s="10"/>
      <c r="O127" s="10"/>
      <c r="P127" s="10"/>
    </row>
    <row r="128" s="2" customFormat="1" ht="14.25" spans="1:16">
      <c r="A128" s="10">
        <v>105</v>
      </c>
      <c r="B128" s="10" t="s">
        <v>594</v>
      </c>
      <c r="C128" s="10" t="s">
        <v>595</v>
      </c>
      <c r="D128" s="12" t="s">
        <v>565</v>
      </c>
      <c r="E128" s="12" t="s">
        <v>334</v>
      </c>
      <c r="F128" s="10" t="s">
        <v>343</v>
      </c>
      <c r="G128" s="10">
        <f>SUMIF(成品月初库存!$C$3:$C$362,$B128,成品月初库存!$F$3:$F$362)</f>
        <v>0</v>
      </c>
      <c r="H128" s="10">
        <f>SUMIF(成品入库明细!$D$2:$D$500,$B128,成品入库明细!$G$2:$G$500)</f>
        <v>0</v>
      </c>
      <c r="I128" s="10">
        <f>SUMIF(成品出库明细!$D$2:$D$1172,$B128,成品出库明细!$G$2:$G$1172)</f>
        <v>0</v>
      </c>
      <c r="J128" s="10">
        <f t="shared" si="2"/>
        <v>0</v>
      </c>
      <c r="K128" s="12" t="s">
        <v>334</v>
      </c>
      <c r="L128" s="10"/>
      <c r="M128" s="10"/>
      <c r="N128" s="10"/>
      <c r="O128" s="10"/>
      <c r="P128" s="10"/>
    </row>
    <row r="129" s="2" customFormat="1" ht="14.25" spans="1:16">
      <c r="A129" s="10">
        <v>106</v>
      </c>
      <c r="B129" s="10" t="s">
        <v>596</v>
      </c>
      <c r="C129" s="10" t="s">
        <v>597</v>
      </c>
      <c r="D129" s="12" t="s">
        <v>565</v>
      </c>
      <c r="E129" s="12" t="s">
        <v>334</v>
      </c>
      <c r="F129" s="10" t="s">
        <v>343</v>
      </c>
      <c r="G129" s="10">
        <f>SUMIF(成品月初库存!$C$3:$C$362,$B129,成品月初库存!$F$3:$F$362)</f>
        <v>0</v>
      </c>
      <c r="H129" s="10">
        <f>SUMIF(成品入库明细!$D$2:$D$500,$B129,成品入库明细!$G$2:$G$500)</f>
        <v>0</v>
      </c>
      <c r="I129" s="10">
        <f>SUMIF(成品出库明细!$D$2:$D$1172,$B129,成品出库明细!$G$2:$G$1172)</f>
        <v>0</v>
      </c>
      <c r="J129" s="10">
        <f t="shared" si="2"/>
        <v>0</v>
      </c>
      <c r="K129" s="12" t="s">
        <v>334</v>
      </c>
      <c r="L129" s="10"/>
      <c r="M129" s="10"/>
      <c r="N129" s="10"/>
      <c r="O129" s="10"/>
      <c r="P129" s="10"/>
    </row>
    <row r="130" s="2" customFormat="1" ht="14.25" spans="1:16">
      <c r="A130" s="10">
        <v>107</v>
      </c>
      <c r="B130" s="10" t="s">
        <v>598</v>
      </c>
      <c r="C130" s="10" t="s">
        <v>599</v>
      </c>
      <c r="D130" s="12" t="s">
        <v>565</v>
      </c>
      <c r="E130" s="12" t="s">
        <v>334</v>
      </c>
      <c r="F130" s="10" t="s">
        <v>343</v>
      </c>
      <c r="G130" s="10">
        <f>SUMIF(成品月初库存!$C$3:$C$362,$B130,成品月初库存!$F$3:$F$362)</f>
        <v>0</v>
      </c>
      <c r="H130" s="10">
        <f>SUMIF(成品入库明细!$D$2:$D$500,$B130,成品入库明细!$G$2:$G$500)</f>
        <v>0</v>
      </c>
      <c r="I130" s="10">
        <f>SUMIF(成品出库明细!$D$2:$D$1172,$B130,成品出库明细!$G$2:$G$1172)</f>
        <v>0</v>
      </c>
      <c r="J130" s="10">
        <f t="shared" si="2"/>
        <v>0</v>
      </c>
      <c r="K130" s="12" t="s">
        <v>334</v>
      </c>
      <c r="L130" s="10"/>
      <c r="M130" s="10"/>
      <c r="N130" s="10"/>
      <c r="O130" s="10"/>
      <c r="P130" s="10"/>
    </row>
    <row r="131" s="2" customFormat="1" ht="14.25" spans="1:16">
      <c r="A131" s="10">
        <v>108</v>
      </c>
      <c r="B131" s="10" t="s">
        <v>600</v>
      </c>
      <c r="C131" s="10" t="s">
        <v>601</v>
      </c>
      <c r="D131" s="12" t="s">
        <v>565</v>
      </c>
      <c r="E131" s="12" t="s">
        <v>334</v>
      </c>
      <c r="F131" s="10" t="s">
        <v>343</v>
      </c>
      <c r="G131" s="10">
        <f>SUMIF(成品月初库存!$C$3:$C$362,$B131,成品月初库存!$F$3:$F$362)</f>
        <v>0</v>
      </c>
      <c r="H131" s="10">
        <f>SUMIF(成品入库明细!$D$2:$D$500,$B131,成品入库明细!$G$2:$G$500)</f>
        <v>0</v>
      </c>
      <c r="I131" s="10">
        <f>SUMIF(成品出库明细!$D$2:$D$1172,$B131,成品出库明细!$G$2:$G$1172)</f>
        <v>0</v>
      </c>
      <c r="J131" s="10">
        <f t="shared" si="2"/>
        <v>0</v>
      </c>
      <c r="K131" s="12" t="s">
        <v>334</v>
      </c>
      <c r="L131" s="10"/>
      <c r="M131" s="10"/>
      <c r="N131" s="10"/>
      <c r="O131" s="10"/>
      <c r="P131" s="10"/>
    </row>
    <row r="132" s="2" customFormat="1" ht="14.25" spans="1:16">
      <c r="A132" s="10">
        <v>109</v>
      </c>
      <c r="B132" s="10" t="s">
        <v>602</v>
      </c>
      <c r="C132" s="10" t="s">
        <v>603</v>
      </c>
      <c r="D132" s="12" t="s">
        <v>565</v>
      </c>
      <c r="E132" s="12" t="s">
        <v>334</v>
      </c>
      <c r="F132" s="10" t="s">
        <v>343</v>
      </c>
      <c r="G132" s="10">
        <f>SUMIF(成品月初库存!$C$3:$C$362,$B132,成品月初库存!$F$3:$F$362)</f>
        <v>0</v>
      </c>
      <c r="H132" s="10">
        <f>SUMIF(成品入库明细!$D$2:$D$500,$B132,成品入库明细!$G$2:$G$500)</f>
        <v>0</v>
      </c>
      <c r="I132" s="10">
        <f>SUMIF(成品出库明细!$D$2:$D$1172,$B132,成品出库明细!$G$2:$G$1172)</f>
        <v>0</v>
      </c>
      <c r="J132" s="10">
        <f t="shared" si="2"/>
        <v>0</v>
      </c>
      <c r="K132" s="12" t="s">
        <v>334</v>
      </c>
      <c r="L132" s="10"/>
      <c r="M132" s="10"/>
      <c r="N132" s="10"/>
      <c r="O132" s="10"/>
      <c r="P132" s="10"/>
    </row>
    <row r="133" s="2" customFormat="1" ht="15.75" spans="1:16">
      <c r="A133" s="10">
        <v>110</v>
      </c>
      <c r="B133" s="10" t="s">
        <v>604</v>
      </c>
      <c r="C133" s="11" t="s">
        <v>605</v>
      </c>
      <c r="D133" s="12" t="s">
        <v>606</v>
      </c>
      <c r="E133" s="12" t="s">
        <v>334</v>
      </c>
      <c r="F133" s="10" t="s">
        <v>343</v>
      </c>
      <c r="G133" s="10">
        <f>SUMIF(成品月初库存!$C$3:$C$362,$B133,成品月初库存!$F$3:$F$362)</f>
        <v>0</v>
      </c>
      <c r="H133" s="10">
        <f>SUMIF(成品入库明细!$D$2:$D$500,$B133,成品入库明细!$G$2:$G$500)</f>
        <v>0</v>
      </c>
      <c r="I133" s="10">
        <f>SUMIF(成品出库明细!$D$2:$D$1172,$B133,成品出库明细!$G$2:$G$1172)</f>
        <v>0</v>
      </c>
      <c r="J133" s="10">
        <f t="shared" ref="J133:J196" si="3">G133+H133-I133</f>
        <v>0</v>
      </c>
      <c r="K133" s="12" t="s">
        <v>370</v>
      </c>
      <c r="L133" s="10"/>
      <c r="M133" s="10"/>
      <c r="N133" s="10"/>
      <c r="O133" s="10"/>
      <c r="P133" s="10"/>
    </row>
    <row r="134" s="2" customFormat="1" ht="15.75" spans="1:16">
      <c r="A134" s="10">
        <v>111</v>
      </c>
      <c r="B134" s="10" t="s">
        <v>607</v>
      </c>
      <c r="C134" s="11" t="s">
        <v>608</v>
      </c>
      <c r="D134" s="12" t="s">
        <v>606</v>
      </c>
      <c r="E134" s="12" t="s">
        <v>334</v>
      </c>
      <c r="F134" s="10" t="s">
        <v>343</v>
      </c>
      <c r="G134" s="10">
        <f>SUMIF(成品月初库存!$C$3:$C$362,$B134,成品月初库存!$F$3:$F$362)</f>
        <v>0</v>
      </c>
      <c r="H134" s="10">
        <f>SUMIF(成品入库明细!$D$2:$D$500,$B134,成品入库明细!$G$2:$G$500)</f>
        <v>0</v>
      </c>
      <c r="I134" s="10">
        <f>SUMIF(成品出库明细!$D$2:$D$1172,$B134,成品出库明细!$G$2:$G$1172)</f>
        <v>0</v>
      </c>
      <c r="J134" s="10">
        <f t="shared" si="3"/>
        <v>0</v>
      </c>
      <c r="K134" s="12" t="s">
        <v>370</v>
      </c>
      <c r="L134" s="10"/>
      <c r="M134" s="10"/>
      <c r="N134" s="10"/>
      <c r="O134" s="10"/>
      <c r="P134" s="10"/>
    </row>
    <row r="135" s="2" customFormat="1" ht="14.25" spans="1:16">
      <c r="A135" s="10">
        <v>112</v>
      </c>
      <c r="B135" s="10" t="s">
        <v>609</v>
      </c>
      <c r="C135" s="10" t="s">
        <v>610</v>
      </c>
      <c r="D135" s="12" t="s">
        <v>611</v>
      </c>
      <c r="E135" s="12" t="s">
        <v>334</v>
      </c>
      <c r="F135" s="10" t="s">
        <v>343</v>
      </c>
      <c r="G135" s="10">
        <f>SUMIF(成品月初库存!$C$3:$C$362,$B135,成品月初库存!$F$3:$F$362)</f>
        <v>0</v>
      </c>
      <c r="H135" s="10">
        <f>SUMIF(成品入库明细!$D$2:$D$500,$B135,成品入库明细!$G$2:$G$500)</f>
        <v>0</v>
      </c>
      <c r="I135" s="10">
        <f>SUMIF(成品出库明细!$D$2:$D$1172,$B135,成品出库明细!$G$2:$G$1172)</f>
        <v>0</v>
      </c>
      <c r="J135" s="10">
        <f t="shared" si="3"/>
        <v>0</v>
      </c>
      <c r="K135" s="12" t="s">
        <v>300</v>
      </c>
      <c r="L135" s="10"/>
      <c r="M135" s="10"/>
      <c r="N135" s="10"/>
      <c r="O135" s="10"/>
      <c r="P135" s="10"/>
    </row>
    <row r="136" s="2" customFormat="1" ht="14.25" spans="1:16">
      <c r="A136" s="10">
        <v>113</v>
      </c>
      <c r="B136" s="10" t="s">
        <v>612</v>
      </c>
      <c r="C136" s="10" t="s">
        <v>613</v>
      </c>
      <c r="D136" s="12" t="s">
        <v>611</v>
      </c>
      <c r="E136" s="12" t="s">
        <v>334</v>
      </c>
      <c r="F136" s="10" t="s">
        <v>343</v>
      </c>
      <c r="G136" s="10">
        <f>SUMIF(成品月初库存!$C$3:$C$362,$B136,成品月初库存!$F$3:$F$362)</f>
        <v>0</v>
      </c>
      <c r="H136" s="10">
        <f>SUMIF(成品入库明细!$D$2:$D$500,$B136,成品入库明细!$G$2:$G$500)</f>
        <v>0</v>
      </c>
      <c r="I136" s="10">
        <f>SUMIF(成品出库明细!$D$2:$D$1172,$B136,成品出库明细!$G$2:$G$1172)</f>
        <v>0</v>
      </c>
      <c r="J136" s="10">
        <f t="shared" si="3"/>
        <v>0</v>
      </c>
      <c r="K136" s="12" t="s">
        <v>300</v>
      </c>
      <c r="L136" s="10"/>
      <c r="M136" s="10"/>
      <c r="N136" s="10"/>
      <c r="O136" s="10"/>
      <c r="P136" s="10"/>
    </row>
    <row r="137" s="2" customFormat="1" ht="14.25" spans="1:16">
      <c r="A137" s="10">
        <v>114</v>
      </c>
      <c r="B137" s="10" t="s">
        <v>614</v>
      </c>
      <c r="C137" s="10" t="s">
        <v>615</v>
      </c>
      <c r="D137" s="12" t="s">
        <v>611</v>
      </c>
      <c r="E137" s="12" t="s">
        <v>334</v>
      </c>
      <c r="F137" s="10" t="s">
        <v>343</v>
      </c>
      <c r="G137" s="10">
        <f>SUMIF(成品月初库存!$C$3:$C$362,$B137,成品月初库存!$F$3:$F$362)</f>
        <v>0</v>
      </c>
      <c r="H137" s="10">
        <f>SUMIF(成品入库明细!$D$2:$D$500,$B137,成品入库明细!$G$2:$G$500)</f>
        <v>0</v>
      </c>
      <c r="I137" s="10">
        <f>SUMIF(成品出库明细!$D$2:$D$1172,$B137,成品出库明细!$G$2:$G$1172)</f>
        <v>0</v>
      </c>
      <c r="J137" s="10">
        <f t="shared" si="3"/>
        <v>0</v>
      </c>
      <c r="K137" s="12"/>
      <c r="L137" s="10"/>
      <c r="M137" s="10"/>
      <c r="N137" s="10"/>
      <c r="O137" s="10"/>
      <c r="P137" s="10"/>
    </row>
    <row r="138" s="2" customFormat="1" ht="14.25" spans="1:16">
      <c r="A138" s="10">
        <v>115</v>
      </c>
      <c r="B138" s="10" t="s">
        <v>616</v>
      </c>
      <c r="C138" s="10" t="s">
        <v>617</v>
      </c>
      <c r="D138" s="12" t="s">
        <v>611</v>
      </c>
      <c r="E138" s="12" t="s">
        <v>334</v>
      </c>
      <c r="F138" s="10" t="s">
        <v>343</v>
      </c>
      <c r="G138" s="10">
        <f>SUMIF(成品月初库存!$C$3:$C$362,$B138,成品月初库存!$F$3:$F$362)</f>
        <v>0</v>
      </c>
      <c r="H138" s="10">
        <f>SUMIF(成品入库明细!$D$2:$D$500,$B138,成品入库明细!$G$2:$G$500)</f>
        <v>0</v>
      </c>
      <c r="I138" s="10">
        <f>SUMIF(成品出库明细!$D$2:$D$1172,$B138,成品出库明细!$G$2:$G$1172)</f>
        <v>0</v>
      </c>
      <c r="J138" s="10">
        <f t="shared" si="3"/>
        <v>0</v>
      </c>
      <c r="K138" s="10"/>
      <c r="L138" s="10"/>
      <c r="M138" s="10"/>
      <c r="N138" s="10"/>
      <c r="O138" s="10"/>
      <c r="P138" s="10"/>
    </row>
    <row r="139" s="2" customFormat="1" ht="14.25" spans="1:16">
      <c r="A139" s="10">
        <v>116</v>
      </c>
      <c r="B139" s="10" t="s">
        <v>618</v>
      </c>
      <c r="C139" s="10" t="s">
        <v>619</v>
      </c>
      <c r="D139" s="12" t="s">
        <v>611</v>
      </c>
      <c r="E139" s="12" t="s">
        <v>334</v>
      </c>
      <c r="F139" s="10" t="s">
        <v>343</v>
      </c>
      <c r="G139" s="10">
        <f>SUMIF(成品月初库存!$C$3:$C$362,$B139,成品月初库存!$F$3:$F$362)</f>
        <v>0</v>
      </c>
      <c r="H139" s="10">
        <f>SUMIF(成品入库明细!$D$2:$D$500,$B139,成品入库明细!$G$2:$G$500)</f>
        <v>0</v>
      </c>
      <c r="I139" s="10">
        <f>SUMIF(成品出库明细!$D$2:$D$1172,$B139,成品出库明细!$G$2:$G$1172)</f>
        <v>0</v>
      </c>
      <c r="J139" s="10">
        <f t="shared" si="3"/>
        <v>0</v>
      </c>
      <c r="K139" s="12" t="s">
        <v>300</v>
      </c>
      <c r="L139" s="10"/>
      <c r="M139" s="10"/>
      <c r="N139" s="10"/>
      <c r="O139" s="10"/>
      <c r="P139" s="10"/>
    </row>
    <row r="140" s="2" customFormat="1" ht="14.25" spans="1:16">
      <c r="A140" s="10">
        <v>117</v>
      </c>
      <c r="B140" s="10" t="s">
        <v>620</v>
      </c>
      <c r="C140" s="10" t="s">
        <v>621</v>
      </c>
      <c r="D140" s="12" t="s">
        <v>611</v>
      </c>
      <c r="E140" s="12" t="s">
        <v>334</v>
      </c>
      <c r="F140" s="10" t="s">
        <v>343</v>
      </c>
      <c r="G140" s="10">
        <f>SUMIF(成品月初库存!$C$3:$C$362,$B140,成品月初库存!$F$3:$F$362)</f>
        <v>0</v>
      </c>
      <c r="H140" s="10">
        <f>SUMIF(成品入库明细!$D$2:$D$500,$B140,成品入库明细!$G$2:$G$500)</f>
        <v>0</v>
      </c>
      <c r="I140" s="10">
        <f>SUMIF(成品出库明细!$D$2:$D$1172,$B140,成品出库明细!$G$2:$G$1172)</f>
        <v>0</v>
      </c>
      <c r="J140" s="10">
        <f t="shared" si="3"/>
        <v>0</v>
      </c>
      <c r="K140" s="12" t="s">
        <v>300</v>
      </c>
      <c r="L140" s="10"/>
      <c r="M140" s="10"/>
      <c r="N140" s="10"/>
      <c r="O140" s="10"/>
      <c r="P140" s="10"/>
    </row>
    <row r="141" s="2" customFormat="1" ht="14.25" spans="1:16">
      <c r="A141" s="10">
        <v>118</v>
      </c>
      <c r="B141" s="10" t="s">
        <v>622</v>
      </c>
      <c r="C141" s="10" t="s">
        <v>623</v>
      </c>
      <c r="D141" s="12" t="s">
        <v>611</v>
      </c>
      <c r="E141" s="12" t="s">
        <v>334</v>
      </c>
      <c r="F141" s="10" t="s">
        <v>343</v>
      </c>
      <c r="G141" s="10">
        <f>SUMIF(成品月初库存!$C$3:$C$362,$B141,成品月初库存!$F$3:$F$362)</f>
        <v>0</v>
      </c>
      <c r="H141" s="10">
        <f>SUMIF(成品入库明细!$D$2:$D$500,$B141,成品入库明细!$G$2:$G$500)</f>
        <v>0</v>
      </c>
      <c r="I141" s="10">
        <f>SUMIF(成品出库明细!$D$2:$D$1172,$B141,成品出库明细!$G$2:$G$1172)</f>
        <v>0</v>
      </c>
      <c r="J141" s="10">
        <f t="shared" si="3"/>
        <v>0</v>
      </c>
      <c r="K141" s="12" t="s">
        <v>300</v>
      </c>
      <c r="L141" s="10"/>
      <c r="M141" s="10"/>
      <c r="N141" s="10"/>
      <c r="O141" s="10"/>
      <c r="P141" s="10"/>
    </row>
    <row r="142" s="2" customFormat="1" ht="14.25" spans="1:16">
      <c r="A142" s="10">
        <v>119</v>
      </c>
      <c r="B142" s="10" t="s">
        <v>624</v>
      </c>
      <c r="C142" s="10" t="s">
        <v>625</v>
      </c>
      <c r="D142" s="12" t="s">
        <v>611</v>
      </c>
      <c r="E142" s="12" t="s">
        <v>334</v>
      </c>
      <c r="F142" s="10" t="s">
        <v>343</v>
      </c>
      <c r="G142" s="10">
        <f>SUMIF(成品月初库存!$C$3:$C$362,$B142,成品月初库存!$F$3:$F$362)</f>
        <v>0</v>
      </c>
      <c r="H142" s="10">
        <f>SUMIF(成品入库明细!$D$2:$D$500,$B142,成品入库明细!$G$2:$G$500)</f>
        <v>0</v>
      </c>
      <c r="I142" s="10">
        <f>SUMIF(成品出库明细!$D$2:$D$1172,$B142,成品出库明细!$G$2:$G$1172)</f>
        <v>0</v>
      </c>
      <c r="J142" s="10">
        <f t="shared" si="3"/>
        <v>0</v>
      </c>
      <c r="K142" s="12" t="s">
        <v>300</v>
      </c>
      <c r="L142" s="10"/>
      <c r="M142" s="10"/>
      <c r="N142" s="10"/>
      <c r="O142" s="10"/>
      <c r="P142" s="10"/>
    </row>
    <row r="143" s="2" customFormat="1" ht="14.25" spans="1:16">
      <c r="A143" s="10">
        <v>120</v>
      </c>
      <c r="B143" s="10" t="s">
        <v>626</v>
      </c>
      <c r="C143" s="10" t="s">
        <v>627</v>
      </c>
      <c r="D143" s="12" t="s">
        <v>611</v>
      </c>
      <c r="E143" s="12" t="s">
        <v>334</v>
      </c>
      <c r="F143" s="10" t="s">
        <v>343</v>
      </c>
      <c r="G143" s="10">
        <f>SUMIF(成品月初库存!$C$3:$C$362,$B143,成品月初库存!$F$3:$F$362)</f>
        <v>0</v>
      </c>
      <c r="H143" s="10">
        <f>SUMIF(成品入库明细!$D$2:$D$500,$B143,成品入库明细!$G$2:$G$500)</f>
        <v>0</v>
      </c>
      <c r="I143" s="10">
        <f>SUMIF(成品出库明细!$D$2:$D$1172,$B143,成品出库明细!$G$2:$G$1172)</f>
        <v>0</v>
      </c>
      <c r="J143" s="10">
        <f t="shared" si="3"/>
        <v>0</v>
      </c>
      <c r="K143" s="12" t="s">
        <v>300</v>
      </c>
      <c r="L143" s="10"/>
      <c r="M143" s="10"/>
      <c r="N143" s="10"/>
      <c r="O143" s="10"/>
      <c r="P143" s="10"/>
    </row>
    <row r="144" s="2" customFormat="1" ht="14.25" spans="1:16">
      <c r="A144" s="10">
        <v>121</v>
      </c>
      <c r="B144" s="10" t="s">
        <v>628</v>
      </c>
      <c r="C144" s="10" t="s">
        <v>629</v>
      </c>
      <c r="D144" s="12" t="s">
        <v>611</v>
      </c>
      <c r="E144" s="12" t="s">
        <v>334</v>
      </c>
      <c r="F144" s="10" t="s">
        <v>343</v>
      </c>
      <c r="G144" s="10">
        <f>SUMIF(成品月初库存!$C$3:$C$362,$B144,成品月初库存!$F$3:$F$362)</f>
        <v>0</v>
      </c>
      <c r="H144" s="10">
        <f>SUMIF(成品入库明细!$D$2:$D$500,$B144,成品入库明细!$G$2:$G$500)</f>
        <v>0</v>
      </c>
      <c r="I144" s="10">
        <f>SUMIF(成品出库明细!$D$2:$D$1172,$B144,成品出库明细!$G$2:$G$1172)</f>
        <v>0</v>
      </c>
      <c r="J144" s="10">
        <f t="shared" si="3"/>
        <v>0</v>
      </c>
      <c r="K144" s="12" t="s">
        <v>300</v>
      </c>
      <c r="L144" s="10"/>
      <c r="M144" s="10"/>
      <c r="N144" s="10"/>
      <c r="O144" s="10"/>
      <c r="P144" s="10"/>
    </row>
    <row r="145" s="2" customFormat="1" ht="14.25" spans="1:16">
      <c r="A145" s="10">
        <v>122</v>
      </c>
      <c r="B145" s="10" t="s">
        <v>630</v>
      </c>
      <c r="C145" s="10" t="s">
        <v>631</v>
      </c>
      <c r="D145" s="12" t="s">
        <v>611</v>
      </c>
      <c r="E145" s="12" t="s">
        <v>334</v>
      </c>
      <c r="F145" s="10" t="s">
        <v>343</v>
      </c>
      <c r="G145" s="10">
        <f>SUMIF(成品月初库存!$C$3:$C$362,$B145,成品月初库存!$F$3:$F$362)</f>
        <v>0</v>
      </c>
      <c r="H145" s="10">
        <f>SUMIF(成品入库明细!$D$2:$D$500,$B145,成品入库明细!$G$2:$G$500)</f>
        <v>0</v>
      </c>
      <c r="I145" s="10">
        <f>SUMIF(成品出库明细!$D$2:$D$1172,$B145,成品出库明细!$G$2:$G$1172)</f>
        <v>0</v>
      </c>
      <c r="J145" s="10">
        <f t="shared" si="3"/>
        <v>0</v>
      </c>
      <c r="K145" s="12" t="s">
        <v>300</v>
      </c>
      <c r="L145" s="10"/>
      <c r="M145" s="10"/>
      <c r="N145" s="10"/>
      <c r="O145" s="10"/>
      <c r="P145" s="10"/>
    </row>
    <row r="146" s="2" customFormat="1" ht="14.25" spans="1:16">
      <c r="A146" s="10">
        <v>123</v>
      </c>
      <c r="B146" s="10" t="s">
        <v>632</v>
      </c>
      <c r="C146" s="10" t="s">
        <v>633</v>
      </c>
      <c r="D146" s="12" t="s">
        <v>611</v>
      </c>
      <c r="E146" s="12" t="s">
        <v>334</v>
      </c>
      <c r="F146" s="10" t="s">
        <v>343</v>
      </c>
      <c r="G146" s="10">
        <f>SUMIF(成品月初库存!$C$3:$C$362,$B146,成品月初库存!$F$3:$F$362)</f>
        <v>0</v>
      </c>
      <c r="H146" s="10">
        <f>SUMIF(成品入库明细!$D$2:$D$500,$B146,成品入库明细!$G$2:$G$500)</f>
        <v>0</v>
      </c>
      <c r="I146" s="10">
        <f>SUMIF(成品出库明细!$D$2:$D$1172,$B146,成品出库明细!$G$2:$G$1172)</f>
        <v>0</v>
      </c>
      <c r="J146" s="10">
        <f t="shared" si="3"/>
        <v>0</v>
      </c>
      <c r="K146" s="12" t="s">
        <v>300</v>
      </c>
      <c r="L146" s="10"/>
      <c r="M146" s="10"/>
      <c r="N146" s="10"/>
      <c r="O146" s="10"/>
      <c r="P146" s="10"/>
    </row>
    <row r="147" s="2" customFormat="1" ht="14.25" spans="1:16">
      <c r="A147" s="10">
        <v>124</v>
      </c>
      <c r="B147" s="10" t="s">
        <v>634</v>
      </c>
      <c r="C147" s="10" t="s">
        <v>635</v>
      </c>
      <c r="D147" s="12" t="s">
        <v>611</v>
      </c>
      <c r="E147" s="12" t="s">
        <v>334</v>
      </c>
      <c r="F147" s="10" t="s">
        <v>343</v>
      </c>
      <c r="G147" s="10">
        <f>SUMIF(成品月初库存!$C$3:$C$362,$B147,成品月初库存!$F$3:$F$362)</f>
        <v>0</v>
      </c>
      <c r="H147" s="10">
        <f>SUMIF(成品入库明细!$D$2:$D$500,$B147,成品入库明细!$G$2:$G$500)</f>
        <v>0</v>
      </c>
      <c r="I147" s="10">
        <f>SUMIF(成品出库明细!$D$2:$D$1172,$B147,成品出库明细!$G$2:$G$1172)</f>
        <v>0</v>
      </c>
      <c r="J147" s="10">
        <f t="shared" si="3"/>
        <v>0</v>
      </c>
      <c r="K147" s="12" t="s">
        <v>300</v>
      </c>
      <c r="L147" s="10"/>
      <c r="M147" s="10"/>
      <c r="N147" s="10"/>
      <c r="O147" s="10"/>
      <c r="P147" s="10"/>
    </row>
    <row r="148" s="2" customFormat="1" ht="14.25" spans="1:16">
      <c r="A148" s="10">
        <v>125</v>
      </c>
      <c r="B148" s="10" t="s">
        <v>636</v>
      </c>
      <c r="C148" s="10" t="s">
        <v>637</v>
      </c>
      <c r="D148" s="12" t="s">
        <v>611</v>
      </c>
      <c r="E148" s="12" t="s">
        <v>334</v>
      </c>
      <c r="F148" s="10" t="s">
        <v>343</v>
      </c>
      <c r="G148" s="10">
        <f>SUMIF(成品月初库存!$C$3:$C$362,$B148,成品月初库存!$F$3:$F$362)</f>
        <v>0</v>
      </c>
      <c r="H148" s="10">
        <f>SUMIF(成品入库明细!$D$2:$D$500,$B148,成品入库明细!$G$2:$G$500)</f>
        <v>0</v>
      </c>
      <c r="I148" s="10">
        <f>SUMIF(成品出库明细!$D$2:$D$1172,$B148,成品出库明细!$G$2:$G$1172)</f>
        <v>0</v>
      </c>
      <c r="J148" s="10">
        <f t="shared" si="3"/>
        <v>0</v>
      </c>
      <c r="K148" s="12" t="s">
        <v>300</v>
      </c>
      <c r="L148" s="10"/>
      <c r="M148" s="10"/>
      <c r="N148" s="10"/>
      <c r="O148" s="10"/>
      <c r="P148" s="10"/>
    </row>
    <row r="149" s="2" customFormat="1" ht="14.25" spans="1:16">
      <c r="A149" s="10">
        <v>126</v>
      </c>
      <c r="B149" s="10" t="s">
        <v>638</v>
      </c>
      <c r="C149" s="10" t="s">
        <v>639</v>
      </c>
      <c r="D149" s="12" t="s">
        <v>611</v>
      </c>
      <c r="E149" s="12" t="s">
        <v>334</v>
      </c>
      <c r="F149" s="10" t="s">
        <v>343</v>
      </c>
      <c r="G149" s="10">
        <f>SUMIF(成品月初库存!$C$3:$C$362,$B149,成品月初库存!$F$3:$F$362)</f>
        <v>0</v>
      </c>
      <c r="H149" s="10">
        <f>SUMIF(成品入库明细!$D$2:$D$500,$B149,成品入库明细!$G$2:$G$500)</f>
        <v>0</v>
      </c>
      <c r="I149" s="10">
        <f>SUMIF(成品出库明细!$D$2:$D$1172,$B149,成品出库明细!$G$2:$G$1172)</f>
        <v>0</v>
      </c>
      <c r="J149" s="10">
        <f t="shared" si="3"/>
        <v>0</v>
      </c>
      <c r="K149" s="12" t="s">
        <v>300</v>
      </c>
      <c r="L149" s="10"/>
      <c r="M149" s="10"/>
      <c r="N149" s="10"/>
      <c r="O149" s="10"/>
      <c r="P149" s="10"/>
    </row>
    <row r="150" s="2" customFormat="1" ht="14.25" spans="1:16">
      <c r="A150" s="10">
        <v>127</v>
      </c>
      <c r="B150" s="10" t="s">
        <v>640</v>
      </c>
      <c r="C150" s="10" t="s">
        <v>641</v>
      </c>
      <c r="D150" s="12" t="s">
        <v>611</v>
      </c>
      <c r="E150" s="12" t="s">
        <v>334</v>
      </c>
      <c r="F150" s="10" t="s">
        <v>343</v>
      </c>
      <c r="G150" s="10">
        <f>SUMIF(成品月初库存!$C$3:$C$362,$B150,成品月初库存!$F$3:$F$362)</f>
        <v>0</v>
      </c>
      <c r="H150" s="10">
        <f>SUMIF(成品入库明细!$D$2:$D$500,$B150,成品入库明细!$G$2:$G$500)</f>
        <v>0</v>
      </c>
      <c r="I150" s="10">
        <f>SUMIF(成品出库明细!$D$2:$D$1172,$B150,成品出库明细!$G$2:$G$1172)</f>
        <v>0</v>
      </c>
      <c r="J150" s="10">
        <f t="shared" si="3"/>
        <v>0</v>
      </c>
      <c r="K150" s="12" t="s">
        <v>300</v>
      </c>
      <c r="L150" s="10"/>
      <c r="M150" s="10"/>
      <c r="N150" s="10"/>
      <c r="O150" s="10"/>
      <c r="P150" s="10"/>
    </row>
    <row r="151" s="2" customFormat="1" ht="14.25" spans="1:16">
      <c r="A151" s="10">
        <v>128</v>
      </c>
      <c r="B151" s="10" t="s">
        <v>642</v>
      </c>
      <c r="C151" s="10" t="s">
        <v>643</v>
      </c>
      <c r="D151" s="12" t="s">
        <v>611</v>
      </c>
      <c r="E151" s="12" t="s">
        <v>334</v>
      </c>
      <c r="F151" s="10" t="s">
        <v>343</v>
      </c>
      <c r="G151" s="10">
        <f>SUMIF(成品月初库存!$C$3:$C$362,$B151,成品月初库存!$F$3:$F$362)</f>
        <v>0</v>
      </c>
      <c r="H151" s="10">
        <f>SUMIF(成品入库明细!$D$2:$D$500,$B151,成品入库明细!$G$2:$G$500)</f>
        <v>0</v>
      </c>
      <c r="I151" s="10">
        <f>SUMIF(成品出库明细!$D$2:$D$1172,$B151,成品出库明细!$G$2:$G$1172)</f>
        <v>0</v>
      </c>
      <c r="J151" s="10">
        <f t="shared" si="3"/>
        <v>0</v>
      </c>
      <c r="K151" s="12" t="s">
        <v>300</v>
      </c>
      <c r="L151" s="10"/>
      <c r="M151" s="10"/>
      <c r="N151" s="10"/>
      <c r="O151" s="10"/>
      <c r="P151" s="10"/>
    </row>
    <row r="152" s="2" customFormat="1" ht="14.25" spans="1:16">
      <c r="A152" s="10">
        <v>129</v>
      </c>
      <c r="B152" s="10" t="s">
        <v>644</v>
      </c>
      <c r="C152" s="10" t="s">
        <v>645</v>
      </c>
      <c r="D152" s="12" t="s">
        <v>611</v>
      </c>
      <c r="E152" s="12" t="s">
        <v>334</v>
      </c>
      <c r="F152" s="10" t="s">
        <v>343</v>
      </c>
      <c r="G152" s="10">
        <f>SUMIF(成品月初库存!$C$3:$C$362,$B152,成品月初库存!$F$3:$F$362)</f>
        <v>0</v>
      </c>
      <c r="H152" s="10">
        <f>SUMIF(成品入库明细!$D$2:$D$500,$B152,成品入库明细!$G$2:$G$500)</f>
        <v>0</v>
      </c>
      <c r="I152" s="10">
        <f>SUMIF(成品出库明细!$D$2:$D$1172,$B152,成品出库明细!$G$2:$G$1172)</f>
        <v>0</v>
      </c>
      <c r="J152" s="10">
        <f t="shared" si="3"/>
        <v>0</v>
      </c>
      <c r="K152" s="12" t="s">
        <v>300</v>
      </c>
      <c r="L152" s="10"/>
      <c r="M152" s="10"/>
      <c r="N152" s="10"/>
      <c r="O152" s="10"/>
      <c r="P152" s="10"/>
    </row>
    <row r="153" s="2" customFormat="1" ht="14.25" spans="1:16">
      <c r="A153" s="10">
        <v>130</v>
      </c>
      <c r="B153" s="10" t="s">
        <v>646</v>
      </c>
      <c r="C153" s="10" t="s">
        <v>647</v>
      </c>
      <c r="D153" s="12" t="s">
        <v>611</v>
      </c>
      <c r="E153" s="12" t="s">
        <v>334</v>
      </c>
      <c r="F153" s="10" t="s">
        <v>343</v>
      </c>
      <c r="G153" s="10">
        <f>SUMIF(成品月初库存!$C$3:$C$362,$B153,成品月初库存!$F$3:$F$362)</f>
        <v>0</v>
      </c>
      <c r="H153" s="10">
        <f>SUMIF(成品入库明细!$D$2:$D$500,$B153,成品入库明细!$G$2:$G$500)</f>
        <v>0</v>
      </c>
      <c r="I153" s="10">
        <f>SUMIF(成品出库明细!$D$2:$D$1172,$B153,成品出库明细!$G$2:$G$1172)</f>
        <v>0</v>
      </c>
      <c r="J153" s="10">
        <f t="shared" si="3"/>
        <v>0</v>
      </c>
      <c r="K153" s="12" t="s">
        <v>300</v>
      </c>
      <c r="L153" s="10"/>
      <c r="M153" s="10"/>
      <c r="N153" s="10"/>
      <c r="O153" s="10"/>
      <c r="P153" s="10"/>
    </row>
    <row r="154" s="2" customFormat="1" ht="14.25" spans="1:16">
      <c r="A154" s="10">
        <v>131</v>
      </c>
      <c r="B154" s="10" t="s">
        <v>648</v>
      </c>
      <c r="C154" s="10" t="s">
        <v>649</v>
      </c>
      <c r="D154" s="12" t="s">
        <v>611</v>
      </c>
      <c r="E154" s="12" t="s">
        <v>334</v>
      </c>
      <c r="F154" s="10" t="s">
        <v>343</v>
      </c>
      <c r="G154" s="10">
        <f>SUMIF(成品月初库存!$C$3:$C$362,$B154,成品月初库存!$F$3:$F$362)</f>
        <v>0</v>
      </c>
      <c r="H154" s="10">
        <f>SUMIF(成品入库明细!$D$2:$D$500,$B154,成品入库明细!$G$2:$G$500)</f>
        <v>0</v>
      </c>
      <c r="I154" s="10">
        <f>SUMIF(成品出库明细!$D$2:$D$1172,$B154,成品出库明细!$G$2:$G$1172)</f>
        <v>0</v>
      </c>
      <c r="J154" s="10">
        <f t="shared" si="3"/>
        <v>0</v>
      </c>
      <c r="K154" s="12" t="s">
        <v>300</v>
      </c>
      <c r="L154" s="10"/>
      <c r="M154" s="10"/>
      <c r="N154" s="10"/>
      <c r="O154" s="10"/>
      <c r="P154" s="10"/>
    </row>
    <row r="155" s="2" customFormat="1" ht="14.25" spans="1:16">
      <c r="A155" s="10">
        <v>132</v>
      </c>
      <c r="B155" s="10" t="s">
        <v>650</v>
      </c>
      <c r="C155" s="10" t="s">
        <v>651</v>
      </c>
      <c r="D155" s="12" t="s">
        <v>611</v>
      </c>
      <c r="E155" s="12" t="s">
        <v>334</v>
      </c>
      <c r="F155" s="10" t="s">
        <v>343</v>
      </c>
      <c r="G155" s="10">
        <f>SUMIF(成品月初库存!$C$3:$C$362,$B155,成品月初库存!$F$3:$F$362)</f>
        <v>0</v>
      </c>
      <c r="H155" s="10">
        <f>SUMIF(成品入库明细!$D$2:$D$500,$B155,成品入库明细!$G$2:$G$500)</f>
        <v>0</v>
      </c>
      <c r="I155" s="10">
        <f>SUMIF(成品出库明细!$D$2:$D$1172,$B155,成品出库明细!$G$2:$G$1172)</f>
        <v>0</v>
      </c>
      <c r="J155" s="10">
        <f t="shared" si="3"/>
        <v>0</v>
      </c>
      <c r="K155" s="12" t="s">
        <v>300</v>
      </c>
      <c r="L155" s="10"/>
      <c r="M155" s="10"/>
      <c r="N155" s="10"/>
      <c r="O155" s="10"/>
      <c r="P155" s="10"/>
    </row>
    <row r="156" s="2" customFormat="1" ht="14.25" spans="1:16">
      <c r="A156" s="10">
        <v>133</v>
      </c>
      <c r="B156" s="10" t="s">
        <v>652</v>
      </c>
      <c r="C156" s="10" t="s">
        <v>653</v>
      </c>
      <c r="D156" s="12" t="s">
        <v>611</v>
      </c>
      <c r="E156" s="12" t="s">
        <v>334</v>
      </c>
      <c r="F156" s="10" t="s">
        <v>343</v>
      </c>
      <c r="G156" s="10">
        <f>SUMIF(成品月初库存!$C$3:$C$362,$B156,成品月初库存!$F$3:$F$362)</f>
        <v>0</v>
      </c>
      <c r="H156" s="10">
        <f>SUMIF(成品入库明细!$D$2:$D$500,$B156,成品入库明细!$G$2:$G$500)</f>
        <v>0</v>
      </c>
      <c r="I156" s="10">
        <f>SUMIF(成品出库明细!$D$2:$D$1172,$B156,成品出库明细!$G$2:$G$1172)</f>
        <v>0</v>
      </c>
      <c r="J156" s="10">
        <f t="shared" si="3"/>
        <v>0</v>
      </c>
      <c r="K156" s="12" t="s">
        <v>300</v>
      </c>
      <c r="L156" s="10"/>
      <c r="M156" s="10"/>
      <c r="N156" s="10"/>
      <c r="O156" s="10"/>
      <c r="P156" s="10"/>
    </row>
    <row r="157" s="2" customFormat="1" ht="14.25" spans="1:16">
      <c r="A157" s="10">
        <v>134</v>
      </c>
      <c r="B157" s="10" t="s">
        <v>654</v>
      </c>
      <c r="C157" s="10" t="s">
        <v>655</v>
      </c>
      <c r="D157" s="12" t="s">
        <v>611</v>
      </c>
      <c r="E157" s="12" t="s">
        <v>334</v>
      </c>
      <c r="F157" s="10" t="s">
        <v>343</v>
      </c>
      <c r="G157" s="10">
        <f>SUMIF(成品月初库存!$C$3:$C$362,$B157,成品月初库存!$F$3:$F$362)</f>
        <v>0</v>
      </c>
      <c r="H157" s="10">
        <f>SUMIF(成品入库明细!$D$2:$D$500,$B157,成品入库明细!$G$2:$G$500)</f>
        <v>0</v>
      </c>
      <c r="I157" s="10">
        <f>SUMIF(成品出库明细!$D$2:$D$1172,$B157,成品出库明细!$G$2:$G$1172)</f>
        <v>0</v>
      </c>
      <c r="J157" s="10">
        <f t="shared" si="3"/>
        <v>0</v>
      </c>
      <c r="K157" s="12" t="s">
        <v>300</v>
      </c>
      <c r="L157" s="10"/>
      <c r="M157" s="10"/>
      <c r="N157" s="10"/>
      <c r="O157" s="10"/>
      <c r="P157" s="10"/>
    </row>
    <row r="158" s="2" customFormat="1" ht="14.25" spans="1:16">
      <c r="A158" s="10">
        <v>135</v>
      </c>
      <c r="B158" s="10" t="s">
        <v>656</v>
      </c>
      <c r="C158" s="10" t="s">
        <v>657</v>
      </c>
      <c r="D158" s="12" t="s">
        <v>611</v>
      </c>
      <c r="E158" s="12" t="s">
        <v>334</v>
      </c>
      <c r="F158" s="10" t="s">
        <v>343</v>
      </c>
      <c r="G158" s="10">
        <f>SUMIF(成品月初库存!$C$3:$C$362,$B158,成品月初库存!$F$3:$F$362)</f>
        <v>0</v>
      </c>
      <c r="H158" s="10">
        <f>SUMIF(成品入库明细!$D$2:$D$500,$B158,成品入库明细!$G$2:$G$500)</f>
        <v>0</v>
      </c>
      <c r="I158" s="10">
        <f>SUMIF(成品出库明细!$D$2:$D$1172,$B158,成品出库明细!$G$2:$G$1172)</f>
        <v>0</v>
      </c>
      <c r="J158" s="10">
        <f t="shared" si="3"/>
        <v>0</v>
      </c>
      <c r="K158" s="12" t="s">
        <v>300</v>
      </c>
      <c r="L158" s="10"/>
      <c r="M158" s="10"/>
      <c r="N158" s="10"/>
      <c r="O158" s="10"/>
      <c r="P158" s="10"/>
    </row>
    <row r="159" s="2" customFormat="1" ht="14.25" spans="1:16">
      <c r="A159" s="10">
        <v>136</v>
      </c>
      <c r="B159" s="10" t="s">
        <v>658</v>
      </c>
      <c r="C159" s="10" t="s">
        <v>659</v>
      </c>
      <c r="D159" s="12" t="s">
        <v>611</v>
      </c>
      <c r="E159" s="12" t="s">
        <v>334</v>
      </c>
      <c r="F159" s="10" t="s">
        <v>343</v>
      </c>
      <c r="G159" s="10">
        <f>SUMIF(成品月初库存!$C$3:$C$362,$B159,成品月初库存!$F$3:$F$362)</f>
        <v>0</v>
      </c>
      <c r="H159" s="10">
        <f>SUMIF(成品入库明细!$D$2:$D$500,$B159,成品入库明细!$G$2:$G$500)</f>
        <v>0</v>
      </c>
      <c r="I159" s="10">
        <f>SUMIF(成品出库明细!$D$2:$D$1172,$B159,成品出库明细!$G$2:$G$1172)</f>
        <v>0</v>
      </c>
      <c r="J159" s="10">
        <f t="shared" si="3"/>
        <v>0</v>
      </c>
      <c r="K159" s="12" t="s">
        <v>300</v>
      </c>
      <c r="L159" s="10"/>
      <c r="M159" s="10"/>
      <c r="N159" s="10"/>
      <c r="O159" s="10"/>
      <c r="P159" s="10"/>
    </row>
    <row r="160" s="2" customFormat="1" ht="14.25" spans="1:16">
      <c r="A160" s="10">
        <v>137</v>
      </c>
      <c r="B160" s="10" t="s">
        <v>660</v>
      </c>
      <c r="C160" s="10" t="s">
        <v>661</v>
      </c>
      <c r="D160" s="12" t="s">
        <v>611</v>
      </c>
      <c r="E160" s="12" t="s">
        <v>334</v>
      </c>
      <c r="F160" s="10" t="s">
        <v>343</v>
      </c>
      <c r="G160" s="10">
        <f>SUMIF(成品月初库存!$C$3:$C$362,$B160,成品月初库存!$F$3:$F$362)</f>
        <v>0</v>
      </c>
      <c r="H160" s="10">
        <f>SUMIF(成品入库明细!$D$2:$D$500,$B160,成品入库明细!$G$2:$G$500)</f>
        <v>0</v>
      </c>
      <c r="I160" s="10">
        <f>SUMIF(成品出库明细!$D$2:$D$1172,$B160,成品出库明细!$G$2:$G$1172)</f>
        <v>0</v>
      </c>
      <c r="J160" s="10">
        <f t="shared" si="3"/>
        <v>0</v>
      </c>
      <c r="K160" s="12" t="s">
        <v>300</v>
      </c>
      <c r="L160" s="10"/>
      <c r="M160" s="10"/>
      <c r="N160" s="10"/>
      <c r="O160" s="10"/>
      <c r="P160" s="10"/>
    </row>
    <row r="161" s="2" customFormat="1" ht="14.25" spans="1:16">
      <c r="A161" s="10">
        <v>138</v>
      </c>
      <c r="B161" s="10" t="s">
        <v>662</v>
      </c>
      <c r="C161" s="10" t="s">
        <v>663</v>
      </c>
      <c r="D161" s="12" t="s">
        <v>611</v>
      </c>
      <c r="E161" s="12" t="s">
        <v>334</v>
      </c>
      <c r="F161" s="10" t="s">
        <v>343</v>
      </c>
      <c r="G161" s="10">
        <f>SUMIF(成品月初库存!$C$3:$C$362,$B161,成品月初库存!$F$3:$F$362)</f>
        <v>0</v>
      </c>
      <c r="H161" s="10">
        <f>SUMIF(成品入库明细!$D$2:$D$500,$B161,成品入库明细!$G$2:$G$500)</f>
        <v>0</v>
      </c>
      <c r="I161" s="10">
        <f>SUMIF(成品出库明细!$D$2:$D$1172,$B161,成品出库明细!$G$2:$G$1172)</f>
        <v>0</v>
      </c>
      <c r="J161" s="10">
        <f t="shared" si="3"/>
        <v>0</v>
      </c>
      <c r="K161" s="12" t="s">
        <v>300</v>
      </c>
      <c r="L161" s="10"/>
      <c r="M161" s="10"/>
      <c r="N161" s="10"/>
      <c r="O161" s="10"/>
      <c r="P161" s="10"/>
    </row>
    <row r="162" s="2" customFormat="1" ht="14.25" spans="1:16">
      <c r="A162" s="10">
        <v>139</v>
      </c>
      <c r="B162" s="10" t="s">
        <v>664</v>
      </c>
      <c r="C162" s="10" t="s">
        <v>665</v>
      </c>
      <c r="D162" s="12" t="s">
        <v>611</v>
      </c>
      <c r="E162" s="12" t="s">
        <v>334</v>
      </c>
      <c r="F162" s="10" t="s">
        <v>343</v>
      </c>
      <c r="G162" s="10">
        <f>SUMIF(成品月初库存!$C$3:$C$362,$B162,成品月初库存!$F$3:$F$362)</f>
        <v>0</v>
      </c>
      <c r="H162" s="10">
        <f>SUMIF(成品入库明细!$D$2:$D$500,$B162,成品入库明细!$G$2:$G$500)</f>
        <v>0</v>
      </c>
      <c r="I162" s="10">
        <f>SUMIF(成品出库明细!$D$2:$D$1172,$B162,成品出库明细!$G$2:$G$1172)</f>
        <v>0</v>
      </c>
      <c r="J162" s="10">
        <f t="shared" si="3"/>
        <v>0</v>
      </c>
      <c r="K162" s="12" t="s">
        <v>300</v>
      </c>
      <c r="L162" s="10"/>
      <c r="M162" s="10"/>
      <c r="N162" s="10"/>
      <c r="O162" s="10"/>
      <c r="P162" s="10"/>
    </row>
    <row r="163" s="2" customFormat="1" ht="14.25" spans="1:16">
      <c r="A163" s="10">
        <v>140</v>
      </c>
      <c r="B163" s="10" t="s">
        <v>548</v>
      </c>
      <c r="C163" s="10" t="s">
        <v>666</v>
      </c>
      <c r="D163" s="12" t="s">
        <v>611</v>
      </c>
      <c r="E163" s="12" t="s">
        <v>334</v>
      </c>
      <c r="F163" s="10" t="s">
        <v>343</v>
      </c>
      <c r="G163" s="10">
        <f>SUMIF(成品月初库存!$C$3:$C$362,$B163,成品月初库存!$F$3:$F$362)</f>
        <v>0</v>
      </c>
      <c r="H163" s="10">
        <f>SUMIF(成品入库明细!$D$2:$D$500,$B163,成品入库明细!$G$2:$G$500)</f>
        <v>0</v>
      </c>
      <c r="I163" s="10">
        <f>SUMIF(成品出库明细!$D$2:$D$1172,$B163,成品出库明细!$G$2:$G$1172)</f>
        <v>0</v>
      </c>
      <c r="J163" s="10">
        <f t="shared" si="3"/>
        <v>0</v>
      </c>
      <c r="K163" s="12" t="s">
        <v>300</v>
      </c>
      <c r="L163" s="10"/>
      <c r="M163" s="10"/>
      <c r="N163" s="10"/>
      <c r="O163" s="10"/>
      <c r="P163" s="10"/>
    </row>
    <row r="164" s="2" customFormat="1" ht="14.25" spans="1:16">
      <c r="A164" s="10">
        <v>141</v>
      </c>
      <c r="B164" s="10" t="s">
        <v>667</v>
      </c>
      <c r="C164" s="10" t="s">
        <v>668</v>
      </c>
      <c r="D164" s="12" t="s">
        <v>611</v>
      </c>
      <c r="E164" s="12" t="s">
        <v>334</v>
      </c>
      <c r="F164" s="10" t="s">
        <v>343</v>
      </c>
      <c r="G164" s="10">
        <f>SUMIF(成品月初库存!$C$3:$C$362,$B164,成品月初库存!$F$3:$F$362)</f>
        <v>0</v>
      </c>
      <c r="H164" s="10">
        <f>SUMIF(成品入库明细!$D$2:$D$500,$B164,成品入库明细!$G$2:$G$500)</f>
        <v>0</v>
      </c>
      <c r="I164" s="10">
        <f>SUMIF(成品出库明细!$D$2:$D$1172,$B164,成品出库明细!$G$2:$G$1172)</f>
        <v>0</v>
      </c>
      <c r="J164" s="10">
        <f t="shared" si="3"/>
        <v>0</v>
      </c>
      <c r="K164" s="12" t="s">
        <v>300</v>
      </c>
      <c r="L164" s="10"/>
      <c r="M164" s="10"/>
      <c r="N164" s="10"/>
      <c r="O164" s="10"/>
      <c r="P164" s="10"/>
    </row>
    <row r="165" s="2" customFormat="1" ht="14.25" spans="1:16">
      <c r="A165" s="10">
        <v>142</v>
      </c>
      <c r="B165" s="10" t="s">
        <v>669</v>
      </c>
      <c r="C165" s="10" t="s">
        <v>670</v>
      </c>
      <c r="D165" s="12" t="s">
        <v>611</v>
      </c>
      <c r="E165" s="12" t="s">
        <v>334</v>
      </c>
      <c r="F165" s="10" t="s">
        <v>343</v>
      </c>
      <c r="G165" s="10">
        <f>SUMIF(成品月初库存!$C$3:$C$362,$B165,成品月初库存!$F$3:$F$362)</f>
        <v>0</v>
      </c>
      <c r="H165" s="10">
        <f>SUMIF(成品入库明细!$D$2:$D$500,$B165,成品入库明细!$G$2:$G$500)</f>
        <v>0</v>
      </c>
      <c r="I165" s="10">
        <f>SUMIF(成品出库明细!$D$2:$D$1172,$B165,成品出库明细!$G$2:$G$1172)</f>
        <v>0</v>
      </c>
      <c r="J165" s="10">
        <f t="shared" si="3"/>
        <v>0</v>
      </c>
      <c r="K165" s="12" t="s">
        <v>300</v>
      </c>
      <c r="L165" s="10"/>
      <c r="M165" s="10"/>
      <c r="N165" s="10"/>
      <c r="O165" s="10"/>
      <c r="P165" s="10"/>
    </row>
    <row r="166" s="2" customFormat="1" ht="14.25" spans="1:16">
      <c r="A166" s="10">
        <v>143</v>
      </c>
      <c r="B166" s="10" t="s">
        <v>671</v>
      </c>
      <c r="C166" s="10" t="s">
        <v>672</v>
      </c>
      <c r="D166" s="12" t="s">
        <v>611</v>
      </c>
      <c r="E166" s="12" t="s">
        <v>334</v>
      </c>
      <c r="F166" s="10" t="s">
        <v>343</v>
      </c>
      <c r="G166" s="10">
        <f>SUMIF(成品月初库存!$C$3:$C$362,$B166,成品月初库存!$F$3:$F$362)</f>
        <v>0</v>
      </c>
      <c r="H166" s="10">
        <f>SUMIF(成品入库明细!$D$2:$D$500,$B166,成品入库明细!$G$2:$G$500)</f>
        <v>0</v>
      </c>
      <c r="I166" s="10">
        <f>SUMIF(成品出库明细!$D$2:$D$1172,$B166,成品出库明细!$G$2:$G$1172)</f>
        <v>0</v>
      </c>
      <c r="J166" s="10">
        <f t="shared" si="3"/>
        <v>0</v>
      </c>
      <c r="K166" s="12" t="s">
        <v>300</v>
      </c>
      <c r="L166" s="10"/>
      <c r="M166" s="10"/>
      <c r="N166" s="10"/>
      <c r="O166" s="10"/>
      <c r="P166" s="10"/>
    </row>
    <row r="167" s="2" customFormat="1" ht="14.25" spans="1:16">
      <c r="A167" s="10">
        <v>144</v>
      </c>
      <c r="B167" s="10" t="s">
        <v>673</v>
      </c>
      <c r="C167" s="10" t="s">
        <v>674</v>
      </c>
      <c r="D167" s="12" t="s">
        <v>611</v>
      </c>
      <c r="E167" s="12" t="s">
        <v>334</v>
      </c>
      <c r="F167" s="10" t="s">
        <v>343</v>
      </c>
      <c r="G167" s="10">
        <f>SUMIF(成品月初库存!$C$3:$C$362,$B167,成品月初库存!$F$3:$F$362)</f>
        <v>0</v>
      </c>
      <c r="H167" s="10">
        <f>SUMIF(成品入库明细!$D$2:$D$500,$B167,成品入库明细!$G$2:$G$500)</f>
        <v>0</v>
      </c>
      <c r="I167" s="10">
        <f>SUMIF(成品出库明细!$D$2:$D$1172,$B167,成品出库明细!$G$2:$G$1172)</f>
        <v>0</v>
      </c>
      <c r="J167" s="10">
        <f t="shared" si="3"/>
        <v>0</v>
      </c>
      <c r="K167" s="12" t="s">
        <v>300</v>
      </c>
      <c r="L167" s="10"/>
      <c r="M167" s="10"/>
      <c r="N167" s="10"/>
      <c r="O167" s="10"/>
      <c r="P167" s="10"/>
    </row>
    <row r="168" s="2" customFormat="1" ht="14.25" spans="1:16">
      <c r="A168" s="10">
        <v>145</v>
      </c>
      <c r="B168" s="10" t="s">
        <v>675</v>
      </c>
      <c r="C168" s="10" t="s">
        <v>676</v>
      </c>
      <c r="D168" s="12" t="s">
        <v>611</v>
      </c>
      <c r="E168" s="12" t="s">
        <v>334</v>
      </c>
      <c r="F168" s="10" t="s">
        <v>343</v>
      </c>
      <c r="G168" s="10">
        <f>SUMIF(成品月初库存!$C$3:$C$362,$B168,成品月初库存!$F$3:$F$362)</f>
        <v>0</v>
      </c>
      <c r="H168" s="10">
        <f>SUMIF(成品入库明细!$D$2:$D$500,$B168,成品入库明细!$G$2:$G$500)</f>
        <v>0</v>
      </c>
      <c r="I168" s="10">
        <f>SUMIF(成品出库明细!$D$2:$D$1172,$B168,成品出库明细!$G$2:$G$1172)</f>
        <v>0</v>
      </c>
      <c r="J168" s="10">
        <f t="shared" si="3"/>
        <v>0</v>
      </c>
      <c r="K168" s="12" t="s">
        <v>300</v>
      </c>
      <c r="L168" s="10"/>
      <c r="M168" s="10"/>
      <c r="N168" s="10"/>
      <c r="O168" s="10"/>
      <c r="P168" s="10"/>
    </row>
    <row r="169" s="2" customFormat="1" ht="14.25" spans="1:16">
      <c r="A169" s="10">
        <v>146</v>
      </c>
      <c r="B169" s="10" t="s">
        <v>677</v>
      </c>
      <c r="C169" s="10" t="s">
        <v>678</v>
      </c>
      <c r="D169" s="12" t="s">
        <v>611</v>
      </c>
      <c r="E169" s="12" t="s">
        <v>334</v>
      </c>
      <c r="F169" s="10" t="s">
        <v>343</v>
      </c>
      <c r="G169" s="10">
        <f>SUMIF(成品月初库存!$C$3:$C$362,$B169,成品月初库存!$F$3:$F$362)</f>
        <v>0</v>
      </c>
      <c r="H169" s="10">
        <f>SUMIF(成品入库明细!$D$2:$D$500,$B169,成品入库明细!$G$2:$G$500)</f>
        <v>0</v>
      </c>
      <c r="I169" s="10">
        <f>SUMIF(成品出库明细!$D$2:$D$1172,$B169,成品出库明细!$G$2:$G$1172)</f>
        <v>0</v>
      </c>
      <c r="J169" s="10">
        <f t="shared" si="3"/>
        <v>0</v>
      </c>
      <c r="K169" s="12" t="s">
        <v>300</v>
      </c>
      <c r="L169" s="10"/>
      <c r="M169" s="10"/>
      <c r="N169" s="10"/>
      <c r="O169" s="10"/>
      <c r="P169" s="10"/>
    </row>
    <row r="170" s="2" customFormat="1" ht="14.25" spans="1:16">
      <c r="A170" s="10">
        <v>147</v>
      </c>
      <c r="B170" s="10" t="s">
        <v>679</v>
      </c>
      <c r="C170" s="10" t="s">
        <v>680</v>
      </c>
      <c r="D170" s="12" t="s">
        <v>611</v>
      </c>
      <c r="E170" s="12" t="s">
        <v>334</v>
      </c>
      <c r="F170" s="10" t="s">
        <v>343</v>
      </c>
      <c r="G170" s="10">
        <f>SUMIF(成品月初库存!$C$3:$C$362,$B170,成品月初库存!$F$3:$F$362)</f>
        <v>0</v>
      </c>
      <c r="H170" s="10">
        <f>SUMIF(成品入库明细!$D$2:$D$500,$B170,成品入库明细!$G$2:$G$500)</f>
        <v>0</v>
      </c>
      <c r="I170" s="10">
        <f>SUMIF(成品出库明细!$D$2:$D$1172,$B170,成品出库明细!$G$2:$G$1172)</f>
        <v>0</v>
      </c>
      <c r="J170" s="10">
        <f t="shared" si="3"/>
        <v>0</v>
      </c>
      <c r="K170" s="12" t="s">
        <v>300</v>
      </c>
      <c r="L170" s="10"/>
      <c r="M170" s="10"/>
      <c r="N170" s="10"/>
      <c r="O170" s="10"/>
      <c r="P170" s="10"/>
    </row>
    <row r="171" s="2" customFormat="1" ht="14.25" spans="1:16">
      <c r="A171" s="10">
        <v>148</v>
      </c>
      <c r="B171" s="10" t="s">
        <v>681</v>
      </c>
      <c r="C171" s="10" t="s">
        <v>682</v>
      </c>
      <c r="D171" s="12" t="s">
        <v>611</v>
      </c>
      <c r="E171" s="12" t="s">
        <v>334</v>
      </c>
      <c r="F171" s="10" t="s">
        <v>343</v>
      </c>
      <c r="G171" s="10">
        <f>SUMIF(成品月初库存!$C$3:$C$362,$B171,成品月初库存!$F$3:$F$362)</f>
        <v>0</v>
      </c>
      <c r="H171" s="10">
        <f>SUMIF(成品入库明细!$D$2:$D$500,$B171,成品入库明细!$G$2:$G$500)</f>
        <v>0</v>
      </c>
      <c r="I171" s="10">
        <f>SUMIF(成品出库明细!$D$2:$D$1172,$B171,成品出库明细!$G$2:$G$1172)</f>
        <v>0</v>
      </c>
      <c r="J171" s="10">
        <f t="shared" si="3"/>
        <v>0</v>
      </c>
      <c r="K171" s="12" t="s">
        <v>300</v>
      </c>
      <c r="L171" s="10"/>
      <c r="M171" s="10"/>
      <c r="N171" s="10"/>
      <c r="O171" s="10"/>
      <c r="P171" s="10"/>
    </row>
    <row r="172" s="2" customFormat="1" ht="14.25" spans="1:16">
      <c r="A172" s="10">
        <v>149</v>
      </c>
      <c r="B172" s="10" t="s">
        <v>683</v>
      </c>
      <c r="C172" s="10" t="s">
        <v>684</v>
      </c>
      <c r="D172" s="12" t="s">
        <v>611</v>
      </c>
      <c r="E172" s="12" t="s">
        <v>334</v>
      </c>
      <c r="F172" s="10" t="s">
        <v>343</v>
      </c>
      <c r="G172" s="10">
        <f>SUMIF(成品月初库存!$C$3:$C$362,$B172,成品月初库存!$F$3:$F$362)</f>
        <v>0</v>
      </c>
      <c r="H172" s="10">
        <f>SUMIF(成品入库明细!$D$2:$D$500,$B172,成品入库明细!$G$2:$G$500)</f>
        <v>0</v>
      </c>
      <c r="I172" s="10">
        <f>SUMIF(成品出库明细!$D$2:$D$1172,$B172,成品出库明细!$G$2:$G$1172)</f>
        <v>0</v>
      </c>
      <c r="J172" s="10">
        <f t="shared" si="3"/>
        <v>0</v>
      </c>
      <c r="K172" s="12" t="s">
        <v>300</v>
      </c>
      <c r="L172" s="10"/>
      <c r="M172" s="10"/>
      <c r="N172" s="10"/>
      <c r="O172" s="10"/>
      <c r="P172" s="10"/>
    </row>
    <row r="173" s="2" customFormat="1" ht="14.25" spans="1:16">
      <c r="A173" s="10">
        <v>150</v>
      </c>
      <c r="B173" s="10" t="s">
        <v>685</v>
      </c>
      <c r="C173" s="10" t="s">
        <v>686</v>
      </c>
      <c r="D173" s="12" t="s">
        <v>611</v>
      </c>
      <c r="E173" s="12" t="s">
        <v>334</v>
      </c>
      <c r="F173" s="10" t="s">
        <v>343</v>
      </c>
      <c r="G173" s="10">
        <f>SUMIF(成品月初库存!$C$3:$C$362,$B173,成品月初库存!$F$3:$F$362)</f>
        <v>0</v>
      </c>
      <c r="H173" s="10">
        <f>SUMIF(成品入库明细!$D$2:$D$500,$B173,成品入库明细!$G$2:$G$500)</f>
        <v>0</v>
      </c>
      <c r="I173" s="10">
        <f>SUMIF(成品出库明细!$D$2:$D$1172,$B173,成品出库明细!$G$2:$G$1172)</f>
        <v>0</v>
      </c>
      <c r="J173" s="10">
        <f t="shared" si="3"/>
        <v>0</v>
      </c>
      <c r="K173" s="12" t="s">
        <v>300</v>
      </c>
      <c r="L173" s="10"/>
      <c r="M173" s="10"/>
      <c r="N173" s="10"/>
      <c r="O173" s="10"/>
      <c r="P173" s="10"/>
    </row>
    <row r="174" s="2" customFormat="1" ht="14.25" spans="1:16">
      <c r="A174" s="10">
        <v>151</v>
      </c>
      <c r="B174" s="10" t="s">
        <v>687</v>
      </c>
      <c r="C174" s="10" t="s">
        <v>688</v>
      </c>
      <c r="D174" s="12" t="s">
        <v>611</v>
      </c>
      <c r="E174" s="12" t="s">
        <v>334</v>
      </c>
      <c r="F174" s="10" t="s">
        <v>343</v>
      </c>
      <c r="G174" s="10">
        <f>SUMIF(成品月初库存!$C$3:$C$362,$B174,成品月初库存!$F$3:$F$362)</f>
        <v>0</v>
      </c>
      <c r="H174" s="10">
        <f>SUMIF(成品入库明细!$D$2:$D$500,$B174,成品入库明细!$G$2:$G$500)</f>
        <v>0</v>
      </c>
      <c r="I174" s="10">
        <f>SUMIF(成品出库明细!$D$2:$D$1172,$B174,成品出库明细!$G$2:$G$1172)</f>
        <v>0</v>
      </c>
      <c r="J174" s="10">
        <f t="shared" si="3"/>
        <v>0</v>
      </c>
      <c r="K174" s="12" t="s">
        <v>300</v>
      </c>
      <c r="L174" s="10"/>
      <c r="M174" s="10"/>
      <c r="N174" s="10"/>
      <c r="O174" s="10"/>
      <c r="P174" s="10"/>
    </row>
    <row r="175" s="2" customFormat="1" ht="14.25" spans="1:16">
      <c r="A175" s="10"/>
      <c r="B175" s="10" t="s">
        <v>689</v>
      </c>
      <c r="C175" s="10" t="s">
        <v>690</v>
      </c>
      <c r="D175" s="12" t="s">
        <v>611</v>
      </c>
      <c r="E175" s="12" t="s">
        <v>334</v>
      </c>
      <c r="F175" s="10" t="s">
        <v>343</v>
      </c>
      <c r="G175" s="10">
        <f>SUMIF(成品月初库存!$C$3:$C$362,$B175,成品月初库存!$F$3:$F$362)</f>
        <v>0</v>
      </c>
      <c r="H175" s="10">
        <f>SUMIF(成品入库明细!$D$2:$D$500,$B175,成品入库明细!$G$2:$G$500)</f>
        <v>0</v>
      </c>
      <c r="I175" s="10">
        <f>SUMIF(成品出库明细!$D$2:$D$1172,$B175,成品出库明细!$G$2:$G$1172)</f>
        <v>0</v>
      </c>
      <c r="J175" s="10">
        <f t="shared" si="3"/>
        <v>0</v>
      </c>
      <c r="K175" s="12" t="s">
        <v>300</v>
      </c>
      <c r="L175" s="10"/>
      <c r="M175" s="10"/>
      <c r="N175" s="10"/>
      <c r="O175" s="10"/>
      <c r="P175" s="10"/>
    </row>
    <row r="176" s="2" customFormat="1" ht="14.25" spans="1:16">
      <c r="A176" s="10"/>
      <c r="B176" s="10" t="s">
        <v>691</v>
      </c>
      <c r="C176" s="10" t="s">
        <v>692</v>
      </c>
      <c r="D176" s="12" t="s">
        <v>693</v>
      </c>
      <c r="E176" s="12" t="s">
        <v>334</v>
      </c>
      <c r="F176" s="10" t="s">
        <v>343</v>
      </c>
      <c r="G176" s="10">
        <f>SUMIF(成品月初库存!$C$3:$C$362,$B176,成品月初库存!$F$3:$F$362)</f>
        <v>0</v>
      </c>
      <c r="H176" s="10">
        <f>SUMIF(成品入库明细!$D$2:$D$500,$B176,成品入库明细!$G$2:$G$500)</f>
        <v>0</v>
      </c>
      <c r="I176" s="10">
        <f>SUMIF(成品出库明细!$D$2:$D$1172,$B176,成品出库明细!$G$2:$G$1172)</f>
        <v>0</v>
      </c>
      <c r="J176" s="10">
        <f t="shared" si="3"/>
        <v>0</v>
      </c>
      <c r="K176" s="12" t="s">
        <v>370</v>
      </c>
      <c r="L176" s="10"/>
      <c r="M176" s="10"/>
      <c r="N176" s="10"/>
      <c r="O176" s="10"/>
      <c r="P176" s="10"/>
    </row>
    <row r="177" s="2" customFormat="1" ht="14.25" spans="1:16">
      <c r="A177" s="10"/>
      <c r="B177" s="10" t="s">
        <v>694</v>
      </c>
      <c r="C177" s="12" t="s">
        <v>695</v>
      </c>
      <c r="D177" s="12" t="s">
        <v>611</v>
      </c>
      <c r="E177" s="12" t="s">
        <v>334</v>
      </c>
      <c r="F177" s="10" t="s">
        <v>343</v>
      </c>
      <c r="G177" s="10">
        <f>SUMIF(成品月初库存!$C$3:$C$362,$B177,成品月初库存!$F$3:$F$362)</f>
        <v>0</v>
      </c>
      <c r="H177" s="10">
        <f>SUMIF(成品入库明细!$D$2:$D$500,$B177,成品入库明细!$G$2:$G$500)</f>
        <v>0</v>
      </c>
      <c r="I177" s="10">
        <f>SUMIF(成品出库明细!$D$2:$D$1172,$B177,成品出库明细!$G$2:$G$1172)</f>
        <v>0</v>
      </c>
      <c r="J177" s="10">
        <f t="shared" si="3"/>
        <v>0</v>
      </c>
      <c r="K177" s="12" t="s">
        <v>514</v>
      </c>
      <c r="L177" s="10"/>
      <c r="M177" s="10"/>
      <c r="N177" s="10"/>
      <c r="O177" s="10"/>
      <c r="P177" s="10"/>
    </row>
    <row r="178" s="2" customFormat="1" ht="14.25" spans="1:16">
      <c r="A178" s="10"/>
      <c r="B178" s="10" t="s">
        <v>696</v>
      </c>
      <c r="C178" s="10" t="s">
        <v>697</v>
      </c>
      <c r="D178" s="12" t="s">
        <v>611</v>
      </c>
      <c r="E178" s="12" t="s">
        <v>334</v>
      </c>
      <c r="F178" s="10" t="s">
        <v>343</v>
      </c>
      <c r="G178" s="10">
        <f>SUMIF(成品月初库存!$C$3:$C$362,$B178,成品月初库存!$F$3:$F$362)</f>
        <v>0</v>
      </c>
      <c r="H178" s="10">
        <f>SUMIF(成品入库明细!$D$2:$D$500,$B178,成品入库明细!$G$2:$G$500)</f>
        <v>0</v>
      </c>
      <c r="I178" s="10">
        <f>SUMIF(成品出库明细!$D$2:$D$1172,$B178,成品出库明细!$G$2:$G$1172)</f>
        <v>0</v>
      </c>
      <c r="J178" s="10">
        <f t="shared" si="3"/>
        <v>0</v>
      </c>
      <c r="K178" s="12" t="s">
        <v>300</v>
      </c>
      <c r="L178" s="10"/>
      <c r="M178" s="10"/>
      <c r="N178" s="10"/>
      <c r="O178" s="10"/>
      <c r="P178" s="10"/>
    </row>
    <row r="179" s="2" customFormat="1" ht="14.25" spans="1:16">
      <c r="A179" s="10"/>
      <c r="B179" s="10" t="s">
        <v>698</v>
      </c>
      <c r="C179" s="10" t="s">
        <v>699</v>
      </c>
      <c r="D179" s="12" t="s">
        <v>693</v>
      </c>
      <c r="E179" s="12" t="s">
        <v>334</v>
      </c>
      <c r="F179" s="10" t="s">
        <v>343</v>
      </c>
      <c r="G179" s="10">
        <f>SUMIF(成品月初库存!$C$3:$C$362,$B179,成品月初库存!$F$3:$F$362)</f>
        <v>0</v>
      </c>
      <c r="H179" s="10">
        <f>SUMIF(成品入库明细!$D$2:$D$500,$B179,成品入库明细!$G$2:$G$500)</f>
        <v>0</v>
      </c>
      <c r="I179" s="10">
        <f>SUMIF(成品出库明细!$D$2:$D$1172,$B179,成品出库明细!$G$2:$G$1172)</f>
        <v>0</v>
      </c>
      <c r="J179" s="10">
        <f t="shared" si="3"/>
        <v>0</v>
      </c>
      <c r="K179" s="12" t="s">
        <v>300</v>
      </c>
      <c r="L179" s="10"/>
      <c r="M179" s="10"/>
      <c r="N179" s="10"/>
      <c r="O179" s="10"/>
      <c r="P179" s="10"/>
    </row>
    <row r="180" s="2" customFormat="1" ht="14.25" spans="1:16">
      <c r="A180" s="10"/>
      <c r="B180" s="10" t="s">
        <v>700</v>
      </c>
      <c r="C180" s="10" t="s">
        <v>701</v>
      </c>
      <c r="D180" s="12" t="s">
        <v>693</v>
      </c>
      <c r="E180" s="12" t="s">
        <v>334</v>
      </c>
      <c r="F180" s="10" t="s">
        <v>343</v>
      </c>
      <c r="G180" s="10">
        <f>SUMIF(成品月初库存!$C$3:$C$362,$B180,成品月初库存!$F$3:$F$362)</f>
        <v>0</v>
      </c>
      <c r="H180" s="10">
        <f>SUMIF(成品入库明细!$D$2:$D$500,$B180,成品入库明细!$G$2:$G$500)</f>
        <v>0</v>
      </c>
      <c r="I180" s="10">
        <f>SUMIF(成品出库明细!$D$2:$D$1172,$B180,成品出库明细!$G$2:$G$1172)</f>
        <v>0</v>
      </c>
      <c r="J180" s="10">
        <f t="shared" si="3"/>
        <v>0</v>
      </c>
      <c r="K180" s="12" t="s">
        <v>300</v>
      </c>
      <c r="L180" s="10"/>
      <c r="M180" s="10"/>
      <c r="N180" s="10"/>
      <c r="O180" s="10"/>
      <c r="P180" s="10"/>
    </row>
    <row r="181" s="2" customFormat="1" ht="14.25" spans="1:16">
      <c r="A181" s="10"/>
      <c r="B181" s="10" t="s">
        <v>702</v>
      </c>
      <c r="C181" s="10" t="s">
        <v>703</v>
      </c>
      <c r="D181" s="12" t="s">
        <v>611</v>
      </c>
      <c r="E181" s="12" t="s">
        <v>334</v>
      </c>
      <c r="F181" s="10" t="s">
        <v>343</v>
      </c>
      <c r="G181" s="10">
        <f>SUMIF(成品月初库存!$C$3:$C$362,$B181,成品月初库存!$F$3:$F$362)</f>
        <v>0</v>
      </c>
      <c r="H181" s="10">
        <f>SUMIF(成品入库明细!$D$2:$D$500,$B181,成品入库明细!$G$2:$G$500)</f>
        <v>0</v>
      </c>
      <c r="I181" s="10">
        <f>SUMIF(成品出库明细!$D$2:$D$1172,$B181,成品出库明细!$G$2:$G$1172)</f>
        <v>0</v>
      </c>
      <c r="J181" s="10">
        <f t="shared" si="3"/>
        <v>0</v>
      </c>
      <c r="K181" s="12" t="s">
        <v>300</v>
      </c>
      <c r="L181" s="10"/>
      <c r="M181" s="10"/>
      <c r="N181" s="10"/>
      <c r="O181" s="10"/>
      <c r="P181" s="10"/>
    </row>
    <row r="182" s="2" customFormat="1" ht="14.25" spans="1:16">
      <c r="A182" s="10"/>
      <c r="B182" s="10" t="s">
        <v>704</v>
      </c>
      <c r="C182" s="10" t="s">
        <v>705</v>
      </c>
      <c r="D182" s="12" t="s">
        <v>611</v>
      </c>
      <c r="E182" s="12" t="s">
        <v>334</v>
      </c>
      <c r="F182" s="10" t="s">
        <v>343</v>
      </c>
      <c r="G182" s="10">
        <f>SUMIF(成品月初库存!$C$3:$C$362,$B182,成品月初库存!$F$3:$F$362)</f>
        <v>0</v>
      </c>
      <c r="H182" s="10">
        <f>SUMIF(成品入库明细!$D$2:$D$500,$B182,成品入库明细!$G$2:$G$500)</f>
        <v>0</v>
      </c>
      <c r="I182" s="10">
        <f>SUMIF(成品出库明细!$D$2:$D$1172,$B182,成品出库明细!$G$2:$G$1172)</f>
        <v>0</v>
      </c>
      <c r="J182" s="10">
        <f t="shared" si="3"/>
        <v>0</v>
      </c>
      <c r="K182" s="12" t="s">
        <v>300</v>
      </c>
      <c r="L182" s="10"/>
      <c r="M182" s="10"/>
      <c r="N182" s="10"/>
      <c r="O182" s="10"/>
      <c r="P182" s="10"/>
    </row>
    <row r="183" s="2" customFormat="1" ht="14.25" spans="1:16">
      <c r="A183" s="10">
        <v>152</v>
      </c>
      <c r="B183" s="10" t="s">
        <v>706</v>
      </c>
      <c r="C183" s="12" t="s">
        <v>707</v>
      </c>
      <c r="D183" s="12" t="s">
        <v>708</v>
      </c>
      <c r="E183" s="12" t="s">
        <v>334</v>
      </c>
      <c r="F183" s="10" t="s">
        <v>343</v>
      </c>
      <c r="G183" s="10">
        <f>SUMIF(成品月初库存!$C$3:$C$362,$B183,成品月初库存!$F$3:$F$362)</f>
        <v>0</v>
      </c>
      <c r="H183" s="10">
        <f>SUMIF(成品入库明细!$D$2:$D$500,$B183,成品入库明细!$G$2:$G$500)</f>
        <v>0</v>
      </c>
      <c r="I183" s="10">
        <f>SUMIF(成品出库明细!$D$2:$D$1172,$B183,成品出库明细!$G$2:$G$1172)</f>
        <v>0</v>
      </c>
      <c r="J183" s="10">
        <f t="shared" si="3"/>
        <v>0</v>
      </c>
      <c r="K183" s="12" t="s">
        <v>709</v>
      </c>
      <c r="L183" s="10"/>
      <c r="M183" s="10"/>
      <c r="N183" s="10"/>
      <c r="O183" s="10"/>
      <c r="P183" s="10"/>
    </row>
    <row r="184" s="2" customFormat="1" ht="14.25" spans="1:16">
      <c r="A184" s="10">
        <v>153</v>
      </c>
      <c r="B184" s="10" t="s">
        <v>710</v>
      </c>
      <c r="C184" s="12" t="s">
        <v>711</v>
      </c>
      <c r="D184" s="12" t="s">
        <v>712</v>
      </c>
      <c r="E184" s="12" t="s">
        <v>334</v>
      </c>
      <c r="F184" s="10" t="s">
        <v>343</v>
      </c>
      <c r="G184" s="10">
        <f>SUMIF(成品月初库存!$C$3:$C$362,$B184,成品月初库存!$F$3:$F$362)</f>
        <v>0</v>
      </c>
      <c r="H184" s="10">
        <f>SUMIF(成品入库明细!$D$2:$D$500,$B184,成品入库明细!$G$2:$G$500)</f>
        <v>0</v>
      </c>
      <c r="I184" s="10">
        <f>SUMIF(成品出库明细!$D$2:$D$1172,$B184,成品出库明细!$G$2:$G$1172)</f>
        <v>0</v>
      </c>
      <c r="J184" s="10">
        <f t="shared" si="3"/>
        <v>0</v>
      </c>
      <c r="K184" s="12" t="s">
        <v>300</v>
      </c>
      <c r="L184" s="10"/>
      <c r="M184" s="10"/>
      <c r="N184" s="10"/>
      <c r="O184" s="10"/>
      <c r="P184" s="10"/>
    </row>
    <row r="185" s="2" customFormat="1" ht="14.25" spans="1:16">
      <c r="A185" s="10">
        <v>154</v>
      </c>
      <c r="B185" s="10" t="s">
        <v>713</v>
      </c>
      <c r="C185" s="12" t="s">
        <v>714</v>
      </c>
      <c r="D185" s="12" t="s">
        <v>715</v>
      </c>
      <c r="E185" s="12" t="s">
        <v>334</v>
      </c>
      <c r="F185" s="10" t="s">
        <v>343</v>
      </c>
      <c r="G185" s="10">
        <f>SUMIF(成品月初库存!$C$3:$C$362,$B185,成品月初库存!$F$3:$F$362)</f>
        <v>0</v>
      </c>
      <c r="H185" s="10">
        <f>SUMIF(成品入库明细!$D$2:$D$500,$B185,成品入库明细!$G$2:$G$500)</f>
        <v>0</v>
      </c>
      <c r="I185" s="10">
        <f>SUMIF(成品出库明细!$D$2:$D$1172,$B185,成品出库明细!$G$2:$G$1172)</f>
        <v>0</v>
      </c>
      <c r="J185" s="10">
        <f t="shared" si="3"/>
        <v>0</v>
      </c>
      <c r="K185" s="12" t="s">
        <v>716</v>
      </c>
      <c r="L185" s="10"/>
      <c r="M185" s="10"/>
      <c r="N185" s="10"/>
      <c r="O185" s="10"/>
      <c r="P185" s="10"/>
    </row>
    <row r="186" s="2" customFormat="1" ht="14.25" spans="1:16">
      <c r="A186" s="10">
        <v>155</v>
      </c>
      <c r="B186" s="10" t="s">
        <v>717</v>
      </c>
      <c r="C186" s="12" t="s">
        <v>718</v>
      </c>
      <c r="D186" s="12" t="s">
        <v>715</v>
      </c>
      <c r="E186" s="12" t="s">
        <v>334</v>
      </c>
      <c r="F186" s="10" t="s">
        <v>343</v>
      </c>
      <c r="G186" s="10">
        <f>SUMIF(成品月初库存!$C$3:$C$362,$B186,成品月初库存!$F$3:$F$362)</f>
        <v>0</v>
      </c>
      <c r="H186" s="10">
        <f>SUMIF(成品入库明细!$D$2:$D$500,$B186,成品入库明细!$G$2:$G$500)</f>
        <v>0</v>
      </c>
      <c r="I186" s="10">
        <f>SUMIF(成品出库明细!$D$2:$D$1172,$B186,成品出库明细!$G$2:$G$1172)</f>
        <v>0</v>
      </c>
      <c r="J186" s="10">
        <f t="shared" si="3"/>
        <v>0</v>
      </c>
      <c r="K186" s="12" t="s">
        <v>716</v>
      </c>
      <c r="L186" s="10"/>
      <c r="M186" s="10"/>
      <c r="N186" s="10"/>
      <c r="O186" s="10"/>
      <c r="P186" s="10"/>
    </row>
    <row r="187" s="2" customFormat="1" ht="14.25" spans="1:16">
      <c r="A187" s="10">
        <v>156</v>
      </c>
      <c r="B187" s="10" t="s">
        <v>719</v>
      </c>
      <c r="C187" s="12" t="s">
        <v>720</v>
      </c>
      <c r="D187" s="12" t="s">
        <v>715</v>
      </c>
      <c r="E187" s="12" t="s">
        <v>334</v>
      </c>
      <c r="F187" s="10" t="s">
        <v>343</v>
      </c>
      <c r="G187" s="10">
        <f>SUMIF(成品月初库存!$C$3:$C$362,$B187,成品月初库存!$F$3:$F$362)</f>
        <v>0</v>
      </c>
      <c r="H187" s="10">
        <f>SUMIF(成品入库明细!$D$2:$D$500,$B187,成品入库明细!$G$2:$G$500)</f>
        <v>0</v>
      </c>
      <c r="I187" s="10">
        <f>SUMIF(成品出库明细!$D$2:$D$1172,$B187,成品出库明细!$G$2:$G$1172)</f>
        <v>0</v>
      </c>
      <c r="J187" s="10">
        <f t="shared" si="3"/>
        <v>0</v>
      </c>
      <c r="K187" s="12" t="s">
        <v>716</v>
      </c>
      <c r="L187" s="10"/>
      <c r="M187" s="10"/>
      <c r="N187" s="10"/>
      <c r="O187" s="10"/>
      <c r="P187" s="10"/>
    </row>
    <row r="188" s="2" customFormat="1" ht="14.25" spans="1:16">
      <c r="A188" s="10">
        <v>157</v>
      </c>
      <c r="B188" s="10" t="s">
        <v>721</v>
      </c>
      <c r="C188" s="12" t="s">
        <v>722</v>
      </c>
      <c r="D188" s="12" t="s">
        <v>715</v>
      </c>
      <c r="E188" s="12" t="s">
        <v>334</v>
      </c>
      <c r="F188" s="10" t="s">
        <v>343</v>
      </c>
      <c r="G188" s="10">
        <f>SUMIF(成品月初库存!$C$3:$C$362,$B188,成品月初库存!$F$3:$F$362)</f>
        <v>0</v>
      </c>
      <c r="H188" s="10">
        <f>SUMIF(成品入库明细!$D$2:$D$500,$B188,成品入库明细!$G$2:$G$500)</f>
        <v>0</v>
      </c>
      <c r="I188" s="10">
        <f>SUMIF(成品出库明细!$D$2:$D$1172,$B188,成品出库明细!$G$2:$G$1172)</f>
        <v>0</v>
      </c>
      <c r="J188" s="10">
        <f t="shared" si="3"/>
        <v>0</v>
      </c>
      <c r="K188" s="12" t="s">
        <v>300</v>
      </c>
      <c r="L188" s="10"/>
      <c r="M188" s="10"/>
      <c r="N188" s="10"/>
      <c r="O188" s="10"/>
      <c r="P188" s="10"/>
    </row>
    <row r="189" s="2" customFormat="1" ht="14.25" spans="1:16">
      <c r="A189" s="10">
        <v>158</v>
      </c>
      <c r="B189" s="10" t="s">
        <v>723</v>
      </c>
      <c r="C189" s="12" t="s">
        <v>724</v>
      </c>
      <c r="D189" s="12" t="s">
        <v>715</v>
      </c>
      <c r="E189" s="12" t="s">
        <v>334</v>
      </c>
      <c r="F189" s="10" t="s">
        <v>343</v>
      </c>
      <c r="G189" s="10">
        <f>SUMIF(成品月初库存!$C$3:$C$362,$B189,成品月初库存!$F$3:$F$362)</f>
        <v>0</v>
      </c>
      <c r="H189" s="10">
        <f>SUMIF(成品入库明细!$D$2:$D$500,$B189,成品入库明细!$G$2:$G$500)</f>
        <v>0</v>
      </c>
      <c r="I189" s="10">
        <f>SUMIF(成品出库明细!$D$2:$D$1172,$B189,成品出库明细!$G$2:$G$1172)</f>
        <v>0</v>
      </c>
      <c r="J189" s="10">
        <f t="shared" si="3"/>
        <v>0</v>
      </c>
      <c r="K189" s="12" t="s">
        <v>300</v>
      </c>
      <c r="L189" s="10"/>
      <c r="M189" s="10"/>
      <c r="N189" s="10"/>
      <c r="O189" s="10"/>
      <c r="P189" s="10"/>
    </row>
    <row r="190" s="2" customFormat="1" ht="14.25" spans="1:16">
      <c r="A190" s="10">
        <v>159</v>
      </c>
      <c r="B190" s="10" t="s">
        <v>725</v>
      </c>
      <c r="C190" s="12" t="s">
        <v>726</v>
      </c>
      <c r="D190" s="12" t="s">
        <v>715</v>
      </c>
      <c r="E190" s="12" t="s">
        <v>334</v>
      </c>
      <c r="F190" s="10" t="s">
        <v>343</v>
      </c>
      <c r="G190" s="10">
        <f>SUMIF(成品月初库存!$C$3:$C$362,$B190,成品月初库存!$F$3:$F$362)</f>
        <v>0</v>
      </c>
      <c r="H190" s="10">
        <f>SUMIF(成品入库明细!$D$2:$D$500,$B190,成品入库明细!$G$2:$G$500)</f>
        <v>0</v>
      </c>
      <c r="I190" s="10">
        <f>SUMIF(成品出库明细!$D$2:$D$1172,$B190,成品出库明细!$G$2:$G$1172)</f>
        <v>0</v>
      </c>
      <c r="J190" s="10">
        <f t="shared" si="3"/>
        <v>0</v>
      </c>
      <c r="K190" s="12" t="s">
        <v>716</v>
      </c>
      <c r="L190" s="10"/>
      <c r="M190" s="10"/>
      <c r="N190" s="10"/>
      <c r="O190" s="10"/>
      <c r="P190" s="10"/>
    </row>
    <row r="191" s="2" customFormat="1" ht="14.25" spans="1:16">
      <c r="A191" s="10">
        <v>160</v>
      </c>
      <c r="B191" s="10" t="s">
        <v>727</v>
      </c>
      <c r="C191" s="12" t="s">
        <v>728</v>
      </c>
      <c r="D191" s="12" t="s">
        <v>715</v>
      </c>
      <c r="E191" s="12" t="s">
        <v>334</v>
      </c>
      <c r="F191" s="10" t="s">
        <v>343</v>
      </c>
      <c r="G191" s="10">
        <f>SUMIF(成品月初库存!$C$3:$C$362,$B191,成品月初库存!$F$3:$F$362)</f>
        <v>0</v>
      </c>
      <c r="H191" s="10">
        <f>SUMIF(成品入库明细!$D$2:$D$500,$B191,成品入库明细!$G$2:$G$500)</f>
        <v>0</v>
      </c>
      <c r="I191" s="10">
        <f>SUMIF(成品出库明细!$D$2:$D$1172,$B191,成品出库明细!$G$2:$G$1172)</f>
        <v>0</v>
      </c>
      <c r="J191" s="10">
        <f t="shared" si="3"/>
        <v>0</v>
      </c>
      <c r="K191" s="12" t="s">
        <v>716</v>
      </c>
      <c r="L191" s="10"/>
      <c r="M191" s="10"/>
      <c r="N191" s="10"/>
      <c r="O191" s="10"/>
      <c r="P191" s="10"/>
    </row>
    <row r="192" s="2" customFormat="1" ht="14.25" spans="1:16">
      <c r="A192" s="10">
        <v>161</v>
      </c>
      <c r="B192" s="10" t="s">
        <v>729</v>
      </c>
      <c r="C192" s="12" t="s">
        <v>730</v>
      </c>
      <c r="D192" s="12" t="s">
        <v>715</v>
      </c>
      <c r="E192" s="12" t="s">
        <v>334</v>
      </c>
      <c r="F192" s="10" t="s">
        <v>343</v>
      </c>
      <c r="G192" s="10">
        <f>SUMIF(成品月初库存!$C$3:$C$362,$B192,成品月初库存!$F$3:$F$362)</f>
        <v>0</v>
      </c>
      <c r="H192" s="10">
        <f>SUMIF(成品入库明细!$D$2:$D$500,$B192,成品入库明细!$G$2:$G$500)</f>
        <v>0</v>
      </c>
      <c r="I192" s="10">
        <f>SUMIF(成品出库明细!$D$2:$D$1172,$B192,成品出库明细!$G$2:$G$1172)</f>
        <v>0</v>
      </c>
      <c r="J192" s="10">
        <f t="shared" si="3"/>
        <v>0</v>
      </c>
      <c r="K192" s="12" t="s">
        <v>716</v>
      </c>
      <c r="L192" s="10"/>
      <c r="M192" s="10"/>
      <c r="N192" s="10"/>
      <c r="O192" s="10"/>
      <c r="P192" s="10"/>
    </row>
    <row r="193" s="2" customFormat="1" ht="15.75" spans="1:16">
      <c r="A193" s="10">
        <v>162</v>
      </c>
      <c r="B193" s="10" t="s">
        <v>731</v>
      </c>
      <c r="C193" s="12" t="s">
        <v>732</v>
      </c>
      <c r="D193" s="12" t="s">
        <v>715</v>
      </c>
      <c r="E193" s="12" t="s">
        <v>334</v>
      </c>
      <c r="F193" s="10" t="s">
        <v>343</v>
      </c>
      <c r="G193" s="10">
        <f>SUMIF(成品月初库存!$C$3:$C$362,$B193,成品月初库存!$F$3:$F$362)</f>
        <v>0</v>
      </c>
      <c r="H193" s="10">
        <f>SUMIF(成品入库明细!$D$2:$D$500,$B193,成品入库明细!$G$2:$G$500)</f>
        <v>0</v>
      </c>
      <c r="I193" s="10">
        <f>SUMIF(成品出库明细!$D$2:$D$1172,$B193,成品出库明细!$G$2:$G$1172)</f>
        <v>0</v>
      </c>
      <c r="J193" s="10">
        <f t="shared" si="3"/>
        <v>0</v>
      </c>
      <c r="K193" s="11" t="s">
        <v>733</v>
      </c>
      <c r="L193" s="10"/>
      <c r="M193" s="10"/>
      <c r="N193" s="10"/>
      <c r="O193" s="10"/>
      <c r="P193" s="10"/>
    </row>
    <row r="194" s="2" customFormat="1" ht="14.25" spans="1:16">
      <c r="A194" s="10">
        <v>163</v>
      </c>
      <c r="B194" s="10" t="s">
        <v>734</v>
      </c>
      <c r="C194" s="135" t="s">
        <v>735</v>
      </c>
      <c r="D194" s="12" t="s">
        <v>715</v>
      </c>
      <c r="E194" s="12" t="s">
        <v>334</v>
      </c>
      <c r="F194" s="10" t="s">
        <v>343</v>
      </c>
      <c r="G194" s="10">
        <f>SUMIF(成品月初库存!$C$3:$C$362,$B194,成品月初库存!$F$3:$F$362)</f>
        <v>0</v>
      </c>
      <c r="H194" s="10">
        <f>SUMIF(成品入库明细!$D$2:$D$500,$B194,成品入库明细!$G$2:$G$500)</f>
        <v>0</v>
      </c>
      <c r="I194" s="10">
        <f>SUMIF(成品出库明细!$D$2:$D$1172,$B194,成品出库明细!$G$2:$G$1172)</f>
        <v>0</v>
      </c>
      <c r="J194" s="10">
        <f t="shared" si="3"/>
        <v>0</v>
      </c>
      <c r="K194" s="12" t="s">
        <v>466</v>
      </c>
      <c r="L194" s="10"/>
      <c r="M194" s="10"/>
      <c r="N194" s="10"/>
      <c r="O194" s="10"/>
      <c r="P194" s="10"/>
    </row>
    <row r="195" s="2" customFormat="1" ht="14.25" spans="1:16">
      <c r="A195" s="10">
        <v>164</v>
      </c>
      <c r="B195" s="10" t="s">
        <v>736</v>
      </c>
      <c r="C195" s="12" t="s">
        <v>737</v>
      </c>
      <c r="D195" s="12" t="s">
        <v>715</v>
      </c>
      <c r="E195" s="12" t="s">
        <v>334</v>
      </c>
      <c r="F195" s="10" t="s">
        <v>343</v>
      </c>
      <c r="G195" s="10">
        <f>SUMIF(成品月初库存!$C$3:$C$362,$B195,成品月初库存!$F$3:$F$362)</f>
        <v>0</v>
      </c>
      <c r="H195" s="10">
        <f>SUMIF(成品入库明细!$D$2:$D$500,$B195,成品入库明细!$G$2:$G$500)</f>
        <v>0</v>
      </c>
      <c r="I195" s="10">
        <f>SUMIF(成品出库明细!$D$2:$D$1172,$B195,成品出库明细!$G$2:$G$1172)</f>
        <v>0</v>
      </c>
      <c r="J195" s="10">
        <f t="shared" si="3"/>
        <v>0</v>
      </c>
      <c r="K195" s="12" t="s">
        <v>389</v>
      </c>
      <c r="L195" s="10"/>
      <c r="M195" s="10"/>
      <c r="N195" s="10"/>
      <c r="O195" s="10"/>
      <c r="P195" s="10"/>
    </row>
    <row r="196" s="2" customFormat="1" ht="14.25" spans="1:16">
      <c r="A196" s="10">
        <v>165</v>
      </c>
      <c r="B196" s="10" t="s">
        <v>738</v>
      </c>
      <c r="C196" s="12" t="s">
        <v>739</v>
      </c>
      <c r="D196" s="12" t="s">
        <v>715</v>
      </c>
      <c r="E196" s="12" t="s">
        <v>334</v>
      </c>
      <c r="F196" s="10" t="s">
        <v>343</v>
      </c>
      <c r="G196" s="10">
        <f>SUMIF(成品月初库存!$C$3:$C$362,$B196,成品月初库存!$F$3:$F$362)</f>
        <v>0</v>
      </c>
      <c r="H196" s="10">
        <f>SUMIF(成品入库明细!$D$2:$D$500,$B196,成品入库明细!$G$2:$G$500)</f>
        <v>0</v>
      </c>
      <c r="I196" s="10">
        <f>SUMIF(成品出库明细!$D$2:$D$1172,$B196,成品出库明细!$G$2:$G$1172)</f>
        <v>0</v>
      </c>
      <c r="J196" s="10">
        <f t="shared" si="3"/>
        <v>0</v>
      </c>
      <c r="K196" s="12" t="s">
        <v>389</v>
      </c>
      <c r="L196" s="10"/>
      <c r="M196" s="10"/>
      <c r="N196" s="10"/>
      <c r="O196" s="10"/>
      <c r="P196" s="10"/>
    </row>
    <row r="197" s="2" customFormat="1" ht="14.25" spans="1:16">
      <c r="A197" s="10">
        <v>166</v>
      </c>
      <c r="B197" s="10" t="s">
        <v>740</v>
      </c>
      <c r="C197" s="12" t="s">
        <v>741</v>
      </c>
      <c r="D197" s="12" t="s">
        <v>715</v>
      </c>
      <c r="E197" s="12" t="s">
        <v>334</v>
      </c>
      <c r="F197" s="10" t="s">
        <v>343</v>
      </c>
      <c r="G197" s="10">
        <f>SUMIF(成品月初库存!$C$3:$C$362,$B197,成品月初库存!$F$3:$F$362)</f>
        <v>0</v>
      </c>
      <c r="H197" s="10">
        <f>SUMIF(成品入库明细!$D$2:$D$500,$B197,成品入库明细!$G$2:$G$500)</f>
        <v>0</v>
      </c>
      <c r="I197" s="10">
        <f>SUMIF(成品出库明细!$D$2:$D$1172,$B197,成品出库明细!$G$2:$G$1172)</f>
        <v>0</v>
      </c>
      <c r="J197" s="10">
        <f t="shared" ref="J197:J260" si="4">G197+H197-I197</f>
        <v>0</v>
      </c>
      <c r="K197" s="10" t="s">
        <v>514</v>
      </c>
      <c r="L197" s="10"/>
      <c r="M197" s="10"/>
      <c r="N197" s="10"/>
      <c r="O197" s="10"/>
      <c r="P197" s="10"/>
    </row>
    <row r="198" s="2" customFormat="1" ht="14.25" spans="1:16">
      <c r="A198" s="10">
        <v>167</v>
      </c>
      <c r="B198" s="10" t="s">
        <v>742</v>
      </c>
      <c r="C198" s="10" t="s">
        <v>743</v>
      </c>
      <c r="D198" s="12" t="s">
        <v>744</v>
      </c>
      <c r="E198" s="12" t="s">
        <v>334</v>
      </c>
      <c r="F198" s="10" t="s">
        <v>343</v>
      </c>
      <c r="G198" s="10">
        <f>SUMIF(成品月初库存!$C$3:$C$362,$B198,成品月初库存!$F$3:$F$362)</f>
        <v>0</v>
      </c>
      <c r="H198" s="10">
        <f>SUMIF(成品入库明细!$D$2:$D$500,$B198,成品入库明细!$G$2:$G$500)</f>
        <v>0</v>
      </c>
      <c r="I198" s="10">
        <f>SUMIF(成品出库明细!$D$2:$D$1172,$B198,成品出库明细!$G$2:$G$1172)</f>
        <v>0</v>
      </c>
      <c r="J198" s="10">
        <f t="shared" si="4"/>
        <v>0</v>
      </c>
      <c r="K198" s="12" t="s">
        <v>745</v>
      </c>
      <c r="L198" s="10" t="s">
        <v>746</v>
      </c>
      <c r="M198" s="10"/>
      <c r="N198" s="10"/>
      <c r="O198" s="10"/>
      <c r="P198" s="10"/>
    </row>
    <row r="199" s="2" customFormat="1" ht="14.25" spans="1:16">
      <c r="A199" s="10">
        <v>168</v>
      </c>
      <c r="B199" s="10" t="s">
        <v>747</v>
      </c>
      <c r="C199" s="10" t="s">
        <v>748</v>
      </c>
      <c r="D199" s="12" t="s">
        <v>744</v>
      </c>
      <c r="E199" s="12" t="s">
        <v>334</v>
      </c>
      <c r="F199" s="10" t="s">
        <v>343</v>
      </c>
      <c r="G199" s="10">
        <f>SUMIF(成品月初库存!$C$3:$C$362,$B199,成品月初库存!$F$3:$F$362)</f>
        <v>0</v>
      </c>
      <c r="H199" s="10">
        <f>SUMIF(成品入库明细!$D$2:$D$500,$B199,成品入库明细!$G$2:$G$500)</f>
        <v>0</v>
      </c>
      <c r="I199" s="10">
        <f>SUMIF(成品出库明细!$D$2:$D$1172,$B199,成品出库明细!$G$2:$G$1172)</f>
        <v>0</v>
      </c>
      <c r="J199" s="10">
        <f t="shared" si="4"/>
        <v>0</v>
      </c>
      <c r="K199" s="12" t="s">
        <v>389</v>
      </c>
      <c r="L199" s="10"/>
      <c r="M199" s="10"/>
      <c r="N199" s="10"/>
      <c r="O199" s="10"/>
      <c r="P199" s="10"/>
    </row>
    <row r="200" s="2" customFormat="1" ht="14.25" spans="1:16">
      <c r="A200" s="10">
        <v>169</v>
      </c>
      <c r="B200" s="10" t="s">
        <v>749</v>
      </c>
      <c r="C200" s="10" t="s">
        <v>750</v>
      </c>
      <c r="D200" s="12" t="s">
        <v>744</v>
      </c>
      <c r="E200" s="12" t="s">
        <v>334</v>
      </c>
      <c r="F200" s="10" t="s">
        <v>343</v>
      </c>
      <c r="G200" s="10">
        <f>SUMIF(成品月初库存!$C$3:$C$362,$B200,成品月初库存!$F$3:$F$362)</f>
        <v>0</v>
      </c>
      <c r="H200" s="10">
        <f>SUMIF(成品入库明细!$D$2:$D$500,$B200,成品入库明细!$G$2:$G$500)</f>
        <v>0</v>
      </c>
      <c r="I200" s="10">
        <f>SUMIF(成品出库明细!$D$2:$D$1172,$B200,成品出库明细!$G$2:$G$1172)</f>
        <v>0</v>
      </c>
      <c r="J200" s="10">
        <f t="shared" si="4"/>
        <v>0</v>
      </c>
      <c r="K200" s="12" t="s">
        <v>751</v>
      </c>
      <c r="L200" s="10"/>
      <c r="M200" s="10"/>
      <c r="N200" s="10"/>
      <c r="O200" s="10"/>
      <c r="P200" s="10"/>
    </row>
    <row r="201" s="2" customFormat="1" ht="14.25" spans="1:16">
      <c r="A201" s="10">
        <v>170</v>
      </c>
      <c r="B201" s="10" t="s">
        <v>752</v>
      </c>
      <c r="C201" s="10" t="s">
        <v>753</v>
      </c>
      <c r="D201" s="12" t="s">
        <v>744</v>
      </c>
      <c r="E201" s="12" t="s">
        <v>334</v>
      </c>
      <c r="F201" s="10" t="s">
        <v>343</v>
      </c>
      <c r="G201" s="10">
        <f>SUMIF(成品月初库存!$C$3:$C$362,$B201,成品月初库存!$F$3:$F$362)</f>
        <v>0</v>
      </c>
      <c r="H201" s="10">
        <f>SUMIF(成品入库明细!$D$2:$D$500,$B201,成品入库明细!$G$2:$G$500)</f>
        <v>0</v>
      </c>
      <c r="I201" s="10">
        <f>SUMIF(成品出库明细!$D$2:$D$1172,$B201,成品出库明细!$G$2:$G$1172)</f>
        <v>0</v>
      </c>
      <c r="J201" s="10">
        <f t="shared" si="4"/>
        <v>0</v>
      </c>
      <c r="K201" s="12" t="s">
        <v>466</v>
      </c>
      <c r="L201" s="10"/>
      <c r="M201" s="10"/>
      <c r="N201" s="10"/>
      <c r="O201" s="10"/>
      <c r="P201" s="10"/>
    </row>
    <row r="202" s="2" customFormat="1" ht="14.25" spans="1:16">
      <c r="A202" s="10">
        <v>171</v>
      </c>
      <c r="B202" s="10" t="s">
        <v>754</v>
      </c>
      <c r="C202" s="10" t="s">
        <v>755</v>
      </c>
      <c r="D202" s="12" t="s">
        <v>744</v>
      </c>
      <c r="E202" s="12" t="s">
        <v>334</v>
      </c>
      <c r="F202" s="10" t="s">
        <v>343</v>
      </c>
      <c r="G202" s="10">
        <f>SUMIF(成品月初库存!$C$3:$C$362,$B202,成品月初库存!$F$3:$F$362)</f>
        <v>0</v>
      </c>
      <c r="H202" s="10">
        <f>SUMIF(成品入库明细!$D$2:$D$500,$B202,成品入库明细!$G$2:$G$500)</f>
        <v>0</v>
      </c>
      <c r="I202" s="10">
        <f>SUMIF(成品出库明细!$D$2:$D$1172,$B202,成品出库明细!$G$2:$G$1172)</f>
        <v>0</v>
      </c>
      <c r="J202" s="10">
        <f t="shared" si="4"/>
        <v>0</v>
      </c>
      <c r="K202" s="12" t="s">
        <v>466</v>
      </c>
      <c r="L202" s="10"/>
      <c r="M202" s="10"/>
      <c r="N202" s="10"/>
      <c r="O202" s="10"/>
      <c r="P202" s="10"/>
    </row>
    <row r="203" s="2" customFormat="1" ht="14.25" spans="1:16">
      <c r="A203" s="10">
        <v>172</v>
      </c>
      <c r="B203" s="10" t="s">
        <v>756</v>
      </c>
      <c r="C203" s="10" t="s">
        <v>757</v>
      </c>
      <c r="D203" s="12" t="s">
        <v>744</v>
      </c>
      <c r="E203" s="12" t="s">
        <v>334</v>
      </c>
      <c r="F203" s="10" t="s">
        <v>343</v>
      </c>
      <c r="G203" s="10">
        <f>SUMIF(成品月初库存!$C$3:$C$362,$B203,成品月初库存!$F$3:$F$362)</f>
        <v>0</v>
      </c>
      <c r="H203" s="10">
        <f>SUMIF(成品入库明细!$D$2:$D$500,$B203,成品入库明细!$G$2:$G$500)</f>
        <v>0</v>
      </c>
      <c r="I203" s="10">
        <f>SUMIF(成品出库明细!$D$2:$D$1172,$B203,成品出库明细!$G$2:$G$1172)</f>
        <v>0</v>
      </c>
      <c r="J203" s="10">
        <f t="shared" si="4"/>
        <v>0</v>
      </c>
      <c r="K203" s="12" t="s">
        <v>466</v>
      </c>
      <c r="L203" s="10"/>
      <c r="M203" s="10"/>
      <c r="N203" s="10"/>
      <c r="O203" s="10"/>
      <c r="P203" s="10"/>
    </row>
    <row r="204" s="2" customFormat="1" ht="14.25" spans="1:16">
      <c r="A204" s="10">
        <v>173</v>
      </c>
      <c r="B204" s="10" t="s">
        <v>758</v>
      </c>
      <c r="C204" s="10" t="s">
        <v>759</v>
      </c>
      <c r="D204" s="12" t="s">
        <v>744</v>
      </c>
      <c r="E204" s="12" t="s">
        <v>334</v>
      </c>
      <c r="F204" s="10" t="s">
        <v>343</v>
      </c>
      <c r="G204" s="10">
        <f>SUMIF(成品月初库存!$C$3:$C$362,$B204,成品月初库存!$F$3:$F$362)</f>
        <v>0</v>
      </c>
      <c r="H204" s="10">
        <f>SUMIF(成品入库明细!$D$2:$D$500,$B204,成品入库明细!$G$2:$G$500)</f>
        <v>0</v>
      </c>
      <c r="I204" s="10">
        <f>SUMIF(成品出库明细!$D$2:$D$1172,$B204,成品出库明细!$G$2:$G$1172)</f>
        <v>0</v>
      </c>
      <c r="J204" s="10">
        <f t="shared" si="4"/>
        <v>0</v>
      </c>
      <c r="K204" s="12" t="s">
        <v>466</v>
      </c>
      <c r="L204" s="10"/>
      <c r="M204" s="10"/>
      <c r="N204" s="10"/>
      <c r="O204" s="10"/>
      <c r="P204" s="10"/>
    </row>
    <row r="205" s="2" customFormat="1" ht="15.75" spans="1:16">
      <c r="A205" s="10">
        <v>174</v>
      </c>
      <c r="B205" s="10" t="s">
        <v>55</v>
      </c>
      <c r="C205" s="11" t="s">
        <v>760</v>
      </c>
      <c r="D205" s="12" t="s">
        <v>761</v>
      </c>
      <c r="E205" s="12" t="s">
        <v>334</v>
      </c>
      <c r="F205" s="10" t="s">
        <v>343</v>
      </c>
      <c r="G205" s="10">
        <f>SUMIF(成品月初库存!$C$3:$C$362,$B205,成品月初库存!$F$3:$F$362)</f>
        <v>50978</v>
      </c>
      <c r="H205" s="10">
        <f>SUMIF(成品入库明细!$D$2:$D$500,$B205,成品入库明细!$G$2:$G$500)</f>
        <v>0</v>
      </c>
      <c r="I205" s="10">
        <f>SUMIF(成品出库明细!$D$2:$D$1172,$B205,成品出库明细!$G$2:$G$1172)</f>
        <v>0</v>
      </c>
      <c r="J205" s="10">
        <f t="shared" si="4"/>
        <v>50978</v>
      </c>
      <c r="K205" s="12" t="s">
        <v>762</v>
      </c>
      <c r="L205" s="10"/>
      <c r="M205" s="10"/>
      <c r="N205" s="10"/>
      <c r="O205" s="10"/>
      <c r="P205" s="10"/>
    </row>
    <row r="206" s="2" customFormat="1" ht="15.75" spans="1:16">
      <c r="A206" s="10">
        <v>175</v>
      </c>
      <c r="B206" s="10" t="s">
        <v>763</v>
      </c>
      <c r="C206" s="11" t="s">
        <v>764</v>
      </c>
      <c r="D206" s="12" t="s">
        <v>765</v>
      </c>
      <c r="E206" s="12" t="s">
        <v>334</v>
      </c>
      <c r="F206" s="10" t="s">
        <v>343</v>
      </c>
      <c r="G206" s="10">
        <f>SUMIF(成品月初库存!$C$3:$C$362,$B206,成品月初库存!$F$3:$F$362)</f>
        <v>0</v>
      </c>
      <c r="H206" s="10">
        <f>SUMIF(成品入库明细!$D$2:$D$500,$B206,成品入库明细!$G$2:$G$500)</f>
        <v>0</v>
      </c>
      <c r="I206" s="10">
        <f>SUMIF(成品出库明细!$D$2:$D$1172,$B206,成品出库明细!$G$2:$G$1172)</f>
        <v>0</v>
      </c>
      <c r="J206" s="10">
        <f t="shared" si="4"/>
        <v>0</v>
      </c>
      <c r="K206" s="12" t="s">
        <v>370</v>
      </c>
      <c r="L206" s="10"/>
      <c r="M206" s="10"/>
      <c r="N206" s="10"/>
      <c r="O206" s="10"/>
      <c r="P206" s="10"/>
    </row>
    <row r="207" s="2" customFormat="1" ht="14.25" spans="1:16">
      <c r="A207" s="10">
        <v>176</v>
      </c>
      <c r="B207" s="10" t="s">
        <v>766</v>
      </c>
      <c r="C207" s="10" t="s">
        <v>767</v>
      </c>
      <c r="D207" s="12" t="s">
        <v>765</v>
      </c>
      <c r="E207" s="12" t="s">
        <v>334</v>
      </c>
      <c r="F207" s="10" t="s">
        <v>343</v>
      </c>
      <c r="G207" s="10">
        <f>SUMIF(成品月初库存!$C$3:$C$362,$B207,成品月初库存!$F$3:$F$362)</f>
        <v>0</v>
      </c>
      <c r="H207" s="10">
        <f>SUMIF(成品入库明细!$D$2:$D$500,$B207,成品入库明细!$G$2:$G$500)</f>
        <v>0</v>
      </c>
      <c r="I207" s="10">
        <f>SUMIF(成品出库明细!$D$2:$D$1172,$B207,成品出库明细!$G$2:$G$1172)</f>
        <v>0</v>
      </c>
      <c r="J207" s="10">
        <f t="shared" si="4"/>
        <v>0</v>
      </c>
      <c r="K207" s="12" t="s">
        <v>370</v>
      </c>
      <c r="L207" s="10"/>
      <c r="M207" s="10"/>
      <c r="N207" s="10"/>
      <c r="O207" s="10"/>
      <c r="P207" s="10"/>
    </row>
    <row r="208" s="2" customFormat="1" ht="14.25" spans="1:16">
      <c r="A208" s="10">
        <v>177</v>
      </c>
      <c r="B208" s="10" t="s">
        <v>768</v>
      </c>
      <c r="C208" s="10" t="s">
        <v>769</v>
      </c>
      <c r="D208" s="12" t="s">
        <v>765</v>
      </c>
      <c r="E208" s="12" t="s">
        <v>334</v>
      </c>
      <c r="F208" s="10" t="s">
        <v>343</v>
      </c>
      <c r="G208" s="10">
        <f>SUMIF(成品月初库存!$C$3:$C$362,$B208,成品月初库存!$F$3:$F$362)</f>
        <v>0</v>
      </c>
      <c r="H208" s="10">
        <f>SUMIF(成品入库明细!$D$2:$D$500,$B208,成品入库明细!$G$2:$G$500)</f>
        <v>0</v>
      </c>
      <c r="I208" s="10">
        <f>SUMIF(成品出库明细!$D$2:$D$1172,$B208,成品出库明细!$G$2:$G$1172)</f>
        <v>0</v>
      </c>
      <c r="J208" s="10">
        <f t="shared" si="4"/>
        <v>0</v>
      </c>
      <c r="K208" s="12" t="s">
        <v>770</v>
      </c>
      <c r="L208" s="10"/>
      <c r="M208" s="10"/>
      <c r="N208" s="10"/>
      <c r="O208" s="10"/>
      <c r="P208" s="10"/>
    </row>
    <row r="209" s="2" customFormat="1" ht="14.25" spans="1:16">
      <c r="A209" s="10">
        <v>178</v>
      </c>
      <c r="B209" s="10" t="s">
        <v>771</v>
      </c>
      <c r="C209" s="10" t="s">
        <v>772</v>
      </c>
      <c r="D209" s="12" t="s">
        <v>765</v>
      </c>
      <c r="E209" s="12" t="s">
        <v>334</v>
      </c>
      <c r="F209" s="10" t="s">
        <v>343</v>
      </c>
      <c r="G209" s="10">
        <f>SUMIF(成品月初库存!$C$3:$C$362,$B209,成品月初库存!$F$3:$F$362)</f>
        <v>0</v>
      </c>
      <c r="H209" s="10">
        <f>SUMIF(成品入库明细!$D$2:$D$500,$B209,成品入库明细!$G$2:$G$500)</f>
        <v>0</v>
      </c>
      <c r="I209" s="10">
        <f>SUMIF(成品出库明细!$D$2:$D$1172,$B209,成品出库明细!$G$2:$G$1172)</f>
        <v>0</v>
      </c>
      <c r="J209" s="10">
        <f t="shared" si="4"/>
        <v>0</v>
      </c>
      <c r="K209" s="12" t="s">
        <v>370</v>
      </c>
      <c r="L209" s="10"/>
      <c r="M209" s="10"/>
      <c r="N209" s="10"/>
      <c r="O209" s="10"/>
      <c r="P209" s="10"/>
    </row>
    <row r="210" s="2" customFormat="1" ht="14.25" spans="1:16">
      <c r="A210" s="10">
        <v>179</v>
      </c>
      <c r="B210" s="10" t="s">
        <v>773</v>
      </c>
      <c r="C210" s="10" t="s">
        <v>774</v>
      </c>
      <c r="D210" s="12" t="s">
        <v>765</v>
      </c>
      <c r="E210" s="12" t="s">
        <v>334</v>
      </c>
      <c r="F210" s="10" t="s">
        <v>343</v>
      </c>
      <c r="G210" s="10">
        <f>SUMIF(成品月初库存!$C$3:$C$362,$B210,成品月初库存!$F$3:$F$362)</f>
        <v>0</v>
      </c>
      <c r="H210" s="10">
        <f>SUMIF(成品入库明细!$D$2:$D$500,$B210,成品入库明细!$G$2:$G$500)</f>
        <v>0</v>
      </c>
      <c r="I210" s="10">
        <f>SUMIF(成品出库明细!$D$2:$D$1172,$B210,成品出库明细!$G$2:$G$1172)</f>
        <v>0</v>
      </c>
      <c r="J210" s="10">
        <f t="shared" si="4"/>
        <v>0</v>
      </c>
      <c r="K210" s="12" t="s">
        <v>370</v>
      </c>
      <c r="L210" s="10"/>
      <c r="M210" s="10"/>
      <c r="N210" s="10"/>
      <c r="O210" s="10"/>
      <c r="P210" s="10"/>
    </row>
    <row r="211" s="2" customFormat="1" ht="15.75" spans="1:16">
      <c r="A211" s="10">
        <v>180</v>
      </c>
      <c r="B211" s="10" t="s">
        <v>775</v>
      </c>
      <c r="C211" s="11" t="s">
        <v>776</v>
      </c>
      <c r="D211" s="12" t="s">
        <v>765</v>
      </c>
      <c r="E211" s="12" t="s">
        <v>334</v>
      </c>
      <c r="F211" s="10" t="s">
        <v>343</v>
      </c>
      <c r="G211" s="10">
        <f>SUMIF(成品月初库存!$C$3:$C$362,$B211,成品月初库存!$F$3:$F$362)</f>
        <v>0</v>
      </c>
      <c r="H211" s="10">
        <f>SUMIF(成品入库明细!$D$2:$D$500,$B211,成品入库明细!$G$2:$G$500)</f>
        <v>0</v>
      </c>
      <c r="I211" s="10">
        <f>SUMIF(成品出库明细!$D$2:$D$1172,$B211,成品出库明细!$G$2:$G$1172)</f>
        <v>0</v>
      </c>
      <c r="J211" s="10">
        <f t="shared" si="4"/>
        <v>0</v>
      </c>
      <c r="K211" s="12" t="s">
        <v>370</v>
      </c>
      <c r="L211" s="10"/>
      <c r="M211" s="10"/>
      <c r="N211" s="10"/>
      <c r="O211" s="10"/>
      <c r="P211" s="10"/>
    </row>
    <row r="212" s="2" customFormat="1" ht="14.25" spans="1:16">
      <c r="A212" s="10">
        <v>181</v>
      </c>
      <c r="B212" s="10" t="s">
        <v>777</v>
      </c>
      <c r="C212" s="10" t="s">
        <v>778</v>
      </c>
      <c r="D212" s="12" t="s">
        <v>765</v>
      </c>
      <c r="E212" s="12" t="s">
        <v>334</v>
      </c>
      <c r="F212" s="10" t="s">
        <v>343</v>
      </c>
      <c r="G212" s="10">
        <f>SUMIF(成品月初库存!$C$3:$C$362,$B212,成品月初库存!$F$3:$F$362)</f>
        <v>0</v>
      </c>
      <c r="H212" s="10">
        <f>SUMIF(成品入库明细!$D$2:$D$500,$B212,成品入库明细!$G$2:$G$500)</f>
        <v>0</v>
      </c>
      <c r="I212" s="10">
        <f>SUMIF(成品出库明细!$D$2:$D$1172,$B212,成品出库明细!$G$2:$G$1172)</f>
        <v>0</v>
      </c>
      <c r="J212" s="10">
        <f t="shared" si="4"/>
        <v>0</v>
      </c>
      <c r="K212" s="12" t="s">
        <v>770</v>
      </c>
      <c r="L212" s="10"/>
      <c r="M212" s="10"/>
      <c r="N212" s="10"/>
      <c r="O212" s="10"/>
      <c r="P212" s="10"/>
    </row>
    <row r="213" s="2" customFormat="1" ht="14.25" spans="1:16">
      <c r="A213" s="10">
        <v>182</v>
      </c>
      <c r="B213" s="10" t="s">
        <v>779</v>
      </c>
      <c r="C213" s="10" t="s">
        <v>780</v>
      </c>
      <c r="D213" s="12" t="s">
        <v>765</v>
      </c>
      <c r="E213" s="12" t="s">
        <v>334</v>
      </c>
      <c r="F213" s="10" t="s">
        <v>343</v>
      </c>
      <c r="G213" s="10">
        <f>SUMIF(成品月初库存!$C$3:$C$362,$B213,成品月初库存!$F$3:$F$362)</f>
        <v>0</v>
      </c>
      <c r="H213" s="10">
        <f>SUMIF(成品入库明细!$D$2:$D$500,$B213,成品入库明细!$G$2:$G$500)</f>
        <v>0</v>
      </c>
      <c r="I213" s="10">
        <f>SUMIF(成品出库明细!$D$2:$D$1172,$B213,成品出库明细!$G$2:$G$1172)</f>
        <v>0</v>
      </c>
      <c r="J213" s="10">
        <f t="shared" si="4"/>
        <v>0</v>
      </c>
      <c r="K213" s="12" t="s">
        <v>770</v>
      </c>
      <c r="L213" s="10"/>
      <c r="M213" s="10"/>
      <c r="N213" s="10"/>
      <c r="O213" s="10"/>
      <c r="P213" s="10"/>
    </row>
    <row r="214" s="2" customFormat="1" ht="15.75" spans="1:16">
      <c r="A214" s="10">
        <v>183</v>
      </c>
      <c r="B214" s="10" t="s">
        <v>781</v>
      </c>
      <c r="C214" s="11" t="s">
        <v>782</v>
      </c>
      <c r="D214" s="12" t="s">
        <v>765</v>
      </c>
      <c r="E214" s="12" t="s">
        <v>334</v>
      </c>
      <c r="F214" s="10" t="s">
        <v>343</v>
      </c>
      <c r="G214" s="10">
        <f>SUMIF(成品月初库存!$C$3:$C$362,$B214,成品月初库存!$F$3:$F$362)</f>
        <v>0</v>
      </c>
      <c r="H214" s="10">
        <f>SUMIF(成品入库明细!$D$2:$D$500,$B214,成品入库明细!$G$2:$G$500)</f>
        <v>0</v>
      </c>
      <c r="I214" s="10">
        <f>SUMIF(成品出库明细!$D$2:$D$1172,$B214,成品出库明细!$G$2:$G$1172)</f>
        <v>0</v>
      </c>
      <c r="J214" s="10">
        <f t="shared" si="4"/>
        <v>0</v>
      </c>
      <c r="K214" s="12" t="s">
        <v>370</v>
      </c>
      <c r="L214" s="10"/>
      <c r="M214" s="10"/>
      <c r="N214" s="10"/>
      <c r="O214" s="10"/>
      <c r="P214" s="10"/>
    </row>
    <row r="215" s="2" customFormat="1" ht="14.25" spans="1:16">
      <c r="A215" s="10">
        <v>184</v>
      </c>
      <c r="B215" s="10" t="s">
        <v>783</v>
      </c>
      <c r="C215" s="10" t="s">
        <v>784</v>
      </c>
      <c r="D215" s="12" t="s">
        <v>765</v>
      </c>
      <c r="E215" s="12" t="s">
        <v>334</v>
      </c>
      <c r="F215" s="10" t="s">
        <v>343</v>
      </c>
      <c r="G215" s="10">
        <f>SUMIF(成品月初库存!$C$3:$C$362,$B215,成品月初库存!$F$3:$F$362)</f>
        <v>0</v>
      </c>
      <c r="H215" s="10">
        <f>SUMIF(成品入库明细!$D$2:$D$500,$B215,成品入库明细!$G$2:$G$500)</f>
        <v>0</v>
      </c>
      <c r="I215" s="10">
        <f>SUMIF(成品出库明细!$D$2:$D$1172,$B215,成品出库明细!$G$2:$G$1172)</f>
        <v>0</v>
      </c>
      <c r="J215" s="10">
        <f t="shared" si="4"/>
        <v>0</v>
      </c>
      <c r="K215" s="12" t="s">
        <v>370</v>
      </c>
      <c r="L215" s="10"/>
      <c r="M215" s="10"/>
      <c r="N215" s="10"/>
      <c r="O215" s="10"/>
      <c r="P215" s="10"/>
    </row>
    <row r="216" s="2" customFormat="1" ht="14.25" spans="1:16">
      <c r="A216" s="10">
        <v>185</v>
      </c>
      <c r="B216" s="10" t="s">
        <v>785</v>
      </c>
      <c r="C216" s="10" t="s">
        <v>786</v>
      </c>
      <c r="D216" s="12" t="s">
        <v>765</v>
      </c>
      <c r="E216" s="12" t="s">
        <v>334</v>
      </c>
      <c r="F216" s="10" t="s">
        <v>343</v>
      </c>
      <c r="G216" s="10">
        <f>SUMIF(成品月初库存!$C$3:$C$362,$B216,成品月初库存!$F$3:$F$362)</f>
        <v>0</v>
      </c>
      <c r="H216" s="10">
        <f>SUMIF(成品入库明细!$D$2:$D$500,$B216,成品入库明细!$G$2:$G$500)</f>
        <v>0</v>
      </c>
      <c r="I216" s="10">
        <f>SUMIF(成品出库明细!$D$2:$D$1172,$B216,成品出库明细!$G$2:$G$1172)</f>
        <v>0</v>
      </c>
      <c r="J216" s="10">
        <f t="shared" si="4"/>
        <v>0</v>
      </c>
      <c r="K216" s="12" t="s">
        <v>370</v>
      </c>
      <c r="L216" s="10"/>
      <c r="M216" s="10"/>
      <c r="N216" s="10"/>
      <c r="O216" s="10"/>
      <c r="P216" s="10"/>
    </row>
    <row r="217" s="2" customFormat="1" ht="14.25" spans="1:16">
      <c r="A217" s="10">
        <v>186</v>
      </c>
      <c r="B217" s="10" t="s">
        <v>787</v>
      </c>
      <c r="C217" s="10" t="s">
        <v>788</v>
      </c>
      <c r="D217" s="12" t="s">
        <v>765</v>
      </c>
      <c r="E217" s="12" t="s">
        <v>334</v>
      </c>
      <c r="F217" s="10" t="s">
        <v>343</v>
      </c>
      <c r="G217" s="10">
        <f>SUMIF(成品月初库存!$C$3:$C$362,$B217,成品月初库存!$F$3:$F$362)</f>
        <v>0</v>
      </c>
      <c r="H217" s="10">
        <f>SUMIF(成品入库明细!$D$2:$D$500,$B217,成品入库明细!$G$2:$G$500)</f>
        <v>0</v>
      </c>
      <c r="I217" s="10">
        <f>SUMIF(成品出库明细!$D$2:$D$1172,$B217,成品出库明细!$G$2:$G$1172)</f>
        <v>0</v>
      </c>
      <c r="J217" s="10">
        <f t="shared" si="4"/>
        <v>0</v>
      </c>
      <c r="K217" s="12" t="s">
        <v>770</v>
      </c>
      <c r="L217" s="10"/>
      <c r="M217" s="10"/>
      <c r="N217" s="10"/>
      <c r="O217" s="10"/>
      <c r="P217" s="10"/>
    </row>
    <row r="218" s="2" customFormat="1" ht="14.25" spans="1:16">
      <c r="A218" s="10">
        <v>187</v>
      </c>
      <c r="B218" s="10" t="s">
        <v>789</v>
      </c>
      <c r="C218" s="10" t="s">
        <v>790</v>
      </c>
      <c r="D218" s="12" t="s">
        <v>765</v>
      </c>
      <c r="E218" s="12" t="s">
        <v>334</v>
      </c>
      <c r="F218" s="10" t="s">
        <v>343</v>
      </c>
      <c r="G218" s="10">
        <f>SUMIF(成品月初库存!$C$3:$C$362,$B218,成品月初库存!$F$3:$F$362)</f>
        <v>0</v>
      </c>
      <c r="H218" s="10">
        <f>SUMIF(成品入库明细!$D$2:$D$500,$B218,成品入库明细!$G$2:$G$500)</f>
        <v>0</v>
      </c>
      <c r="I218" s="10">
        <f>SUMIF(成品出库明细!$D$2:$D$1172,$B218,成品出库明细!$G$2:$G$1172)</f>
        <v>0</v>
      </c>
      <c r="J218" s="10">
        <f t="shared" si="4"/>
        <v>0</v>
      </c>
      <c r="K218" s="12" t="s">
        <v>770</v>
      </c>
      <c r="L218" s="10"/>
      <c r="M218" s="10"/>
      <c r="N218" s="10"/>
      <c r="O218" s="10"/>
      <c r="P218" s="10"/>
    </row>
    <row r="219" s="2" customFormat="1" ht="14.25" spans="1:16">
      <c r="A219" s="10">
        <v>188</v>
      </c>
      <c r="B219" s="10" t="s">
        <v>791</v>
      </c>
      <c r="C219" s="10" t="s">
        <v>792</v>
      </c>
      <c r="D219" s="12" t="s">
        <v>765</v>
      </c>
      <c r="E219" s="12" t="s">
        <v>334</v>
      </c>
      <c r="F219" s="10" t="s">
        <v>343</v>
      </c>
      <c r="G219" s="10">
        <f>SUMIF(成品月初库存!$C$3:$C$362,$B219,成品月初库存!$F$3:$F$362)</f>
        <v>0</v>
      </c>
      <c r="H219" s="10">
        <f>SUMIF(成品入库明细!$D$2:$D$500,$B219,成品入库明细!$G$2:$G$500)</f>
        <v>0</v>
      </c>
      <c r="I219" s="10">
        <f>SUMIF(成品出库明细!$D$2:$D$1172,$B219,成品出库明细!$G$2:$G$1172)</f>
        <v>0</v>
      </c>
      <c r="J219" s="10">
        <f t="shared" si="4"/>
        <v>0</v>
      </c>
      <c r="K219" s="12" t="s">
        <v>370</v>
      </c>
      <c r="L219" s="10"/>
      <c r="M219" s="10"/>
      <c r="N219" s="10"/>
      <c r="O219" s="10"/>
      <c r="P219" s="10"/>
    </row>
    <row r="220" s="2" customFormat="1" ht="14.25" spans="1:16">
      <c r="A220" s="10">
        <v>189</v>
      </c>
      <c r="B220" s="10" t="s">
        <v>793</v>
      </c>
      <c r="C220" s="10" t="s">
        <v>794</v>
      </c>
      <c r="D220" s="12" t="s">
        <v>765</v>
      </c>
      <c r="E220" s="12" t="s">
        <v>334</v>
      </c>
      <c r="F220" s="10" t="s">
        <v>343</v>
      </c>
      <c r="G220" s="10">
        <f>SUMIF(成品月初库存!$C$3:$C$362,$B220,成品月初库存!$F$3:$F$362)</f>
        <v>0</v>
      </c>
      <c r="H220" s="10">
        <f>SUMIF(成品入库明细!$D$2:$D$500,$B220,成品入库明细!$G$2:$G$500)</f>
        <v>0</v>
      </c>
      <c r="I220" s="10">
        <f>SUMIF(成品出库明细!$D$2:$D$1172,$B220,成品出库明细!$G$2:$G$1172)</f>
        <v>0</v>
      </c>
      <c r="J220" s="10">
        <f t="shared" si="4"/>
        <v>0</v>
      </c>
      <c r="K220" s="12" t="s">
        <v>370</v>
      </c>
      <c r="L220" s="10"/>
      <c r="M220" s="10"/>
      <c r="N220" s="10"/>
      <c r="O220" s="10"/>
      <c r="P220" s="10"/>
    </row>
    <row r="221" s="2" customFormat="1" ht="14.25" spans="1:16">
      <c r="A221" s="10">
        <v>190</v>
      </c>
      <c r="B221" s="10" t="s">
        <v>795</v>
      </c>
      <c r="C221" s="10" t="s">
        <v>796</v>
      </c>
      <c r="D221" s="12" t="s">
        <v>765</v>
      </c>
      <c r="E221" s="12" t="s">
        <v>334</v>
      </c>
      <c r="F221" s="10" t="s">
        <v>343</v>
      </c>
      <c r="G221" s="10">
        <f>SUMIF(成品月初库存!$C$3:$C$362,$B221,成品月初库存!$F$3:$F$362)</f>
        <v>0</v>
      </c>
      <c r="H221" s="10">
        <f>SUMIF(成品入库明细!$D$2:$D$500,$B221,成品入库明细!$G$2:$G$500)</f>
        <v>0</v>
      </c>
      <c r="I221" s="10">
        <f>SUMIF(成品出库明细!$D$2:$D$1172,$B221,成品出库明细!$G$2:$G$1172)</f>
        <v>0</v>
      </c>
      <c r="J221" s="10">
        <f t="shared" si="4"/>
        <v>0</v>
      </c>
      <c r="K221" s="12" t="s">
        <v>370</v>
      </c>
      <c r="L221" s="10"/>
      <c r="M221" s="10"/>
      <c r="N221" s="10"/>
      <c r="O221" s="10"/>
      <c r="P221" s="10"/>
    </row>
    <row r="222" s="2" customFormat="1" ht="14.25" spans="1:16">
      <c r="A222" s="10">
        <v>191</v>
      </c>
      <c r="B222" s="10" t="s">
        <v>797</v>
      </c>
      <c r="C222" s="10" t="s">
        <v>798</v>
      </c>
      <c r="D222" s="12" t="s">
        <v>765</v>
      </c>
      <c r="E222" s="12" t="s">
        <v>334</v>
      </c>
      <c r="F222" s="10" t="s">
        <v>343</v>
      </c>
      <c r="G222" s="10">
        <f>SUMIF(成品月初库存!$C$3:$C$362,$B222,成品月初库存!$F$3:$F$362)</f>
        <v>0</v>
      </c>
      <c r="H222" s="10">
        <f>SUMIF(成品入库明细!$D$2:$D$500,$B222,成品入库明细!$G$2:$G$500)</f>
        <v>0</v>
      </c>
      <c r="I222" s="10">
        <f>SUMIF(成品出库明细!$D$2:$D$1172,$B222,成品出库明细!$G$2:$G$1172)</f>
        <v>0</v>
      </c>
      <c r="J222" s="10">
        <f t="shared" si="4"/>
        <v>0</v>
      </c>
      <c r="K222" s="12" t="s">
        <v>770</v>
      </c>
      <c r="L222" s="10"/>
      <c r="M222" s="10"/>
      <c r="N222" s="10"/>
      <c r="O222" s="10"/>
      <c r="P222" s="10"/>
    </row>
    <row r="223" s="2" customFormat="1" ht="14.25" spans="1:16">
      <c r="A223" s="10">
        <v>192</v>
      </c>
      <c r="B223" s="10" t="s">
        <v>799</v>
      </c>
      <c r="C223" s="10" t="s">
        <v>800</v>
      </c>
      <c r="D223" s="12" t="s">
        <v>765</v>
      </c>
      <c r="E223" s="12" t="s">
        <v>334</v>
      </c>
      <c r="F223" s="10" t="s">
        <v>343</v>
      </c>
      <c r="G223" s="10">
        <f>SUMIF(成品月初库存!$C$3:$C$362,$B223,成品月初库存!$F$3:$F$362)</f>
        <v>0</v>
      </c>
      <c r="H223" s="10">
        <f>SUMIF(成品入库明细!$D$2:$D$500,$B223,成品入库明细!$G$2:$G$500)</f>
        <v>0</v>
      </c>
      <c r="I223" s="10">
        <f>SUMIF(成品出库明细!$D$2:$D$1172,$B223,成品出库明细!$G$2:$G$1172)</f>
        <v>0</v>
      </c>
      <c r="J223" s="10">
        <f t="shared" si="4"/>
        <v>0</v>
      </c>
      <c r="K223" s="12" t="s">
        <v>770</v>
      </c>
      <c r="L223" s="10"/>
      <c r="M223" s="10"/>
      <c r="N223" s="10"/>
      <c r="O223" s="10"/>
      <c r="P223" s="10"/>
    </row>
    <row r="224" s="2" customFormat="1" ht="14.25" spans="1:16">
      <c r="A224" s="10">
        <v>193</v>
      </c>
      <c r="B224" s="10" t="s">
        <v>801</v>
      </c>
      <c r="C224" s="10" t="s">
        <v>802</v>
      </c>
      <c r="D224" s="12" t="s">
        <v>765</v>
      </c>
      <c r="E224" s="12" t="s">
        <v>334</v>
      </c>
      <c r="F224" s="10" t="s">
        <v>343</v>
      </c>
      <c r="G224" s="10">
        <f>SUMIF(成品月初库存!$C$3:$C$362,$B224,成品月初库存!$F$3:$F$362)</f>
        <v>0</v>
      </c>
      <c r="H224" s="10">
        <f>SUMIF(成品入库明细!$D$2:$D$500,$B224,成品入库明细!$G$2:$G$500)</f>
        <v>0</v>
      </c>
      <c r="I224" s="10">
        <f>SUMIF(成品出库明细!$D$2:$D$1172,$B224,成品出库明细!$G$2:$G$1172)</f>
        <v>0</v>
      </c>
      <c r="J224" s="10">
        <f t="shared" si="4"/>
        <v>0</v>
      </c>
      <c r="K224" s="12" t="s">
        <v>770</v>
      </c>
      <c r="L224" s="10"/>
      <c r="M224" s="10"/>
      <c r="N224" s="10"/>
      <c r="O224" s="10"/>
      <c r="P224" s="10"/>
    </row>
    <row r="225" s="2" customFormat="1" ht="14.25" spans="1:16">
      <c r="A225" s="10">
        <v>194</v>
      </c>
      <c r="B225" s="10" t="s">
        <v>803</v>
      </c>
      <c r="C225" s="10" t="s">
        <v>804</v>
      </c>
      <c r="D225" s="12" t="s">
        <v>765</v>
      </c>
      <c r="E225" s="12" t="s">
        <v>334</v>
      </c>
      <c r="F225" s="10" t="s">
        <v>343</v>
      </c>
      <c r="G225" s="10">
        <f>SUMIF(成品月初库存!$C$3:$C$362,$B225,成品月初库存!$F$3:$F$362)</f>
        <v>0</v>
      </c>
      <c r="H225" s="10">
        <f>SUMIF(成品入库明细!$D$2:$D$500,$B225,成品入库明细!$G$2:$G$500)</f>
        <v>0</v>
      </c>
      <c r="I225" s="10">
        <f>SUMIF(成品出库明细!$D$2:$D$1172,$B225,成品出库明细!$G$2:$G$1172)</f>
        <v>0</v>
      </c>
      <c r="J225" s="10">
        <f t="shared" si="4"/>
        <v>0</v>
      </c>
      <c r="K225" s="12" t="s">
        <v>370</v>
      </c>
      <c r="L225" s="10"/>
      <c r="M225" s="10"/>
      <c r="N225" s="10"/>
      <c r="O225" s="10"/>
      <c r="P225" s="10"/>
    </row>
    <row r="226" s="2" customFormat="1" ht="14.25" spans="1:16">
      <c r="A226" s="10">
        <v>195</v>
      </c>
      <c r="B226" s="10" t="s">
        <v>805</v>
      </c>
      <c r="C226" s="10" t="s">
        <v>806</v>
      </c>
      <c r="D226" s="12" t="s">
        <v>765</v>
      </c>
      <c r="E226" s="12" t="s">
        <v>334</v>
      </c>
      <c r="F226" s="10" t="s">
        <v>343</v>
      </c>
      <c r="G226" s="10">
        <f>SUMIF(成品月初库存!$C$3:$C$362,$B226,成品月初库存!$F$3:$F$362)</f>
        <v>0</v>
      </c>
      <c r="H226" s="10">
        <f>SUMIF(成品入库明细!$D$2:$D$500,$B226,成品入库明细!$G$2:$G$500)</f>
        <v>0</v>
      </c>
      <c r="I226" s="10">
        <f>SUMIF(成品出库明细!$D$2:$D$1172,$B226,成品出库明细!$G$2:$G$1172)</f>
        <v>0</v>
      </c>
      <c r="J226" s="10">
        <f t="shared" si="4"/>
        <v>0</v>
      </c>
      <c r="K226" s="12" t="s">
        <v>370</v>
      </c>
      <c r="L226" s="10"/>
      <c r="M226" s="10"/>
      <c r="N226" s="10"/>
      <c r="O226" s="10"/>
      <c r="P226" s="10"/>
    </row>
    <row r="227" s="2" customFormat="1" ht="14.25" spans="1:16">
      <c r="A227" s="10">
        <v>196</v>
      </c>
      <c r="B227" s="10" t="s">
        <v>807</v>
      </c>
      <c r="C227" s="10" t="s">
        <v>808</v>
      </c>
      <c r="D227" s="12" t="s">
        <v>765</v>
      </c>
      <c r="E227" s="12" t="s">
        <v>334</v>
      </c>
      <c r="F227" s="10" t="s">
        <v>343</v>
      </c>
      <c r="G227" s="10">
        <f>SUMIF(成品月初库存!$C$3:$C$362,$B227,成品月初库存!$F$3:$F$362)</f>
        <v>0</v>
      </c>
      <c r="H227" s="10">
        <f>SUMIF(成品入库明细!$D$2:$D$500,$B227,成品入库明细!$G$2:$G$500)</f>
        <v>0</v>
      </c>
      <c r="I227" s="10">
        <f>SUMIF(成品出库明细!$D$2:$D$1172,$B227,成品出库明细!$G$2:$G$1172)</f>
        <v>0</v>
      </c>
      <c r="J227" s="10">
        <f t="shared" si="4"/>
        <v>0</v>
      </c>
      <c r="K227" s="12" t="s">
        <v>370</v>
      </c>
      <c r="L227" s="10"/>
      <c r="M227" s="10"/>
      <c r="N227" s="10"/>
      <c r="O227" s="10"/>
      <c r="P227" s="10"/>
    </row>
    <row r="228" s="2" customFormat="1" ht="14.25" spans="1:16">
      <c r="A228" s="10">
        <v>197</v>
      </c>
      <c r="B228" s="10" t="s">
        <v>809</v>
      </c>
      <c r="C228" s="10" t="s">
        <v>810</v>
      </c>
      <c r="D228" s="12" t="s">
        <v>811</v>
      </c>
      <c r="E228" s="12" t="s">
        <v>334</v>
      </c>
      <c r="F228" s="10" t="s">
        <v>343</v>
      </c>
      <c r="G228" s="10">
        <f>SUMIF(成品月初库存!$C$3:$C$362,$B228,成品月初库存!$F$3:$F$362)</f>
        <v>0</v>
      </c>
      <c r="H228" s="10">
        <f>SUMIF(成品入库明细!$D$2:$D$500,$B228,成品入库明细!$G$2:$G$500)</f>
        <v>0</v>
      </c>
      <c r="I228" s="10">
        <f>SUMIF(成品出库明细!$D$2:$D$1172,$B228,成品出库明细!$G$2:$G$1172)</f>
        <v>0</v>
      </c>
      <c r="J228" s="10">
        <f t="shared" si="4"/>
        <v>0</v>
      </c>
      <c r="K228" s="12" t="s">
        <v>349</v>
      </c>
      <c r="L228" s="10"/>
      <c r="M228" s="10"/>
      <c r="N228" s="10"/>
      <c r="O228" s="10"/>
      <c r="P228" s="10"/>
    </row>
    <row r="229" s="2" customFormat="1" ht="14.25" spans="1:16">
      <c r="A229" s="10">
        <v>198</v>
      </c>
      <c r="B229" s="10" t="s">
        <v>812</v>
      </c>
      <c r="C229" s="10" t="s">
        <v>813</v>
      </c>
      <c r="D229" s="12" t="s">
        <v>814</v>
      </c>
      <c r="E229" s="12" t="s">
        <v>334</v>
      </c>
      <c r="F229" s="10" t="s">
        <v>343</v>
      </c>
      <c r="G229" s="10">
        <f>SUMIF(成品月初库存!$C$3:$C$362,$B229,成品月初库存!$F$3:$F$362)</f>
        <v>0</v>
      </c>
      <c r="H229" s="10">
        <f>SUMIF(成品入库明细!$D$2:$D$500,$B229,成品入库明细!$G$2:$G$500)</f>
        <v>0</v>
      </c>
      <c r="I229" s="10">
        <f>SUMIF(成品出库明细!$D$2:$D$1172,$B229,成品出库明细!$G$2:$G$1172)</f>
        <v>0</v>
      </c>
      <c r="J229" s="10">
        <f t="shared" si="4"/>
        <v>0</v>
      </c>
      <c r="K229" s="12" t="s">
        <v>300</v>
      </c>
      <c r="L229" s="10"/>
      <c r="M229" s="10"/>
      <c r="N229" s="10"/>
      <c r="O229" s="10"/>
      <c r="P229" s="10"/>
    </row>
    <row r="230" s="2" customFormat="1" ht="14.25" spans="1:16">
      <c r="A230" s="10">
        <v>199</v>
      </c>
      <c r="B230" s="10" t="s">
        <v>815</v>
      </c>
      <c r="C230" s="10" t="s">
        <v>816</v>
      </c>
      <c r="D230" s="12" t="s">
        <v>817</v>
      </c>
      <c r="E230" s="12" t="s">
        <v>334</v>
      </c>
      <c r="F230" s="10" t="s">
        <v>343</v>
      </c>
      <c r="G230" s="10">
        <f>SUMIF(成品月初库存!$C$3:$C$362,$B230,成品月初库存!$F$3:$F$362)</f>
        <v>0</v>
      </c>
      <c r="H230" s="10">
        <f>SUMIF(成品入库明细!$D$2:$D$500,$B230,成品入库明细!$G$2:$G$500)</f>
        <v>0</v>
      </c>
      <c r="I230" s="10">
        <f>SUMIF(成品出库明细!$D$2:$D$1172,$B230,成品出库明细!$G$2:$G$1172)</f>
        <v>0</v>
      </c>
      <c r="J230" s="10">
        <f t="shared" si="4"/>
        <v>0</v>
      </c>
      <c r="K230" s="12" t="s">
        <v>300</v>
      </c>
      <c r="L230" s="10"/>
      <c r="M230" s="10"/>
      <c r="N230" s="10"/>
      <c r="O230" s="10"/>
      <c r="P230" s="10"/>
    </row>
    <row r="231" s="2" customFormat="1" ht="14.25" spans="1:16">
      <c r="A231" s="10">
        <v>200</v>
      </c>
      <c r="B231" s="10" t="s">
        <v>818</v>
      </c>
      <c r="C231" s="10" t="s">
        <v>819</v>
      </c>
      <c r="D231" s="12" t="s">
        <v>817</v>
      </c>
      <c r="E231" s="12" t="s">
        <v>334</v>
      </c>
      <c r="F231" s="10" t="s">
        <v>343</v>
      </c>
      <c r="G231" s="10">
        <f>SUMIF(成品月初库存!$C$3:$C$362,$B231,成品月初库存!$F$3:$F$362)</f>
        <v>0</v>
      </c>
      <c r="H231" s="10">
        <f>SUMIF(成品入库明细!$D$2:$D$500,$B231,成品入库明细!$G$2:$G$500)</f>
        <v>0</v>
      </c>
      <c r="I231" s="10">
        <f>SUMIF(成品出库明细!$D$2:$D$1172,$B231,成品出库明细!$G$2:$G$1172)</f>
        <v>0</v>
      </c>
      <c r="J231" s="10">
        <f t="shared" si="4"/>
        <v>0</v>
      </c>
      <c r="K231" s="12" t="s">
        <v>300</v>
      </c>
      <c r="L231" s="10"/>
      <c r="M231" s="10"/>
      <c r="N231" s="10"/>
      <c r="O231" s="10"/>
      <c r="P231" s="10"/>
    </row>
    <row r="232" s="2" customFormat="1" ht="14.25" spans="1:16">
      <c r="A232" s="10">
        <v>201</v>
      </c>
      <c r="B232" s="10" t="s">
        <v>820</v>
      </c>
      <c r="C232" s="10" t="s">
        <v>821</v>
      </c>
      <c r="D232" s="12" t="s">
        <v>817</v>
      </c>
      <c r="E232" s="12" t="s">
        <v>334</v>
      </c>
      <c r="F232" s="10" t="s">
        <v>343</v>
      </c>
      <c r="G232" s="10">
        <f>SUMIF(成品月初库存!$C$3:$C$362,$B232,成品月初库存!$F$3:$F$362)</f>
        <v>0</v>
      </c>
      <c r="H232" s="10">
        <f>SUMIF(成品入库明细!$D$2:$D$500,$B232,成品入库明细!$G$2:$G$500)</f>
        <v>0</v>
      </c>
      <c r="I232" s="10">
        <f>SUMIF(成品出库明细!$D$2:$D$1172,$B232,成品出库明细!$G$2:$G$1172)</f>
        <v>0</v>
      </c>
      <c r="J232" s="10">
        <f t="shared" si="4"/>
        <v>0</v>
      </c>
      <c r="K232" s="12" t="s">
        <v>300</v>
      </c>
      <c r="L232" s="10"/>
      <c r="M232" s="10"/>
      <c r="N232" s="10"/>
      <c r="O232" s="10"/>
      <c r="P232" s="10"/>
    </row>
    <row r="233" s="2" customFormat="1" ht="14.25" spans="1:16">
      <c r="A233" s="10">
        <v>202</v>
      </c>
      <c r="B233" s="10" t="s">
        <v>822</v>
      </c>
      <c r="C233" s="12" t="s">
        <v>823</v>
      </c>
      <c r="D233" s="12" t="s">
        <v>824</v>
      </c>
      <c r="E233" s="12" t="s">
        <v>334</v>
      </c>
      <c r="F233" s="10" t="s">
        <v>343</v>
      </c>
      <c r="G233" s="10">
        <f>SUMIF(成品月初库存!$C$3:$C$362,$B233,成品月初库存!$F$3:$F$362)</f>
        <v>0</v>
      </c>
      <c r="H233" s="10">
        <f>SUMIF(成品入库明细!$D$2:$D$500,$B233,成品入库明细!$G$2:$G$500)</f>
        <v>0</v>
      </c>
      <c r="I233" s="10">
        <f>SUMIF(成品出库明细!$D$2:$D$1172,$B233,成品出库明细!$G$2:$G$1172)</f>
        <v>0</v>
      </c>
      <c r="J233" s="10">
        <f t="shared" si="4"/>
        <v>0</v>
      </c>
      <c r="K233" s="12" t="s">
        <v>300</v>
      </c>
      <c r="L233" s="10"/>
      <c r="M233" s="10"/>
      <c r="N233" s="10"/>
      <c r="O233" s="10"/>
      <c r="P233" s="10"/>
    </row>
    <row r="234" s="2" customFormat="1" ht="14.25" spans="1:16">
      <c r="A234" s="10">
        <v>203</v>
      </c>
      <c r="B234" s="10" t="s">
        <v>825</v>
      </c>
      <c r="C234" s="12" t="s">
        <v>826</v>
      </c>
      <c r="D234" s="12" t="s">
        <v>827</v>
      </c>
      <c r="E234" s="12" t="s">
        <v>334</v>
      </c>
      <c r="F234" s="10" t="s">
        <v>343</v>
      </c>
      <c r="G234" s="10">
        <f>SUMIF(成品月初库存!$C$3:$C$362,$B234,成品月初库存!$F$3:$F$362)</f>
        <v>0</v>
      </c>
      <c r="H234" s="10">
        <f>SUMIF(成品入库明细!$D$2:$D$500,$B234,成品入库明细!$G$2:$G$500)</f>
        <v>0</v>
      </c>
      <c r="I234" s="10">
        <f>SUMIF(成品出库明细!$D$2:$D$1172,$B234,成品出库明细!$G$2:$G$1172)</f>
        <v>0</v>
      </c>
      <c r="J234" s="10">
        <f t="shared" si="4"/>
        <v>0</v>
      </c>
      <c r="K234" s="12" t="s">
        <v>828</v>
      </c>
      <c r="L234" s="10"/>
      <c r="M234" s="10"/>
      <c r="N234" s="10"/>
      <c r="O234" s="10"/>
      <c r="P234" s="10"/>
    </row>
    <row r="235" s="2" customFormat="1" ht="14.25" spans="1:16">
      <c r="A235" s="10">
        <v>204</v>
      </c>
      <c r="B235" s="10" t="s">
        <v>829</v>
      </c>
      <c r="C235" s="12" t="s">
        <v>830</v>
      </c>
      <c r="D235" s="12" t="s">
        <v>827</v>
      </c>
      <c r="E235" s="12" t="s">
        <v>334</v>
      </c>
      <c r="F235" s="10" t="s">
        <v>343</v>
      </c>
      <c r="G235" s="10">
        <f>SUMIF(成品月初库存!$C$3:$C$362,$B235,成品月初库存!$F$3:$F$362)</f>
        <v>0</v>
      </c>
      <c r="H235" s="10">
        <f>SUMIF(成品入库明细!$D$2:$D$500,$B235,成品入库明细!$G$2:$G$500)</f>
        <v>0</v>
      </c>
      <c r="I235" s="10">
        <f>SUMIF(成品出库明细!$D$2:$D$1172,$B235,成品出库明细!$G$2:$G$1172)</f>
        <v>0</v>
      </c>
      <c r="J235" s="10">
        <f t="shared" si="4"/>
        <v>0</v>
      </c>
      <c r="K235" s="12" t="s">
        <v>349</v>
      </c>
      <c r="L235" s="10"/>
      <c r="M235" s="10"/>
      <c r="N235" s="10"/>
      <c r="O235" s="10"/>
      <c r="P235" s="10"/>
    </row>
    <row r="236" s="2" customFormat="1" ht="14.25" spans="1:16">
      <c r="A236" s="10">
        <v>205</v>
      </c>
      <c r="B236" s="10" t="s">
        <v>831</v>
      </c>
      <c r="C236" s="12" t="s">
        <v>832</v>
      </c>
      <c r="D236" s="12" t="s">
        <v>827</v>
      </c>
      <c r="E236" s="12" t="s">
        <v>334</v>
      </c>
      <c r="F236" s="10" t="s">
        <v>343</v>
      </c>
      <c r="G236" s="10">
        <f>SUMIF(成品月初库存!$C$3:$C$362,$B236,成品月初库存!$F$3:$F$362)</f>
        <v>0</v>
      </c>
      <c r="H236" s="10">
        <f>SUMIF(成品入库明细!$D$2:$D$500,$B236,成品入库明细!$G$2:$G$500)</f>
        <v>0</v>
      </c>
      <c r="I236" s="10">
        <f>SUMIF(成品出库明细!$D$2:$D$1172,$B236,成品出库明细!$G$2:$G$1172)</f>
        <v>0</v>
      </c>
      <c r="J236" s="10">
        <f t="shared" si="4"/>
        <v>0</v>
      </c>
      <c r="K236" s="12" t="s">
        <v>349</v>
      </c>
      <c r="L236" s="10"/>
      <c r="M236" s="10"/>
      <c r="N236" s="10"/>
      <c r="O236" s="10"/>
      <c r="P236" s="10"/>
    </row>
    <row r="237" s="2" customFormat="1" ht="14.25" spans="1:16">
      <c r="A237" s="10">
        <v>206</v>
      </c>
      <c r="B237" s="10" t="s">
        <v>833</v>
      </c>
      <c r="C237" s="12" t="s">
        <v>834</v>
      </c>
      <c r="D237" s="12" t="s">
        <v>827</v>
      </c>
      <c r="E237" s="12" t="s">
        <v>334</v>
      </c>
      <c r="F237" s="10" t="s">
        <v>343</v>
      </c>
      <c r="G237" s="10">
        <f>SUMIF(成品月初库存!$C$3:$C$362,$B237,成品月初库存!$F$3:$F$362)</f>
        <v>0</v>
      </c>
      <c r="H237" s="10">
        <f>SUMIF(成品入库明细!$D$2:$D$500,$B237,成品入库明细!$G$2:$G$500)</f>
        <v>0</v>
      </c>
      <c r="I237" s="10">
        <f>SUMIF(成品出库明细!$D$2:$D$1172,$B237,成品出库明细!$G$2:$G$1172)</f>
        <v>0</v>
      </c>
      <c r="J237" s="10">
        <f t="shared" si="4"/>
        <v>0</v>
      </c>
      <c r="K237" s="12" t="s">
        <v>349</v>
      </c>
      <c r="L237" s="10"/>
      <c r="M237" s="10"/>
      <c r="N237" s="10"/>
      <c r="O237" s="10"/>
      <c r="P237" s="10"/>
    </row>
    <row r="238" s="2" customFormat="1" ht="15.75" spans="1:16">
      <c r="A238" s="10">
        <v>207</v>
      </c>
      <c r="B238" s="10" t="s">
        <v>835</v>
      </c>
      <c r="C238" s="11" t="s">
        <v>836</v>
      </c>
      <c r="D238" s="12" t="s">
        <v>827</v>
      </c>
      <c r="E238" s="12" t="s">
        <v>334</v>
      </c>
      <c r="F238" s="10" t="s">
        <v>343</v>
      </c>
      <c r="G238" s="10">
        <f>SUMIF(成品月初库存!$C$3:$C$362,$B238,成品月初库存!$F$3:$F$362)</f>
        <v>0</v>
      </c>
      <c r="H238" s="10">
        <f>SUMIF(成品入库明细!$D$2:$D$500,$B238,成品入库明细!$G$2:$G$500)</f>
        <v>0</v>
      </c>
      <c r="I238" s="10">
        <f>SUMIF(成品出库明细!$D$2:$D$1172,$B238,成品出库明细!$G$2:$G$1172)</f>
        <v>0</v>
      </c>
      <c r="J238" s="10">
        <f t="shared" si="4"/>
        <v>0</v>
      </c>
      <c r="K238" s="12" t="s">
        <v>349</v>
      </c>
      <c r="L238" s="10"/>
      <c r="M238" s="10"/>
      <c r="N238" s="10"/>
      <c r="O238" s="10"/>
      <c r="P238" s="10"/>
    </row>
    <row r="239" s="2" customFormat="1" ht="14.25" spans="1:16">
      <c r="A239" s="10">
        <v>208</v>
      </c>
      <c r="B239" s="10" t="s">
        <v>837</v>
      </c>
      <c r="C239" s="12" t="s">
        <v>838</v>
      </c>
      <c r="D239" s="12" t="s">
        <v>839</v>
      </c>
      <c r="E239" s="12" t="s">
        <v>334</v>
      </c>
      <c r="F239" s="10" t="s">
        <v>343</v>
      </c>
      <c r="G239" s="10">
        <f>SUMIF(成品月初库存!$C$3:$C$362,$B239,成品月初库存!$F$3:$F$362)</f>
        <v>0</v>
      </c>
      <c r="H239" s="10">
        <f>SUMIF(成品入库明细!$D$2:$D$500,$B239,成品入库明细!$G$2:$G$500)</f>
        <v>0</v>
      </c>
      <c r="I239" s="10">
        <f>SUMIF(成品出库明细!$D$2:$D$1172,$B239,成品出库明细!$G$2:$G$1172)</f>
        <v>0</v>
      </c>
      <c r="J239" s="10">
        <f t="shared" si="4"/>
        <v>0</v>
      </c>
      <c r="K239" s="12" t="s">
        <v>370</v>
      </c>
      <c r="L239" s="10"/>
      <c r="M239" s="10"/>
      <c r="N239" s="10"/>
      <c r="O239" s="10"/>
      <c r="P239" s="10"/>
    </row>
    <row r="240" s="2" customFormat="1" ht="14.25" spans="1:16">
      <c r="A240" s="10">
        <v>209</v>
      </c>
      <c r="B240" s="10" t="s">
        <v>840</v>
      </c>
      <c r="C240" s="12" t="s">
        <v>841</v>
      </c>
      <c r="D240" s="12" t="s">
        <v>839</v>
      </c>
      <c r="E240" s="12" t="s">
        <v>334</v>
      </c>
      <c r="F240" s="10" t="s">
        <v>343</v>
      </c>
      <c r="G240" s="10">
        <f>SUMIF(成品月初库存!$C$3:$C$362,$B240,成品月初库存!$F$3:$F$362)</f>
        <v>0</v>
      </c>
      <c r="H240" s="10">
        <f>SUMIF(成品入库明细!$D$2:$D$500,$B240,成品入库明细!$G$2:$G$500)</f>
        <v>0</v>
      </c>
      <c r="I240" s="10">
        <f>SUMIF(成品出库明细!$D$2:$D$1172,$B240,成品出库明细!$G$2:$G$1172)</f>
        <v>0</v>
      </c>
      <c r="J240" s="10">
        <f t="shared" si="4"/>
        <v>0</v>
      </c>
      <c r="K240" s="12" t="s">
        <v>370</v>
      </c>
      <c r="L240" s="10"/>
      <c r="M240" s="10"/>
      <c r="N240" s="10"/>
      <c r="O240" s="10"/>
      <c r="P240" s="10"/>
    </row>
    <row r="241" s="2" customFormat="1" ht="14.25" spans="1:16">
      <c r="A241" s="10">
        <v>210</v>
      </c>
      <c r="B241" s="10" t="s">
        <v>842</v>
      </c>
      <c r="C241" s="12" t="s">
        <v>843</v>
      </c>
      <c r="D241" s="12" t="s">
        <v>844</v>
      </c>
      <c r="E241" s="12" t="s">
        <v>334</v>
      </c>
      <c r="F241" s="10" t="s">
        <v>343</v>
      </c>
      <c r="G241" s="10">
        <f>SUMIF(成品月初库存!$C$3:$C$362,$B241,成品月初库存!$F$3:$F$362)</f>
        <v>0</v>
      </c>
      <c r="H241" s="10">
        <f>SUMIF(成品入库明细!$D$2:$D$500,$B241,成品入库明细!$G$2:$G$500)</f>
        <v>0</v>
      </c>
      <c r="I241" s="10">
        <f>SUMIF(成品出库明细!$D$2:$D$1172,$B241,成品出库明细!$G$2:$G$1172)</f>
        <v>0</v>
      </c>
      <c r="J241" s="10">
        <f t="shared" si="4"/>
        <v>0</v>
      </c>
      <c r="K241" s="12" t="s">
        <v>709</v>
      </c>
      <c r="L241" s="10"/>
      <c r="M241" s="10"/>
      <c r="N241" s="10"/>
      <c r="O241" s="10"/>
      <c r="P241" s="10"/>
    </row>
    <row r="242" s="2" customFormat="1" ht="14.25" spans="1:16">
      <c r="A242" s="10">
        <v>211</v>
      </c>
      <c r="B242" s="10" t="s">
        <v>845</v>
      </c>
      <c r="C242" s="12" t="s">
        <v>846</v>
      </c>
      <c r="D242" s="12" t="s">
        <v>847</v>
      </c>
      <c r="E242" s="12" t="s">
        <v>334</v>
      </c>
      <c r="F242" s="10" t="s">
        <v>343</v>
      </c>
      <c r="G242" s="10">
        <f>SUMIF(成品月初库存!$C$3:$C$362,$B242,成品月初库存!$F$3:$F$362)</f>
        <v>0</v>
      </c>
      <c r="H242" s="10">
        <f>SUMIF(成品入库明细!$D$2:$D$500,$B242,成品入库明细!$G$2:$G$500)</f>
        <v>0</v>
      </c>
      <c r="I242" s="10">
        <f>SUMIF(成品出库明细!$D$2:$D$1172,$B242,成品出库明细!$G$2:$G$1172)</f>
        <v>0</v>
      </c>
      <c r="J242" s="10">
        <f t="shared" si="4"/>
        <v>0</v>
      </c>
      <c r="K242" s="12" t="s">
        <v>300</v>
      </c>
      <c r="L242" s="10"/>
      <c r="M242" s="10"/>
      <c r="N242" s="10"/>
      <c r="O242" s="10"/>
      <c r="P242" s="10"/>
    </row>
    <row r="243" s="2" customFormat="1" ht="15.75" spans="1:16">
      <c r="A243" s="10">
        <v>212</v>
      </c>
      <c r="B243" s="10" t="s">
        <v>848</v>
      </c>
      <c r="C243" s="11" t="s">
        <v>849</v>
      </c>
      <c r="D243" s="12" t="s">
        <v>850</v>
      </c>
      <c r="E243" s="12" t="s">
        <v>334</v>
      </c>
      <c r="F243" s="10" t="s">
        <v>343</v>
      </c>
      <c r="G243" s="10">
        <f>SUMIF(成品月初库存!$C$3:$C$362,$B243,成品月初库存!$F$3:$F$362)</f>
        <v>0</v>
      </c>
      <c r="H243" s="10">
        <f>SUMIF(成品入库明细!$D$2:$D$500,$B243,成品入库明细!$G$2:$G$500)</f>
        <v>0</v>
      </c>
      <c r="I243" s="10">
        <f>SUMIF(成品出库明细!$D$2:$D$1172,$B243,成品出库明细!$G$2:$G$1172)</f>
        <v>0</v>
      </c>
      <c r="J243" s="10">
        <f t="shared" si="4"/>
        <v>0</v>
      </c>
      <c r="K243" s="12" t="s">
        <v>370</v>
      </c>
      <c r="L243" s="10"/>
      <c r="M243" s="10"/>
      <c r="N243" s="10"/>
      <c r="O243" s="10"/>
      <c r="P243" s="10"/>
    </row>
    <row r="244" s="2" customFormat="1" ht="14.25" spans="1:16">
      <c r="A244" s="10">
        <v>213</v>
      </c>
      <c r="B244" s="10" t="s">
        <v>56</v>
      </c>
      <c r="C244" s="10" t="s">
        <v>851</v>
      </c>
      <c r="D244" s="12" t="s">
        <v>323</v>
      </c>
      <c r="E244" s="12" t="s">
        <v>334</v>
      </c>
      <c r="F244" s="10" t="s">
        <v>343</v>
      </c>
      <c r="G244" s="10">
        <f>SUMIF(成品月初库存!$C$3:$C$362,$B244,成品月初库存!$F$3:$F$362)</f>
        <v>12150</v>
      </c>
      <c r="H244" s="10">
        <f>SUMIF(成品入库明细!$D$2:$D$500,$B244,成品入库明细!$G$2:$G$500)</f>
        <v>0</v>
      </c>
      <c r="I244" s="10">
        <f>SUMIF(成品出库明细!$D$2:$D$1172,$B244,成品出库明细!$G$2:$G$1172)</f>
        <v>0</v>
      </c>
      <c r="J244" s="10">
        <f t="shared" si="4"/>
        <v>12150</v>
      </c>
      <c r="K244" s="12" t="s">
        <v>349</v>
      </c>
      <c r="L244" s="10"/>
      <c r="M244" s="10"/>
      <c r="N244" s="10"/>
      <c r="O244" s="10"/>
      <c r="P244" s="10"/>
    </row>
    <row r="245" s="2" customFormat="1" ht="14.25" spans="1:16">
      <c r="A245" s="10">
        <v>214</v>
      </c>
      <c r="B245" s="10" t="s">
        <v>57</v>
      </c>
      <c r="C245" s="10" t="s">
        <v>852</v>
      </c>
      <c r="D245" s="12" t="s">
        <v>323</v>
      </c>
      <c r="E245" s="12" t="s">
        <v>334</v>
      </c>
      <c r="F245" s="10" t="s">
        <v>343</v>
      </c>
      <c r="G245" s="10">
        <f>SUMIF(成品月初库存!$C$3:$C$362,$B245,成品月初库存!$F$3:$F$362)</f>
        <v>10015</v>
      </c>
      <c r="H245" s="10">
        <f>SUMIF(成品入库明细!$D$2:$D$500,$B245,成品入库明细!$G$2:$G$500)</f>
        <v>0</v>
      </c>
      <c r="I245" s="10">
        <f>SUMIF(成品出库明细!$D$2:$D$1172,$B245,成品出库明细!$G$2:$G$1172)</f>
        <v>0</v>
      </c>
      <c r="J245" s="10">
        <f t="shared" si="4"/>
        <v>10015</v>
      </c>
      <c r="K245" s="12" t="s">
        <v>349</v>
      </c>
      <c r="L245" s="10"/>
      <c r="M245" s="10"/>
      <c r="N245" s="10"/>
      <c r="O245" s="10"/>
      <c r="P245" s="10"/>
    </row>
    <row r="246" s="2" customFormat="1" ht="14.25" spans="1:16">
      <c r="A246" s="10">
        <v>215</v>
      </c>
      <c r="B246" s="10" t="s">
        <v>58</v>
      </c>
      <c r="C246" s="10" t="s">
        <v>853</v>
      </c>
      <c r="D246" s="12" t="s">
        <v>323</v>
      </c>
      <c r="E246" s="12" t="s">
        <v>334</v>
      </c>
      <c r="F246" s="10" t="s">
        <v>343</v>
      </c>
      <c r="G246" s="10">
        <f>SUMIF(成品月初库存!$C$3:$C$362,$B246,成品月初库存!$F$3:$F$362)</f>
        <v>2628</v>
      </c>
      <c r="H246" s="10">
        <f>SUMIF(成品入库明细!$D$2:$D$500,$B246,成品入库明细!$G$2:$G$500)</f>
        <v>0</v>
      </c>
      <c r="I246" s="10">
        <f>SUMIF(成品出库明细!$D$2:$D$1172,$B246,成品出库明细!$G$2:$G$1172)</f>
        <v>1350</v>
      </c>
      <c r="J246" s="10">
        <f t="shared" si="4"/>
        <v>1278</v>
      </c>
      <c r="K246" s="12" t="s">
        <v>709</v>
      </c>
      <c r="L246" s="10"/>
      <c r="M246" s="10"/>
      <c r="N246" s="10"/>
      <c r="O246" s="10"/>
      <c r="P246" s="10"/>
    </row>
    <row r="247" s="2" customFormat="1" ht="14.25" spans="1:16">
      <c r="A247" s="10">
        <v>216</v>
      </c>
      <c r="B247" s="10" t="s">
        <v>854</v>
      </c>
      <c r="C247" s="10" t="s">
        <v>855</v>
      </c>
      <c r="D247" s="12" t="s">
        <v>323</v>
      </c>
      <c r="E247" s="12" t="s">
        <v>334</v>
      </c>
      <c r="F247" s="10" t="s">
        <v>343</v>
      </c>
      <c r="G247" s="10">
        <f>SUMIF(成品月初库存!$C$3:$C$362,$B247,成品月初库存!$F$3:$F$362)</f>
        <v>0</v>
      </c>
      <c r="H247" s="10">
        <f>SUMIF(成品入库明细!$D$2:$D$500,$B247,成品入库明细!$G$2:$G$500)</f>
        <v>0</v>
      </c>
      <c r="I247" s="10">
        <f>SUMIF(成品出库明细!$D$2:$D$1172,$B247,成品出库明细!$G$2:$G$1172)</f>
        <v>0</v>
      </c>
      <c r="J247" s="10">
        <f t="shared" si="4"/>
        <v>0</v>
      </c>
      <c r="K247" s="12" t="s">
        <v>709</v>
      </c>
      <c r="L247" s="10"/>
      <c r="M247" s="10"/>
      <c r="N247" s="10"/>
      <c r="O247" s="10"/>
      <c r="P247" s="10"/>
    </row>
    <row r="248" s="2" customFormat="1" ht="14.25" spans="1:16">
      <c r="A248" s="10">
        <v>217</v>
      </c>
      <c r="B248" s="10" t="s">
        <v>856</v>
      </c>
      <c r="C248" s="10" t="s">
        <v>857</v>
      </c>
      <c r="D248" s="12" t="s">
        <v>323</v>
      </c>
      <c r="E248" s="12" t="s">
        <v>334</v>
      </c>
      <c r="F248" s="10" t="s">
        <v>343</v>
      </c>
      <c r="G248" s="10">
        <f>SUMIF(成品月初库存!$C$3:$C$362,$B248,成品月初库存!$F$3:$F$362)</f>
        <v>0</v>
      </c>
      <c r="H248" s="10">
        <f>SUMIF(成品入库明细!$D$2:$D$500,$B248,成品入库明细!$G$2:$G$500)</f>
        <v>0</v>
      </c>
      <c r="I248" s="10">
        <f>SUMIF(成品出库明细!$D$2:$D$1172,$B248,成品出库明细!$G$2:$G$1172)</f>
        <v>0</v>
      </c>
      <c r="J248" s="10">
        <f t="shared" si="4"/>
        <v>0</v>
      </c>
      <c r="K248" s="12" t="s">
        <v>751</v>
      </c>
      <c r="L248" s="10"/>
      <c r="M248" s="10"/>
      <c r="N248" s="10"/>
      <c r="O248" s="10"/>
      <c r="P248" s="10"/>
    </row>
    <row r="249" s="2" customFormat="1" ht="14.25" spans="1:16">
      <c r="A249" s="10">
        <v>218</v>
      </c>
      <c r="B249" s="10" t="s">
        <v>59</v>
      </c>
      <c r="C249" s="10" t="s">
        <v>858</v>
      </c>
      <c r="D249" s="12" t="s">
        <v>323</v>
      </c>
      <c r="E249" s="12" t="s">
        <v>334</v>
      </c>
      <c r="F249" s="10" t="s">
        <v>343</v>
      </c>
      <c r="G249" s="10">
        <f>SUMIF(成品月初库存!$C$3:$C$362,$B249,成品月初库存!$F$3:$F$362)</f>
        <v>78</v>
      </c>
      <c r="H249" s="10">
        <f>SUMIF(成品入库明细!$D$2:$D$500,$B249,成品入库明细!$G$2:$G$500)</f>
        <v>0</v>
      </c>
      <c r="I249" s="10">
        <f>SUMIF(成品出库明细!$D$2:$D$1172,$B249,成品出库明细!$G$2:$G$1172)</f>
        <v>0</v>
      </c>
      <c r="J249" s="10">
        <f t="shared" si="4"/>
        <v>78</v>
      </c>
      <c r="K249" s="12" t="s">
        <v>379</v>
      </c>
      <c r="L249" s="10"/>
      <c r="M249" s="10"/>
      <c r="N249" s="10"/>
      <c r="O249" s="10"/>
      <c r="P249" s="10"/>
    </row>
    <row r="250" s="2" customFormat="1" ht="14.25" spans="1:16">
      <c r="A250" s="10">
        <v>219</v>
      </c>
      <c r="B250" s="10" t="s">
        <v>859</v>
      </c>
      <c r="C250" s="10" t="s">
        <v>860</v>
      </c>
      <c r="D250" s="12" t="s">
        <v>323</v>
      </c>
      <c r="E250" s="12" t="s">
        <v>334</v>
      </c>
      <c r="F250" s="10" t="s">
        <v>343</v>
      </c>
      <c r="G250" s="10">
        <f>SUMIF(成品月初库存!$C$3:$C$362,$B250,成品月初库存!$F$3:$F$362)</f>
        <v>0</v>
      </c>
      <c r="H250" s="10">
        <f>SUMIF(成品入库明细!$D$2:$D$500,$B250,成品入库明细!$G$2:$G$500)</f>
        <v>0</v>
      </c>
      <c r="I250" s="10">
        <f>SUMIF(成品出库明细!$D$2:$D$1172,$B250,成品出库明细!$G$2:$G$1172)</f>
        <v>0</v>
      </c>
      <c r="J250" s="10">
        <f t="shared" si="4"/>
        <v>0</v>
      </c>
      <c r="K250" s="12" t="s">
        <v>709</v>
      </c>
      <c r="L250" s="10"/>
      <c r="M250" s="10"/>
      <c r="N250" s="10"/>
      <c r="O250" s="10"/>
      <c r="P250" s="10"/>
    </row>
    <row r="251" s="2" customFormat="1" ht="14.25" spans="1:16">
      <c r="A251" s="10">
        <v>220</v>
      </c>
      <c r="B251" s="10" t="s">
        <v>60</v>
      </c>
      <c r="C251" s="10" t="s">
        <v>61</v>
      </c>
      <c r="D251" s="12" t="s">
        <v>323</v>
      </c>
      <c r="E251" s="12" t="s">
        <v>334</v>
      </c>
      <c r="F251" s="10" t="s">
        <v>343</v>
      </c>
      <c r="G251" s="10">
        <f>SUMIF(成品月初库存!$C$3:$C$362,$B251,成品月初库存!$F$3:$F$362)</f>
        <v>14936</v>
      </c>
      <c r="H251" s="10">
        <f>SUMIF(成品入库明细!$D$2:$D$500,$B251,成品入库明细!$G$2:$G$500)</f>
        <v>-411</v>
      </c>
      <c r="I251" s="10">
        <f>SUMIF(成品出库明细!$D$2:$D$1172,$B251,成品出库明细!$G$2:$G$1172)</f>
        <v>10679</v>
      </c>
      <c r="J251" s="10">
        <f t="shared" si="4"/>
        <v>3846</v>
      </c>
      <c r="K251" s="12" t="s">
        <v>709</v>
      </c>
      <c r="L251" s="10"/>
      <c r="M251" s="10"/>
      <c r="N251" s="10"/>
      <c r="O251" s="10"/>
      <c r="P251" s="10"/>
    </row>
    <row r="252" s="2" customFormat="1" ht="14.25" spans="1:16">
      <c r="A252" s="10">
        <v>221</v>
      </c>
      <c r="B252" s="10" t="s">
        <v>63</v>
      </c>
      <c r="C252" s="10" t="s">
        <v>861</v>
      </c>
      <c r="D252" s="12" t="s">
        <v>323</v>
      </c>
      <c r="E252" s="12" t="s">
        <v>334</v>
      </c>
      <c r="F252" s="10" t="s">
        <v>343</v>
      </c>
      <c r="G252" s="10">
        <f>SUMIF(成品月初库存!$C$3:$C$362,$B252,成品月初库存!$F$3:$F$362)</f>
        <v>1558</v>
      </c>
      <c r="H252" s="10">
        <f>SUMIF(成品入库明细!$D$2:$D$500,$B252,成品入库明细!$G$2:$G$500)</f>
        <v>0</v>
      </c>
      <c r="I252" s="10">
        <f>SUMIF(成品出库明细!$D$2:$D$1172,$B252,成品出库明细!$G$2:$G$1172)</f>
        <v>0</v>
      </c>
      <c r="J252" s="10">
        <f t="shared" si="4"/>
        <v>1558</v>
      </c>
      <c r="K252" s="12" t="s">
        <v>709</v>
      </c>
      <c r="L252" s="10"/>
      <c r="M252" s="10"/>
      <c r="N252" s="10"/>
      <c r="O252" s="10"/>
      <c r="P252" s="10"/>
    </row>
    <row r="253" s="2" customFormat="1" ht="14.25" spans="1:16">
      <c r="A253" s="10">
        <v>222</v>
      </c>
      <c r="B253" s="10" t="s">
        <v>64</v>
      </c>
      <c r="C253" s="10" t="s">
        <v>862</v>
      </c>
      <c r="D253" s="12" t="s">
        <v>323</v>
      </c>
      <c r="E253" s="12" t="s">
        <v>334</v>
      </c>
      <c r="F253" s="10" t="s">
        <v>343</v>
      </c>
      <c r="G253" s="10">
        <f>SUMIF(成品月初库存!$C$3:$C$362,$B253,成品月初库存!$F$3:$F$362)</f>
        <v>5016</v>
      </c>
      <c r="H253" s="10">
        <f>SUMIF(成品入库明细!$D$2:$D$500,$B253,成品入库明细!$G$2:$G$500)</f>
        <v>0</v>
      </c>
      <c r="I253" s="10">
        <f>SUMIF(成品出库明细!$D$2:$D$1172,$B253,成品出库明细!$G$2:$G$1172)</f>
        <v>0</v>
      </c>
      <c r="J253" s="10">
        <f t="shared" si="4"/>
        <v>5016</v>
      </c>
      <c r="K253" s="12" t="s">
        <v>709</v>
      </c>
      <c r="L253" s="12"/>
      <c r="M253" s="10"/>
      <c r="N253" s="10"/>
      <c r="O253" s="10"/>
      <c r="P253" s="10"/>
    </row>
    <row r="254" s="2" customFormat="1" ht="14.25" spans="1:16">
      <c r="A254" s="10">
        <v>223</v>
      </c>
      <c r="B254" s="10" t="s">
        <v>65</v>
      </c>
      <c r="C254" s="10" t="s">
        <v>863</v>
      </c>
      <c r="D254" s="12" t="s">
        <v>323</v>
      </c>
      <c r="E254" s="12" t="s">
        <v>334</v>
      </c>
      <c r="F254" s="10" t="s">
        <v>343</v>
      </c>
      <c r="G254" s="10">
        <f>SUMIF(成品月初库存!$C$3:$C$362,$B254,成品月初库存!$F$3:$F$362)</f>
        <v>2477</v>
      </c>
      <c r="H254" s="10">
        <f>SUMIF(成品入库明细!$D$2:$D$500,$B254,成品入库明细!$G$2:$G$500)</f>
        <v>0</v>
      </c>
      <c r="I254" s="10">
        <f>SUMIF(成品出库明细!$D$2:$D$1172,$B254,成品出库明细!$G$2:$G$1172)</f>
        <v>0</v>
      </c>
      <c r="J254" s="10">
        <f t="shared" si="4"/>
        <v>2477</v>
      </c>
      <c r="K254" s="12" t="s">
        <v>709</v>
      </c>
      <c r="L254" s="10"/>
      <c r="M254" s="10"/>
      <c r="N254" s="10"/>
      <c r="O254" s="10"/>
      <c r="P254" s="10"/>
    </row>
    <row r="255" s="2" customFormat="1" ht="14.25" spans="1:16">
      <c r="A255" s="10"/>
      <c r="B255" s="10" t="s">
        <v>291</v>
      </c>
      <c r="C255" s="10" t="s">
        <v>864</v>
      </c>
      <c r="D255" s="12" t="s">
        <v>323</v>
      </c>
      <c r="E255" s="12" t="s">
        <v>334</v>
      </c>
      <c r="F255" s="10" t="s">
        <v>343</v>
      </c>
      <c r="G255" s="10">
        <f>SUMIF(成品月初库存!$C$3:$C$362,$B255,成品月初库存!$F$3:$F$362)</f>
        <v>201</v>
      </c>
      <c r="H255" s="10">
        <f>SUMIF(成品入库明细!$D$2:$D$500,$B255,成品入库明细!$G$2:$G$500)</f>
        <v>0</v>
      </c>
      <c r="I255" s="10">
        <f>SUMIF(成品出库明细!$D$2:$D$1172,$B255,成品出库明细!$G$2:$G$1172)</f>
        <v>0</v>
      </c>
      <c r="J255" s="10">
        <f t="shared" si="4"/>
        <v>201</v>
      </c>
      <c r="K255" s="12" t="s">
        <v>709</v>
      </c>
      <c r="L255" s="15" t="s">
        <v>865</v>
      </c>
      <c r="M255" s="10"/>
      <c r="N255" s="10"/>
      <c r="O255" s="10"/>
      <c r="P255" s="10"/>
    </row>
    <row r="256" s="2" customFormat="1" ht="14.25" spans="1:16">
      <c r="A256" s="10">
        <v>224</v>
      </c>
      <c r="B256" s="10" t="s">
        <v>66</v>
      </c>
      <c r="C256" s="10" t="s">
        <v>866</v>
      </c>
      <c r="D256" s="12" t="s">
        <v>323</v>
      </c>
      <c r="E256" s="12" t="s">
        <v>334</v>
      </c>
      <c r="F256" s="10" t="s">
        <v>343</v>
      </c>
      <c r="G256" s="10">
        <f>SUMIF(成品月初库存!$C$3:$C$362,$B256,成品月初库存!$F$3:$F$362)</f>
        <v>833</v>
      </c>
      <c r="H256" s="10">
        <f>SUMIF(成品入库明细!$D$2:$D$500,$B256,成品入库明细!$G$2:$G$500)</f>
        <v>0</v>
      </c>
      <c r="I256" s="10">
        <f>SUMIF(成品出库明细!$D$2:$D$1172,$B256,成品出库明细!$G$2:$G$1172)</f>
        <v>0</v>
      </c>
      <c r="J256" s="10">
        <f t="shared" si="4"/>
        <v>833</v>
      </c>
      <c r="K256" s="12" t="s">
        <v>709</v>
      </c>
      <c r="L256" s="10"/>
      <c r="M256" s="10"/>
      <c r="N256" s="10"/>
      <c r="O256" s="10"/>
      <c r="P256" s="10"/>
    </row>
    <row r="257" s="2" customFormat="1" ht="14.25" spans="1:16">
      <c r="A257" s="10"/>
      <c r="B257" s="10" t="s">
        <v>67</v>
      </c>
      <c r="C257" s="10" t="s">
        <v>867</v>
      </c>
      <c r="D257" s="12" t="s">
        <v>323</v>
      </c>
      <c r="E257" s="12" t="s">
        <v>334</v>
      </c>
      <c r="F257" s="10" t="s">
        <v>343</v>
      </c>
      <c r="G257" s="10">
        <f>SUMIF(成品月初库存!$C$3:$C$362,$B257,成品月初库存!$F$3:$F$362)</f>
        <v>7218</v>
      </c>
      <c r="H257" s="10">
        <f>SUMIF(成品入库明细!$D$2:$D$500,$B257,成品入库明细!$G$2:$G$500)</f>
        <v>0</v>
      </c>
      <c r="I257" s="10">
        <f>SUMIF(成品出库明细!$D$2:$D$1172,$B257,成品出库明细!$G$2:$G$1172)</f>
        <v>0</v>
      </c>
      <c r="J257" s="10">
        <f t="shared" si="4"/>
        <v>7218</v>
      </c>
      <c r="K257" s="12" t="s">
        <v>709</v>
      </c>
      <c r="L257" s="10"/>
      <c r="M257" s="10"/>
      <c r="N257" s="10"/>
      <c r="O257" s="10"/>
      <c r="P257" s="10"/>
    </row>
    <row r="258" s="2" customFormat="1" ht="14.25" spans="1:16">
      <c r="A258" s="10"/>
      <c r="B258" s="10" t="s">
        <v>68</v>
      </c>
      <c r="C258" s="10" t="s">
        <v>868</v>
      </c>
      <c r="D258" s="12" t="s">
        <v>323</v>
      </c>
      <c r="E258" s="12" t="s">
        <v>334</v>
      </c>
      <c r="F258" s="10" t="s">
        <v>343</v>
      </c>
      <c r="G258" s="10">
        <f>SUMIF(成品月初库存!$C$3:$C$362,$B258,成品月初库存!$F$3:$F$362)</f>
        <v>3539</v>
      </c>
      <c r="H258" s="10">
        <f>SUMIF(成品入库明细!$D$2:$D$500,$B258,成品入库明细!$G$2:$G$500)</f>
        <v>0</v>
      </c>
      <c r="I258" s="10">
        <f>SUMIF(成品出库明细!$D$2:$D$1172,$B258,成品出库明细!$G$2:$G$1172)</f>
        <v>0</v>
      </c>
      <c r="J258" s="10">
        <f t="shared" si="4"/>
        <v>3539</v>
      </c>
      <c r="K258" s="12" t="s">
        <v>709</v>
      </c>
      <c r="L258" s="10"/>
      <c r="M258" s="10"/>
      <c r="N258" s="10"/>
      <c r="O258" s="10"/>
      <c r="P258" s="10"/>
    </row>
    <row r="259" s="2" customFormat="1" ht="14.25" spans="1:16">
      <c r="A259" s="10"/>
      <c r="B259" s="10" t="s">
        <v>69</v>
      </c>
      <c r="C259" s="10" t="s">
        <v>70</v>
      </c>
      <c r="D259" s="12" t="s">
        <v>323</v>
      </c>
      <c r="E259" s="12" t="s">
        <v>334</v>
      </c>
      <c r="F259" s="10" t="s">
        <v>343</v>
      </c>
      <c r="G259" s="10">
        <f>SUMIF(成品月初库存!$C$3:$C$362,$B259,成品月初库存!$F$3:$F$362)</f>
        <v>1599</v>
      </c>
      <c r="H259" s="10">
        <f>SUMIF(成品入库明细!$D$2:$D$500,$B259,成品入库明细!$G$2:$G$500)</f>
        <v>0</v>
      </c>
      <c r="I259" s="10">
        <f>SUMIF(成品出库明细!$D$2:$D$1172,$B259,成品出库明细!$G$2:$G$1172)</f>
        <v>0</v>
      </c>
      <c r="J259" s="10">
        <f t="shared" si="4"/>
        <v>1599</v>
      </c>
      <c r="K259" s="12" t="s">
        <v>709</v>
      </c>
      <c r="L259" s="10"/>
      <c r="M259" s="10"/>
      <c r="N259" s="10"/>
      <c r="O259" s="10"/>
      <c r="P259" s="10"/>
    </row>
    <row r="260" s="2" customFormat="1" ht="14.25" spans="1:16">
      <c r="A260" s="10"/>
      <c r="B260" s="10" t="s">
        <v>72</v>
      </c>
      <c r="C260" s="10" t="s">
        <v>869</v>
      </c>
      <c r="D260" s="12" t="s">
        <v>323</v>
      </c>
      <c r="E260" s="12" t="s">
        <v>334</v>
      </c>
      <c r="F260" s="10" t="s">
        <v>343</v>
      </c>
      <c r="G260" s="10">
        <f>SUMIF(成品月初库存!$C$3:$C$362,$B260,成品月初库存!$F$3:$F$362)</f>
        <v>955</v>
      </c>
      <c r="H260" s="10">
        <f>SUMIF(成品入库明细!$D$2:$D$500,$B260,成品入库明细!$G$2:$G$500)</f>
        <v>0</v>
      </c>
      <c r="I260" s="10">
        <f>SUMIF(成品出库明细!$D$2:$D$1172,$B260,成品出库明细!$G$2:$G$1172)</f>
        <v>675</v>
      </c>
      <c r="J260" s="10">
        <f t="shared" si="4"/>
        <v>280</v>
      </c>
      <c r="K260" s="12" t="s">
        <v>709</v>
      </c>
      <c r="L260" s="21"/>
      <c r="M260" s="10"/>
      <c r="N260" s="10"/>
      <c r="O260" s="10"/>
      <c r="P260" s="10"/>
    </row>
    <row r="261" s="2" customFormat="1" ht="14.25" spans="1:16">
      <c r="A261" s="10"/>
      <c r="B261" s="10" t="s">
        <v>870</v>
      </c>
      <c r="C261" s="10" t="s">
        <v>871</v>
      </c>
      <c r="D261" s="12" t="s">
        <v>323</v>
      </c>
      <c r="E261" s="12" t="s">
        <v>334</v>
      </c>
      <c r="F261" s="10" t="s">
        <v>343</v>
      </c>
      <c r="G261" s="10">
        <f>SUMIF(成品月初库存!$C$3:$C$362,$B261,成品月初库存!$F$3:$F$362)</f>
        <v>0</v>
      </c>
      <c r="H261" s="10">
        <f>SUMIF(成品入库明细!$D$2:$D$500,$B261,成品入库明细!$G$2:$G$500)</f>
        <v>0</v>
      </c>
      <c r="I261" s="10">
        <f>SUMIF(成品出库明细!$D$2:$D$1172,$B261,成品出库明细!$G$2:$G$1172)</f>
        <v>0</v>
      </c>
      <c r="J261" s="10">
        <f t="shared" ref="J261:J267" si="5">G261+H261-I261</f>
        <v>0</v>
      </c>
      <c r="K261" s="12" t="s">
        <v>709</v>
      </c>
      <c r="L261" s="14" t="s">
        <v>872</v>
      </c>
      <c r="M261" s="10"/>
      <c r="N261" s="10"/>
      <c r="O261" s="10"/>
      <c r="P261" s="10"/>
    </row>
    <row r="262" s="2" customFormat="1" ht="14.25" spans="1:16">
      <c r="A262" s="10"/>
      <c r="B262" s="10" t="s">
        <v>73</v>
      </c>
      <c r="C262" s="10" t="s">
        <v>873</v>
      </c>
      <c r="D262" s="12" t="s">
        <v>323</v>
      </c>
      <c r="E262" s="12" t="s">
        <v>334</v>
      </c>
      <c r="F262" s="10" t="s">
        <v>343</v>
      </c>
      <c r="G262" s="10">
        <f>SUMIF(成品月初库存!$C$3:$C$362,$B262,成品月初库存!$F$3:$F$362)</f>
        <v>3612</v>
      </c>
      <c r="H262" s="10">
        <f>SUMIF(成品入库明细!$D$2:$D$500,$B262,成品入库明细!$G$2:$G$500)</f>
        <v>0</v>
      </c>
      <c r="I262" s="10">
        <f>SUMIF(成品出库明细!$D$2:$D$1172,$B262,成品出库明细!$G$2:$G$1172)</f>
        <v>2735</v>
      </c>
      <c r="J262" s="10">
        <f t="shared" si="5"/>
        <v>877</v>
      </c>
      <c r="K262" s="12" t="s">
        <v>375</v>
      </c>
      <c r="L262" s="14" t="s">
        <v>375</v>
      </c>
      <c r="M262" s="10"/>
      <c r="N262" s="10"/>
      <c r="O262" s="10"/>
      <c r="P262" s="10"/>
    </row>
    <row r="263" s="2" customFormat="1" ht="14.25" spans="1:16">
      <c r="A263" s="10"/>
      <c r="B263" s="10" t="s">
        <v>74</v>
      </c>
      <c r="C263" s="10" t="s">
        <v>874</v>
      </c>
      <c r="D263" s="12" t="s">
        <v>323</v>
      </c>
      <c r="E263" s="12" t="s">
        <v>334</v>
      </c>
      <c r="F263" s="10" t="s">
        <v>343</v>
      </c>
      <c r="G263" s="10">
        <f>SUMIF(成品月初库存!$C$3:$C$362,$B263,成品月初库存!$F$3:$F$362)</f>
        <v>1182</v>
      </c>
      <c r="H263" s="10">
        <f>SUMIF(成品入库明细!$D$2:$D$500,$B263,成品入库明细!$G$2:$G$500)</f>
        <v>1080</v>
      </c>
      <c r="I263" s="10">
        <f>SUMIF(成品出库明细!$D$2:$D$1172,$B263,成品出库明细!$G$2:$G$1172)</f>
        <v>1375</v>
      </c>
      <c r="J263" s="10">
        <f t="shared" si="5"/>
        <v>887</v>
      </c>
      <c r="K263" s="12" t="s">
        <v>375</v>
      </c>
      <c r="L263" s="14"/>
      <c r="M263" s="10"/>
      <c r="N263" s="10"/>
      <c r="O263" s="10"/>
      <c r="P263" s="10"/>
    </row>
    <row r="264" s="2" customFormat="1" ht="14.25" spans="1:16">
      <c r="A264" s="10"/>
      <c r="B264" s="10" t="s">
        <v>875</v>
      </c>
      <c r="C264" s="10" t="s">
        <v>876</v>
      </c>
      <c r="D264" s="12" t="s">
        <v>323</v>
      </c>
      <c r="E264" s="12" t="s">
        <v>334</v>
      </c>
      <c r="F264" s="10" t="s">
        <v>343</v>
      </c>
      <c r="G264" s="10">
        <f>SUMIF(成品月初库存!$C$3:$C$362,$B264,成品月初库存!$F$3:$F$362)</f>
        <v>0</v>
      </c>
      <c r="H264" s="10">
        <f>SUMIF(成品入库明细!$D$2:$D$500,$B264,成品入库明细!$G$2:$G$500)</f>
        <v>0</v>
      </c>
      <c r="I264" s="10">
        <f>SUMIF(成品出库明细!$D$2:$D$1172,$B264,成品出库明细!$G$2:$G$1172)</f>
        <v>0</v>
      </c>
      <c r="J264" s="10">
        <f t="shared" si="5"/>
        <v>0</v>
      </c>
      <c r="K264" s="12" t="s">
        <v>877</v>
      </c>
      <c r="L264" s="14"/>
      <c r="M264" s="10"/>
      <c r="N264" s="10"/>
      <c r="O264" s="10"/>
      <c r="P264" s="10"/>
    </row>
    <row r="265" s="2" customFormat="1" ht="14.25" spans="1:16">
      <c r="A265" s="10"/>
      <c r="B265" s="10" t="s">
        <v>75</v>
      </c>
      <c r="C265" s="10" t="s">
        <v>878</v>
      </c>
      <c r="D265" s="12" t="s">
        <v>323</v>
      </c>
      <c r="E265" s="12" t="s">
        <v>334</v>
      </c>
      <c r="F265" s="10" t="s">
        <v>343</v>
      </c>
      <c r="G265" s="10">
        <f>SUMIF(成品月初库存!$C$3:$C$362,$B265,成品月初库存!$F$3:$F$362)</f>
        <v>88</v>
      </c>
      <c r="H265" s="10">
        <f>SUMIF(成品入库明细!$D$2:$D$500,$B265,成品入库明细!$G$2:$G$500)</f>
        <v>0</v>
      </c>
      <c r="I265" s="10">
        <f>SUMIF(成品出库明细!$D$2:$D$1172,$B265,成品出库明细!$G$2:$G$1172)</f>
        <v>0</v>
      </c>
      <c r="J265" s="10">
        <f t="shared" si="5"/>
        <v>88</v>
      </c>
      <c r="K265" s="12" t="s">
        <v>709</v>
      </c>
      <c r="L265" s="21"/>
      <c r="M265" s="10"/>
      <c r="N265" s="10"/>
      <c r="O265" s="10"/>
      <c r="P265" s="10"/>
    </row>
    <row r="266" s="2" customFormat="1" ht="14.25" spans="1:16">
      <c r="A266" s="10"/>
      <c r="B266" s="10" t="s">
        <v>879</v>
      </c>
      <c r="C266" s="10" t="s">
        <v>880</v>
      </c>
      <c r="D266" s="12" t="s">
        <v>323</v>
      </c>
      <c r="E266" s="12" t="s">
        <v>334</v>
      </c>
      <c r="F266" s="10" t="s">
        <v>343</v>
      </c>
      <c r="G266" s="10">
        <f>SUMIF(成品月初库存!$C$3:$C$362,$B266,成品月初库存!$F$3:$F$362)</f>
        <v>0</v>
      </c>
      <c r="H266" s="10">
        <f>SUMIF(成品入库明细!$D$2:$D$500,$B266,成品入库明细!$G$2:$G$500)</f>
        <v>0</v>
      </c>
      <c r="I266" s="10">
        <f>SUMIF(成品出库明细!$D$2:$D$1172,$B266,成品出库明细!$G$2:$G$1172)</f>
        <v>0</v>
      </c>
      <c r="J266" s="10">
        <f t="shared" si="5"/>
        <v>0</v>
      </c>
      <c r="K266" s="12" t="s">
        <v>709</v>
      </c>
      <c r="L266" s="21"/>
      <c r="M266" s="10"/>
      <c r="N266" s="10"/>
      <c r="O266" s="10"/>
      <c r="P266" s="10"/>
    </row>
    <row r="267" s="2" customFormat="1" ht="14.25" spans="1:16">
      <c r="A267" s="10"/>
      <c r="B267" s="10" t="s">
        <v>76</v>
      </c>
      <c r="C267" s="10" t="s">
        <v>881</v>
      </c>
      <c r="D267" s="12" t="s">
        <v>323</v>
      </c>
      <c r="E267" s="12" t="s">
        <v>334</v>
      </c>
      <c r="F267" s="10" t="s">
        <v>343</v>
      </c>
      <c r="G267" s="10">
        <f>SUMIF(成品月初库存!$C$3:$C$362,$B267,成品月初库存!$F$3:$F$362)</f>
        <v>6241</v>
      </c>
      <c r="H267" s="10">
        <f>SUMIF(成品入库明细!$D$2:$D$500,$B267,成品入库明细!$G$2:$G$500)</f>
        <v>4499</v>
      </c>
      <c r="I267" s="10">
        <f>SUMIF(成品出库明细!$D$2:$D$1172,$B267,成品出库明细!$G$2:$G$1172)</f>
        <v>2807</v>
      </c>
      <c r="J267" s="10">
        <f t="shared" si="5"/>
        <v>7933</v>
      </c>
      <c r="K267" s="12" t="s">
        <v>709</v>
      </c>
      <c r="L267" s="21"/>
      <c r="M267" s="10"/>
      <c r="N267" s="10"/>
      <c r="O267" s="10"/>
      <c r="P267" s="10"/>
    </row>
    <row r="268" s="2" customFormat="1" ht="14.25" spans="1:16">
      <c r="A268" s="10"/>
      <c r="B268" s="10" t="s">
        <v>882</v>
      </c>
      <c r="C268" s="10" t="s">
        <v>883</v>
      </c>
      <c r="D268" s="12" t="s">
        <v>323</v>
      </c>
      <c r="E268" s="12" t="s">
        <v>334</v>
      </c>
      <c r="F268" s="10" t="s">
        <v>343</v>
      </c>
      <c r="G268" s="10">
        <f>SUMIF(成品月初库存!$C$3:$C$362,$B268,成品月初库存!$F$3:$F$362)</f>
        <v>0</v>
      </c>
      <c r="H268" s="10">
        <f>SUMIF(成品入库明细!$D$2:$D$500,$B268,成品入库明细!$G$2:$G$500)</f>
        <v>0</v>
      </c>
      <c r="I268" s="10">
        <f>SUMIF(成品出库明细!$D$2:$D$1172,$B268,成品出库明细!$G$2:$G$1172)</f>
        <v>0</v>
      </c>
      <c r="J268" s="10">
        <f t="shared" ref="J268:J319" si="6">G268+H268-I268</f>
        <v>0</v>
      </c>
      <c r="K268" s="12" t="s">
        <v>709</v>
      </c>
      <c r="L268" s="21"/>
      <c r="M268" s="10"/>
      <c r="N268" s="10"/>
      <c r="O268" s="10"/>
      <c r="P268" s="10"/>
    </row>
    <row r="269" s="2" customFormat="1" ht="14.25" spans="1:16">
      <c r="A269" s="10"/>
      <c r="B269" s="10" t="s">
        <v>77</v>
      </c>
      <c r="C269" s="10" t="s">
        <v>884</v>
      </c>
      <c r="D269" s="12" t="s">
        <v>323</v>
      </c>
      <c r="E269" s="12" t="s">
        <v>334</v>
      </c>
      <c r="F269" s="10" t="s">
        <v>343</v>
      </c>
      <c r="G269" s="10">
        <f>SUMIF(成品月初库存!$C$3:$C$362,$B269,成品月初库存!$F$3:$F$362)</f>
        <v>2580</v>
      </c>
      <c r="H269" s="10">
        <f>SUMIF(成品入库明细!$D$2:$D$500,$B269,成品入库明细!$G$2:$G$500)</f>
        <v>0</v>
      </c>
      <c r="I269" s="10">
        <f>SUMIF(成品出库明细!$D$2:$D$1172,$B269,成品出库明细!$G$2:$G$1172)</f>
        <v>0</v>
      </c>
      <c r="J269" s="10">
        <f t="shared" si="6"/>
        <v>2580</v>
      </c>
      <c r="K269" s="12" t="s">
        <v>709</v>
      </c>
      <c r="L269" s="21"/>
      <c r="M269" s="10"/>
      <c r="N269" s="10"/>
      <c r="O269" s="10"/>
      <c r="P269" s="10"/>
    </row>
    <row r="270" s="2" customFormat="1" ht="14.25" spans="1:16">
      <c r="A270" s="10"/>
      <c r="B270" s="10" t="s">
        <v>78</v>
      </c>
      <c r="C270" s="10" t="s">
        <v>885</v>
      </c>
      <c r="D270" s="12" t="s">
        <v>323</v>
      </c>
      <c r="E270" s="12" t="s">
        <v>334</v>
      </c>
      <c r="F270" s="10" t="s">
        <v>343</v>
      </c>
      <c r="G270" s="10">
        <f>SUMIF(成品月初库存!$C$3:$C$362,$B270,成品月初库存!$F$3:$F$362)</f>
        <v>36</v>
      </c>
      <c r="H270" s="10">
        <f>SUMIF(成品入库明细!$D$2:$D$500,$B270,成品入库明细!$G$2:$G$500)</f>
        <v>0</v>
      </c>
      <c r="I270" s="10">
        <f>SUMIF(成品出库明细!$D$2:$D$1172,$B270,成品出库明细!$G$2:$G$1172)</f>
        <v>0</v>
      </c>
      <c r="J270" s="10">
        <f t="shared" si="6"/>
        <v>36</v>
      </c>
      <c r="K270" s="12" t="s">
        <v>709</v>
      </c>
      <c r="L270" s="21"/>
      <c r="M270" s="10"/>
      <c r="N270" s="10"/>
      <c r="O270" s="10"/>
      <c r="P270" s="10"/>
    </row>
    <row r="271" s="2" customFormat="1" ht="14.25" spans="1:16">
      <c r="A271" s="10"/>
      <c r="B271" s="10" t="s">
        <v>79</v>
      </c>
      <c r="C271" s="10" t="s">
        <v>886</v>
      </c>
      <c r="D271" s="12" t="s">
        <v>323</v>
      </c>
      <c r="E271" s="12" t="s">
        <v>334</v>
      </c>
      <c r="F271" s="10" t="s">
        <v>343</v>
      </c>
      <c r="G271" s="10">
        <f>SUMIF(成品月初库存!$C$3:$C$362,$B271,成品月初库存!$F$3:$F$362)</f>
        <v>35</v>
      </c>
      <c r="H271" s="10">
        <f>SUMIF(成品入库明细!$D$2:$D$500,$B271,成品入库明细!$G$2:$G$500)</f>
        <v>0</v>
      </c>
      <c r="I271" s="10">
        <f>SUMIF(成品出库明细!$D$2:$D$1172,$B271,成品出库明细!$G$2:$G$1172)</f>
        <v>0</v>
      </c>
      <c r="J271" s="10">
        <f t="shared" si="6"/>
        <v>35</v>
      </c>
      <c r="K271" s="12" t="s">
        <v>375</v>
      </c>
      <c r="L271" s="21"/>
      <c r="M271" s="10"/>
      <c r="N271" s="10"/>
      <c r="O271" s="10"/>
      <c r="P271" s="10"/>
    </row>
    <row r="272" s="2" customFormat="1" ht="14.25" spans="1:16">
      <c r="A272" s="10"/>
      <c r="B272" s="10" t="s">
        <v>887</v>
      </c>
      <c r="C272" s="10" t="s">
        <v>888</v>
      </c>
      <c r="D272" s="12" t="s">
        <v>323</v>
      </c>
      <c r="E272" s="12" t="s">
        <v>334</v>
      </c>
      <c r="F272" s="10" t="s">
        <v>343</v>
      </c>
      <c r="G272" s="10">
        <f>SUMIF(成品月初库存!$C$3:$C$362,$B272,成品月初库存!$F$3:$F$362)</f>
        <v>0</v>
      </c>
      <c r="H272" s="10">
        <f>SUMIF(成品入库明细!$D$2:$D$500,$B272,成品入库明细!$G$2:$G$500)</f>
        <v>0</v>
      </c>
      <c r="I272" s="10">
        <f>SUMIF(成品出库明细!$D$2:$D$1172,$B272,成品出库明细!$G$2:$G$1172)</f>
        <v>0</v>
      </c>
      <c r="J272" s="10">
        <f t="shared" si="6"/>
        <v>0</v>
      </c>
      <c r="K272" s="12" t="s">
        <v>375</v>
      </c>
      <c r="L272" s="21"/>
      <c r="M272" s="10"/>
      <c r="N272" s="10"/>
      <c r="O272" s="10"/>
      <c r="P272" s="10"/>
    </row>
    <row r="273" s="2" customFormat="1" ht="14.25" spans="1:16">
      <c r="A273" s="10"/>
      <c r="B273" s="10" t="s">
        <v>80</v>
      </c>
      <c r="C273" s="10" t="s">
        <v>889</v>
      </c>
      <c r="D273" s="12" t="s">
        <v>323</v>
      </c>
      <c r="E273" s="12" t="s">
        <v>334</v>
      </c>
      <c r="F273" s="10" t="s">
        <v>343</v>
      </c>
      <c r="G273" s="10">
        <f>SUMIF(成品月初库存!$C$3:$C$362,$B273,成品月初库存!$F$3:$F$362)</f>
        <v>23</v>
      </c>
      <c r="H273" s="10">
        <f>SUMIF(成品入库明细!$D$2:$D$500,$B273,成品入库明细!$G$2:$G$500)</f>
        <v>0</v>
      </c>
      <c r="I273" s="10">
        <f>SUMIF(成品出库明细!$D$2:$D$1172,$B273,成品出库明细!$G$2:$G$1172)</f>
        <v>0</v>
      </c>
      <c r="J273" s="10">
        <f t="shared" si="6"/>
        <v>23</v>
      </c>
      <c r="K273" s="12" t="s">
        <v>709</v>
      </c>
      <c r="L273" s="21"/>
      <c r="M273" s="10"/>
      <c r="N273" s="10"/>
      <c r="O273" s="10"/>
      <c r="P273" s="10"/>
    </row>
    <row r="274" s="2" customFormat="1" ht="14.25" spans="1:16">
      <c r="A274" s="10"/>
      <c r="B274" s="10" t="s">
        <v>81</v>
      </c>
      <c r="C274" s="10" t="s">
        <v>890</v>
      </c>
      <c r="D274" s="12" t="s">
        <v>323</v>
      </c>
      <c r="E274" s="12" t="s">
        <v>334</v>
      </c>
      <c r="F274" s="10" t="s">
        <v>343</v>
      </c>
      <c r="G274" s="10">
        <f>SUMIF(成品月初库存!$C$3:$C$362,$B274,成品月初库存!$F$3:$F$362)</f>
        <v>19</v>
      </c>
      <c r="H274" s="10">
        <f>SUMIF(成品入库明细!$D$2:$D$500,$B274,成品入库明细!$G$2:$G$500)</f>
        <v>0</v>
      </c>
      <c r="I274" s="10">
        <f>SUMIF(成品出库明细!$D$2:$D$1172,$B274,成品出库明细!$G$2:$G$1172)</f>
        <v>0</v>
      </c>
      <c r="J274" s="10">
        <f t="shared" si="6"/>
        <v>19</v>
      </c>
      <c r="K274" s="12" t="s">
        <v>375</v>
      </c>
      <c r="L274" s="21"/>
      <c r="M274" s="10"/>
      <c r="N274" s="10"/>
      <c r="O274" s="10"/>
      <c r="P274" s="10"/>
    </row>
    <row r="275" s="2" customFormat="1" ht="14.25" spans="1:16">
      <c r="A275" s="10"/>
      <c r="B275" s="10" t="s">
        <v>82</v>
      </c>
      <c r="C275" s="10" t="s">
        <v>891</v>
      </c>
      <c r="D275" s="12" t="s">
        <v>323</v>
      </c>
      <c r="E275" s="12" t="s">
        <v>334</v>
      </c>
      <c r="F275" s="10" t="s">
        <v>343</v>
      </c>
      <c r="G275" s="10">
        <f>SUMIF(成品月初库存!$C$3:$C$362,$B275,成品月初库存!$F$3:$F$362)</f>
        <v>22</v>
      </c>
      <c r="H275" s="10">
        <f>SUMIF(成品入库明细!$D$2:$D$500,$B275,成品入库明细!$G$2:$G$500)</f>
        <v>0</v>
      </c>
      <c r="I275" s="10">
        <f>SUMIF(成品出库明细!$D$2:$D$1172,$B275,成品出库明细!$G$2:$G$1172)</f>
        <v>0</v>
      </c>
      <c r="J275" s="10">
        <f t="shared" si="6"/>
        <v>22</v>
      </c>
      <c r="K275" s="12" t="s">
        <v>709</v>
      </c>
      <c r="L275" s="21"/>
      <c r="M275" s="10"/>
      <c r="N275" s="10"/>
      <c r="O275" s="10"/>
      <c r="P275" s="10"/>
    </row>
    <row r="276" s="2" customFormat="1" ht="14.25" spans="1:16">
      <c r="A276" s="10"/>
      <c r="B276" s="10" t="s">
        <v>83</v>
      </c>
      <c r="C276" s="10" t="s">
        <v>84</v>
      </c>
      <c r="D276" s="12" t="s">
        <v>323</v>
      </c>
      <c r="E276" s="12" t="s">
        <v>334</v>
      </c>
      <c r="F276" s="10" t="s">
        <v>343</v>
      </c>
      <c r="G276" s="10">
        <f>SUMIF(成品月初库存!$C$3:$C$362,$B276,成品月初库存!$F$3:$F$362)</f>
        <v>176</v>
      </c>
      <c r="H276" s="10">
        <f>SUMIF(成品入库明细!$D$2:$D$500,$B276,成品入库明细!$G$2:$G$500)</f>
        <v>0</v>
      </c>
      <c r="I276" s="10">
        <f>SUMIF(成品出库明细!$D$2:$D$1172,$B276,成品出库明细!$G$2:$G$1172)</f>
        <v>0</v>
      </c>
      <c r="J276" s="10">
        <f t="shared" si="6"/>
        <v>176</v>
      </c>
      <c r="K276" s="12" t="s">
        <v>375</v>
      </c>
      <c r="L276" s="21"/>
      <c r="M276" s="10"/>
      <c r="N276" s="10"/>
      <c r="O276" s="10"/>
      <c r="P276" s="10"/>
    </row>
    <row r="277" s="2" customFormat="1" ht="15.75" spans="1:16">
      <c r="A277" s="10">
        <v>225</v>
      </c>
      <c r="B277" s="10" t="s">
        <v>892</v>
      </c>
      <c r="C277" s="11" t="s">
        <v>893</v>
      </c>
      <c r="D277" s="12" t="s">
        <v>894</v>
      </c>
      <c r="E277" s="12" t="s">
        <v>334</v>
      </c>
      <c r="F277" s="10" t="s">
        <v>343</v>
      </c>
      <c r="G277" s="10">
        <f>SUMIF(成品月初库存!$C$3:$C$362,$B277,成品月初库存!$F$3:$F$362)</f>
        <v>0</v>
      </c>
      <c r="H277" s="10">
        <f>SUMIF(成品入库明细!$D$2:$D$500,$B277,成品入库明细!$G$2:$G$500)</f>
        <v>0</v>
      </c>
      <c r="I277" s="10">
        <f>SUMIF(成品出库明细!$D$2:$D$1172,$B277,成品出库明细!$G$2:$G$1172)</f>
        <v>0</v>
      </c>
      <c r="J277" s="10">
        <f t="shared" si="6"/>
        <v>0</v>
      </c>
      <c r="K277" s="12" t="s">
        <v>370</v>
      </c>
      <c r="L277" s="10"/>
      <c r="M277" s="10"/>
      <c r="N277" s="10"/>
      <c r="O277" s="10"/>
      <c r="P277" s="10"/>
    </row>
    <row r="278" s="2" customFormat="1" ht="15.75" spans="1:16">
      <c r="A278" s="10">
        <v>226</v>
      </c>
      <c r="B278" s="10" t="s">
        <v>895</v>
      </c>
      <c r="C278" s="11" t="s">
        <v>896</v>
      </c>
      <c r="D278" s="12" t="s">
        <v>894</v>
      </c>
      <c r="E278" s="12" t="s">
        <v>334</v>
      </c>
      <c r="F278" s="10" t="s">
        <v>343</v>
      </c>
      <c r="G278" s="10">
        <f>SUMIF(成品月初库存!$C$3:$C$362,$B278,成品月初库存!$F$3:$F$362)</f>
        <v>0</v>
      </c>
      <c r="H278" s="10">
        <f>SUMIF(成品入库明细!$D$2:$D$500,$B278,成品入库明细!$G$2:$G$500)</f>
        <v>0</v>
      </c>
      <c r="I278" s="10">
        <f>SUMIF(成品出库明细!$D$2:$D$1172,$B278,成品出库明细!$G$2:$G$1172)</f>
        <v>0</v>
      </c>
      <c r="J278" s="10">
        <f t="shared" si="6"/>
        <v>0</v>
      </c>
      <c r="K278" s="12" t="s">
        <v>370</v>
      </c>
      <c r="L278" s="10"/>
      <c r="M278" s="10"/>
      <c r="N278" s="10"/>
      <c r="O278" s="10"/>
      <c r="P278" s="10"/>
    </row>
    <row r="279" s="2" customFormat="1" ht="14.25" spans="1:16">
      <c r="A279" s="10"/>
      <c r="B279" s="10" t="s">
        <v>897</v>
      </c>
      <c r="C279" s="22" t="s">
        <v>898</v>
      </c>
      <c r="D279" s="12" t="s">
        <v>894</v>
      </c>
      <c r="E279" s="12" t="s">
        <v>334</v>
      </c>
      <c r="F279" s="10" t="s">
        <v>343</v>
      </c>
      <c r="G279" s="10">
        <f>SUMIF(成品月初库存!$C$3:$C$362,$B279,成品月初库存!$F$3:$F$362)</f>
        <v>0</v>
      </c>
      <c r="H279" s="10">
        <f>SUMIF(成品入库明细!$D$2:$D$500,$B279,成品入库明细!$G$2:$G$500)</f>
        <v>0</v>
      </c>
      <c r="I279" s="10">
        <f>SUMIF(成品出库明细!$D$2:$D$1172,$B279,成品出库明细!$G$2:$G$1172)</f>
        <v>0</v>
      </c>
      <c r="J279" s="10">
        <f t="shared" si="6"/>
        <v>0</v>
      </c>
      <c r="K279" s="12" t="s">
        <v>344</v>
      </c>
      <c r="L279" s="10"/>
      <c r="M279" s="10"/>
      <c r="N279" s="12"/>
      <c r="O279" s="10"/>
      <c r="P279" s="10"/>
    </row>
    <row r="280" s="2" customFormat="1" ht="14.25" spans="1:16">
      <c r="A280" s="10">
        <v>227</v>
      </c>
      <c r="B280" s="10" t="s">
        <v>899</v>
      </c>
      <c r="C280" s="12" t="s">
        <v>900</v>
      </c>
      <c r="D280" s="12" t="s">
        <v>901</v>
      </c>
      <c r="E280" s="12" t="s">
        <v>334</v>
      </c>
      <c r="F280" s="10" t="s">
        <v>343</v>
      </c>
      <c r="G280" s="10">
        <f>SUMIF(成品月初库存!$C$3:$C$362,$B280,成品月初库存!$F$3:$F$362)</f>
        <v>0</v>
      </c>
      <c r="H280" s="10">
        <f>SUMIF(成品入库明细!$D$2:$D$500,$B280,成品入库明细!$G$2:$G$500)</f>
        <v>0</v>
      </c>
      <c r="I280" s="10">
        <f>SUMIF(成品出库明细!$D$2:$D$1172,$B280,成品出库明细!$G$2:$G$1172)</f>
        <v>0</v>
      </c>
      <c r="J280" s="10">
        <f t="shared" si="6"/>
        <v>0</v>
      </c>
      <c r="K280" s="12" t="s">
        <v>370</v>
      </c>
      <c r="L280" s="10"/>
      <c r="M280" s="10"/>
      <c r="N280" s="10"/>
      <c r="O280" s="10"/>
      <c r="P280" s="10"/>
    </row>
    <row r="281" s="2" customFormat="1" ht="14.25" spans="1:16">
      <c r="A281" s="10">
        <v>227</v>
      </c>
      <c r="B281" s="10" t="s">
        <v>86</v>
      </c>
      <c r="C281" s="12" t="s">
        <v>902</v>
      </c>
      <c r="D281" s="12" t="s">
        <v>901</v>
      </c>
      <c r="E281" s="12" t="s">
        <v>334</v>
      </c>
      <c r="F281" s="10" t="s">
        <v>343</v>
      </c>
      <c r="G281" s="10">
        <f>SUMIF(成品月初库存!$C$3:$C$362,$B281,成品月初库存!$F$3:$F$362)</f>
        <v>161</v>
      </c>
      <c r="H281" s="10">
        <f>SUMIF(成品入库明细!$D$2:$D$500,$B281,成品入库明细!$G$2:$G$500)</f>
        <v>0</v>
      </c>
      <c r="I281" s="10">
        <f>SUMIF(成品出库明细!$D$2:$D$1172,$B281,成品出库明细!$G$2:$G$1172)</f>
        <v>0</v>
      </c>
      <c r="J281" s="10">
        <f t="shared" si="6"/>
        <v>161</v>
      </c>
      <c r="K281" s="12" t="s">
        <v>370</v>
      </c>
      <c r="L281" s="10"/>
      <c r="M281" s="10"/>
      <c r="N281" s="10"/>
      <c r="O281" s="10"/>
      <c r="P281" s="10"/>
    </row>
    <row r="282" s="2" customFormat="1" ht="14.25" spans="1:16">
      <c r="A282" s="10">
        <v>228</v>
      </c>
      <c r="B282" s="10" t="s">
        <v>903</v>
      </c>
      <c r="C282" s="10" t="s">
        <v>904</v>
      </c>
      <c r="D282" s="12" t="s">
        <v>905</v>
      </c>
      <c r="E282" s="12" t="s">
        <v>334</v>
      </c>
      <c r="F282" s="10" t="s">
        <v>343</v>
      </c>
      <c r="G282" s="10">
        <f>SUMIF(成品月初库存!$C$3:$C$362,$B282,成品月初库存!$F$3:$F$362)</f>
        <v>0</v>
      </c>
      <c r="H282" s="10">
        <f>SUMIF(成品入库明细!$D$2:$D$500,$B282,成品入库明细!$G$2:$G$500)</f>
        <v>0</v>
      </c>
      <c r="I282" s="10">
        <f>SUMIF(成品出库明细!$D$2:$D$1172,$B282,成品出库明细!$G$2:$G$1172)</f>
        <v>0</v>
      </c>
      <c r="J282" s="10">
        <f t="shared" si="6"/>
        <v>0</v>
      </c>
      <c r="K282" s="12" t="s">
        <v>344</v>
      </c>
      <c r="L282" s="10"/>
      <c r="M282" s="10"/>
      <c r="N282" s="10"/>
      <c r="O282" s="10"/>
      <c r="P282" s="10"/>
    </row>
    <row r="283" s="2" customFormat="1" ht="14.25" spans="1:16">
      <c r="A283" s="10">
        <v>229</v>
      </c>
      <c r="B283" s="10" t="s">
        <v>906</v>
      </c>
      <c r="C283" s="10" t="s">
        <v>907</v>
      </c>
      <c r="D283" s="12" t="s">
        <v>905</v>
      </c>
      <c r="E283" s="12" t="s">
        <v>334</v>
      </c>
      <c r="F283" s="10" t="s">
        <v>343</v>
      </c>
      <c r="G283" s="10">
        <f>SUMIF(成品月初库存!$C$3:$C$362,$B283,成品月初库存!$F$3:$F$362)</f>
        <v>0</v>
      </c>
      <c r="H283" s="10">
        <f>SUMIF(成品入库明细!$D$2:$D$500,$B283,成品入库明细!$G$2:$G$500)</f>
        <v>0</v>
      </c>
      <c r="I283" s="10">
        <f>SUMIF(成品出库明细!$D$2:$D$1172,$B283,成品出库明细!$G$2:$G$1172)</f>
        <v>0</v>
      </c>
      <c r="J283" s="10">
        <f t="shared" si="6"/>
        <v>0</v>
      </c>
      <c r="K283" s="12" t="s">
        <v>344</v>
      </c>
      <c r="L283" s="10"/>
      <c r="M283" s="10"/>
      <c r="N283" s="10"/>
      <c r="O283" s="10"/>
      <c r="P283" s="10"/>
    </row>
    <row r="284" s="2" customFormat="1" ht="14.25" spans="1:16">
      <c r="A284" s="10">
        <v>230</v>
      </c>
      <c r="B284" s="10" t="s">
        <v>908</v>
      </c>
      <c r="C284" s="10" t="s">
        <v>909</v>
      </c>
      <c r="D284" s="12" t="s">
        <v>905</v>
      </c>
      <c r="E284" s="12" t="s">
        <v>334</v>
      </c>
      <c r="F284" s="10" t="s">
        <v>343</v>
      </c>
      <c r="G284" s="10">
        <f>SUMIF(成品月初库存!$C$3:$C$362,$B284,成品月初库存!$F$3:$F$362)</f>
        <v>0</v>
      </c>
      <c r="H284" s="10">
        <f>SUMIF(成品入库明细!$D$2:$D$500,$B284,成品入库明细!$G$2:$G$500)</f>
        <v>0</v>
      </c>
      <c r="I284" s="10">
        <f>SUMIF(成品出库明细!$D$2:$D$1172,$B284,成品出库明细!$G$2:$G$1172)</f>
        <v>0</v>
      </c>
      <c r="J284" s="10">
        <f t="shared" si="6"/>
        <v>0</v>
      </c>
      <c r="K284" s="12" t="s">
        <v>344</v>
      </c>
      <c r="L284" s="10"/>
      <c r="M284" s="10"/>
      <c r="N284" s="10"/>
      <c r="O284" s="10"/>
      <c r="P284" s="10"/>
    </row>
    <row r="285" s="2" customFormat="1" ht="14.25" spans="1:16">
      <c r="A285" s="10">
        <v>231</v>
      </c>
      <c r="B285" s="10" t="s">
        <v>910</v>
      </c>
      <c r="C285" s="10" t="s">
        <v>911</v>
      </c>
      <c r="D285" s="12" t="s">
        <v>905</v>
      </c>
      <c r="E285" s="12" t="s">
        <v>334</v>
      </c>
      <c r="F285" s="10" t="s">
        <v>343</v>
      </c>
      <c r="G285" s="10">
        <f>SUMIF(成品月初库存!$C$3:$C$362,$B285,成品月初库存!$F$3:$F$362)</f>
        <v>0</v>
      </c>
      <c r="H285" s="10">
        <f>SUMIF(成品入库明细!$D$2:$D$500,$B285,成品入库明细!$G$2:$G$500)</f>
        <v>0</v>
      </c>
      <c r="I285" s="10">
        <f>SUMIF(成品出库明细!$D$2:$D$1172,$B285,成品出库明细!$G$2:$G$1172)</f>
        <v>0</v>
      </c>
      <c r="J285" s="10">
        <f t="shared" si="6"/>
        <v>0</v>
      </c>
      <c r="K285" s="12" t="s">
        <v>344</v>
      </c>
      <c r="L285" s="10"/>
      <c r="M285" s="10"/>
      <c r="N285" s="10"/>
      <c r="O285" s="10"/>
      <c r="P285" s="10"/>
    </row>
    <row r="286" s="2" customFormat="1" ht="14.25" spans="1:16">
      <c r="A286" s="10">
        <v>232</v>
      </c>
      <c r="B286" s="10" t="s">
        <v>912</v>
      </c>
      <c r="C286" s="10" t="s">
        <v>913</v>
      </c>
      <c r="D286" s="12" t="s">
        <v>905</v>
      </c>
      <c r="E286" s="12" t="s">
        <v>334</v>
      </c>
      <c r="F286" s="10" t="s">
        <v>343</v>
      </c>
      <c r="G286" s="10">
        <f>SUMIF(成品月初库存!$C$3:$C$362,$B286,成品月初库存!$F$3:$F$362)</f>
        <v>0</v>
      </c>
      <c r="H286" s="10">
        <f>SUMIF(成品入库明细!$D$2:$D$500,$B286,成品入库明细!$G$2:$G$500)</f>
        <v>0</v>
      </c>
      <c r="I286" s="10">
        <f>SUMIF(成品出库明细!$D$2:$D$1172,$B286,成品出库明细!$G$2:$G$1172)</f>
        <v>0</v>
      </c>
      <c r="J286" s="10">
        <f t="shared" si="6"/>
        <v>0</v>
      </c>
      <c r="K286" s="12" t="s">
        <v>344</v>
      </c>
      <c r="L286" s="10"/>
      <c r="M286" s="10"/>
      <c r="N286" s="10"/>
      <c r="O286" s="10"/>
      <c r="P286" s="10"/>
    </row>
    <row r="287" s="2" customFormat="1" ht="14.25" spans="1:16">
      <c r="A287" s="10">
        <v>233</v>
      </c>
      <c r="B287" s="10" t="s">
        <v>914</v>
      </c>
      <c r="C287" s="10" t="s">
        <v>915</v>
      </c>
      <c r="D287" s="12" t="s">
        <v>905</v>
      </c>
      <c r="E287" s="12" t="s">
        <v>334</v>
      </c>
      <c r="F287" s="10" t="s">
        <v>343</v>
      </c>
      <c r="G287" s="10">
        <f>SUMIF(成品月初库存!$C$3:$C$362,$B287,成品月初库存!$F$3:$F$362)</f>
        <v>0</v>
      </c>
      <c r="H287" s="10">
        <f>SUMIF(成品入库明细!$D$2:$D$500,$B287,成品入库明细!$G$2:$G$500)</f>
        <v>0</v>
      </c>
      <c r="I287" s="10">
        <f>SUMIF(成品出库明细!$D$2:$D$1172,$B287,成品出库明细!$G$2:$G$1172)</f>
        <v>0</v>
      </c>
      <c r="J287" s="10">
        <f t="shared" si="6"/>
        <v>0</v>
      </c>
      <c r="K287" s="12" t="s">
        <v>344</v>
      </c>
      <c r="L287" s="10"/>
      <c r="M287" s="10"/>
      <c r="N287" s="10"/>
      <c r="O287" s="10"/>
      <c r="P287" s="10"/>
    </row>
    <row r="288" s="2" customFormat="1" ht="14.25" spans="1:16">
      <c r="A288" s="10">
        <v>234</v>
      </c>
      <c r="B288" s="10" t="s">
        <v>916</v>
      </c>
      <c r="C288" s="10" t="s">
        <v>917</v>
      </c>
      <c r="D288" s="12" t="s">
        <v>905</v>
      </c>
      <c r="E288" s="12" t="s">
        <v>334</v>
      </c>
      <c r="F288" s="10" t="s">
        <v>343</v>
      </c>
      <c r="G288" s="10">
        <f>SUMIF(成品月初库存!$C$3:$C$362,$B288,成品月初库存!$F$3:$F$362)</f>
        <v>0</v>
      </c>
      <c r="H288" s="10">
        <f>SUMIF(成品入库明细!$D$2:$D$500,$B288,成品入库明细!$G$2:$G$500)</f>
        <v>0</v>
      </c>
      <c r="I288" s="10">
        <f>SUMIF(成品出库明细!$D$2:$D$1172,$B288,成品出库明细!$G$2:$G$1172)</f>
        <v>0</v>
      </c>
      <c r="J288" s="10">
        <f t="shared" si="6"/>
        <v>0</v>
      </c>
      <c r="K288" s="12" t="s">
        <v>344</v>
      </c>
      <c r="L288" s="10"/>
      <c r="M288" s="10"/>
      <c r="N288" s="10"/>
      <c r="O288" s="10"/>
      <c r="P288" s="10"/>
    </row>
    <row r="289" s="2" customFormat="1" ht="14.25" spans="1:16">
      <c r="A289" s="10">
        <v>235</v>
      </c>
      <c r="B289" s="10" t="s">
        <v>918</v>
      </c>
      <c r="C289" s="10" t="s">
        <v>919</v>
      </c>
      <c r="D289" s="12" t="s">
        <v>905</v>
      </c>
      <c r="E289" s="12" t="s">
        <v>334</v>
      </c>
      <c r="F289" s="10" t="s">
        <v>343</v>
      </c>
      <c r="G289" s="10">
        <f>SUMIF(成品月初库存!$C$3:$C$362,$B289,成品月初库存!$F$3:$F$362)</f>
        <v>0</v>
      </c>
      <c r="H289" s="10">
        <f>SUMIF(成品入库明细!$D$2:$D$500,$B289,成品入库明细!$G$2:$G$500)</f>
        <v>0</v>
      </c>
      <c r="I289" s="10">
        <f>SUMIF(成品出库明细!$D$2:$D$1172,$B289,成品出库明细!$G$2:$G$1172)</f>
        <v>0</v>
      </c>
      <c r="J289" s="10">
        <f t="shared" si="6"/>
        <v>0</v>
      </c>
      <c r="K289" s="12" t="s">
        <v>344</v>
      </c>
      <c r="L289" s="10"/>
      <c r="M289" s="10"/>
      <c r="N289" s="10"/>
      <c r="O289" s="10"/>
      <c r="P289" s="10"/>
    </row>
    <row r="290" s="2" customFormat="1" ht="14.25" spans="1:16">
      <c r="A290" s="10">
        <v>236</v>
      </c>
      <c r="B290" s="10" t="s">
        <v>920</v>
      </c>
      <c r="C290" s="10" t="s">
        <v>921</v>
      </c>
      <c r="D290" s="12" t="s">
        <v>905</v>
      </c>
      <c r="E290" s="12" t="s">
        <v>334</v>
      </c>
      <c r="F290" s="10" t="s">
        <v>343</v>
      </c>
      <c r="G290" s="10">
        <f>SUMIF(成品月初库存!$C$3:$C$362,$B290,成品月初库存!$F$3:$F$362)</f>
        <v>0</v>
      </c>
      <c r="H290" s="10">
        <f>SUMIF(成品入库明细!$D$2:$D$500,$B290,成品入库明细!$G$2:$G$500)</f>
        <v>0</v>
      </c>
      <c r="I290" s="10">
        <f>SUMIF(成品出库明细!$D$2:$D$1172,$B290,成品出库明细!$G$2:$G$1172)</f>
        <v>0</v>
      </c>
      <c r="J290" s="10">
        <f t="shared" si="6"/>
        <v>0</v>
      </c>
      <c r="K290" s="12" t="s">
        <v>344</v>
      </c>
      <c r="L290" s="10"/>
      <c r="M290" s="10"/>
      <c r="N290" s="10"/>
      <c r="O290" s="10"/>
      <c r="P290" s="10"/>
    </row>
    <row r="291" s="2" customFormat="1" ht="14.25" spans="1:16">
      <c r="A291" s="10">
        <v>237</v>
      </c>
      <c r="B291" s="10" t="s">
        <v>922</v>
      </c>
      <c r="C291" s="10" t="s">
        <v>923</v>
      </c>
      <c r="D291" s="12" t="s">
        <v>905</v>
      </c>
      <c r="E291" s="12" t="s">
        <v>334</v>
      </c>
      <c r="F291" s="10" t="s">
        <v>343</v>
      </c>
      <c r="G291" s="10">
        <f>SUMIF(成品月初库存!$C$3:$C$362,$B291,成品月初库存!$F$3:$F$362)</f>
        <v>0</v>
      </c>
      <c r="H291" s="10">
        <f>SUMIF(成品入库明细!$D$2:$D$500,$B291,成品入库明细!$G$2:$G$500)</f>
        <v>0</v>
      </c>
      <c r="I291" s="10">
        <f>SUMIF(成品出库明细!$D$2:$D$1172,$B291,成品出库明细!$G$2:$G$1172)</f>
        <v>0</v>
      </c>
      <c r="J291" s="10">
        <f t="shared" si="6"/>
        <v>0</v>
      </c>
      <c r="K291" s="12" t="s">
        <v>344</v>
      </c>
      <c r="L291" s="10"/>
      <c r="M291" s="10"/>
      <c r="N291" s="10"/>
      <c r="O291" s="10"/>
      <c r="P291" s="10"/>
    </row>
    <row r="292" s="2" customFormat="1" ht="14.25" spans="1:16">
      <c r="A292" s="10">
        <v>238</v>
      </c>
      <c r="B292" s="10" t="s">
        <v>924</v>
      </c>
      <c r="C292" s="10" t="s">
        <v>925</v>
      </c>
      <c r="D292" s="12" t="s">
        <v>905</v>
      </c>
      <c r="E292" s="12" t="s">
        <v>334</v>
      </c>
      <c r="F292" s="10" t="s">
        <v>343</v>
      </c>
      <c r="G292" s="10">
        <f>SUMIF(成品月初库存!$C$3:$C$362,$B292,成品月初库存!$F$3:$F$362)</f>
        <v>0</v>
      </c>
      <c r="H292" s="10">
        <f>SUMIF(成品入库明细!$D$2:$D$500,$B292,成品入库明细!$G$2:$G$500)</f>
        <v>0</v>
      </c>
      <c r="I292" s="10">
        <f>SUMIF(成品出库明细!$D$2:$D$1172,$B292,成品出库明细!$G$2:$G$1172)</f>
        <v>0</v>
      </c>
      <c r="J292" s="10">
        <f t="shared" si="6"/>
        <v>0</v>
      </c>
      <c r="K292" s="12" t="s">
        <v>344</v>
      </c>
      <c r="L292" s="10"/>
      <c r="M292" s="10"/>
      <c r="N292" s="10"/>
      <c r="O292" s="10"/>
      <c r="P292" s="10"/>
    </row>
    <row r="293" s="2" customFormat="1" ht="14.25" spans="1:16">
      <c r="A293" s="10">
        <v>239</v>
      </c>
      <c r="B293" s="10" t="s">
        <v>926</v>
      </c>
      <c r="C293" s="10" t="s">
        <v>927</v>
      </c>
      <c r="D293" s="12" t="s">
        <v>905</v>
      </c>
      <c r="E293" s="12" t="s">
        <v>334</v>
      </c>
      <c r="F293" s="10" t="s">
        <v>343</v>
      </c>
      <c r="G293" s="10">
        <f>SUMIF(成品月初库存!$C$3:$C$362,$B293,成品月初库存!$F$3:$F$362)</f>
        <v>0</v>
      </c>
      <c r="H293" s="10">
        <f>SUMIF(成品入库明细!$D$2:$D$500,$B293,成品入库明细!$G$2:$G$500)</f>
        <v>0</v>
      </c>
      <c r="I293" s="10">
        <f>SUMIF(成品出库明细!$D$2:$D$1172,$B293,成品出库明细!$G$2:$G$1172)</f>
        <v>0</v>
      </c>
      <c r="J293" s="10">
        <f t="shared" si="6"/>
        <v>0</v>
      </c>
      <c r="K293" s="12" t="s">
        <v>344</v>
      </c>
      <c r="L293" s="10"/>
      <c r="M293" s="10"/>
      <c r="N293" s="10"/>
      <c r="O293" s="10"/>
      <c r="P293" s="10"/>
    </row>
    <row r="294" s="2" customFormat="1" ht="14.25" spans="1:16">
      <c r="A294" s="10">
        <v>240</v>
      </c>
      <c r="B294" s="10" t="s">
        <v>928</v>
      </c>
      <c r="C294" s="10" t="s">
        <v>929</v>
      </c>
      <c r="D294" s="12" t="s">
        <v>905</v>
      </c>
      <c r="E294" s="12" t="s">
        <v>334</v>
      </c>
      <c r="F294" s="10" t="s">
        <v>343</v>
      </c>
      <c r="G294" s="10">
        <f>SUMIF(成品月初库存!$C$3:$C$362,$B294,成品月初库存!$F$3:$F$362)</f>
        <v>0</v>
      </c>
      <c r="H294" s="10">
        <f>SUMIF(成品入库明细!$D$2:$D$500,$B294,成品入库明细!$G$2:$G$500)</f>
        <v>0</v>
      </c>
      <c r="I294" s="10">
        <f>SUMIF(成品出库明细!$D$2:$D$1172,$B294,成品出库明细!$G$2:$G$1172)</f>
        <v>0</v>
      </c>
      <c r="J294" s="10">
        <f t="shared" si="6"/>
        <v>0</v>
      </c>
      <c r="K294" s="12" t="s">
        <v>344</v>
      </c>
      <c r="L294" s="10"/>
      <c r="M294" s="10"/>
      <c r="N294" s="10"/>
      <c r="O294" s="10"/>
      <c r="P294" s="10"/>
    </row>
    <row r="295" s="2" customFormat="1" ht="14.25" spans="1:16">
      <c r="A295" s="10">
        <v>241</v>
      </c>
      <c r="B295" s="10" t="s">
        <v>930</v>
      </c>
      <c r="C295" s="12" t="s">
        <v>931</v>
      </c>
      <c r="D295" s="12" t="s">
        <v>905</v>
      </c>
      <c r="E295" s="12" t="s">
        <v>334</v>
      </c>
      <c r="F295" s="10" t="s">
        <v>343</v>
      </c>
      <c r="G295" s="10">
        <f>SUMIF(成品月初库存!$C$3:$C$362,$B295,成品月初库存!$F$3:$F$362)</f>
        <v>0</v>
      </c>
      <c r="H295" s="10">
        <f>SUMIF(成品入库明细!$D$2:$D$500,$B295,成品入库明细!$G$2:$G$500)</f>
        <v>0</v>
      </c>
      <c r="I295" s="10">
        <f>SUMIF(成品出库明细!$D$2:$D$1172,$B295,成品出库明细!$G$2:$G$1172)</f>
        <v>0</v>
      </c>
      <c r="J295" s="10">
        <f t="shared" si="6"/>
        <v>0</v>
      </c>
      <c r="K295" s="12" t="s">
        <v>709</v>
      </c>
      <c r="L295" s="10"/>
      <c r="M295" s="10"/>
      <c r="N295" s="10"/>
      <c r="O295" s="10"/>
      <c r="P295" s="10"/>
    </row>
    <row r="296" s="2" customFormat="1" ht="14.25" spans="1:16">
      <c r="A296" s="10">
        <v>242</v>
      </c>
      <c r="B296" s="10" t="s">
        <v>932</v>
      </c>
      <c r="C296" s="12" t="s">
        <v>933</v>
      </c>
      <c r="D296" s="12" t="s">
        <v>905</v>
      </c>
      <c r="E296" s="12" t="s">
        <v>334</v>
      </c>
      <c r="F296" s="10" t="s">
        <v>343</v>
      </c>
      <c r="G296" s="10">
        <f>SUMIF(成品月初库存!$C$3:$C$362,$B296,成品月初库存!$F$3:$F$362)</f>
        <v>0</v>
      </c>
      <c r="H296" s="10">
        <f>SUMIF(成品入库明细!$D$2:$D$500,$B296,成品入库明细!$G$2:$G$500)</f>
        <v>0</v>
      </c>
      <c r="I296" s="10">
        <f>SUMIF(成品出库明细!$D$2:$D$1172,$B296,成品出库明细!$G$2:$G$1172)</f>
        <v>0</v>
      </c>
      <c r="J296" s="10">
        <f t="shared" si="6"/>
        <v>0</v>
      </c>
      <c r="K296" s="12" t="s">
        <v>300</v>
      </c>
      <c r="L296" s="10"/>
      <c r="M296" s="10"/>
      <c r="N296" s="10"/>
      <c r="O296" s="10"/>
      <c r="P296" s="10"/>
    </row>
    <row r="297" s="2" customFormat="1" ht="14.25" spans="1:16">
      <c r="A297" s="10">
        <v>243</v>
      </c>
      <c r="B297" s="10" t="s">
        <v>934</v>
      </c>
      <c r="C297" s="12" t="s">
        <v>935</v>
      </c>
      <c r="D297" s="12" t="s">
        <v>905</v>
      </c>
      <c r="E297" s="12" t="s">
        <v>334</v>
      </c>
      <c r="F297" s="10" t="s">
        <v>343</v>
      </c>
      <c r="G297" s="10">
        <f>SUMIF(成品月初库存!$C$3:$C$362,$B297,成品月初库存!$F$3:$F$362)</f>
        <v>0</v>
      </c>
      <c r="H297" s="10">
        <f>SUMIF(成品入库明细!$D$2:$D$500,$B297,成品入库明细!$G$2:$G$500)</f>
        <v>0</v>
      </c>
      <c r="I297" s="10">
        <f>SUMIF(成品出库明细!$D$2:$D$1172,$B297,成品出库明细!$G$2:$G$1172)</f>
        <v>0</v>
      </c>
      <c r="J297" s="10">
        <f t="shared" si="6"/>
        <v>0</v>
      </c>
      <c r="K297" s="12" t="s">
        <v>300</v>
      </c>
      <c r="L297" s="10"/>
      <c r="M297" s="10"/>
      <c r="N297" s="10"/>
      <c r="O297" s="10"/>
      <c r="P297" s="10"/>
    </row>
    <row r="298" s="2" customFormat="1" ht="14.25" spans="1:16">
      <c r="A298" s="10">
        <v>244</v>
      </c>
      <c r="B298" s="10" t="s">
        <v>87</v>
      </c>
      <c r="C298" s="12" t="s">
        <v>936</v>
      </c>
      <c r="D298" s="12" t="s">
        <v>905</v>
      </c>
      <c r="E298" s="12" t="s">
        <v>334</v>
      </c>
      <c r="F298" s="10" t="s">
        <v>343</v>
      </c>
      <c r="G298" s="10">
        <f>SUMIF(成品月初库存!$C$3:$C$362,$B298,成品月初库存!$F$3:$F$362)</f>
        <v>5594</v>
      </c>
      <c r="H298" s="10">
        <f>SUMIF(成品入库明细!$D$2:$D$500,$B298,成品入库明细!$G$2:$G$500)</f>
        <v>0</v>
      </c>
      <c r="I298" s="10">
        <f>SUMIF(成品出库明细!$D$2:$D$1172,$B298,成品出库明细!$G$2:$G$1172)</f>
        <v>0</v>
      </c>
      <c r="J298" s="10">
        <f t="shared" si="6"/>
        <v>5594</v>
      </c>
      <c r="K298" s="12" t="s">
        <v>937</v>
      </c>
      <c r="L298" s="10"/>
      <c r="M298" s="10"/>
      <c r="N298" s="10"/>
      <c r="O298" s="10"/>
      <c r="P298" s="10"/>
    </row>
    <row r="299" s="2" customFormat="1" ht="14.25" spans="1:16">
      <c r="A299" s="10">
        <v>245</v>
      </c>
      <c r="B299" s="10" t="s">
        <v>88</v>
      </c>
      <c r="C299" s="12" t="s">
        <v>938</v>
      </c>
      <c r="D299" s="12" t="s">
        <v>905</v>
      </c>
      <c r="E299" s="12" t="s">
        <v>334</v>
      </c>
      <c r="F299" s="10" t="s">
        <v>343</v>
      </c>
      <c r="G299" s="10">
        <f>SUMIF(成品月初库存!$C$3:$C$362,$B299,成品月初库存!$F$3:$F$362)</f>
        <v>5594</v>
      </c>
      <c r="H299" s="10">
        <f>SUMIF(成品入库明细!$D$2:$D$500,$B299,成品入库明细!$G$2:$G$500)</f>
        <v>0</v>
      </c>
      <c r="I299" s="10">
        <f>SUMIF(成品出库明细!$D$2:$D$1172,$B299,成品出库明细!$G$2:$G$1172)</f>
        <v>0</v>
      </c>
      <c r="J299" s="10">
        <f t="shared" si="6"/>
        <v>5594</v>
      </c>
      <c r="K299" s="12" t="s">
        <v>937</v>
      </c>
      <c r="L299" s="10"/>
      <c r="M299" s="10"/>
      <c r="N299" s="10"/>
      <c r="O299" s="10"/>
      <c r="P299" s="10"/>
    </row>
    <row r="300" s="2" customFormat="1" ht="14.25" spans="1:16">
      <c r="A300" s="10">
        <v>246</v>
      </c>
      <c r="B300" s="10" t="s">
        <v>89</v>
      </c>
      <c r="C300" s="12" t="s">
        <v>939</v>
      </c>
      <c r="D300" s="12" t="s">
        <v>905</v>
      </c>
      <c r="E300" s="12" t="s">
        <v>334</v>
      </c>
      <c r="F300" s="10" t="s">
        <v>343</v>
      </c>
      <c r="G300" s="10">
        <f>SUMIF(成品月初库存!$C$3:$C$362,$B300,成品月初库存!$F$3:$F$362)</f>
        <v>5979</v>
      </c>
      <c r="H300" s="10">
        <f>SUMIF(成品入库明细!$D$2:$D$500,$B300,成品入库明细!$G$2:$G$500)</f>
        <v>0</v>
      </c>
      <c r="I300" s="10">
        <f>SUMIF(成品出库明细!$D$2:$D$1172,$B300,成品出库明细!$G$2:$G$1172)</f>
        <v>0</v>
      </c>
      <c r="J300" s="10">
        <f t="shared" si="6"/>
        <v>5979</v>
      </c>
      <c r="K300" s="12" t="s">
        <v>937</v>
      </c>
      <c r="L300" s="10"/>
      <c r="M300" s="10"/>
      <c r="N300" s="10"/>
      <c r="O300" s="10"/>
      <c r="P300" s="10"/>
    </row>
    <row r="301" s="2" customFormat="1" ht="14.25" spans="1:16">
      <c r="A301" s="10">
        <v>247</v>
      </c>
      <c r="B301" s="10" t="s">
        <v>940</v>
      </c>
      <c r="C301" s="10" t="s">
        <v>941</v>
      </c>
      <c r="D301" s="12" t="s">
        <v>942</v>
      </c>
      <c r="E301" s="12" t="s">
        <v>334</v>
      </c>
      <c r="F301" s="10" t="s">
        <v>343</v>
      </c>
      <c r="G301" s="10">
        <f>SUMIF(成品月初库存!$C$3:$C$362,$B301,成品月初库存!$F$3:$F$362)</f>
        <v>0</v>
      </c>
      <c r="H301" s="10">
        <f>SUMIF(成品入库明细!$D$2:$D$500,$B301,成品入库明细!$G$2:$G$500)</f>
        <v>0</v>
      </c>
      <c r="I301" s="10">
        <f>SUMIF(成品出库明细!$D$2:$D$1172,$B301,成品出库明细!$G$2:$G$1172)</f>
        <v>0</v>
      </c>
      <c r="J301" s="10">
        <f t="shared" si="6"/>
        <v>0</v>
      </c>
      <c r="K301" s="12" t="s">
        <v>379</v>
      </c>
      <c r="L301" s="10"/>
      <c r="M301" s="10"/>
      <c r="N301" s="10"/>
      <c r="O301" s="10"/>
      <c r="P301" s="10"/>
    </row>
    <row r="302" s="2" customFormat="1" ht="14.25" spans="1:16">
      <c r="A302" s="10">
        <v>248</v>
      </c>
      <c r="B302" s="10" t="s">
        <v>90</v>
      </c>
      <c r="C302" s="12" t="s">
        <v>943</v>
      </c>
      <c r="D302" s="12" t="s">
        <v>944</v>
      </c>
      <c r="E302" s="12" t="s">
        <v>334</v>
      </c>
      <c r="F302" s="10" t="s">
        <v>343</v>
      </c>
      <c r="G302" s="10">
        <f>SUMIF(成品月初库存!$C$3:$C$362,$B302,成品月初库存!$F$3:$F$362)</f>
        <v>11849</v>
      </c>
      <c r="H302" s="10">
        <f>SUMIF(成品入库明细!$D$2:$D$500,$B302,成品入库明细!$G$2:$G$500)</f>
        <v>0</v>
      </c>
      <c r="I302" s="10">
        <f>SUMIF(成品出库明细!$D$2:$D$1172,$B302,成品出库明细!$G$2:$G$1172)</f>
        <v>0</v>
      </c>
      <c r="J302" s="10">
        <f t="shared" si="6"/>
        <v>11849</v>
      </c>
      <c r="K302" s="12" t="s">
        <v>349</v>
      </c>
      <c r="L302" s="10"/>
      <c r="M302" s="10"/>
      <c r="N302" s="10"/>
      <c r="O302" s="10"/>
      <c r="P302" s="10"/>
    </row>
    <row r="303" s="2" customFormat="1" ht="14.25" spans="1:16">
      <c r="A303" s="10">
        <v>249</v>
      </c>
      <c r="B303" s="10" t="s">
        <v>945</v>
      </c>
      <c r="C303" s="12" t="s">
        <v>946</v>
      </c>
      <c r="D303" s="12" t="s">
        <v>944</v>
      </c>
      <c r="E303" s="12" t="s">
        <v>334</v>
      </c>
      <c r="F303" s="10" t="s">
        <v>343</v>
      </c>
      <c r="G303" s="10">
        <f>SUMIF(成品月初库存!$C$3:$C$362,$B303,成品月初库存!$F$3:$F$362)</f>
        <v>0</v>
      </c>
      <c r="H303" s="10">
        <f>SUMIF(成品入库明细!$D$2:$D$500,$B303,成品入库明细!$G$2:$G$500)</f>
        <v>0</v>
      </c>
      <c r="I303" s="10">
        <f>SUMIF(成品出库明细!$D$2:$D$1172,$B303,成品出库明细!$G$2:$G$1172)</f>
        <v>0</v>
      </c>
      <c r="J303" s="10">
        <f t="shared" si="6"/>
        <v>0</v>
      </c>
      <c r="K303" s="12" t="s">
        <v>349</v>
      </c>
      <c r="L303" s="10"/>
      <c r="M303" s="10"/>
      <c r="N303" s="10"/>
      <c r="O303" s="10"/>
      <c r="P303" s="10"/>
    </row>
    <row r="304" s="2" customFormat="1" ht="14.25" spans="1:16">
      <c r="A304" s="10">
        <v>250</v>
      </c>
      <c r="B304" s="10" t="s">
        <v>947</v>
      </c>
      <c r="C304" s="12" t="s">
        <v>948</v>
      </c>
      <c r="D304" s="12" t="s">
        <v>944</v>
      </c>
      <c r="E304" s="12" t="s">
        <v>334</v>
      </c>
      <c r="F304" s="10" t="s">
        <v>343</v>
      </c>
      <c r="G304" s="10">
        <f>SUMIF(成品月初库存!$C$3:$C$362,$B304,成品月初库存!$F$3:$F$362)</f>
        <v>0</v>
      </c>
      <c r="H304" s="10">
        <f>SUMIF(成品入库明细!$D$2:$D$500,$B304,成品入库明细!$G$2:$G$500)</f>
        <v>0</v>
      </c>
      <c r="I304" s="10">
        <f>SUMIF(成品出库明细!$D$2:$D$1172,$B304,成品出库明细!$G$2:$G$1172)</f>
        <v>0</v>
      </c>
      <c r="J304" s="10">
        <f t="shared" si="6"/>
        <v>0</v>
      </c>
      <c r="K304" s="12" t="s">
        <v>349</v>
      </c>
      <c r="L304" s="10"/>
      <c r="M304" s="10"/>
      <c r="N304" s="10"/>
      <c r="O304" s="10"/>
      <c r="P304" s="10"/>
    </row>
    <row r="305" s="2" customFormat="1" ht="14.25" spans="1:16">
      <c r="A305" s="10">
        <v>251</v>
      </c>
      <c r="B305" s="10" t="s">
        <v>949</v>
      </c>
      <c r="C305" s="12" t="s">
        <v>950</v>
      </c>
      <c r="D305" s="12" t="s">
        <v>944</v>
      </c>
      <c r="E305" s="12" t="s">
        <v>334</v>
      </c>
      <c r="F305" s="10" t="s">
        <v>343</v>
      </c>
      <c r="G305" s="10">
        <f>SUMIF(成品月初库存!$C$3:$C$362,$B305,成品月初库存!$F$3:$F$362)</f>
        <v>0</v>
      </c>
      <c r="H305" s="10">
        <f>SUMIF(成品入库明细!$D$2:$D$500,$B305,成品入库明细!$G$2:$G$500)</f>
        <v>0</v>
      </c>
      <c r="I305" s="10">
        <f>SUMIF(成品出库明细!$D$2:$D$1172,$B305,成品出库明细!$G$2:$G$1172)</f>
        <v>0</v>
      </c>
      <c r="J305" s="10">
        <f t="shared" si="6"/>
        <v>0</v>
      </c>
      <c r="K305" s="12" t="s">
        <v>349</v>
      </c>
      <c r="L305" s="10"/>
      <c r="M305" s="10"/>
      <c r="N305" s="10"/>
      <c r="O305" s="10"/>
      <c r="P305" s="10"/>
    </row>
    <row r="306" s="2" customFormat="1" ht="14.25" spans="1:16">
      <c r="A306" s="10">
        <v>252</v>
      </c>
      <c r="B306" s="10" t="s">
        <v>951</v>
      </c>
      <c r="C306" s="10" t="s">
        <v>952</v>
      </c>
      <c r="D306" s="12" t="s">
        <v>944</v>
      </c>
      <c r="E306" s="12" t="s">
        <v>334</v>
      </c>
      <c r="F306" s="10" t="s">
        <v>343</v>
      </c>
      <c r="G306" s="10">
        <f>SUMIF(成品月初库存!$C$3:$C$362,$B306,成品月初库存!$F$3:$F$362)</f>
        <v>0</v>
      </c>
      <c r="H306" s="10">
        <f>SUMIF(成品入库明细!$D$2:$D$500,$B306,成品入库明细!$G$2:$G$500)</f>
        <v>0</v>
      </c>
      <c r="I306" s="10">
        <f>SUMIF(成品出库明细!$D$2:$D$1172,$B306,成品出库明细!$G$2:$G$1172)</f>
        <v>0</v>
      </c>
      <c r="J306" s="10">
        <f t="shared" si="6"/>
        <v>0</v>
      </c>
      <c r="K306" s="12" t="s">
        <v>349</v>
      </c>
      <c r="L306" s="10"/>
      <c r="M306" s="10"/>
      <c r="N306" s="10"/>
      <c r="O306" s="10"/>
      <c r="P306" s="10"/>
    </row>
    <row r="307" s="2" customFormat="1" ht="14.25" spans="1:16">
      <c r="A307" s="10">
        <v>253</v>
      </c>
      <c r="B307" s="10" t="s">
        <v>953</v>
      </c>
      <c r="C307" s="12" t="s">
        <v>954</v>
      </c>
      <c r="D307" s="12" t="s">
        <v>944</v>
      </c>
      <c r="E307" s="12" t="s">
        <v>334</v>
      </c>
      <c r="F307" s="10" t="s">
        <v>343</v>
      </c>
      <c r="G307" s="10">
        <f>SUMIF(成品月初库存!$C$3:$C$362,$B307,成品月初库存!$F$3:$F$362)</f>
        <v>0</v>
      </c>
      <c r="H307" s="10">
        <f>SUMIF(成品入库明细!$D$2:$D$500,$B307,成品入库明细!$G$2:$G$500)</f>
        <v>0</v>
      </c>
      <c r="I307" s="10">
        <f>SUMIF(成品出库明细!$D$2:$D$1172,$B307,成品出库明细!$G$2:$G$1172)</f>
        <v>0</v>
      </c>
      <c r="J307" s="10">
        <f t="shared" si="6"/>
        <v>0</v>
      </c>
      <c r="K307" s="12" t="s">
        <v>370</v>
      </c>
      <c r="L307" s="10"/>
      <c r="M307" s="10"/>
      <c r="N307" s="10"/>
      <c r="O307" s="10"/>
      <c r="P307" s="10"/>
    </row>
    <row r="308" s="2" customFormat="1" ht="14.25" spans="1:16">
      <c r="A308" s="10">
        <v>254</v>
      </c>
      <c r="B308" s="10" t="s">
        <v>955</v>
      </c>
      <c r="C308" s="12" t="s">
        <v>956</v>
      </c>
      <c r="D308" s="12" t="s">
        <v>944</v>
      </c>
      <c r="E308" s="12" t="s">
        <v>334</v>
      </c>
      <c r="F308" s="10" t="s">
        <v>343</v>
      </c>
      <c r="G308" s="10">
        <f>SUMIF(成品月初库存!$C$3:$C$362,$B308,成品月初库存!$F$3:$F$362)</f>
        <v>0</v>
      </c>
      <c r="H308" s="10">
        <f>SUMIF(成品入库明细!$D$2:$D$500,$B308,成品入库明细!$G$2:$G$500)</f>
        <v>0</v>
      </c>
      <c r="I308" s="10">
        <f>SUMIF(成品出库明细!$D$2:$D$1172,$B308,成品出库明细!$G$2:$G$1172)</f>
        <v>0</v>
      </c>
      <c r="J308" s="10">
        <f t="shared" si="6"/>
        <v>0</v>
      </c>
      <c r="K308" s="14" t="s">
        <v>709</v>
      </c>
      <c r="L308" s="10"/>
      <c r="M308" s="10"/>
      <c r="N308" s="10"/>
      <c r="O308" s="10"/>
      <c r="P308" s="10"/>
    </row>
    <row r="309" s="2" customFormat="1" ht="14.25" spans="1:16">
      <c r="A309" s="10">
        <v>255</v>
      </c>
      <c r="B309" s="10" t="s">
        <v>957</v>
      </c>
      <c r="C309" s="10" t="s">
        <v>958</v>
      </c>
      <c r="D309" s="12" t="s">
        <v>944</v>
      </c>
      <c r="E309" s="12" t="s">
        <v>334</v>
      </c>
      <c r="F309" s="10" t="s">
        <v>343</v>
      </c>
      <c r="G309" s="10">
        <f>SUMIF(成品月初库存!$C$3:$C$362,$B309,成品月初库存!$F$3:$F$362)</f>
        <v>0</v>
      </c>
      <c r="H309" s="10">
        <f>SUMIF(成品入库明细!$D$2:$D$500,$B309,成品入库明细!$G$2:$G$500)</f>
        <v>0</v>
      </c>
      <c r="I309" s="10">
        <f>SUMIF(成品出库明细!$D$2:$D$1172,$B309,成品出库明细!$G$2:$G$1172)</f>
        <v>0</v>
      </c>
      <c r="J309" s="10">
        <f t="shared" si="6"/>
        <v>0</v>
      </c>
      <c r="K309" s="12" t="s">
        <v>300</v>
      </c>
      <c r="L309" s="10"/>
      <c r="M309" s="10"/>
      <c r="N309" s="10"/>
      <c r="O309" s="10"/>
      <c r="P309" s="10"/>
    </row>
    <row r="310" s="2" customFormat="1" ht="14.25" spans="1:16">
      <c r="A310" s="10">
        <v>256</v>
      </c>
      <c r="B310" s="10" t="s">
        <v>959</v>
      </c>
      <c r="C310" s="10" t="s">
        <v>960</v>
      </c>
      <c r="D310" s="12" t="s">
        <v>944</v>
      </c>
      <c r="E310" s="12" t="s">
        <v>334</v>
      </c>
      <c r="F310" s="10" t="s">
        <v>343</v>
      </c>
      <c r="G310" s="10">
        <f>SUMIF(成品月初库存!$C$3:$C$362,$B310,成品月初库存!$F$3:$F$362)</f>
        <v>0</v>
      </c>
      <c r="H310" s="10">
        <f>SUMIF(成品入库明细!$D$2:$D$500,$B310,成品入库明细!$G$2:$G$500)</f>
        <v>0</v>
      </c>
      <c r="I310" s="10">
        <f>SUMIF(成品出库明细!$D$2:$D$1172,$B310,成品出库明细!$G$2:$G$1172)</f>
        <v>0</v>
      </c>
      <c r="J310" s="10">
        <f t="shared" si="6"/>
        <v>0</v>
      </c>
      <c r="K310" s="12" t="s">
        <v>300</v>
      </c>
      <c r="L310" s="10"/>
      <c r="M310" s="10"/>
      <c r="N310" s="10"/>
      <c r="O310" s="10"/>
      <c r="P310" s="10"/>
    </row>
    <row r="311" s="2" customFormat="1" ht="14.25" spans="1:16">
      <c r="A311" s="10">
        <v>257</v>
      </c>
      <c r="B311" s="10" t="s">
        <v>961</v>
      </c>
      <c r="C311" s="10" t="s">
        <v>962</v>
      </c>
      <c r="D311" s="12" t="s">
        <v>944</v>
      </c>
      <c r="E311" s="12" t="s">
        <v>334</v>
      </c>
      <c r="F311" s="10" t="s">
        <v>343</v>
      </c>
      <c r="G311" s="10">
        <f>SUMIF(成品月初库存!$C$3:$C$362,$B311,成品月初库存!$F$3:$F$362)</f>
        <v>0</v>
      </c>
      <c r="H311" s="10">
        <f>SUMIF(成品入库明细!$D$2:$D$500,$B311,成品入库明细!$G$2:$G$500)</f>
        <v>0</v>
      </c>
      <c r="I311" s="10">
        <f>SUMIF(成品出库明细!$D$2:$D$1172,$B311,成品出库明细!$G$2:$G$1172)</f>
        <v>0</v>
      </c>
      <c r="J311" s="10">
        <f t="shared" si="6"/>
        <v>0</v>
      </c>
      <c r="K311" s="12" t="s">
        <v>349</v>
      </c>
      <c r="L311" s="10"/>
      <c r="M311" s="10"/>
      <c r="N311" s="10"/>
      <c r="O311" s="10"/>
      <c r="P311" s="10"/>
    </row>
    <row r="312" s="2" customFormat="1" ht="14.25" spans="1:16">
      <c r="A312" s="10">
        <v>258</v>
      </c>
      <c r="B312" s="10" t="s">
        <v>963</v>
      </c>
      <c r="C312" s="10" t="s">
        <v>964</v>
      </c>
      <c r="D312" s="12" t="s">
        <v>965</v>
      </c>
      <c r="E312" s="12" t="s">
        <v>334</v>
      </c>
      <c r="F312" s="10" t="s">
        <v>343</v>
      </c>
      <c r="G312" s="10">
        <f>SUMIF(成品月初库存!$C$3:$C$362,$B312,成品月初库存!$F$3:$F$362)</f>
        <v>0</v>
      </c>
      <c r="H312" s="10">
        <f>SUMIF(成品入库明细!$D$2:$D$500,$B312,成品入库明细!$G$2:$G$500)</f>
        <v>0</v>
      </c>
      <c r="I312" s="10">
        <f>SUMIF(成品出库明细!$D$2:$D$1172,$B312,成品出库明细!$G$2:$G$1172)</f>
        <v>0</v>
      </c>
      <c r="J312" s="10">
        <f t="shared" si="6"/>
        <v>0</v>
      </c>
      <c r="K312" s="12" t="s">
        <v>300</v>
      </c>
      <c r="L312" s="10"/>
      <c r="M312" s="10"/>
      <c r="N312" s="10"/>
      <c r="O312" s="10"/>
      <c r="P312" s="10"/>
    </row>
    <row r="313" s="2" customFormat="1" ht="14.25" spans="1:16">
      <c r="A313" s="10">
        <v>259</v>
      </c>
      <c r="B313" s="10" t="s">
        <v>966</v>
      </c>
      <c r="C313" s="10" t="s">
        <v>967</v>
      </c>
      <c r="D313" s="12" t="s">
        <v>965</v>
      </c>
      <c r="E313" s="12" t="s">
        <v>334</v>
      </c>
      <c r="F313" s="10" t="s">
        <v>343</v>
      </c>
      <c r="G313" s="10">
        <f>SUMIF(成品月初库存!$C$3:$C$362,$B313,成品月初库存!$F$3:$F$362)</f>
        <v>0</v>
      </c>
      <c r="H313" s="10">
        <f>SUMIF(成品入库明细!$D$2:$D$500,$B313,成品入库明细!$G$2:$G$500)</f>
        <v>0</v>
      </c>
      <c r="I313" s="10">
        <f>SUMIF(成品出库明细!$D$2:$D$1172,$B313,成品出库明细!$G$2:$G$1172)</f>
        <v>0</v>
      </c>
      <c r="J313" s="10">
        <f t="shared" si="6"/>
        <v>0</v>
      </c>
      <c r="K313" s="12" t="s">
        <v>300</v>
      </c>
      <c r="L313" s="10"/>
      <c r="M313" s="10"/>
      <c r="N313" s="10"/>
      <c r="O313" s="10"/>
      <c r="P313" s="10"/>
    </row>
    <row r="314" s="2" customFormat="1" ht="14.25" spans="1:16">
      <c r="A314" s="10">
        <v>260</v>
      </c>
      <c r="B314" s="10" t="s">
        <v>968</v>
      </c>
      <c r="C314" s="10" t="s">
        <v>969</v>
      </c>
      <c r="D314" s="12" t="s">
        <v>965</v>
      </c>
      <c r="E314" s="12" t="s">
        <v>334</v>
      </c>
      <c r="F314" s="10" t="s">
        <v>343</v>
      </c>
      <c r="G314" s="10">
        <f>SUMIF(成品月初库存!$C$3:$C$362,$B314,成品月初库存!$F$3:$F$362)</f>
        <v>0</v>
      </c>
      <c r="H314" s="10">
        <f>SUMIF(成品入库明细!$D$2:$D$500,$B314,成品入库明细!$G$2:$G$500)</f>
        <v>0</v>
      </c>
      <c r="I314" s="10">
        <f>SUMIF(成品出库明细!$D$2:$D$1172,$B314,成品出库明细!$G$2:$G$1172)</f>
        <v>0</v>
      </c>
      <c r="J314" s="10">
        <f t="shared" si="6"/>
        <v>0</v>
      </c>
      <c r="K314" s="12" t="s">
        <v>300</v>
      </c>
      <c r="L314" s="10"/>
      <c r="M314" s="10"/>
      <c r="N314" s="10"/>
      <c r="O314" s="10"/>
      <c r="P314" s="10"/>
    </row>
    <row r="315" s="2" customFormat="1" ht="14.25" spans="1:16">
      <c r="A315" s="10">
        <v>261</v>
      </c>
      <c r="B315" s="10" t="s">
        <v>970</v>
      </c>
      <c r="C315" s="10" t="s">
        <v>971</v>
      </c>
      <c r="D315" s="12" t="s">
        <v>965</v>
      </c>
      <c r="E315" s="12" t="s">
        <v>334</v>
      </c>
      <c r="F315" s="10" t="s">
        <v>343</v>
      </c>
      <c r="G315" s="10">
        <f>SUMIF(成品月初库存!$C$3:$C$362,$B315,成品月初库存!$F$3:$F$362)</f>
        <v>0</v>
      </c>
      <c r="H315" s="10">
        <f>SUMIF(成品入库明细!$D$2:$D$500,$B315,成品入库明细!$G$2:$G$500)</f>
        <v>0</v>
      </c>
      <c r="I315" s="10">
        <f>SUMIF(成品出库明细!$D$2:$D$1172,$B315,成品出库明细!$G$2:$G$1172)</f>
        <v>0</v>
      </c>
      <c r="J315" s="10">
        <f t="shared" si="6"/>
        <v>0</v>
      </c>
      <c r="K315" s="12" t="s">
        <v>300</v>
      </c>
      <c r="L315" s="10"/>
      <c r="M315" s="10"/>
      <c r="N315" s="10"/>
      <c r="O315" s="10"/>
      <c r="P315" s="10"/>
    </row>
    <row r="316" s="2" customFormat="1" ht="15.75" spans="1:16">
      <c r="A316" s="10">
        <v>262</v>
      </c>
      <c r="B316" s="10" t="s">
        <v>972</v>
      </c>
      <c r="C316" s="11" t="s">
        <v>973</v>
      </c>
      <c r="D316" s="12" t="s">
        <v>974</v>
      </c>
      <c r="E316" s="12" t="s">
        <v>334</v>
      </c>
      <c r="F316" s="10" t="s">
        <v>343</v>
      </c>
      <c r="G316" s="10">
        <f>SUMIF(成品月初库存!$C$3:$C$362,$B316,成品月初库存!$F$3:$F$362)</f>
        <v>0</v>
      </c>
      <c r="H316" s="10">
        <f>SUMIF(成品入库明细!$D$2:$D$500,$B316,成品入库明细!$G$2:$G$500)</f>
        <v>0</v>
      </c>
      <c r="I316" s="10">
        <f>SUMIF(成品出库明细!$D$2:$D$1172,$B316,成品出库明细!$G$2:$G$1172)</f>
        <v>0</v>
      </c>
      <c r="J316" s="10">
        <f t="shared" si="6"/>
        <v>0</v>
      </c>
      <c r="K316" s="12" t="s">
        <v>300</v>
      </c>
      <c r="L316" s="10"/>
      <c r="M316" s="10"/>
      <c r="N316" s="10"/>
      <c r="O316" s="10"/>
      <c r="P316" s="10"/>
    </row>
    <row r="317" s="2" customFormat="1" ht="15.75" spans="1:16">
      <c r="A317" s="10">
        <v>263</v>
      </c>
      <c r="B317" s="10" t="s">
        <v>975</v>
      </c>
      <c r="C317" s="11" t="s">
        <v>976</v>
      </c>
      <c r="D317" s="12" t="s">
        <v>974</v>
      </c>
      <c r="E317" s="12" t="s">
        <v>334</v>
      </c>
      <c r="F317" s="10" t="s">
        <v>343</v>
      </c>
      <c r="G317" s="10">
        <f>SUMIF(成品月初库存!$C$3:$C$362,$B317,成品月初库存!$F$3:$F$362)</f>
        <v>0</v>
      </c>
      <c r="H317" s="10">
        <f>SUMIF(成品入库明细!$D$2:$D$500,$B317,成品入库明细!$G$2:$G$500)</f>
        <v>0</v>
      </c>
      <c r="I317" s="10">
        <f>SUMIF(成品出库明细!$D$2:$D$1172,$B317,成品出库明细!$G$2:$G$1172)</f>
        <v>0</v>
      </c>
      <c r="J317" s="10">
        <f t="shared" si="6"/>
        <v>0</v>
      </c>
      <c r="K317" s="12" t="s">
        <v>300</v>
      </c>
      <c r="L317" s="10"/>
      <c r="M317" s="10"/>
      <c r="N317" s="10"/>
      <c r="O317" s="10"/>
      <c r="P317" s="10"/>
    </row>
    <row r="318" s="2" customFormat="1" ht="14.25" spans="1:16">
      <c r="A318" s="10">
        <v>264</v>
      </c>
      <c r="B318" s="10" t="s">
        <v>977</v>
      </c>
      <c r="C318" s="10" t="s">
        <v>978</v>
      </c>
      <c r="D318" s="12" t="s">
        <v>974</v>
      </c>
      <c r="E318" s="12" t="s">
        <v>334</v>
      </c>
      <c r="F318" s="10" t="s">
        <v>343</v>
      </c>
      <c r="G318" s="10">
        <f>SUMIF(成品月初库存!$C$3:$C$362,$B318,成品月初库存!$F$3:$F$362)</f>
        <v>0</v>
      </c>
      <c r="H318" s="10">
        <f>SUMIF(成品入库明细!$D$2:$D$500,$B318,成品入库明细!$G$2:$G$500)</f>
        <v>0</v>
      </c>
      <c r="I318" s="10">
        <f>SUMIF(成品出库明细!$D$2:$D$1172,$B318,成品出库明细!$G$2:$G$1172)</f>
        <v>0</v>
      </c>
      <c r="J318" s="10">
        <f t="shared" si="6"/>
        <v>0</v>
      </c>
      <c r="K318" s="12" t="s">
        <v>300</v>
      </c>
      <c r="L318" s="10"/>
      <c r="M318" s="10"/>
      <c r="N318" s="10"/>
      <c r="O318" s="10"/>
      <c r="P318" s="10"/>
    </row>
    <row r="319" s="2" customFormat="1" ht="15.75" spans="1:16">
      <c r="A319" s="10">
        <v>265</v>
      </c>
      <c r="B319" s="10" t="s">
        <v>979</v>
      </c>
      <c r="C319" s="11" t="s">
        <v>980</v>
      </c>
      <c r="D319" s="12" t="s">
        <v>324</v>
      </c>
      <c r="E319" s="12" t="s">
        <v>334</v>
      </c>
      <c r="F319" s="10" t="s">
        <v>343</v>
      </c>
      <c r="G319" s="10">
        <f>SUMIF(成品月初库存!$C$3:$C$362,$B319,成品月初库存!$F$3:$F$362)</f>
        <v>0</v>
      </c>
      <c r="H319" s="10">
        <f>SUMIF(成品入库明细!$D$2:$D$500,$B319,成品入库明细!$G$2:$G$500)</f>
        <v>0</v>
      </c>
      <c r="I319" s="10">
        <f>SUMIF(成品出库明细!$D$2:$D$1172,$B319,成品出库明细!$G$2:$G$1172)</f>
        <v>0</v>
      </c>
      <c r="J319" s="10">
        <f t="shared" si="6"/>
        <v>0</v>
      </c>
      <c r="K319" s="12" t="s">
        <v>349</v>
      </c>
      <c r="L319" s="10"/>
      <c r="M319" s="10"/>
      <c r="N319" s="10"/>
      <c r="O319" s="10"/>
      <c r="P319" s="10"/>
    </row>
    <row r="320" s="2" customFormat="1" ht="14.25" spans="1:16">
      <c r="A320" s="10">
        <v>266</v>
      </c>
      <c r="B320" s="10" t="s">
        <v>91</v>
      </c>
      <c r="C320" s="10" t="s">
        <v>981</v>
      </c>
      <c r="D320" s="12" t="s">
        <v>324</v>
      </c>
      <c r="E320" s="12" t="s">
        <v>334</v>
      </c>
      <c r="F320" s="10" t="s">
        <v>343</v>
      </c>
      <c r="G320" s="10">
        <f>SUMIF(成品月初库存!$C$3:$C$362,$B320,成品月初库存!$F$3:$F$362)</f>
        <v>7638</v>
      </c>
      <c r="H320" s="10">
        <f>SUMIF(成品入库明细!$D$2:$D$500,$B320,成品入库明细!$G$2:$G$500)</f>
        <v>0</v>
      </c>
      <c r="I320" s="10">
        <f>SUMIF(成品出库明细!$D$2:$D$1172,$B320,成品出库明细!$G$2:$G$1172)</f>
        <v>1262</v>
      </c>
      <c r="J320" s="10">
        <f t="shared" ref="J320:J383" si="7">G320+H320-I320</f>
        <v>6376</v>
      </c>
      <c r="K320" s="12" t="s">
        <v>349</v>
      </c>
      <c r="L320" s="10"/>
      <c r="M320" s="10"/>
      <c r="N320" s="10"/>
      <c r="O320" s="10"/>
      <c r="P320" s="10"/>
    </row>
    <row r="321" s="2" customFormat="1" ht="15.75" spans="1:16">
      <c r="A321" s="10">
        <v>267</v>
      </c>
      <c r="B321" s="10" t="s">
        <v>92</v>
      </c>
      <c r="C321" s="11" t="s">
        <v>982</v>
      </c>
      <c r="D321" s="12" t="s">
        <v>324</v>
      </c>
      <c r="E321" s="12" t="s">
        <v>334</v>
      </c>
      <c r="F321" s="10" t="s">
        <v>343</v>
      </c>
      <c r="G321" s="10">
        <f>SUMIF(成品月初库存!$C$3:$C$362,$B321,成品月初库存!$F$3:$F$362)</f>
        <v>2473</v>
      </c>
      <c r="H321" s="10">
        <f>SUMIF(成品入库明细!$D$2:$D$500,$B321,成品入库明细!$G$2:$G$500)</f>
        <v>0</v>
      </c>
      <c r="I321" s="10">
        <f>SUMIF(成品出库明细!$D$2:$D$1172,$B321,成品出库明细!$G$2:$G$1172)</f>
        <v>0</v>
      </c>
      <c r="J321" s="10">
        <f t="shared" si="7"/>
        <v>2473</v>
      </c>
      <c r="K321" s="12" t="s">
        <v>349</v>
      </c>
      <c r="L321" s="10"/>
      <c r="M321" s="10"/>
      <c r="N321" s="10"/>
      <c r="O321" s="10"/>
      <c r="P321" s="10"/>
    </row>
    <row r="322" s="2" customFormat="1" ht="15.75" spans="1:16">
      <c r="A322" s="10">
        <v>268</v>
      </c>
      <c r="B322" s="10" t="s">
        <v>93</v>
      </c>
      <c r="C322" s="11" t="s">
        <v>983</v>
      </c>
      <c r="D322" s="12" t="s">
        <v>324</v>
      </c>
      <c r="E322" s="12" t="s">
        <v>334</v>
      </c>
      <c r="F322" s="10" t="s">
        <v>343</v>
      </c>
      <c r="G322" s="10">
        <f>SUMIF(成品月初库存!$C$3:$C$362,$B322,成品月初库存!$F$3:$F$362)</f>
        <v>2632</v>
      </c>
      <c r="H322" s="10">
        <f>SUMIF(成品入库明细!$D$2:$D$500,$B322,成品入库明细!$G$2:$G$500)</f>
        <v>0</v>
      </c>
      <c r="I322" s="10">
        <f>SUMIF(成品出库明细!$D$2:$D$1172,$B322,成品出库明细!$G$2:$G$1172)</f>
        <v>0</v>
      </c>
      <c r="J322" s="10">
        <f t="shared" si="7"/>
        <v>2632</v>
      </c>
      <c r="K322" s="12" t="s">
        <v>349</v>
      </c>
      <c r="L322" s="10"/>
      <c r="M322" s="10"/>
      <c r="N322" s="10"/>
      <c r="O322" s="10"/>
      <c r="P322" s="10"/>
    </row>
    <row r="323" s="2" customFormat="1" ht="15.75" spans="1:16">
      <c r="A323" s="10">
        <v>269</v>
      </c>
      <c r="B323" s="10" t="s">
        <v>984</v>
      </c>
      <c r="C323" s="11" t="s">
        <v>985</v>
      </c>
      <c r="D323" s="12" t="s">
        <v>324</v>
      </c>
      <c r="E323" s="12" t="s">
        <v>334</v>
      </c>
      <c r="F323" s="10" t="s">
        <v>343</v>
      </c>
      <c r="G323" s="10">
        <f>SUMIF(成品月初库存!$C$3:$C$362,$B323,成品月初库存!$F$3:$F$362)</f>
        <v>0</v>
      </c>
      <c r="H323" s="10">
        <f>SUMIF(成品入库明细!$D$2:$D$500,$B323,成品入库明细!$G$2:$G$500)</f>
        <v>0</v>
      </c>
      <c r="I323" s="10">
        <f>SUMIF(成品出库明细!$D$2:$D$1172,$B323,成品出库明细!$G$2:$G$1172)</f>
        <v>0</v>
      </c>
      <c r="J323" s="10">
        <f t="shared" si="7"/>
        <v>0</v>
      </c>
      <c r="K323" s="12" t="s">
        <v>344</v>
      </c>
      <c r="L323" s="10"/>
      <c r="M323" s="10"/>
      <c r="N323" s="10"/>
      <c r="O323" s="10"/>
      <c r="P323" s="10"/>
    </row>
    <row r="324" s="2" customFormat="1" ht="14.25" spans="1:16">
      <c r="A324" s="10">
        <v>270</v>
      </c>
      <c r="B324" s="10" t="s">
        <v>986</v>
      </c>
      <c r="C324" s="10" t="s">
        <v>987</v>
      </c>
      <c r="D324" s="12" t="s">
        <v>324</v>
      </c>
      <c r="E324" s="12" t="s">
        <v>334</v>
      </c>
      <c r="F324" s="10" t="s">
        <v>343</v>
      </c>
      <c r="G324" s="10">
        <f>SUMIF(成品月初库存!$C$3:$C$362,$B324,成品月初库存!$F$3:$F$362)</f>
        <v>0</v>
      </c>
      <c r="H324" s="10">
        <f>SUMIF(成品入库明细!$D$2:$D$500,$B324,成品入库明细!$G$2:$G$500)</f>
        <v>0</v>
      </c>
      <c r="I324" s="10">
        <f>SUMIF(成品出库明细!$D$2:$D$1172,$B324,成品出库明细!$G$2:$G$1172)</f>
        <v>0</v>
      </c>
      <c r="J324" s="10">
        <f t="shared" si="7"/>
        <v>0</v>
      </c>
      <c r="K324" s="12" t="s">
        <v>988</v>
      </c>
      <c r="L324" s="10"/>
      <c r="M324" s="10"/>
      <c r="N324" s="10"/>
      <c r="O324" s="10"/>
      <c r="P324" s="10"/>
    </row>
    <row r="325" s="2" customFormat="1" ht="14.25" spans="1:16">
      <c r="A325" s="10">
        <v>271</v>
      </c>
      <c r="B325" s="10" t="s">
        <v>989</v>
      </c>
      <c r="C325" s="10" t="s">
        <v>990</v>
      </c>
      <c r="D325" s="12" t="s">
        <v>324</v>
      </c>
      <c r="E325" s="12" t="s">
        <v>334</v>
      </c>
      <c r="F325" s="10" t="s">
        <v>343</v>
      </c>
      <c r="G325" s="10">
        <f>SUMIF(成品月初库存!$C$3:$C$362,$B325,成品月初库存!$F$3:$F$362)</f>
        <v>0</v>
      </c>
      <c r="H325" s="10">
        <f>SUMIF(成品入库明细!$D$2:$D$500,$B325,成品入库明细!$G$2:$G$500)</f>
        <v>0</v>
      </c>
      <c r="I325" s="10">
        <f>SUMIF(成品出库明细!$D$2:$D$1172,$B325,成品出库明细!$G$2:$G$1172)</f>
        <v>0</v>
      </c>
      <c r="J325" s="10">
        <f t="shared" si="7"/>
        <v>0</v>
      </c>
      <c r="K325" s="12" t="s">
        <v>988</v>
      </c>
      <c r="L325" s="10"/>
      <c r="M325" s="10"/>
      <c r="N325" s="10"/>
      <c r="O325" s="10"/>
      <c r="P325" s="10"/>
    </row>
    <row r="326" s="2" customFormat="1" ht="15.75" spans="1:16">
      <c r="A326" s="10"/>
      <c r="B326" s="10" t="s">
        <v>94</v>
      </c>
      <c r="C326" s="23" t="s">
        <v>991</v>
      </c>
      <c r="D326" s="12" t="s">
        <v>324</v>
      </c>
      <c r="E326" s="12" t="s">
        <v>334</v>
      </c>
      <c r="F326" s="10" t="s">
        <v>343</v>
      </c>
      <c r="G326" s="10">
        <f>SUMIF(成品月初库存!$C$3:$C$362,$B326,成品月初库存!$F$3:$F$362)</f>
        <v>193</v>
      </c>
      <c r="H326" s="10">
        <f>SUMIF(成品入库明细!$D$2:$D$500,$B326,成品入库明细!$G$2:$G$500)</f>
        <v>0</v>
      </c>
      <c r="I326" s="10">
        <f>SUMIF(成品出库明细!$D$2:$D$1172,$B326,成品出库明细!$G$2:$G$1172)</f>
        <v>0</v>
      </c>
      <c r="J326" s="10">
        <f t="shared" si="7"/>
        <v>193</v>
      </c>
      <c r="K326" s="16" t="s">
        <v>349</v>
      </c>
      <c r="L326" s="10"/>
      <c r="M326" s="10"/>
      <c r="N326" s="10"/>
      <c r="O326" s="10"/>
      <c r="P326" s="10"/>
    </row>
    <row r="327" s="2" customFormat="1" ht="15.75" spans="1:16">
      <c r="A327" s="10"/>
      <c r="B327" s="10" t="s">
        <v>95</v>
      </c>
      <c r="C327" s="10" t="s">
        <v>992</v>
      </c>
      <c r="D327" s="12" t="s">
        <v>324</v>
      </c>
      <c r="E327" s="12" t="s">
        <v>334</v>
      </c>
      <c r="F327" s="10" t="s">
        <v>343</v>
      </c>
      <c r="G327" s="10">
        <f>SUMIF(成品月初库存!$C$3:$C$362,$B327,成品月初库存!$F$3:$F$362)</f>
        <v>48</v>
      </c>
      <c r="H327" s="10">
        <f>SUMIF(成品入库明细!$D$2:$D$500,$B327,成品入库明细!$G$2:$G$500)</f>
        <v>0</v>
      </c>
      <c r="I327" s="10">
        <f>SUMIF(成品出库明细!$D$2:$D$1172,$B327,成品出库明细!$G$2:$G$1172)</f>
        <v>0</v>
      </c>
      <c r="J327" s="10">
        <f t="shared" si="7"/>
        <v>48</v>
      </c>
      <c r="K327" s="16" t="s">
        <v>349</v>
      </c>
      <c r="L327" s="10"/>
      <c r="M327" s="10"/>
      <c r="N327" s="10"/>
      <c r="O327" s="10"/>
      <c r="P327" s="10"/>
    </row>
    <row r="328" s="2" customFormat="1" ht="14.25" spans="1:16">
      <c r="A328" s="10">
        <v>272</v>
      </c>
      <c r="B328" s="10" t="s">
        <v>993</v>
      </c>
      <c r="C328" s="12" t="s">
        <v>994</v>
      </c>
      <c r="D328" s="12" t="s">
        <v>995</v>
      </c>
      <c r="E328" s="12" t="s">
        <v>334</v>
      </c>
      <c r="F328" s="10" t="s">
        <v>343</v>
      </c>
      <c r="G328" s="10">
        <f>SUMIF(成品月初库存!$C$3:$C$362,$B328,成品月初库存!$F$3:$F$362)</f>
        <v>0</v>
      </c>
      <c r="H328" s="10">
        <f>SUMIF(成品入库明细!$D$2:$D$500,$B328,成品入库明细!$G$2:$G$500)</f>
        <v>0</v>
      </c>
      <c r="I328" s="10">
        <f>SUMIF(成品出库明细!$D$2:$D$1172,$B328,成品出库明细!$G$2:$G$1172)</f>
        <v>0</v>
      </c>
      <c r="J328" s="10">
        <f t="shared" si="7"/>
        <v>0</v>
      </c>
      <c r="K328" s="12" t="s">
        <v>466</v>
      </c>
      <c r="L328" s="10"/>
      <c r="M328" s="10"/>
      <c r="N328" s="10"/>
      <c r="O328" s="10"/>
      <c r="P328" s="10"/>
    </row>
    <row r="329" s="2" customFormat="1" ht="14.25" spans="1:16">
      <c r="A329" s="10">
        <v>273</v>
      </c>
      <c r="B329" s="10" t="s">
        <v>996</v>
      </c>
      <c r="C329" s="12" t="s">
        <v>997</v>
      </c>
      <c r="D329" s="12" t="s">
        <v>995</v>
      </c>
      <c r="E329" s="12" t="s">
        <v>334</v>
      </c>
      <c r="F329" s="10" t="s">
        <v>343</v>
      </c>
      <c r="G329" s="10">
        <f>SUMIF(成品月初库存!$C$3:$C$362,$B329,成品月初库存!$F$3:$F$362)</f>
        <v>0</v>
      </c>
      <c r="H329" s="10">
        <f>SUMIF(成品入库明细!$D$2:$D$500,$B329,成品入库明细!$G$2:$G$500)</f>
        <v>0</v>
      </c>
      <c r="I329" s="10">
        <f>SUMIF(成品出库明细!$D$2:$D$1172,$B329,成品出库明细!$G$2:$G$1172)</f>
        <v>0</v>
      </c>
      <c r="J329" s="10">
        <f t="shared" si="7"/>
        <v>0</v>
      </c>
      <c r="K329" s="12" t="s">
        <v>349</v>
      </c>
      <c r="L329" s="10"/>
      <c r="M329" s="10"/>
      <c r="N329" s="10"/>
      <c r="O329" s="10"/>
      <c r="P329" s="10"/>
    </row>
    <row r="330" s="2" customFormat="1" ht="14.25" spans="1:16">
      <c r="A330" s="10">
        <v>274</v>
      </c>
      <c r="B330" s="10" t="s">
        <v>998</v>
      </c>
      <c r="C330" s="10" t="s">
        <v>999</v>
      </c>
      <c r="D330" s="12" t="s">
        <v>995</v>
      </c>
      <c r="E330" s="12" t="s">
        <v>334</v>
      </c>
      <c r="F330" s="10" t="s">
        <v>343</v>
      </c>
      <c r="G330" s="10">
        <f>SUMIF(成品月初库存!$C$3:$C$362,$B330,成品月初库存!$F$3:$F$362)</f>
        <v>0</v>
      </c>
      <c r="H330" s="10">
        <f>SUMIF(成品入库明细!$D$2:$D$500,$B330,成品入库明细!$G$2:$G$500)</f>
        <v>0</v>
      </c>
      <c r="I330" s="10">
        <f>SUMIF(成品出库明细!$D$2:$D$1172,$B330,成品出库明细!$G$2:$G$1172)</f>
        <v>0</v>
      </c>
      <c r="J330" s="10">
        <f t="shared" si="7"/>
        <v>0</v>
      </c>
      <c r="K330" s="20" t="s">
        <v>762</v>
      </c>
      <c r="L330" s="10"/>
      <c r="M330" s="10"/>
      <c r="N330" s="10"/>
      <c r="O330" s="10"/>
      <c r="P330" s="10"/>
    </row>
    <row r="331" s="2" customFormat="1" ht="14.25" spans="1:16">
      <c r="A331" s="10">
        <v>275</v>
      </c>
      <c r="B331" s="10" t="s">
        <v>96</v>
      </c>
      <c r="C331" s="12" t="s">
        <v>1000</v>
      </c>
      <c r="D331" s="12" t="s">
        <v>995</v>
      </c>
      <c r="E331" s="12" t="s">
        <v>334</v>
      </c>
      <c r="F331" s="10" t="s">
        <v>343</v>
      </c>
      <c r="G331" s="10">
        <f>SUMIF(成品月初库存!$C$3:$C$362,$B331,成品月初库存!$F$3:$F$362)</f>
        <v>572</v>
      </c>
      <c r="H331" s="10">
        <f>SUMIF(成品入库明细!$D$2:$D$500,$B331,成品入库明细!$G$2:$G$500)</f>
        <v>0</v>
      </c>
      <c r="I331" s="10">
        <f>SUMIF(成品出库明细!$D$2:$D$1172,$B331,成品出库明细!$G$2:$G$1172)</f>
        <v>0</v>
      </c>
      <c r="J331" s="10">
        <f t="shared" si="7"/>
        <v>572</v>
      </c>
      <c r="K331" s="12" t="s">
        <v>538</v>
      </c>
      <c r="L331" s="10"/>
      <c r="M331" s="10"/>
      <c r="N331" s="10"/>
      <c r="O331" s="10"/>
      <c r="P331" s="10"/>
    </row>
    <row r="332" s="2" customFormat="1" ht="14.25" spans="1:16">
      <c r="A332" s="10">
        <v>276</v>
      </c>
      <c r="B332" s="10" t="s">
        <v>97</v>
      </c>
      <c r="C332" s="12" t="s">
        <v>1001</v>
      </c>
      <c r="D332" s="12" t="s">
        <v>995</v>
      </c>
      <c r="E332" s="12" t="s">
        <v>334</v>
      </c>
      <c r="F332" s="10" t="s">
        <v>343</v>
      </c>
      <c r="G332" s="10">
        <f>SUMIF(成品月初库存!$C$3:$C$362,$B332,成品月初库存!$F$3:$F$362)</f>
        <v>75</v>
      </c>
      <c r="H332" s="10">
        <f>SUMIF(成品入库明细!$D$2:$D$500,$B332,成品入库明细!$G$2:$G$500)</f>
        <v>0</v>
      </c>
      <c r="I332" s="10">
        <f>SUMIF(成品出库明细!$D$2:$D$1172,$B332,成品出库明细!$G$2:$G$1172)</f>
        <v>0</v>
      </c>
      <c r="J332" s="10">
        <f t="shared" si="7"/>
        <v>75</v>
      </c>
      <c r="K332" s="12" t="s">
        <v>349</v>
      </c>
      <c r="L332" s="10"/>
      <c r="M332" s="10"/>
      <c r="N332" s="10"/>
      <c r="O332" s="10"/>
      <c r="P332" s="10"/>
    </row>
    <row r="333" s="2" customFormat="1" ht="14.25" spans="1:16">
      <c r="A333" s="10">
        <v>277</v>
      </c>
      <c r="B333" s="10" t="s">
        <v>98</v>
      </c>
      <c r="C333" s="10" t="s">
        <v>1002</v>
      </c>
      <c r="D333" s="12" t="s">
        <v>995</v>
      </c>
      <c r="E333" s="12" t="s">
        <v>334</v>
      </c>
      <c r="F333" s="10" t="s">
        <v>343</v>
      </c>
      <c r="G333" s="10">
        <f>SUMIF(成品月初库存!$C$3:$C$362,$B333,成品月初库存!$F$3:$F$362)</f>
        <v>549</v>
      </c>
      <c r="H333" s="10">
        <f>SUMIF(成品入库明细!$D$2:$D$500,$B333,成品入库明细!$G$2:$G$500)</f>
        <v>0</v>
      </c>
      <c r="I333" s="10">
        <f>SUMIF(成品出库明细!$D$2:$D$1172,$B333,成品出库明细!$G$2:$G$1172)</f>
        <v>0</v>
      </c>
      <c r="J333" s="10">
        <f t="shared" si="7"/>
        <v>549</v>
      </c>
      <c r="K333" s="12" t="s">
        <v>1003</v>
      </c>
      <c r="L333" s="12" t="s">
        <v>304</v>
      </c>
      <c r="M333" s="10"/>
      <c r="N333" s="10"/>
      <c r="O333" s="10"/>
      <c r="P333" s="10"/>
    </row>
    <row r="334" s="2" customFormat="1" ht="14.25" spans="1:16">
      <c r="A334" s="10">
        <v>278</v>
      </c>
      <c r="B334" s="10" t="s">
        <v>99</v>
      </c>
      <c r="C334" s="10" t="s">
        <v>1004</v>
      </c>
      <c r="D334" s="12" t="s">
        <v>995</v>
      </c>
      <c r="E334" s="12" t="s">
        <v>334</v>
      </c>
      <c r="F334" s="10" t="s">
        <v>343</v>
      </c>
      <c r="G334" s="10">
        <f>SUMIF(成品月初库存!$C$3:$C$362,$B334,成品月初库存!$F$3:$F$362)</f>
        <v>1101</v>
      </c>
      <c r="H334" s="10">
        <f>SUMIF(成品入库明细!$D$2:$D$500,$B334,成品入库明细!$G$2:$G$500)</f>
        <v>0</v>
      </c>
      <c r="I334" s="10">
        <f>SUMIF(成品出库明细!$D$2:$D$1172,$B334,成品出库明细!$G$2:$G$1172)</f>
        <v>0</v>
      </c>
      <c r="J334" s="10">
        <f t="shared" si="7"/>
        <v>1101</v>
      </c>
      <c r="K334" s="12" t="s">
        <v>349</v>
      </c>
      <c r="L334" s="12" t="s">
        <v>1005</v>
      </c>
      <c r="M334" s="10"/>
      <c r="N334" s="10"/>
      <c r="O334" s="10"/>
      <c r="P334" s="10"/>
    </row>
    <row r="335" s="2" customFormat="1" ht="14.25" spans="1:16">
      <c r="A335" s="10">
        <v>279</v>
      </c>
      <c r="B335" s="10" t="s">
        <v>100</v>
      </c>
      <c r="C335" s="10" t="s">
        <v>1006</v>
      </c>
      <c r="D335" s="12" t="s">
        <v>995</v>
      </c>
      <c r="E335" s="12" t="s">
        <v>334</v>
      </c>
      <c r="F335" s="10" t="s">
        <v>343</v>
      </c>
      <c r="G335" s="10">
        <f>SUMIF(成品月初库存!$C$3:$C$362,$B335,成品月初库存!$F$3:$F$362)</f>
        <v>888</v>
      </c>
      <c r="H335" s="10">
        <f>SUMIF(成品入库明细!$D$2:$D$500,$B335,成品入库明细!$G$2:$G$500)</f>
        <v>0</v>
      </c>
      <c r="I335" s="10">
        <f>SUMIF(成品出库明细!$D$2:$D$1172,$B335,成品出库明细!$G$2:$G$1172)</f>
        <v>0</v>
      </c>
      <c r="J335" s="10">
        <f t="shared" si="7"/>
        <v>888</v>
      </c>
      <c r="K335" s="12" t="s">
        <v>1003</v>
      </c>
      <c r="L335" s="10"/>
      <c r="M335" s="10"/>
      <c r="N335" s="10"/>
      <c r="O335" s="10"/>
      <c r="P335" s="10"/>
    </row>
    <row r="336" s="2" customFormat="1" ht="14.25" spans="1:16">
      <c r="A336" s="10"/>
      <c r="B336" s="10" t="s">
        <v>101</v>
      </c>
      <c r="C336" s="10" t="s">
        <v>1007</v>
      </c>
      <c r="D336" s="12" t="s">
        <v>995</v>
      </c>
      <c r="E336" s="12" t="s">
        <v>334</v>
      </c>
      <c r="F336" s="10" t="s">
        <v>343</v>
      </c>
      <c r="G336" s="10">
        <f>SUMIF(成品月初库存!$C$3:$C$362,$B336,成品月初库存!$F$3:$F$362)</f>
        <v>1272</v>
      </c>
      <c r="H336" s="10">
        <f>SUMIF(成品入库明细!$D$2:$D$500,$B336,成品入库明细!$G$2:$G$500)</f>
        <v>0</v>
      </c>
      <c r="I336" s="10">
        <f>SUMIF(成品出库明细!$D$2:$D$1172,$B336,成品出库明细!$G$2:$G$1172)</f>
        <v>0</v>
      </c>
      <c r="J336" s="10">
        <f t="shared" si="7"/>
        <v>1272</v>
      </c>
      <c r="K336" s="12" t="s">
        <v>370</v>
      </c>
      <c r="L336" s="10"/>
      <c r="M336" s="10"/>
      <c r="N336" s="10"/>
      <c r="O336" s="10"/>
      <c r="P336" s="10"/>
    </row>
    <row r="337" s="2" customFormat="1" ht="15.75" spans="1:16">
      <c r="A337" s="10"/>
      <c r="B337" s="10" t="s">
        <v>102</v>
      </c>
      <c r="C337" s="10" t="s">
        <v>1008</v>
      </c>
      <c r="D337" s="12" t="s">
        <v>995</v>
      </c>
      <c r="E337" s="12" t="s">
        <v>334</v>
      </c>
      <c r="F337" s="10" t="s">
        <v>343</v>
      </c>
      <c r="G337" s="10">
        <f>SUMIF(成品月初库存!$C$3:$C$362,$B337,成品月初库存!$F$3:$F$362)</f>
        <v>114</v>
      </c>
      <c r="H337" s="10">
        <f>SUMIF(成品入库明细!$D$2:$D$500,$B337,成品入库明细!$G$2:$G$500)</f>
        <v>0</v>
      </c>
      <c r="I337" s="10">
        <f>SUMIF(成品出库明细!$D$2:$D$1172,$B337,成品出库明细!$G$2:$G$1172)</f>
        <v>0</v>
      </c>
      <c r="J337" s="10">
        <f t="shared" si="7"/>
        <v>114</v>
      </c>
      <c r="K337" s="20" t="s">
        <v>1009</v>
      </c>
      <c r="L337" s="10"/>
      <c r="M337" s="10"/>
      <c r="N337" s="10"/>
      <c r="O337" s="10"/>
      <c r="P337" s="10"/>
    </row>
    <row r="338" s="2" customFormat="1" ht="14.25" spans="1:16">
      <c r="A338" s="10"/>
      <c r="B338" s="10" t="s">
        <v>103</v>
      </c>
      <c r="C338" s="10" t="s">
        <v>1010</v>
      </c>
      <c r="D338" s="12" t="s">
        <v>995</v>
      </c>
      <c r="E338" s="12" t="s">
        <v>334</v>
      </c>
      <c r="F338" s="10" t="s">
        <v>343</v>
      </c>
      <c r="G338" s="10">
        <f>SUMIF(成品月初库存!$C$3:$C$362,$B338,成品月初库存!$F$3:$F$362)</f>
        <v>4381</v>
      </c>
      <c r="H338" s="10">
        <f>SUMIF(成品入库明细!$D$2:$D$500,$B338,成品入库明细!$G$2:$G$500)</f>
        <v>0</v>
      </c>
      <c r="I338" s="10">
        <f>SUMIF(成品出库明细!$D$2:$D$1172,$B338,成品出库明细!$G$2:$G$1172)</f>
        <v>0</v>
      </c>
      <c r="J338" s="10">
        <f t="shared" si="7"/>
        <v>4381</v>
      </c>
      <c r="K338" s="20" t="s">
        <v>538</v>
      </c>
      <c r="L338" s="10"/>
      <c r="M338" s="10"/>
      <c r="N338" s="10"/>
      <c r="O338" s="10"/>
      <c r="P338" s="10"/>
    </row>
    <row r="339" s="2" customFormat="1" ht="14.25" spans="1:16">
      <c r="A339" s="10">
        <v>280</v>
      </c>
      <c r="B339" s="10" t="s">
        <v>1011</v>
      </c>
      <c r="C339" s="10">
        <v>7589</v>
      </c>
      <c r="D339" s="12" t="s">
        <v>1012</v>
      </c>
      <c r="E339" s="12" t="s">
        <v>334</v>
      </c>
      <c r="F339" s="10" t="s">
        <v>343</v>
      </c>
      <c r="G339" s="10">
        <f>SUMIF(成品月初库存!$C$3:$C$362,$B339,成品月初库存!$F$3:$F$362)</f>
        <v>0</v>
      </c>
      <c r="H339" s="10">
        <f>SUMIF(成品入库明细!$D$2:$D$500,$B339,成品入库明细!$G$2:$G$500)</f>
        <v>0</v>
      </c>
      <c r="I339" s="10">
        <f>SUMIF(成品出库明细!$D$2:$D$1172,$B339,成品出库明细!$G$2:$G$1172)</f>
        <v>0</v>
      </c>
      <c r="J339" s="10">
        <f t="shared" si="7"/>
        <v>0</v>
      </c>
      <c r="K339" s="12" t="s">
        <v>300</v>
      </c>
      <c r="L339" s="10"/>
      <c r="M339" s="10"/>
      <c r="N339" s="10"/>
      <c r="O339" s="10"/>
      <c r="P339" s="10"/>
    </row>
    <row r="340" s="2" customFormat="1" ht="14.25" spans="1:16">
      <c r="A340" s="10">
        <v>278</v>
      </c>
      <c r="B340" s="10" t="s">
        <v>1013</v>
      </c>
      <c r="C340" s="10">
        <v>5328</v>
      </c>
      <c r="D340" s="12" t="s">
        <v>1012</v>
      </c>
      <c r="E340" s="12" t="s">
        <v>334</v>
      </c>
      <c r="F340" s="10" t="s">
        <v>343</v>
      </c>
      <c r="G340" s="10">
        <f>SUMIF(成品月初库存!$C$3:$C$362,$B340,成品月初库存!$F$3:$F$362)</f>
        <v>0</v>
      </c>
      <c r="H340" s="10">
        <f>SUMIF(成品入库明细!$D$2:$D$500,$B340,成品入库明细!$G$2:$G$500)</f>
        <v>0</v>
      </c>
      <c r="I340" s="10">
        <f>SUMIF(成品出库明细!$D$2:$D$1172,$B340,成品出库明细!$G$2:$G$1172)</f>
        <v>0</v>
      </c>
      <c r="J340" s="10">
        <f t="shared" si="7"/>
        <v>0</v>
      </c>
      <c r="K340" s="12" t="s">
        <v>300</v>
      </c>
      <c r="L340" s="10"/>
      <c r="M340" s="10"/>
      <c r="N340" s="10"/>
      <c r="O340" s="10"/>
      <c r="P340" s="10"/>
    </row>
    <row r="341" s="2" customFormat="1" ht="14.25" spans="1:16">
      <c r="A341" s="10">
        <v>279</v>
      </c>
      <c r="B341" s="10" t="s">
        <v>1014</v>
      </c>
      <c r="C341" s="12" t="s">
        <v>1015</v>
      </c>
      <c r="D341" s="12" t="s">
        <v>1016</v>
      </c>
      <c r="E341" s="12" t="s">
        <v>334</v>
      </c>
      <c r="F341" s="10" t="s">
        <v>343</v>
      </c>
      <c r="G341" s="10">
        <f>SUMIF(成品月初库存!$C$3:$C$362,$B341,成品月初库存!$F$3:$F$362)</f>
        <v>0</v>
      </c>
      <c r="H341" s="10">
        <f>SUMIF(成品入库明细!$D$2:$D$500,$B341,成品入库明细!$G$2:$G$500)</f>
        <v>0</v>
      </c>
      <c r="I341" s="10">
        <f>SUMIF(成品出库明细!$D$2:$D$1172,$B341,成品出库明细!$G$2:$G$1172)</f>
        <v>0</v>
      </c>
      <c r="J341" s="10">
        <f t="shared" si="7"/>
        <v>0</v>
      </c>
      <c r="K341" s="12" t="s">
        <v>1017</v>
      </c>
      <c r="L341" s="10"/>
      <c r="M341" s="10"/>
      <c r="N341" s="10"/>
      <c r="O341" s="10"/>
      <c r="P341" s="10"/>
    </row>
    <row r="342" s="2" customFormat="1" ht="14.25" spans="1:16">
      <c r="A342" s="10">
        <v>280</v>
      </c>
      <c r="B342" s="10" t="s">
        <v>1018</v>
      </c>
      <c r="C342" s="12" t="s">
        <v>1019</v>
      </c>
      <c r="D342" s="12" t="s">
        <v>1016</v>
      </c>
      <c r="E342" s="12" t="s">
        <v>334</v>
      </c>
      <c r="F342" s="10" t="s">
        <v>343</v>
      </c>
      <c r="G342" s="10">
        <f>SUMIF(成品月初库存!$C$3:$C$362,$B342,成品月初库存!$F$3:$F$362)</f>
        <v>0</v>
      </c>
      <c r="H342" s="10">
        <f>SUMIF(成品入库明细!$D$2:$D$500,$B342,成品入库明细!$G$2:$G$500)</f>
        <v>0</v>
      </c>
      <c r="I342" s="10">
        <f>SUMIF(成品出库明细!$D$2:$D$1172,$B342,成品出库明细!$G$2:$G$1172)</f>
        <v>0</v>
      </c>
      <c r="J342" s="10">
        <f t="shared" si="7"/>
        <v>0</v>
      </c>
      <c r="K342" s="12" t="s">
        <v>349</v>
      </c>
      <c r="L342" s="10"/>
      <c r="M342" s="10"/>
      <c r="N342" s="10"/>
      <c r="O342" s="10"/>
      <c r="P342" s="10"/>
    </row>
    <row r="343" s="2" customFormat="1" ht="14.25" spans="1:16">
      <c r="A343" s="10">
        <v>281</v>
      </c>
      <c r="B343" s="10" t="s">
        <v>1020</v>
      </c>
      <c r="C343" s="12" t="s">
        <v>1021</v>
      </c>
      <c r="D343" s="12" t="s">
        <v>1016</v>
      </c>
      <c r="E343" s="12" t="s">
        <v>334</v>
      </c>
      <c r="F343" s="10" t="s">
        <v>343</v>
      </c>
      <c r="G343" s="10">
        <f>SUMIF(成品月初库存!$C$3:$C$362,$B343,成品月初库存!$F$3:$F$362)</f>
        <v>0</v>
      </c>
      <c r="H343" s="10">
        <f>SUMIF(成品入库明细!$D$2:$D$500,$B343,成品入库明细!$G$2:$G$500)</f>
        <v>0</v>
      </c>
      <c r="I343" s="10">
        <f>SUMIF(成品出库明细!$D$2:$D$1172,$B343,成品出库明细!$G$2:$G$1172)</f>
        <v>0</v>
      </c>
      <c r="J343" s="10">
        <f t="shared" si="7"/>
        <v>0</v>
      </c>
      <c r="K343" s="12" t="s">
        <v>1017</v>
      </c>
      <c r="L343" s="10"/>
      <c r="M343" s="10"/>
      <c r="N343" s="10"/>
      <c r="O343" s="10"/>
      <c r="P343" s="10"/>
    </row>
    <row r="344" s="2" customFormat="1" ht="15.75" spans="1:16">
      <c r="A344" s="10">
        <v>280</v>
      </c>
      <c r="B344" s="10" t="s">
        <v>1022</v>
      </c>
      <c r="C344" s="24" t="s">
        <v>1023</v>
      </c>
      <c r="D344" s="12" t="s">
        <v>1024</v>
      </c>
      <c r="E344" s="12" t="s">
        <v>334</v>
      </c>
      <c r="F344" s="10" t="s">
        <v>343</v>
      </c>
      <c r="G344" s="10">
        <f>SUMIF(成品月初库存!$C$3:$C$362,$B344,成品月初库存!$F$3:$F$362)</f>
        <v>0</v>
      </c>
      <c r="H344" s="10">
        <f>SUMIF(成品入库明细!$D$2:$D$500,$B344,成品入库明细!$G$2:$G$500)</f>
        <v>0</v>
      </c>
      <c r="I344" s="10">
        <f>SUMIF(成品出库明细!$D$2:$D$1172,$B344,成品出库明细!$G$2:$G$1172)</f>
        <v>0</v>
      </c>
      <c r="J344" s="10">
        <f t="shared" si="7"/>
        <v>0</v>
      </c>
      <c r="K344" s="12" t="s">
        <v>370</v>
      </c>
      <c r="L344" s="10"/>
      <c r="M344" s="10"/>
      <c r="N344" s="10"/>
      <c r="O344" s="10"/>
      <c r="P344" s="10"/>
    </row>
    <row r="345" s="2" customFormat="1" ht="15.75" spans="1:16">
      <c r="A345" s="10">
        <v>281</v>
      </c>
      <c r="B345" s="10" t="s">
        <v>1025</v>
      </c>
      <c r="C345" s="24" t="s">
        <v>1026</v>
      </c>
      <c r="D345" s="12" t="s">
        <v>1024</v>
      </c>
      <c r="E345" s="12" t="s">
        <v>334</v>
      </c>
      <c r="F345" s="10" t="s">
        <v>343</v>
      </c>
      <c r="G345" s="10">
        <f>SUMIF(成品月初库存!$C$3:$C$362,$B345,成品月初库存!$F$3:$F$362)</f>
        <v>0</v>
      </c>
      <c r="H345" s="10">
        <f>SUMIF(成品入库明细!$D$2:$D$500,$B345,成品入库明细!$G$2:$G$500)</f>
        <v>0</v>
      </c>
      <c r="I345" s="10">
        <f>SUMIF(成品出库明细!$D$2:$D$1172,$B345,成品出库明细!$G$2:$G$1172)</f>
        <v>0</v>
      </c>
      <c r="J345" s="10">
        <f t="shared" si="7"/>
        <v>0</v>
      </c>
      <c r="K345" s="12" t="s">
        <v>370</v>
      </c>
      <c r="L345" s="10"/>
      <c r="M345" s="10"/>
      <c r="N345" s="10"/>
      <c r="O345" s="10"/>
      <c r="P345" s="10"/>
    </row>
    <row r="346" s="2" customFormat="1" ht="14.25" spans="1:16">
      <c r="A346" s="10">
        <v>282</v>
      </c>
      <c r="B346" s="10" t="s">
        <v>1027</v>
      </c>
      <c r="C346" s="12" t="s">
        <v>1028</v>
      </c>
      <c r="D346" s="12" t="s">
        <v>1024</v>
      </c>
      <c r="E346" s="12" t="s">
        <v>334</v>
      </c>
      <c r="F346" s="10" t="s">
        <v>343</v>
      </c>
      <c r="G346" s="10">
        <f>SUMIF(成品月初库存!$C$3:$C$362,$B346,成品月初库存!$F$3:$F$362)</f>
        <v>0</v>
      </c>
      <c r="H346" s="10">
        <f>SUMIF(成品入库明细!$D$2:$D$500,$B346,成品入库明细!$G$2:$G$500)</f>
        <v>0</v>
      </c>
      <c r="I346" s="10">
        <f>SUMIF(成品出库明细!$D$2:$D$1172,$B346,成品出库明细!$G$2:$G$1172)</f>
        <v>0</v>
      </c>
      <c r="J346" s="10">
        <f t="shared" si="7"/>
        <v>0</v>
      </c>
      <c r="K346" s="12" t="s">
        <v>370</v>
      </c>
      <c r="L346" s="10"/>
      <c r="M346" s="10"/>
      <c r="N346" s="10"/>
      <c r="O346" s="10"/>
      <c r="P346" s="10"/>
    </row>
    <row r="347" s="2" customFormat="1" ht="14.25" spans="1:16">
      <c r="A347" s="10">
        <v>283</v>
      </c>
      <c r="B347" s="10" t="s">
        <v>1029</v>
      </c>
      <c r="C347" s="12" t="s">
        <v>1030</v>
      </c>
      <c r="D347" s="12" t="s">
        <v>1024</v>
      </c>
      <c r="E347" s="12" t="s">
        <v>334</v>
      </c>
      <c r="F347" s="10" t="s">
        <v>343</v>
      </c>
      <c r="G347" s="10">
        <f>SUMIF(成品月初库存!$C$3:$C$362,$B347,成品月初库存!$F$3:$F$362)</f>
        <v>0</v>
      </c>
      <c r="H347" s="10">
        <f>SUMIF(成品入库明细!$D$2:$D$500,$B347,成品入库明细!$G$2:$G$500)</f>
        <v>0</v>
      </c>
      <c r="I347" s="10">
        <f>SUMIF(成品出库明细!$D$2:$D$1172,$B347,成品出库明细!$G$2:$G$1172)</f>
        <v>0</v>
      </c>
      <c r="J347" s="10">
        <f t="shared" si="7"/>
        <v>0</v>
      </c>
      <c r="K347" s="12" t="s">
        <v>379</v>
      </c>
      <c r="L347" s="10"/>
      <c r="M347" s="10"/>
      <c r="N347" s="10"/>
      <c r="O347" s="10"/>
      <c r="P347" s="10"/>
    </row>
    <row r="348" s="2" customFormat="1" ht="14.25" spans="1:16">
      <c r="A348" s="10">
        <v>284</v>
      </c>
      <c r="B348" s="10" t="s">
        <v>1031</v>
      </c>
      <c r="C348" s="12" t="s">
        <v>516</v>
      </c>
      <c r="D348" s="12" t="s">
        <v>1024</v>
      </c>
      <c r="E348" s="12" t="s">
        <v>334</v>
      </c>
      <c r="F348" s="10" t="s">
        <v>343</v>
      </c>
      <c r="G348" s="10">
        <f>SUMIF(成品月初库存!$C$3:$C$362,$B348,成品月初库存!$F$3:$F$362)</f>
        <v>0</v>
      </c>
      <c r="H348" s="10">
        <f>SUMIF(成品入库明细!$D$2:$D$500,$B348,成品入库明细!$G$2:$G$500)</f>
        <v>0</v>
      </c>
      <c r="I348" s="10">
        <f>SUMIF(成品出库明细!$D$2:$D$1172,$B348,成品出库明细!$G$2:$G$1172)</f>
        <v>0</v>
      </c>
      <c r="J348" s="10">
        <f t="shared" si="7"/>
        <v>0</v>
      </c>
      <c r="K348" s="12" t="s">
        <v>379</v>
      </c>
      <c r="L348" s="10"/>
      <c r="M348" s="10"/>
      <c r="N348" s="10"/>
      <c r="O348" s="10"/>
      <c r="P348" s="10"/>
    </row>
    <row r="349" s="2" customFormat="1" ht="14.25" spans="1:16">
      <c r="A349" s="10">
        <v>285</v>
      </c>
      <c r="B349" s="10" t="s">
        <v>1032</v>
      </c>
      <c r="C349" s="10" t="s">
        <v>1033</v>
      </c>
      <c r="D349" s="12" t="s">
        <v>1034</v>
      </c>
      <c r="E349" s="12" t="s">
        <v>334</v>
      </c>
      <c r="F349" s="10" t="s">
        <v>343</v>
      </c>
      <c r="G349" s="10">
        <f>SUMIF(成品月初库存!$C$3:$C$362,$B349,成品月初库存!$F$3:$F$362)</f>
        <v>0</v>
      </c>
      <c r="H349" s="10">
        <f>SUMIF(成品入库明细!$D$2:$D$500,$B349,成品入库明细!$G$2:$G$500)</f>
        <v>0</v>
      </c>
      <c r="I349" s="10">
        <f>SUMIF(成品出库明细!$D$2:$D$1172,$B349,成品出库明细!$G$2:$G$1172)</f>
        <v>0</v>
      </c>
      <c r="J349" s="10">
        <f t="shared" si="7"/>
        <v>0</v>
      </c>
      <c r="K349" s="12" t="s">
        <v>379</v>
      </c>
      <c r="L349" s="10"/>
      <c r="M349" s="10"/>
      <c r="N349" s="10"/>
      <c r="O349" s="10"/>
      <c r="P349" s="10"/>
    </row>
    <row r="350" s="2" customFormat="1" ht="14.25" spans="1:16">
      <c r="A350" s="10">
        <v>286</v>
      </c>
      <c r="B350" s="10" t="s">
        <v>1035</v>
      </c>
      <c r="C350" s="10" t="s">
        <v>1036</v>
      </c>
      <c r="D350" s="12" t="s">
        <v>1037</v>
      </c>
      <c r="E350" s="12" t="s">
        <v>334</v>
      </c>
      <c r="F350" s="10" t="s">
        <v>343</v>
      </c>
      <c r="G350" s="10">
        <f>SUMIF(成品月初库存!$C$3:$C$362,$B350,成品月初库存!$F$3:$F$362)</f>
        <v>0</v>
      </c>
      <c r="H350" s="10">
        <f>SUMIF(成品入库明细!$D$2:$D$500,$B350,成品入库明细!$G$2:$G$500)</f>
        <v>0</v>
      </c>
      <c r="I350" s="10">
        <f>SUMIF(成品出库明细!$D$2:$D$1172,$B350,成品出库明细!$G$2:$G$1172)</f>
        <v>0</v>
      </c>
      <c r="J350" s="10">
        <f t="shared" si="7"/>
        <v>0</v>
      </c>
      <c r="K350" s="12" t="s">
        <v>389</v>
      </c>
      <c r="L350" s="10"/>
      <c r="M350" s="10"/>
      <c r="N350" s="10"/>
      <c r="O350" s="10"/>
      <c r="P350" s="10"/>
    </row>
    <row r="351" s="2" customFormat="1" ht="14.25" spans="1:16">
      <c r="A351" s="10">
        <v>287</v>
      </c>
      <c r="B351" s="10" t="s">
        <v>1038</v>
      </c>
      <c r="C351" s="10" t="s">
        <v>1039</v>
      </c>
      <c r="D351" s="12" t="s">
        <v>1037</v>
      </c>
      <c r="E351" s="12" t="s">
        <v>334</v>
      </c>
      <c r="F351" s="10" t="s">
        <v>343</v>
      </c>
      <c r="G351" s="10">
        <f>SUMIF(成品月初库存!$C$3:$C$362,$B351,成品月初库存!$F$3:$F$362)</f>
        <v>0</v>
      </c>
      <c r="H351" s="10">
        <f>SUMIF(成品入库明细!$D$2:$D$500,$B351,成品入库明细!$G$2:$G$500)</f>
        <v>0</v>
      </c>
      <c r="I351" s="10">
        <f>SUMIF(成品出库明细!$D$2:$D$1172,$B351,成品出库明细!$G$2:$G$1172)</f>
        <v>0</v>
      </c>
      <c r="J351" s="10">
        <f t="shared" si="7"/>
        <v>0</v>
      </c>
      <c r="K351" s="12" t="s">
        <v>389</v>
      </c>
      <c r="L351" s="10"/>
      <c r="M351" s="10"/>
      <c r="N351" s="10"/>
      <c r="O351" s="10"/>
      <c r="P351" s="10"/>
    </row>
    <row r="352" s="2" customFormat="1" ht="14.25" spans="1:16">
      <c r="A352" s="10">
        <v>288</v>
      </c>
      <c r="B352" s="10" t="s">
        <v>1040</v>
      </c>
      <c r="C352" s="12" t="s">
        <v>1041</v>
      </c>
      <c r="D352" s="12" t="s">
        <v>1037</v>
      </c>
      <c r="E352" s="12" t="s">
        <v>334</v>
      </c>
      <c r="F352" s="10" t="s">
        <v>343</v>
      </c>
      <c r="G352" s="10">
        <f>SUMIF(成品月初库存!$C$3:$C$362,$B352,成品月初库存!$F$3:$F$362)</f>
        <v>0</v>
      </c>
      <c r="H352" s="10">
        <f>SUMIF(成品入库明细!$D$2:$D$500,$B352,成品入库明细!$G$2:$G$500)</f>
        <v>0</v>
      </c>
      <c r="I352" s="10">
        <f>SUMIF(成品出库明细!$D$2:$D$1172,$B352,成品出库明细!$G$2:$G$1172)</f>
        <v>0</v>
      </c>
      <c r="J352" s="10">
        <f t="shared" si="7"/>
        <v>0</v>
      </c>
      <c r="K352" s="12" t="s">
        <v>389</v>
      </c>
      <c r="L352" s="10"/>
      <c r="M352" s="10"/>
      <c r="N352" s="10"/>
      <c r="O352" s="10"/>
      <c r="P352" s="10"/>
    </row>
    <row r="353" s="2" customFormat="1" ht="14.25" spans="1:16">
      <c r="A353" s="10">
        <v>289</v>
      </c>
      <c r="B353" s="10" t="s">
        <v>1042</v>
      </c>
      <c r="C353" s="10" t="s">
        <v>1043</v>
      </c>
      <c r="D353" s="12" t="s">
        <v>1037</v>
      </c>
      <c r="E353" s="12" t="s">
        <v>334</v>
      </c>
      <c r="F353" s="10" t="s">
        <v>343</v>
      </c>
      <c r="G353" s="10">
        <f>SUMIF(成品月初库存!$C$3:$C$362,$B353,成品月初库存!$F$3:$F$362)</f>
        <v>0</v>
      </c>
      <c r="H353" s="10">
        <f>SUMIF(成品入库明细!$D$2:$D$500,$B353,成品入库明细!$G$2:$G$500)</f>
        <v>0</v>
      </c>
      <c r="I353" s="10">
        <f>SUMIF(成品出库明细!$D$2:$D$1172,$B353,成品出库明细!$G$2:$G$1172)</f>
        <v>0</v>
      </c>
      <c r="J353" s="10">
        <f t="shared" si="7"/>
        <v>0</v>
      </c>
      <c r="K353" s="12" t="s">
        <v>389</v>
      </c>
      <c r="L353" s="10"/>
      <c r="M353" s="10"/>
      <c r="N353" s="10"/>
      <c r="O353" s="10"/>
      <c r="P353" s="10"/>
    </row>
    <row r="354" s="2" customFormat="1" ht="14.25" spans="1:16">
      <c r="A354" s="10">
        <v>290</v>
      </c>
      <c r="B354" s="10" t="s">
        <v>1044</v>
      </c>
      <c r="C354" s="10" t="s">
        <v>1045</v>
      </c>
      <c r="D354" s="12" t="s">
        <v>1037</v>
      </c>
      <c r="E354" s="12" t="s">
        <v>334</v>
      </c>
      <c r="F354" s="10" t="s">
        <v>343</v>
      </c>
      <c r="G354" s="10">
        <f>SUMIF(成品月初库存!$C$3:$C$362,$B354,成品月初库存!$F$3:$F$362)</f>
        <v>0</v>
      </c>
      <c r="H354" s="10">
        <f>SUMIF(成品入库明细!$D$2:$D$500,$B354,成品入库明细!$G$2:$G$500)</f>
        <v>0</v>
      </c>
      <c r="I354" s="10">
        <f>SUMIF(成品出库明细!$D$2:$D$1172,$B354,成品出库明细!$G$2:$G$1172)</f>
        <v>0</v>
      </c>
      <c r="J354" s="10">
        <f t="shared" si="7"/>
        <v>0</v>
      </c>
      <c r="K354" s="12" t="s">
        <v>389</v>
      </c>
      <c r="L354" s="10"/>
      <c r="M354" s="10"/>
      <c r="N354" s="10"/>
      <c r="O354" s="10"/>
      <c r="P354" s="10"/>
    </row>
    <row r="355" s="2" customFormat="1" ht="14.25" spans="1:16">
      <c r="A355" s="10">
        <v>291</v>
      </c>
      <c r="B355" s="10" t="s">
        <v>1046</v>
      </c>
      <c r="C355" s="10" t="s">
        <v>1047</v>
      </c>
      <c r="D355" s="12" t="s">
        <v>1037</v>
      </c>
      <c r="E355" s="12" t="s">
        <v>334</v>
      </c>
      <c r="F355" s="10" t="s">
        <v>343</v>
      </c>
      <c r="G355" s="10">
        <f>SUMIF(成品月初库存!$C$3:$C$362,$B355,成品月初库存!$F$3:$F$362)</f>
        <v>0</v>
      </c>
      <c r="H355" s="10">
        <f>SUMIF(成品入库明细!$D$2:$D$500,$B355,成品入库明细!$G$2:$G$500)</f>
        <v>0</v>
      </c>
      <c r="I355" s="10">
        <f>SUMIF(成品出库明细!$D$2:$D$1172,$B355,成品出库明细!$G$2:$G$1172)</f>
        <v>0</v>
      </c>
      <c r="J355" s="10">
        <f t="shared" si="7"/>
        <v>0</v>
      </c>
      <c r="K355" s="12" t="s">
        <v>538</v>
      </c>
      <c r="L355" s="10"/>
      <c r="M355" s="10"/>
      <c r="N355" s="10"/>
      <c r="O355" s="10"/>
      <c r="P355" s="10"/>
    </row>
    <row r="356" s="2" customFormat="1" ht="14.25" spans="1:16">
      <c r="A356" s="10">
        <v>292</v>
      </c>
      <c r="B356" s="10" t="s">
        <v>1048</v>
      </c>
      <c r="C356" s="10" t="s">
        <v>1049</v>
      </c>
      <c r="D356" s="12" t="s">
        <v>1037</v>
      </c>
      <c r="E356" s="12" t="s">
        <v>334</v>
      </c>
      <c r="F356" s="10" t="s">
        <v>343</v>
      </c>
      <c r="G356" s="10">
        <f>SUMIF(成品月初库存!$C$3:$C$362,$B356,成品月初库存!$F$3:$F$362)</f>
        <v>0</v>
      </c>
      <c r="H356" s="10">
        <f>SUMIF(成品入库明细!$D$2:$D$500,$B356,成品入库明细!$G$2:$G$500)</f>
        <v>0</v>
      </c>
      <c r="I356" s="10">
        <f>SUMIF(成品出库明细!$D$2:$D$1172,$B356,成品出库明细!$G$2:$G$1172)</f>
        <v>0</v>
      </c>
      <c r="J356" s="10">
        <f t="shared" si="7"/>
        <v>0</v>
      </c>
      <c r="K356" s="12" t="s">
        <v>538</v>
      </c>
      <c r="L356" s="10"/>
      <c r="M356" s="10"/>
      <c r="N356" s="10"/>
      <c r="O356" s="10"/>
      <c r="P356" s="10"/>
    </row>
    <row r="357" s="2" customFormat="1" ht="14.25" spans="1:16">
      <c r="A357" s="10">
        <v>293</v>
      </c>
      <c r="B357" s="10" t="s">
        <v>1050</v>
      </c>
      <c r="C357" s="10" t="s">
        <v>1051</v>
      </c>
      <c r="D357" s="12" t="s">
        <v>1037</v>
      </c>
      <c r="E357" s="12" t="s">
        <v>334</v>
      </c>
      <c r="F357" s="10" t="s">
        <v>343</v>
      </c>
      <c r="G357" s="10">
        <f>SUMIF(成品月初库存!$C$3:$C$362,$B357,成品月初库存!$F$3:$F$362)</f>
        <v>0</v>
      </c>
      <c r="H357" s="10">
        <f>SUMIF(成品入库明细!$D$2:$D$500,$B357,成品入库明细!$G$2:$G$500)</f>
        <v>0</v>
      </c>
      <c r="I357" s="10">
        <f>SUMIF(成品出库明细!$D$2:$D$1172,$B357,成品出库明细!$G$2:$G$1172)</f>
        <v>0</v>
      </c>
      <c r="J357" s="10">
        <f t="shared" si="7"/>
        <v>0</v>
      </c>
      <c r="K357" s="12" t="s">
        <v>538</v>
      </c>
      <c r="L357" s="10"/>
      <c r="M357" s="10"/>
      <c r="N357" s="10"/>
      <c r="O357" s="10"/>
      <c r="P357" s="10"/>
    </row>
    <row r="358" s="2" customFormat="1" ht="14.25" spans="1:16">
      <c r="A358" s="10">
        <v>294</v>
      </c>
      <c r="B358" s="10" t="s">
        <v>1052</v>
      </c>
      <c r="C358" s="10" t="s">
        <v>1053</v>
      </c>
      <c r="D358" s="12" t="s">
        <v>1037</v>
      </c>
      <c r="E358" s="12" t="s">
        <v>334</v>
      </c>
      <c r="F358" s="10" t="s">
        <v>343</v>
      </c>
      <c r="G358" s="10">
        <f>SUMIF(成品月初库存!$C$3:$C$362,$B358,成品月初库存!$F$3:$F$362)</f>
        <v>0</v>
      </c>
      <c r="H358" s="10">
        <f>SUMIF(成品入库明细!$D$2:$D$500,$B358,成品入库明细!$G$2:$G$500)</f>
        <v>0</v>
      </c>
      <c r="I358" s="10">
        <f>SUMIF(成品出库明细!$D$2:$D$1172,$B358,成品出库明细!$G$2:$G$1172)</f>
        <v>0</v>
      </c>
      <c r="J358" s="10">
        <f t="shared" si="7"/>
        <v>0</v>
      </c>
      <c r="K358" s="12" t="s">
        <v>538</v>
      </c>
      <c r="L358" s="10"/>
      <c r="M358" s="10"/>
      <c r="N358" s="10"/>
      <c r="O358" s="10"/>
      <c r="P358" s="10"/>
    </row>
    <row r="359" s="2" customFormat="1" ht="14.25" spans="1:16">
      <c r="A359" s="10">
        <v>295</v>
      </c>
      <c r="B359" s="10" t="s">
        <v>1054</v>
      </c>
      <c r="C359" s="10" t="s">
        <v>1055</v>
      </c>
      <c r="D359" s="12" t="s">
        <v>1037</v>
      </c>
      <c r="E359" s="12" t="s">
        <v>334</v>
      </c>
      <c r="F359" s="10" t="s">
        <v>343</v>
      </c>
      <c r="G359" s="10">
        <f>SUMIF(成品月初库存!$C$3:$C$362,$B359,成品月初库存!$F$3:$F$362)</f>
        <v>0</v>
      </c>
      <c r="H359" s="10">
        <f>SUMIF(成品入库明细!$D$2:$D$500,$B359,成品入库明细!$G$2:$G$500)</f>
        <v>0</v>
      </c>
      <c r="I359" s="10">
        <f>SUMIF(成品出库明细!$D$2:$D$1172,$B359,成品出库明细!$G$2:$G$1172)</f>
        <v>0</v>
      </c>
      <c r="J359" s="10">
        <f t="shared" si="7"/>
        <v>0</v>
      </c>
      <c r="K359" s="12" t="s">
        <v>538</v>
      </c>
      <c r="L359" s="10"/>
      <c r="M359" s="10"/>
      <c r="N359" s="10"/>
      <c r="O359" s="10"/>
      <c r="P359" s="10"/>
    </row>
    <row r="360" s="2" customFormat="1" ht="14.25" spans="1:16">
      <c r="A360" s="10">
        <v>296</v>
      </c>
      <c r="B360" s="10" t="s">
        <v>1056</v>
      </c>
      <c r="C360" s="10" t="s">
        <v>1057</v>
      </c>
      <c r="D360" s="12" t="s">
        <v>1037</v>
      </c>
      <c r="E360" s="12" t="s">
        <v>334</v>
      </c>
      <c r="F360" s="10" t="s">
        <v>343</v>
      </c>
      <c r="G360" s="10">
        <f>SUMIF(成品月初库存!$C$3:$C$362,$B360,成品月初库存!$F$3:$F$362)</f>
        <v>0</v>
      </c>
      <c r="H360" s="10">
        <f>SUMIF(成品入库明细!$D$2:$D$500,$B360,成品入库明细!$G$2:$G$500)</f>
        <v>0</v>
      </c>
      <c r="I360" s="10">
        <f>SUMIF(成品出库明细!$D$2:$D$1172,$B360,成品出库明细!$G$2:$G$1172)</f>
        <v>0</v>
      </c>
      <c r="J360" s="10">
        <f t="shared" si="7"/>
        <v>0</v>
      </c>
      <c r="K360" s="12" t="s">
        <v>538</v>
      </c>
      <c r="L360" s="10"/>
      <c r="M360" s="10"/>
      <c r="N360" s="10"/>
      <c r="O360" s="10"/>
      <c r="P360" s="10"/>
    </row>
    <row r="361" s="2" customFormat="1" ht="14.25" spans="1:16">
      <c r="A361" s="10">
        <v>297</v>
      </c>
      <c r="B361" s="10" t="s">
        <v>1058</v>
      </c>
      <c r="C361" s="10" t="s">
        <v>1059</v>
      </c>
      <c r="D361" s="12" t="s">
        <v>1060</v>
      </c>
      <c r="E361" s="12" t="s">
        <v>334</v>
      </c>
      <c r="F361" s="10" t="s">
        <v>343</v>
      </c>
      <c r="G361" s="10">
        <f>SUMIF(成品月初库存!$C$3:$C$362,$B361,成品月初库存!$F$3:$F$362)</f>
        <v>0</v>
      </c>
      <c r="H361" s="10">
        <f>SUMIF(成品入库明细!$D$2:$D$500,$B361,成品入库明细!$G$2:$G$500)</f>
        <v>0</v>
      </c>
      <c r="I361" s="10">
        <f>SUMIF(成品出库明细!$D$2:$D$1172,$B361,成品出库明细!$G$2:$G$1172)</f>
        <v>0</v>
      </c>
      <c r="J361" s="10">
        <f t="shared" si="7"/>
        <v>0</v>
      </c>
      <c r="K361" s="12" t="s">
        <v>300</v>
      </c>
      <c r="L361" s="10"/>
      <c r="M361" s="10"/>
      <c r="N361" s="10"/>
      <c r="O361" s="10"/>
      <c r="P361" s="10"/>
    </row>
    <row r="362" s="2" customFormat="1" ht="14.25" spans="1:16">
      <c r="A362" s="10">
        <v>298</v>
      </c>
      <c r="B362" s="10" t="s">
        <v>1061</v>
      </c>
      <c r="C362" s="12" t="s">
        <v>1062</v>
      </c>
      <c r="D362" s="12" t="s">
        <v>1060</v>
      </c>
      <c r="E362" s="12" t="s">
        <v>334</v>
      </c>
      <c r="F362" s="10" t="s">
        <v>343</v>
      </c>
      <c r="G362" s="10">
        <f>SUMIF(成品月初库存!$C$3:$C$362,$B362,成品月初库存!$F$3:$F$362)</f>
        <v>0</v>
      </c>
      <c r="H362" s="10">
        <f>SUMIF(成品入库明细!$D$2:$D$500,$B362,成品入库明细!$G$2:$G$500)</f>
        <v>0</v>
      </c>
      <c r="I362" s="10">
        <f>SUMIF(成品出库明细!$D$2:$D$1172,$B362,成品出库明细!$G$2:$G$1172)</f>
        <v>0</v>
      </c>
      <c r="J362" s="10">
        <f t="shared" si="7"/>
        <v>0</v>
      </c>
      <c r="K362" s="12" t="s">
        <v>300</v>
      </c>
      <c r="L362" s="10"/>
      <c r="M362" s="10"/>
      <c r="N362" s="10"/>
      <c r="O362" s="10"/>
      <c r="P362" s="10"/>
    </row>
    <row r="363" s="2" customFormat="1" ht="14.25" spans="1:16">
      <c r="A363" s="10">
        <v>299</v>
      </c>
      <c r="B363" s="10" t="s">
        <v>1063</v>
      </c>
      <c r="C363" s="12" t="s">
        <v>1064</v>
      </c>
      <c r="D363" s="12" t="s">
        <v>1060</v>
      </c>
      <c r="E363" s="12" t="s">
        <v>334</v>
      </c>
      <c r="F363" s="10" t="s">
        <v>343</v>
      </c>
      <c r="G363" s="10">
        <f>SUMIF(成品月初库存!$C$3:$C$362,$B363,成品月初库存!$F$3:$F$362)</f>
        <v>0</v>
      </c>
      <c r="H363" s="10">
        <f>SUMIF(成品入库明细!$D$2:$D$500,$B363,成品入库明细!$G$2:$G$500)</f>
        <v>0</v>
      </c>
      <c r="I363" s="10">
        <f>SUMIF(成品出库明细!$D$2:$D$1172,$B363,成品出库明细!$G$2:$G$1172)</f>
        <v>0</v>
      </c>
      <c r="J363" s="10">
        <f t="shared" si="7"/>
        <v>0</v>
      </c>
      <c r="K363" s="12" t="s">
        <v>300</v>
      </c>
      <c r="L363" s="10"/>
      <c r="M363" s="10"/>
      <c r="N363" s="10"/>
      <c r="O363" s="10"/>
      <c r="P363" s="10"/>
    </row>
    <row r="364" s="2" customFormat="1" ht="14.25" spans="1:16">
      <c r="A364" s="10">
        <v>300</v>
      </c>
      <c r="B364" s="10" t="s">
        <v>104</v>
      </c>
      <c r="C364" s="12" t="s">
        <v>1065</v>
      </c>
      <c r="D364" s="12" t="s">
        <v>1066</v>
      </c>
      <c r="E364" s="12" t="s">
        <v>334</v>
      </c>
      <c r="F364" s="10" t="s">
        <v>343</v>
      </c>
      <c r="G364" s="10">
        <f>SUMIF(成品月初库存!$C$3:$C$362,$B364,成品月初库存!$F$3:$F$362)</f>
        <v>3595</v>
      </c>
      <c r="H364" s="10">
        <f>SUMIF(成品入库明细!$D$2:$D$500,$B364,成品入库明细!$G$2:$G$500)</f>
        <v>0</v>
      </c>
      <c r="I364" s="10">
        <f>SUMIF(成品出库明细!$D$2:$D$1172,$B364,成品出库明细!$G$2:$G$1172)</f>
        <v>0</v>
      </c>
      <c r="J364" s="10">
        <f t="shared" si="7"/>
        <v>3595</v>
      </c>
      <c r="K364" s="12" t="s">
        <v>988</v>
      </c>
      <c r="L364" s="25" t="s">
        <v>1067</v>
      </c>
      <c r="M364" s="10"/>
      <c r="N364" s="10"/>
      <c r="O364" s="10"/>
      <c r="P364" s="10"/>
    </row>
    <row r="365" s="2" customFormat="1" ht="14.25" spans="1:16">
      <c r="A365" s="10">
        <v>301</v>
      </c>
      <c r="B365" s="10" t="s">
        <v>105</v>
      </c>
      <c r="C365" s="12" t="s">
        <v>1068</v>
      </c>
      <c r="D365" s="12" t="s">
        <v>1066</v>
      </c>
      <c r="E365" s="12" t="s">
        <v>334</v>
      </c>
      <c r="F365" s="10" t="s">
        <v>343</v>
      </c>
      <c r="G365" s="10">
        <f>SUMIF(成品月初库存!$C$3:$C$362,$B365,成品月初库存!$F$3:$F$362)</f>
        <v>3600</v>
      </c>
      <c r="H365" s="10">
        <f>SUMIF(成品入库明细!$D$2:$D$500,$B365,成品入库明细!$G$2:$G$500)</f>
        <v>0</v>
      </c>
      <c r="I365" s="10">
        <f>SUMIF(成品出库明细!$D$2:$D$1172,$B365,成品出库明细!$G$2:$G$1172)</f>
        <v>0</v>
      </c>
      <c r="J365" s="10">
        <f t="shared" si="7"/>
        <v>3600</v>
      </c>
      <c r="K365" s="12" t="s">
        <v>349</v>
      </c>
      <c r="L365" s="10"/>
      <c r="M365" s="10"/>
      <c r="N365" s="10"/>
      <c r="O365" s="10"/>
      <c r="P365" s="10"/>
    </row>
    <row r="366" s="2" customFormat="1" ht="14.25" spans="1:16">
      <c r="A366" s="10">
        <v>302</v>
      </c>
      <c r="B366" s="10" t="s">
        <v>106</v>
      </c>
      <c r="C366" s="12" t="s">
        <v>1069</v>
      </c>
      <c r="D366" s="12" t="s">
        <v>1066</v>
      </c>
      <c r="E366" s="12" t="s">
        <v>334</v>
      </c>
      <c r="F366" s="10" t="s">
        <v>343</v>
      </c>
      <c r="G366" s="10">
        <f>SUMIF(成品月初库存!$C$3:$C$362,$B366,成品月初库存!$F$3:$F$362)</f>
        <v>2046</v>
      </c>
      <c r="H366" s="10">
        <f>SUMIF(成品入库明细!$D$2:$D$500,$B366,成品入库明细!$G$2:$G$500)</f>
        <v>0</v>
      </c>
      <c r="I366" s="10">
        <f>SUMIF(成品出库明细!$D$2:$D$1172,$B366,成品出库明细!$G$2:$G$1172)</f>
        <v>0</v>
      </c>
      <c r="J366" s="10">
        <f t="shared" si="7"/>
        <v>2046</v>
      </c>
      <c r="K366" s="12" t="s">
        <v>349</v>
      </c>
      <c r="L366" s="10"/>
      <c r="M366" s="10"/>
      <c r="N366" s="10"/>
      <c r="O366" s="10"/>
      <c r="P366" s="10"/>
    </row>
    <row r="367" s="2" customFormat="1" ht="14.25" spans="1:16">
      <c r="A367" s="10"/>
      <c r="B367" s="10" t="s">
        <v>107</v>
      </c>
      <c r="C367" s="12" t="s">
        <v>1070</v>
      </c>
      <c r="D367" s="12" t="s">
        <v>1066</v>
      </c>
      <c r="E367" s="12" t="s">
        <v>334</v>
      </c>
      <c r="F367" s="10" t="s">
        <v>343</v>
      </c>
      <c r="G367" s="10">
        <f>SUMIF(成品月初库存!$C$3:$C$362,$B367,成品月初库存!$F$3:$F$362)</f>
        <v>1106</v>
      </c>
      <c r="H367" s="10">
        <f>SUMIF(成品入库明细!$D$2:$D$500,$B367,成品入库明细!$G$2:$G$500)</f>
        <v>0</v>
      </c>
      <c r="I367" s="10">
        <f>SUMIF(成品出库明细!$D$2:$D$1172,$B367,成品出库明细!$G$2:$G$1172)</f>
        <v>0</v>
      </c>
      <c r="J367" s="10">
        <f t="shared" si="7"/>
        <v>1106</v>
      </c>
      <c r="K367" s="15" t="s">
        <v>1071</v>
      </c>
      <c r="L367" s="10"/>
      <c r="M367" s="10"/>
      <c r="N367" s="10"/>
      <c r="O367" s="10"/>
      <c r="P367" s="10"/>
    </row>
    <row r="368" s="2" customFormat="1" ht="14.25" spans="1:16">
      <c r="A368" s="10"/>
      <c r="B368" s="10" t="s">
        <v>108</v>
      </c>
      <c r="C368" s="12" t="s">
        <v>1072</v>
      </c>
      <c r="D368" s="12" t="s">
        <v>1066</v>
      </c>
      <c r="E368" s="12" t="s">
        <v>334</v>
      </c>
      <c r="F368" s="10" t="s">
        <v>343</v>
      </c>
      <c r="G368" s="10">
        <f>SUMIF(成品月初库存!$C$3:$C$362,$B368,成品月初库存!$F$3:$F$362)</f>
        <v>3363</v>
      </c>
      <c r="H368" s="10">
        <f>SUMIF(成品入库明细!$D$2:$D$500,$B368,成品入库明细!$G$2:$G$500)</f>
        <v>0</v>
      </c>
      <c r="I368" s="10">
        <f>SUMIF(成品出库明细!$D$2:$D$1172,$B368,成品出库明细!$G$2:$G$1172)</f>
        <v>0</v>
      </c>
      <c r="J368" s="10">
        <f t="shared" si="7"/>
        <v>3363</v>
      </c>
      <c r="K368" s="12" t="s">
        <v>349</v>
      </c>
      <c r="L368" s="10"/>
      <c r="M368" s="10"/>
      <c r="N368" s="10"/>
      <c r="O368" s="10"/>
      <c r="P368" s="10"/>
    </row>
    <row r="369" s="2" customFormat="1" ht="14.25" spans="1:16">
      <c r="A369" s="10"/>
      <c r="B369" s="10" t="s">
        <v>109</v>
      </c>
      <c r="C369" s="12" t="s">
        <v>1073</v>
      </c>
      <c r="D369" s="12" t="s">
        <v>1066</v>
      </c>
      <c r="E369" s="12" t="s">
        <v>334</v>
      </c>
      <c r="F369" s="10" t="s">
        <v>343</v>
      </c>
      <c r="G369" s="10">
        <f>SUMIF(成品月初库存!$C$3:$C$362,$B369,成品月初库存!$F$3:$F$362)</f>
        <v>3660</v>
      </c>
      <c r="H369" s="10">
        <f>SUMIF(成品入库明细!$D$2:$D$500,$B369,成品入库明细!$G$2:$G$500)</f>
        <v>0</v>
      </c>
      <c r="I369" s="10">
        <f>SUMIF(成品出库明细!$D$2:$D$1172,$B369,成品出库明细!$G$2:$G$1172)</f>
        <v>0</v>
      </c>
      <c r="J369" s="10">
        <f t="shared" si="7"/>
        <v>3660</v>
      </c>
      <c r="K369" s="12" t="s">
        <v>466</v>
      </c>
      <c r="L369" s="10"/>
      <c r="M369" s="10"/>
      <c r="N369" s="10"/>
      <c r="O369" s="10"/>
      <c r="P369" s="10"/>
    </row>
    <row r="370" s="2" customFormat="1" ht="14.25" spans="1:16">
      <c r="A370" s="10"/>
      <c r="B370" s="10" t="s">
        <v>110</v>
      </c>
      <c r="C370" s="12" t="s">
        <v>1074</v>
      </c>
      <c r="D370" s="12" t="s">
        <v>1066</v>
      </c>
      <c r="E370" s="12" t="s">
        <v>334</v>
      </c>
      <c r="F370" s="10" t="s">
        <v>343</v>
      </c>
      <c r="G370" s="10">
        <f>SUMIF(成品月初库存!$C$3:$C$362,$B370,成品月初库存!$F$3:$F$362)</f>
        <v>3097</v>
      </c>
      <c r="H370" s="10">
        <f>SUMIF(成品入库明细!$D$2:$D$500,$B370,成品入库明细!$G$2:$G$500)</f>
        <v>0</v>
      </c>
      <c r="I370" s="10">
        <f>SUMIF(成品出库明细!$D$2:$D$1172,$B370,成品出库明细!$G$2:$G$1172)</f>
        <v>0</v>
      </c>
      <c r="J370" s="10">
        <f t="shared" si="7"/>
        <v>3097</v>
      </c>
      <c r="K370" s="14" t="s">
        <v>466</v>
      </c>
      <c r="L370" s="10"/>
      <c r="M370" s="10"/>
      <c r="N370" s="10"/>
      <c r="O370" s="10"/>
      <c r="P370" s="10"/>
    </row>
    <row r="371" s="2" customFormat="1" ht="14.25" spans="1:16">
      <c r="A371" s="10"/>
      <c r="B371" s="10" t="s">
        <v>111</v>
      </c>
      <c r="C371" s="12" t="s">
        <v>1075</v>
      </c>
      <c r="D371" s="12" t="s">
        <v>1066</v>
      </c>
      <c r="E371" s="12" t="s">
        <v>334</v>
      </c>
      <c r="F371" s="10" t="s">
        <v>343</v>
      </c>
      <c r="G371" s="10">
        <f>SUMIF(成品月初库存!$C$3:$C$362,$B371,成品月初库存!$F$3:$F$362)</f>
        <v>856</v>
      </c>
      <c r="H371" s="10">
        <f>SUMIF(成品入库明细!$D$2:$D$500,$B371,成品入库明细!$G$2:$G$500)</f>
        <v>0</v>
      </c>
      <c r="I371" s="10">
        <f>SUMIF(成品出库明细!$D$2:$D$1172,$B371,成品出库明细!$G$2:$G$1172)</f>
        <v>0</v>
      </c>
      <c r="J371" s="10">
        <f t="shared" si="7"/>
        <v>856</v>
      </c>
      <c r="K371" s="12" t="s">
        <v>466</v>
      </c>
      <c r="L371" s="10"/>
      <c r="M371" s="10"/>
      <c r="N371" s="10"/>
      <c r="O371" s="10"/>
      <c r="P371" s="10"/>
    </row>
    <row r="372" s="2" customFormat="1" ht="14.25" spans="1:16">
      <c r="A372" s="10"/>
      <c r="B372" s="10" t="s">
        <v>112</v>
      </c>
      <c r="C372" s="12" t="s">
        <v>1076</v>
      </c>
      <c r="D372" s="12" t="s">
        <v>1066</v>
      </c>
      <c r="E372" s="12" t="s">
        <v>334</v>
      </c>
      <c r="F372" s="10" t="s">
        <v>343</v>
      </c>
      <c r="G372" s="10">
        <f>SUMIF(成品月初库存!$C$3:$C$362,$B372,成品月初库存!$F$3:$F$362)</f>
        <v>6708</v>
      </c>
      <c r="H372" s="10">
        <f>SUMIF(成品入库明细!$D$2:$D$500,$B372,成品入库明细!$G$2:$G$500)</f>
        <v>0</v>
      </c>
      <c r="I372" s="10">
        <f>SUMIF(成品出库明细!$D$2:$D$1172,$B372,成品出库明细!$G$2:$G$1172)</f>
        <v>0</v>
      </c>
      <c r="J372" s="10">
        <f t="shared" si="7"/>
        <v>6708</v>
      </c>
      <c r="K372" s="15" t="s">
        <v>1077</v>
      </c>
      <c r="L372" s="10"/>
      <c r="M372" s="10"/>
      <c r="N372" s="10"/>
      <c r="O372" s="10"/>
      <c r="P372" s="10"/>
    </row>
    <row r="373" s="2" customFormat="1" ht="14.25" spans="1:16">
      <c r="A373" s="10"/>
      <c r="B373" s="10" t="s">
        <v>113</v>
      </c>
      <c r="C373" s="12" t="s">
        <v>1078</v>
      </c>
      <c r="D373" s="12" t="s">
        <v>1066</v>
      </c>
      <c r="E373" s="12" t="s">
        <v>334</v>
      </c>
      <c r="F373" s="10" t="s">
        <v>343</v>
      </c>
      <c r="G373" s="10">
        <f>SUMIF(成品月初库存!$C$3:$C$362,$B373,成品月初库存!$F$3:$F$362)</f>
        <v>808</v>
      </c>
      <c r="H373" s="12">
        <f>SUMIF(成品入库明细!$D$2:$D$500,$B373,成品入库明细!$G$2:$G$500)</f>
        <v>0</v>
      </c>
      <c r="I373" s="10">
        <f>SUMIF(成品出库明细!$D$2:$D$1172,$B373,成品出库明细!$G$2:$G$1172)</f>
        <v>0</v>
      </c>
      <c r="J373" s="10">
        <f t="shared" si="7"/>
        <v>808</v>
      </c>
      <c r="K373" s="12" t="s">
        <v>349</v>
      </c>
      <c r="L373" s="10"/>
      <c r="M373" s="10"/>
      <c r="N373" s="10"/>
      <c r="O373" s="10"/>
      <c r="P373" s="10"/>
    </row>
    <row r="374" s="2" customFormat="1" ht="14.25" spans="1:16">
      <c r="A374" s="10"/>
      <c r="B374" s="10" t="s">
        <v>114</v>
      </c>
      <c r="C374" s="12" t="s">
        <v>1079</v>
      </c>
      <c r="D374" s="12" t="s">
        <v>1066</v>
      </c>
      <c r="E374" s="12" t="s">
        <v>334</v>
      </c>
      <c r="F374" s="10" t="s">
        <v>343</v>
      </c>
      <c r="G374" s="10">
        <f>SUMIF(成品月初库存!$C$3:$C$362,$B374,成品月初库存!$F$3:$F$362)</f>
        <v>419</v>
      </c>
      <c r="H374" s="12">
        <f>SUMIF(成品入库明细!$D$2:$D$500,$B374,成品入库明细!$G$2:$G$500)</f>
        <v>0</v>
      </c>
      <c r="I374" s="10">
        <f>SUMIF(成品出库明细!$D$2:$D$1172,$B374,成品出库明细!$G$2:$G$1172)</f>
        <v>0</v>
      </c>
      <c r="J374" s="10">
        <f t="shared" si="7"/>
        <v>419</v>
      </c>
      <c r="K374" s="12" t="s">
        <v>349</v>
      </c>
      <c r="L374" s="10"/>
      <c r="M374" s="10"/>
      <c r="N374" s="10"/>
      <c r="O374" s="10"/>
      <c r="P374" s="10"/>
    </row>
    <row r="375" s="2" customFormat="1" ht="14.25" spans="1:16">
      <c r="A375" s="10"/>
      <c r="B375" s="10" t="s">
        <v>115</v>
      </c>
      <c r="C375" s="12" t="s">
        <v>1080</v>
      </c>
      <c r="D375" s="12" t="s">
        <v>1066</v>
      </c>
      <c r="E375" s="12" t="s">
        <v>334</v>
      </c>
      <c r="F375" s="10" t="s">
        <v>343</v>
      </c>
      <c r="G375" s="10">
        <f>SUMIF(成品月初库存!$C$3:$C$362,$B375,成品月初库存!$F$3:$F$362)</f>
        <v>2074</v>
      </c>
      <c r="H375" s="12">
        <f>SUMIF(成品入库明细!$D$2:$D$500,$B375,成品入库明细!$G$2:$G$500)</f>
        <v>0</v>
      </c>
      <c r="I375" s="10">
        <f>SUMIF(成品出库明细!$D$2:$D$1172,$B375,成品出库明细!$G$2:$G$1172)</f>
        <v>0</v>
      </c>
      <c r="J375" s="10">
        <f t="shared" si="7"/>
        <v>2074</v>
      </c>
      <c r="K375" s="12" t="s">
        <v>370</v>
      </c>
      <c r="L375" s="10"/>
      <c r="M375" s="10"/>
      <c r="N375" s="10"/>
      <c r="O375" s="10"/>
      <c r="P375" s="10"/>
    </row>
    <row r="376" s="2" customFormat="1" ht="14.25" spans="1:16">
      <c r="A376" s="10"/>
      <c r="B376" s="10" t="s">
        <v>116</v>
      </c>
      <c r="C376" s="12" t="s">
        <v>1081</v>
      </c>
      <c r="D376" s="12" t="s">
        <v>1066</v>
      </c>
      <c r="E376" s="12" t="s">
        <v>334</v>
      </c>
      <c r="F376" s="10" t="s">
        <v>343</v>
      </c>
      <c r="G376" s="10">
        <f>SUMIF(成品月初库存!$C$3:$C$362,$B376,成品月初库存!$F$3:$F$362)</f>
        <v>2741</v>
      </c>
      <c r="H376" s="12">
        <f>SUMIF(成品入库明细!$D$2:$D$500,$B376,成品入库明细!$G$2:$G$500)</f>
        <v>0</v>
      </c>
      <c r="I376" s="10">
        <f>SUMIF(成品出库明细!$D$2:$D$1172,$B376,成品出库明细!$G$2:$G$1172)</f>
        <v>0</v>
      </c>
      <c r="J376" s="10">
        <f t="shared" si="7"/>
        <v>2741</v>
      </c>
      <c r="K376" s="10" t="s">
        <v>514</v>
      </c>
      <c r="L376" s="10"/>
      <c r="M376" s="10"/>
      <c r="N376" s="10"/>
      <c r="O376" s="10"/>
      <c r="P376" s="10"/>
    </row>
    <row r="377" s="2" customFormat="1" ht="14.25" spans="1:16">
      <c r="A377" s="10"/>
      <c r="B377" s="10" t="s">
        <v>117</v>
      </c>
      <c r="C377" s="12" t="s">
        <v>1082</v>
      </c>
      <c r="D377" s="12" t="s">
        <v>1066</v>
      </c>
      <c r="E377" s="12" t="s">
        <v>334</v>
      </c>
      <c r="F377" s="10" t="s">
        <v>343</v>
      </c>
      <c r="G377" s="10">
        <f>SUMIF(成品月初库存!$C$3:$C$362,$B377,成品月初库存!$F$3:$F$362)</f>
        <v>2903</v>
      </c>
      <c r="H377" s="12">
        <f>SUMIF(成品入库明细!$D$2:$D$500,$B377,成品入库明细!$G$2:$G$500)</f>
        <v>0</v>
      </c>
      <c r="I377" s="10">
        <f>SUMIF(成品出库明细!$D$2:$D$1172,$B377,成品出库明细!$G$2:$G$1172)</f>
        <v>0</v>
      </c>
      <c r="J377" s="10">
        <f t="shared" si="7"/>
        <v>2903</v>
      </c>
      <c r="K377" s="12" t="s">
        <v>370</v>
      </c>
      <c r="L377" s="10"/>
      <c r="M377" s="10"/>
      <c r="N377" s="10"/>
      <c r="O377" s="10"/>
      <c r="P377" s="10"/>
    </row>
    <row r="378" s="2" customFormat="1" ht="14.25" spans="1:16">
      <c r="A378" s="10"/>
      <c r="B378" s="10" t="s">
        <v>118</v>
      </c>
      <c r="C378" s="12" t="s">
        <v>1083</v>
      </c>
      <c r="D378" s="12" t="s">
        <v>1066</v>
      </c>
      <c r="E378" s="12" t="s">
        <v>334</v>
      </c>
      <c r="F378" s="10" t="s">
        <v>343</v>
      </c>
      <c r="G378" s="10">
        <f>SUMIF(成品月初库存!$C$3:$C$362,$B378,成品月初库存!$F$3:$F$362)</f>
        <v>127</v>
      </c>
      <c r="H378" s="12">
        <f>SUMIF(成品入库明细!$D$2:$D$500,$B378,成品入库明细!$G$2:$G$500)</f>
        <v>0</v>
      </c>
      <c r="I378" s="10">
        <f>SUMIF(成品出库明细!$D$2:$D$1172,$B378,成品出库明细!$G$2:$G$1172)</f>
        <v>0</v>
      </c>
      <c r="J378" s="10">
        <f t="shared" si="7"/>
        <v>127</v>
      </c>
      <c r="K378" s="12" t="s">
        <v>1003</v>
      </c>
      <c r="L378" s="10"/>
      <c r="M378" s="10"/>
      <c r="N378" s="10"/>
      <c r="O378" s="10"/>
      <c r="P378" s="10"/>
    </row>
    <row r="379" s="2" customFormat="1" ht="14.25" spans="1:16">
      <c r="A379" s="10"/>
      <c r="B379" s="10" t="s">
        <v>119</v>
      </c>
      <c r="C379" s="12" t="s">
        <v>1084</v>
      </c>
      <c r="D379" s="12" t="s">
        <v>1066</v>
      </c>
      <c r="E379" s="12" t="s">
        <v>334</v>
      </c>
      <c r="F379" s="10" t="s">
        <v>343</v>
      </c>
      <c r="G379" s="10">
        <f>SUMIF(成品月初库存!$C$3:$C$362,$B379,成品月初库存!$F$3:$F$362)</f>
        <v>301</v>
      </c>
      <c r="H379" s="12">
        <f>SUMIF(成品入库明细!$D$2:$D$500,$B379,成品入库明细!$G$2:$G$500)</f>
        <v>0</v>
      </c>
      <c r="I379" s="10">
        <f>SUMIF(成品出库明细!$D$2:$D$1172,$B379,成品出库明细!$G$2:$G$1172)</f>
        <v>0</v>
      </c>
      <c r="J379" s="10">
        <f t="shared" si="7"/>
        <v>301</v>
      </c>
      <c r="K379" s="12" t="s">
        <v>466</v>
      </c>
      <c r="L379" s="10"/>
      <c r="M379" s="10"/>
      <c r="N379" s="10"/>
      <c r="O379" s="10"/>
      <c r="P379" s="10"/>
    </row>
    <row r="380" s="2" customFormat="1" ht="14.25" spans="1:16">
      <c r="A380" s="10"/>
      <c r="B380" s="10" t="s">
        <v>120</v>
      </c>
      <c r="C380" s="20" t="s">
        <v>1085</v>
      </c>
      <c r="D380" s="12" t="s">
        <v>1066</v>
      </c>
      <c r="E380" s="12" t="s">
        <v>334</v>
      </c>
      <c r="F380" s="10" t="s">
        <v>343</v>
      </c>
      <c r="G380" s="10">
        <f>SUMIF(成品月初库存!$C$3:$C$362,$B380,成品月初库存!$F$3:$F$362)</f>
        <v>2625</v>
      </c>
      <c r="H380" s="12">
        <f>SUMIF(成品入库明细!$D$2:$D$500,$B380,成品入库明细!$G$2:$G$500)</f>
        <v>0</v>
      </c>
      <c r="I380" s="10">
        <f>SUMIF(成品出库明细!$D$2:$D$1172,$B380,成品出库明细!$G$2:$G$1172)</f>
        <v>0</v>
      </c>
      <c r="J380" s="10">
        <f t="shared" si="7"/>
        <v>2625</v>
      </c>
      <c r="K380" s="12" t="s">
        <v>349</v>
      </c>
      <c r="L380" s="10"/>
      <c r="M380" s="10"/>
      <c r="N380" s="10"/>
      <c r="O380" s="10"/>
      <c r="P380" s="10"/>
    </row>
    <row r="381" s="2" customFormat="1" ht="14.25" spans="1:16">
      <c r="A381" s="10"/>
      <c r="B381" s="10" t="s">
        <v>121</v>
      </c>
      <c r="C381" s="26" t="s">
        <v>1086</v>
      </c>
      <c r="D381" s="12" t="s">
        <v>1066</v>
      </c>
      <c r="E381" s="12" t="s">
        <v>334</v>
      </c>
      <c r="F381" s="10" t="s">
        <v>343</v>
      </c>
      <c r="G381" s="10">
        <f>SUMIF(成品月初库存!$C$3:$C$362,$B381,成品月初库存!$F$3:$F$362)</f>
        <v>3259</v>
      </c>
      <c r="H381" s="12">
        <f>SUMIF(成品入库明细!$D$2:$D$500,$B381,成品入库明细!$G$2:$G$500)</f>
        <v>0</v>
      </c>
      <c r="I381" s="10">
        <f>SUMIF(成品出库明细!$D$2:$D$1172,$B381,成品出库明细!$G$2:$G$1172)</f>
        <v>0</v>
      </c>
      <c r="J381" s="10">
        <f t="shared" si="7"/>
        <v>3259</v>
      </c>
      <c r="K381" s="20" t="s">
        <v>762</v>
      </c>
      <c r="L381" s="10"/>
      <c r="M381" s="10"/>
      <c r="N381" s="10"/>
      <c r="O381" s="10"/>
      <c r="P381" s="10"/>
    </row>
    <row r="382" s="2" customFormat="1" ht="14.25" spans="1:16">
      <c r="A382" s="10"/>
      <c r="B382" s="10" t="s">
        <v>122</v>
      </c>
      <c r="C382" s="20" t="s">
        <v>1087</v>
      </c>
      <c r="D382" s="12" t="s">
        <v>1066</v>
      </c>
      <c r="E382" s="12" t="s">
        <v>334</v>
      </c>
      <c r="F382" s="10" t="s">
        <v>343</v>
      </c>
      <c r="G382" s="10">
        <f>SUMIF(成品月初库存!$C$3:$C$362,$B382,成品月初库存!$F$3:$F$362)</f>
        <v>4700</v>
      </c>
      <c r="H382" s="12">
        <f>SUMIF(成品入库明细!$D$2:$D$500,$B382,成品入库明细!$G$2:$G$500)</f>
        <v>0</v>
      </c>
      <c r="I382" s="10">
        <f>SUMIF(成品出库明细!$D$2:$D$1172,$B382,成品出库明细!$G$2:$G$1172)</f>
        <v>0</v>
      </c>
      <c r="J382" s="10">
        <f t="shared" si="7"/>
        <v>4700</v>
      </c>
      <c r="K382" s="10" t="s">
        <v>514</v>
      </c>
      <c r="L382" s="10"/>
      <c r="M382" s="10"/>
      <c r="N382" s="10"/>
      <c r="O382" s="10"/>
      <c r="P382" s="10"/>
    </row>
    <row r="383" s="2" customFormat="1" ht="14.25" spans="1:16">
      <c r="A383" s="10"/>
      <c r="B383" s="10" t="s">
        <v>123</v>
      </c>
      <c r="C383" s="20" t="s">
        <v>1088</v>
      </c>
      <c r="D383" s="12" t="s">
        <v>1066</v>
      </c>
      <c r="E383" s="12" t="s">
        <v>334</v>
      </c>
      <c r="F383" s="10" t="s">
        <v>343</v>
      </c>
      <c r="G383" s="10">
        <f>SUMIF(成品月初库存!$C$3:$C$362,$B383,成品月初库存!$F$3:$F$362)</f>
        <v>2209</v>
      </c>
      <c r="H383" s="12">
        <f>SUMIF(成品入库明细!$D$2:$D$500,$B383,成品入库明细!$G$2:$G$500)</f>
        <v>0</v>
      </c>
      <c r="I383" s="10">
        <f>SUMIF(成品出库明细!$D$2:$D$1172,$B383,成品出库明细!$G$2:$G$1172)</f>
        <v>0</v>
      </c>
      <c r="J383" s="10">
        <f t="shared" si="7"/>
        <v>2209</v>
      </c>
      <c r="K383" s="12" t="s">
        <v>349</v>
      </c>
      <c r="L383" s="10"/>
      <c r="M383" s="10"/>
      <c r="N383" s="10"/>
      <c r="O383" s="10"/>
      <c r="P383" s="10"/>
    </row>
    <row r="384" s="2" customFormat="1" ht="14.25" spans="1:16">
      <c r="A384" s="10"/>
      <c r="B384" s="10" t="s">
        <v>1089</v>
      </c>
      <c r="C384" s="20" t="s">
        <v>1090</v>
      </c>
      <c r="D384" s="12" t="s">
        <v>1066</v>
      </c>
      <c r="E384" s="12" t="s">
        <v>334</v>
      </c>
      <c r="F384" s="10" t="s">
        <v>343</v>
      </c>
      <c r="G384" s="10">
        <f>SUMIF(成品月初库存!$C$3:$C$362,$B384,成品月初库存!$F$3:$F$362)</f>
        <v>0</v>
      </c>
      <c r="H384" s="12">
        <f>SUMIF(成品入库明细!$D$2:$D$500,$B384,成品入库明细!$G$2:$G$500)</f>
        <v>0</v>
      </c>
      <c r="I384" s="10">
        <f>SUMIF(成品出库明细!$D$2:$D$1172,$B384,成品出库明细!$G$2:$G$1172)</f>
        <v>0</v>
      </c>
      <c r="J384" s="10">
        <f>G384+H384-I384</f>
        <v>0</v>
      </c>
      <c r="K384" s="12" t="s">
        <v>762</v>
      </c>
      <c r="L384" s="10"/>
      <c r="M384" s="10"/>
      <c r="N384" s="10"/>
      <c r="O384" s="10"/>
      <c r="P384" s="10"/>
    </row>
    <row r="385" s="2" customFormat="1" ht="14.25" spans="1:16">
      <c r="A385" s="10"/>
      <c r="B385" s="10" t="s">
        <v>124</v>
      </c>
      <c r="C385" s="20" t="s">
        <v>1091</v>
      </c>
      <c r="D385" s="12" t="s">
        <v>1066</v>
      </c>
      <c r="E385" s="12" t="s">
        <v>334</v>
      </c>
      <c r="F385" s="10" t="s">
        <v>343</v>
      </c>
      <c r="G385" s="10">
        <f>SUMIF(成品月初库存!$C$3:$C$362,$B385,成品月初库存!$F$3:$F$362)</f>
        <v>76</v>
      </c>
      <c r="H385" s="12">
        <f>SUMIF(成品入库明细!$D$2:$D$500,$B385,成品入库明细!$G$2:$G$500)</f>
        <v>0</v>
      </c>
      <c r="I385" s="10">
        <f>SUMIF(成品出库明细!$D$2:$D$1172,$B385,成品出库明细!$G$2:$G$1172)</f>
        <v>0</v>
      </c>
      <c r="J385" s="10">
        <f t="shared" ref="J385:J448" si="8">G385+H385-I385</f>
        <v>76</v>
      </c>
      <c r="K385" s="12" t="s">
        <v>762</v>
      </c>
      <c r="L385" s="10"/>
      <c r="M385" s="10"/>
      <c r="N385" s="10"/>
      <c r="O385" s="10"/>
      <c r="P385" s="10"/>
    </row>
    <row r="386" s="2" customFormat="1" ht="14.25" spans="1:16">
      <c r="A386" s="10"/>
      <c r="B386" s="10" t="s">
        <v>125</v>
      </c>
      <c r="C386" s="20" t="s">
        <v>1092</v>
      </c>
      <c r="D386" s="12" t="s">
        <v>1066</v>
      </c>
      <c r="E386" s="12" t="s">
        <v>334</v>
      </c>
      <c r="F386" s="10" t="s">
        <v>343</v>
      </c>
      <c r="G386" s="10">
        <f>SUMIF(成品月初库存!$C$3:$C$362,$B386,成品月初库存!$F$3:$F$362)</f>
        <v>14129</v>
      </c>
      <c r="H386" s="12">
        <f>SUMIF(成品入库明细!$D$2:$D$500,$B386,成品入库明细!$G$2:$G$500)</f>
        <v>0</v>
      </c>
      <c r="I386" s="10">
        <f>SUMIF(成品出库明细!$D$2:$D$1172,$B386,成品出库明细!$G$2:$G$1172)</f>
        <v>0</v>
      </c>
      <c r="J386" s="10">
        <f t="shared" si="8"/>
        <v>14129</v>
      </c>
      <c r="K386" s="10" t="s">
        <v>514</v>
      </c>
      <c r="L386" s="10"/>
      <c r="M386" s="10"/>
      <c r="N386" s="10"/>
      <c r="O386" s="10"/>
      <c r="P386" s="10"/>
    </row>
    <row r="387" s="2" customFormat="1" ht="14.25" spans="1:16">
      <c r="A387" s="10"/>
      <c r="B387" s="10" t="s">
        <v>1093</v>
      </c>
      <c r="C387" s="20" t="s">
        <v>1094</v>
      </c>
      <c r="D387" s="12" t="s">
        <v>1066</v>
      </c>
      <c r="E387" s="12" t="s">
        <v>334</v>
      </c>
      <c r="F387" s="10" t="s">
        <v>343</v>
      </c>
      <c r="G387" s="10">
        <f>SUMIF(成品月初库存!$C$3:$C$362,$B387,成品月初库存!$F$3:$F$362)</f>
        <v>0</v>
      </c>
      <c r="H387" s="12">
        <f>SUMIF(成品入库明细!$D$2:$D$500,$B387,成品入库明细!$G$2:$G$500)</f>
        <v>0</v>
      </c>
      <c r="I387" s="10">
        <f>SUMIF(成品出库明细!$D$2:$D$1172,$B387,成品出库明细!$G$2:$G$1172)</f>
        <v>0</v>
      </c>
      <c r="J387" s="10">
        <f t="shared" si="8"/>
        <v>0</v>
      </c>
      <c r="K387" s="12" t="s">
        <v>466</v>
      </c>
      <c r="L387" s="10"/>
      <c r="M387" s="10"/>
      <c r="N387" s="10"/>
      <c r="O387" s="10"/>
      <c r="P387" s="10"/>
    </row>
    <row r="388" s="2" customFormat="1" ht="14.25" spans="1:16">
      <c r="A388" s="10"/>
      <c r="B388" s="10" t="s">
        <v>126</v>
      </c>
      <c r="C388" s="20" t="s">
        <v>1095</v>
      </c>
      <c r="D388" s="12" t="s">
        <v>1066</v>
      </c>
      <c r="E388" s="12" t="s">
        <v>334</v>
      </c>
      <c r="F388" s="10" t="s">
        <v>343</v>
      </c>
      <c r="G388" s="10">
        <f>SUMIF(成品月初库存!$C$3:$C$362,$B388,成品月初库存!$F$3:$F$362)</f>
        <v>4670</v>
      </c>
      <c r="H388" s="12">
        <f>SUMIF(成品入库明细!$D$2:$D$500,$B388,成品入库明细!$G$2:$G$500)</f>
        <v>0</v>
      </c>
      <c r="I388" s="10">
        <f>SUMIF(成品出库明细!$D$2:$D$1172,$B388,成品出库明细!$G$2:$G$1172)</f>
        <v>0</v>
      </c>
      <c r="J388" s="10">
        <f t="shared" si="8"/>
        <v>4670</v>
      </c>
      <c r="K388" s="12" t="s">
        <v>770</v>
      </c>
      <c r="L388" s="10"/>
      <c r="M388" s="10"/>
      <c r="N388" s="10"/>
      <c r="O388" s="10"/>
      <c r="P388" s="10"/>
    </row>
    <row r="389" s="2" customFormat="1" ht="14.25" spans="1:16">
      <c r="A389" s="10"/>
      <c r="B389" s="10" t="s">
        <v>127</v>
      </c>
      <c r="C389" s="20" t="s">
        <v>1096</v>
      </c>
      <c r="D389" s="12" t="s">
        <v>1066</v>
      </c>
      <c r="E389" s="12" t="s">
        <v>334</v>
      </c>
      <c r="F389" s="10" t="s">
        <v>343</v>
      </c>
      <c r="G389" s="10">
        <f>SUMIF(成品月初库存!$C$3:$C$362,$B389,成品月初库存!$F$3:$F$362)</f>
        <v>123</v>
      </c>
      <c r="H389" s="12">
        <f>SUMIF(成品入库明细!$D$2:$D$500,$B389,成品入库明细!$G$2:$G$500)</f>
        <v>9150</v>
      </c>
      <c r="I389" s="10">
        <f>SUMIF(成品出库明细!$D$2:$D$1172,$B389,成品出库明细!$G$2:$G$1172)</f>
        <v>-4917</v>
      </c>
      <c r="J389" s="10">
        <f t="shared" si="8"/>
        <v>14190</v>
      </c>
      <c r="K389" s="12" t="s">
        <v>1097</v>
      </c>
      <c r="L389" s="10"/>
      <c r="M389" s="10"/>
      <c r="N389" s="10"/>
      <c r="O389" s="10"/>
      <c r="P389" s="10"/>
    </row>
    <row r="390" s="2" customFormat="1" ht="14.25" spans="1:16">
      <c r="A390" s="10"/>
      <c r="B390" s="10" t="s">
        <v>286</v>
      </c>
      <c r="C390" s="20" t="s">
        <v>1098</v>
      </c>
      <c r="D390" s="12" t="s">
        <v>1066</v>
      </c>
      <c r="E390" s="12" t="s">
        <v>334</v>
      </c>
      <c r="F390" s="10" t="s">
        <v>343</v>
      </c>
      <c r="G390" s="10">
        <f>SUMIF(成品月初库存!$C$3:$C$362,$B390,成品月初库存!$F$3:$F$362)</f>
        <v>228</v>
      </c>
      <c r="H390" s="12">
        <f>SUMIF(成品入库明细!$D$2:$D$500,$B390,成品入库明细!$G$2:$G$500)</f>
        <v>0</v>
      </c>
      <c r="I390" s="10">
        <f>SUMIF(成品出库明细!$D$2:$D$1172,$B390,成品出库明细!$G$2:$G$1172)</f>
        <v>0</v>
      </c>
      <c r="J390" s="10">
        <f t="shared" si="8"/>
        <v>228</v>
      </c>
      <c r="K390" s="12" t="s">
        <v>349</v>
      </c>
      <c r="L390" s="10"/>
      <c r="M390" s="10"/>
      <c r="N390" s="10"/>
      <c r="O390" s="10"/>
      <c r="P390" s="10"/>
    </row>
    <row r="391" s="2" customFormat="1" ht="14.25" spans="1:16">
      <c r="A391" s="10"/>
      <c r="B391" s="10" t="s">
        <v>128</v>
      </c>
      <c r="C391" s="20" t="s">
        <v>1099</v>
      </c>
      <c r="D391" s="12" t="s">
        <v>1066</v>
      </c>
      <c r="E391" s="12" t="s">
        <v>334</v>
      </c>
      <c r="F391" s="10" t="s">
        <v>343</v>
      </c>
      <c r="G391" s="10">
        <f>SUMIF(成品月初库存!$C$3:$C$362,$B391,成品月初库存!$F$3:$F$362)</f>
        <v>1834</v>
      </c>
      <c r="H391" s="12">
        <f>SUMIF(成品入库明细!$D$2:$D$500,$B391,成品入库明细!$G$2:$G$500)</f>
        <v>0</v>
      </c>
      <c r="I391" s="10">
        <f>SUMIF(成品出库明细!$D$2:$D$1172,$B391,成品出库明细!$G$2:$G$1172)</f>
        <v>10</v>
      </c>
      <c r="J391" s="10">
        <f t="shared" si="8"/>
        <v>1824</v>
      </c>
      <c r="K391" s="12" t="s">
        <v>349</v>
      </c>
      <c r="L391" s="10"/>
      <c r="M391" s="10"/>
      <c r="N391" s="10"/>
      <c r="O391" s="10"/>
      <c r="P391" s="10"/>
    </row>
    <row r="392" s="2" customFormat="1" ht="14.25" spans="1:16">
      <c r="A392" s="10"/>
      <c r="B392" s="10" t="s">
        <v>129</v>
      </c>
      <c r="C392" s="20" t="s">
        <v>1100</v>
      </c>
      <c r="D392" s="12" t="s">
        <v>1066</v>
      </c>
      <c r="E392" s="12" t="s">
        <v>334</v>
      </c>
      <c r="F392" s="10" t="s">
        <v>343</v>
      </c>
      <c r="G392" s="10">
        <f>SUMIF(成品月初库存!$C$3:$C$362,$B392,成品月初库存!$F$3:$F$362)</f>
        <v>134</v>
      </c>
      <c r="H392" s="12">
        <f>SUMIF(成品入库明细!$D$2:$D$500,$B392,成品入库明细!$G$2:$G$500)</f>
        <v>0</v>
      </c>
      <c r="I392" s="10">
        <f>SUMIF(成品出库明细!$D$2:$D$1172,$B392,成品出库明细!$G$2:$G$1172)</f>
        <v>30</v>
      </c>
      <c r="J392" s="10">
        <f t="shared" si="8"/>
        <v>104</v>
      </c>
      <c r="K392" s="12" t="s">
        <v>370</v>
      </c>
      <c r="L392" s="10"/>
      <c r="M392" s="10"/>
      <c r="N392" s="10"/>
      <c r="O392" s="10"/>
      <c r="P392" s="10"/>
    </row>
    <row r="393" s="2" customFormat="1" ht="14.25" spans="1:16">
      <c r="A393" s="10"/>
      <c r="B393" s="10" t="s">
        <v>130</v>
      </c>
      <c r="C393" s="20" t="s">
        <v>1101</v>
      </c>
      <c r="D393" s="12" t="s">
        <v>1066</v>
      </c>
      <c r="E393" s="12" t="s">
        <v>334</v>
      </c>
      <c r="F393" s="10" t="s">
        <v>343</v>
      </c>
      <c r="G393" s="10">
        <f>SUMIF(成品月初库存!$C$3:$C$362,$B393,成品月初库存!$F$3:$F$362)</f>
        <v>1100</v>
      </c>
      <c r="H393" s="12">
        <f>SUMIF(成品入库明细!$D$2:$D$500,$B393,成品入库明细!$G$2:$G$500)</f>
        <v>0</v>
      </c>
      <c r="I393" s="10">
        <f>SUMIF(成品出库明细!$D$2:$D$1172,$B393,成品出库明细!$G$2:$G$1172)</f>
        <v>0</v>
      </c>
      <c r="J393" s="10">
        <f t="shared" si="8"/>
        <v>1100</v>
      </c>
      <c r="K393" s="12" t="s">
        <v>466</v>
      </c>
      <c r="L393" s="10"/>
      <c r="M393" s="10"/>
      <c r="N393" s="10"/>
      <c r="O393" s="10"/>
      <c r="P393" s="10"/>
    </row>
    <row r="394" s="2" customFormat="1" ht="14.25" spans="1:16">
      <c r="A394" s="10"/>
      <c r="B394" s="10" t="s">
        <v>131</v>
      </c>
      <c r="C394" s="20" t="s">
        <v>1102</v>
      </c>
      <c r="D394" s="12" t="s">
        <v>1066</v>
      </c>
      <c r="E394" s="12" t="s">
        <v>334</v>
      </c>
      <c r="F394" s="10" t="s">
        <v>343</v>
      </c>
      <c r="G394" s="10">
        <f>SUMIF(成品月初库存!$C$3:$C$362,$B394,成品月初库存!$F$3:$F$362)</f>
        <v>152</v>
      </c>
      <c r="H394" s="12">
        <f>SUMIF(成品入库明细!$D$2:$D$500,$B394,成品入库明细!$G$2:$G$500)</f>
        <v>0</v>
      </c>
      <c r="I394" s="10">
        <f>SUMIF(成品出库明细!$D$2:$D$1172,$B394,成品出库明细!$G$2:$G$1172)</f>
        <v>0</v>
      </c>
      <c r="J394" s="10">
        <f t="shared" si="8"/>
        <v>152</v>
      </c>
      <c r="K394" s="12" t="s">
        <v>988</v>
      </c>
      <c r="L394" s="10"/>
      <c r="M394" s="10"/>
      <c r="N394" s="10"/>
      <c r="O394" s="10"/>
      <c r="P394" s="10"/>
    </row>
    <row r="395" s="2" customFormat="1" ht="14.25" spans="1:16">
      <c r="A395" s="10"/>
      <c r="B395" s="10" t="s">
        <v>132</v>
      </c>
      <c r="C395" s="10" t="s">
        <v>1103</v>
      </c>
      <c r="D395" s="12" t="s">
        <v>1066</v>
      </c>
      <c r="E395" s="12" t="s">
        <v>334</v>
      </c>
      <c r="F395" s="10" t="s">
        <v>343</v>
      </c>
      <c r="G395" s="10">
        <f>SUMIF(成品月初库存!$C$3:$C$362,$B395,成品月初库存!$F$3:$F$362)</f>
        <v>43</v>
      </c>
      <c r="H395" s="12">
        <f>SUMIF(成品入库明细!$D$2:$D$500,$B395,成品入库明细!$G$2:$G$500)</f>
        <v>0</v>
      </c>
      <c r="I395" s="10">
        <f>SUMIF(成品出库明细!$D$2:$D$1172,$B395,成品出库明细!$G$2:$G$1172)</f>
        <v>0</v>
      </c>
      <c r="J395" s="10">
        <f t="shared" si="8"/>
        <v>43</v>
      </c>
      <c r="K395" s="12" t="s">
        <v>1104</v>
      </c>
      <c r="L395" s="10"/>
      <c r="M395" s="10"/>
      <c r="N395" s="10"/>
      <c r="O395" s="10"/>
      <c r="P395" s="10"/>
    </row>
    <row r="396" s="2" customFormat="1" ht="14.25" spans="1:16">
      <c r="A396" s="10"/>
      <c r="B396" s="10" t="s">
        <v>133</v>
      </c>
      <c r="C396" s="10" t="s">
        <v>1105</v>
      </c>
      <c r="D396" s="12" t="s">
        <v>1066</v>
      </c>
      <c r="E396" s="12" t="s">
        <v>334</v>
      </c>
      <c r="F396" s="10" t="s">
        <v>343</v>
      </c>
      <c r="G396" s="10">
        <f>SUMIF(成品月初库存!$C$3:$C$362,$B396,成品月初库存!$F$3:$F$362)</f>
        <v>272</v>
      </c>
      <c r="H396" s="12">
        <f>SUMIF(成品入库明细!$D$2:$D$500,$B396,成品入库明细!$G$2:$G$500)</f>
        <v>7404</v>
      </c>
      <c r="I396" s="10">
        <f>SUMIF(成品出库明细!$D$2:$D$1172,$B396,成品出库明细!$G$2:$G$1172)</f>
        <v>0</v>
      </c>
      <c r="J396" s="10">
        <f t="shared" si="8"/>
        <v>7676</v>
      </c>
      <c r="K396" s="12" t="s">
        <v>770</v>
      </c>
      <c r="L396" s="10"/>
      <c r="M396" s="10"/>
      <c r="N396" s="10"/>
      <c r="O396" s="10"/>
      <c r="P396" s="10"/>
    </row>
    <row r="397" s="2" customFormat="1" ht="14.25" spans="1:16">
      <c r="A397" s="10"/>
      <c r="B397" s="10" t="s">
        <v>1106</v>
      </c>
      <c r="C397" s="10" t="s">
        <v>1107</v>
      </c>
      <c r="D397" s="12" t="s">
        <v>1066</v>
      </c>
      <c r="E397" s="12" t="s">
        <v>334</v>
      </c>
      <c r="F397" s="10" t="s">
        <v>343</v>
      </c>
      <c r="G397" s="10">
        <f>SUMIF(成品月初库存!$C$3:$C$362,$B397,成品月初库存!$F$3:$F$362)</f>
        <v>0</v>
      </c>
      <c r="H397" s="12">
        <f>SUMIF(成品入库明细!$D$2:$D$500,$B397,成品入库明细!$G$2:$G$500)</f>
        <v>0</v>
      </c>
      <c r="I397" s="10">
        <f>SUMIF(成品出库明细!$D$2:$D$1172,$B397,成品出库明细!$G$2:$G$1172)</f>
        <v>0</v>
      </c>
      <c r="J397" s="10">
        <f t="shared" si="8"/>
        <v>0</v>
      </c>
      <c r="K397" s="12" t="s">
        <v>770</v>
      </c>
      <c r="L397" s="10"/>
      <c r="M397" s="10"/>
      <c r="N397" s="10"/>
      <c r="O397" s="10"/>
      <c r="P397" s="10"/>
    </row>
    <row r="398" s="2" customFormat="1" ht="14.25" spans="1:16">
      <c r="A398" s="10"/>
      <c r="B398" s="10" t="s">
        <v>134</v>
      </c>
      <c r="C398" s="10" t="s">
        <v>1108</v>
      </c>
      <c r="D398" s="12" t="s">
        <v>1066</v>
      </c>
      <c r="E398" s="12" t="s">
        <v>334</v>
      </c>
      <c r="F398" s="10" t="s">
        <v>343</v>
      </c>
      <c r="G398" s="10">
        <f>SUMIF(成品月初库存!$C$3:$C$362,$B398,成品月初库存!$F$3:$F$362)</f>
        <v>1695</v>
      </c>
      <c r="H398" s="12">
        <f>SUMIF(成品入库明细!$D$2:$D$500,$B398,成品入库明细!$G$2:$G$500)</f>
        <v>0</v>
      </c>
      <c r="I398" s="10">
        <f>SUMIF(成品出库明细!$D$2:$D$1172,$B398,成品出库明细!$G$2:$G$1172)</f>
        <v>0</v>
      </c>
      <c r="J398" s="10">
        <f t="shared" si="8"/>
        <v>1695</v>
      </c>
      <c r="K398" s="12" t="s">
        <v>770</v>
      </c>
      <c r="L398" s="10"/>
      <c r="M398" s="10"/>
      <c r="N398" s="10"/>
      <c r="O398" s="10"/>
      <c r="P398" s="10"/>
    </row>
    <row r="399" s="2" customFormat="1" ht="14.25" spans="1:16">
      <c r="A399" s="10"/>
      <c r="B399" s="10" t="s">
        <v>137</v>
      </c>
      <c r="C399" s="10" t="s">
        <v>1109</v>
      </c>
      <c r="D399" s="12" t="s">
        <v>1066</v>
      </c>
      <c r="E399" s="12" t="s">
        <v>334</v>
      </c>
      <c r="F399" s="10" t="s">
        <v>343</v>
      </c>
      <c r="G399" s="10">
        <f>SUMIF(成品月初库存!$C$3:$C$362,$B399,成品月初库存!$F$3:$F$362)</f>
        <v>800</v>
      </c>
      <c r="H399" s="12">
        <f>SUMIF(成品入库明细!$D$2:$D$500,$B399,成品入库明细!$G$2:$G$500)</f>
        <v>0</v>
      </c>
      <c r="I399" s="10">
        <f>SUMIF(成品出库明细!$D$2:$D$1172,$B399,成品出库明细!$G$2:$G$1172)</f>
        <v>0</v>
      </c>
      <c r="J399" s="10">
        <f t="shared" si="8"/>
        <v>800</v>
      </c>
      <c r="K399" s="12" t="s">
        <v>770</v>
      </c>
      <c r="L399" s="10"/>
      <c r="M399" s="10"/>
      <c r="N399" s="10"/>
      <c r="O399" s="10"/>
      <c r="P399" s="10"/>
    </row>
    <row r="400" s="2" customFormat="1" ht="14.25" spans="1:16">
      <c r="A400" s="10"/>
      <c r="B400" s="10" t="s">
        <v>139</v>
      </c>
      <c r="C400" s="10" t="s">
        <v>1110</v>
      </c>
      <c r="D400" s="12" t="s">
        <v>1066</v>
      </c>
      <c r="E400" s="12" t="s">
        <v>334</v>
      </c>
      <c r="F400" s="10" t="s">
        <v>343</v>
      </c>
      <c r="G400" s="10">
        <f>SUMIF(成品月初库存!$C$3:$C$362,$B400,成品月初库存!$F$3:$F$362)</f>
        <v>322</v>
      </c>
      <c r="H400" s="12">
        <f>SUMIF(成品入库明细!$D$2:$D$500,$B400,成品入库明细!$G$2:$G$500)</f>
        <v>0</v>
      </c>
      <c r="I400" s="10">
        <f>SUMIF(成品出库明细!$D$2:$D$1172,$B400,成品出库明细!$G$2:$G$1172)</f>
        <v>0</v>
      </c>
      <c r="J400" s="10">
        <f t="shared" si="8"/>
        <v>322</v>
      </c>
      <c r="K400" s="12" t="s">
        <v>375</v>
      </c>
      <c r="L400" s="10"/>
      <c r="M400" s="10"/>
      <c r="N400" s="10"/>
      <c r="O400" s="10"/>
      <c r="P400" s="10"/>
    </row>
    <row r="401" s="2" customFormat="1" ht="14.25" spans="1:16">
      <c r="A401" s="10"/>
      <c r="B401" s="10" t="s">
        <v>140</v>
      </c>
      <c r="C401" s="10" t="s">
        <v>1111</v>
      </c>
      <c r="D401" s="12" t="s">
        <v>1066</v>
      </c>
      <c r="E401" s="12" t="s">
        <v>334</v>
      </c>
      <c r="F401" s="10" t="s">
        <v>343</v>
      </c>
      <c r="G401" s="10">
        <f>SUMIF(成品月初库存!$C$3:$C$362,$B401,成品月初库存!$F$3:$F$362)</f>
        <v>521</v>
      </c>
      <c r="H401" s="12">
        <f>SUMIF(成品入库明细!$D$2:$D$500,$B401,成品入库明细!$G$2:$G$500)</f>
        <v>0</v>
      </c>
      <c r="I401" s="10">
        <f>SUMIF(成品出库明细!$D$2:$D$1172,$B401,成品出库明细!$G$2:$G$1172)</f>
        <v>0</v>
      </c>
      <c r="J401" s="10">
        <f t="shared" si="8"/>
        <v>521</v>
      </c>
      <c r="K401" s="12" t="s">
        <v>349</v>
      </c>
      <c r="L401" s="10"/>
      <c r="M401" s="10"/>
      <c r="N401" s="10"/>
      <c r="O401" s="10"/>
      <c r="P401" s="10"/>
    </row>
    <row r="402" s="2" customFormat="1" ht="14.25" spans="1:16">
      <c r="A402" s="10"/>
      <c r="B402" s="10" t="s">
        <v>141</v>
      </c>
      <c r="C402" s="10" t="s">
        <v>1112</v>
      </c>
      <c r="D402" s="12" t="s">
        <v>1066</v>
      </c>
      <c r="E402" s="12" t="s">
        <v>334</v>
      </c>
      <c r="F402" s="10" t="s">
        <v>343</v>
      </c>
      <c r="G402" s="10">
        <f>SUMIF(成品月初库存!$C$3:$C$362,$B402,成品月初库存!$F$3:$F$362)</f>
        <v>2148</v>
      </c>
      <c r="H402" s="12">
        <f>SUMIF(成品入库明细!$D$2:$D$500,$B402,成品入库明细!$G$2:$G$500)</f>
        <v>0</v>
      </c>
      <c r="I402" s="10">
        <f>SUMIF(成品出库明细!$D$2:$D$1172,$B402,成品出库明细!$G$2:$G$1172)</f>
        <v>0</v>
      </c>
      <c r="J402" s="10">
        <f t="shared" si="8"/>
        <v>2148</v>
      </c>
      <c r="K402" s="12" t="s">
        <v>349</v>
      </c>
      <c r="L402" s="10"/>
      <c r="M402" s="10"/>
      <c r="N402" s="10"/>
      <c r="O402" s="10"/>
      <c r="P402" s="10"/>
    </row>
    <row r="403" s="2" customFormat="1" ht="14.25" spans="1:16">
      <c r="A403" s="10"/>
      <c r="B403" s="10" t="s">
        <v>142</v>
      </c>
      <c r="C403" s="10" t="s">
        <v>1113</v>
      </c>
      <c r="D403" s="12" t="s">
        <v>1066</v>
      </c>
      <c r="E403" s="12" t="s">
        <v>334</v>
      </c>
      <c r="F403" s="10" t="s">
        <v>343</v>
      </c>
      <c r="G403" s="10">
        <f>SUMIF(成品月初库存!$C$3:$C$362,$B403,成品月初库存!$F$3:$F$362)</f>
        <v>1703</v>
      </c>
      <c r="H403" s="12">
        <f>SUMIF(成品入库明细!$D$2:$D$500,$B403,成品入库明细!$G$2:$G$500)</f>
        <v>0</v>
      </c>
      <c r="I403" s="10">
        <f>SUMIF(成品出库明细!$D$2:$D$1172,$B403,成品出库明细!$G$2:$G$1172)</f>
        <v>0</v>
      </c>
      <c r="J403" s="10">
        <f t="shared" si="8"/>
        <v>1703</v>
      </c>
      <c r="K403" s="10" t="s">
        <v>514</v>
      </c>
      <c r="L403" s="10"/>
      <c r="M403" s="10"/>
      <c r="N403" s="10"/>
      <c r="O403" s="10"/>
      <c r="P403" s="10"/>
    </row>
    <row r="404" s="2" customFormat="1" ht="14.25" spans="1:16">
      <c r="A404" s="10"/>
      <c r="B404" s="10" t="s">
        <v>143</v>
      </c>
      <c r="C404" s="10" t="s">
        <v>1114</v>
      </c>
      <c r="D404" s="12" t="s">
        <v>1066</v>
      </c>
      <c r="E404" s="12" t="s">
        <v>334</v>
      </c>
      <c r="F404" s="10" t="s">
        <v>343</v>
      </c>
      <c r="G404" s="10">
        <f>SUMIF(成品月初库存!$C$3:$C$362,$B404,成品月初库存!$F$3:$F$362)</f>
        <v>5115</v>
      </c>
      <c r="H404" s="12">
        <f>SUMIF(成品入库明细!$D$2:$D$500,$B404,成品入库明细!$G$2:$G$500)</f>
        <v>0</v>
      </c>
      <c r="I404" s="10">
        <f>SUMIF(成品出库明细!$D$2:$D$1172,$B404,成品出库明细!$G$2:$G$1172)</f>
        <v>0</v>
      </c>
      <c r="J404" s="10">
        <f t="shared" si="8"/>
        <v>5115</v>
      </c>
      <c r="K404" s="10" t="s">
        <v>514</v>
      </c>
      <c r="L404" s="10"/>
      <c r="M404" s="10"/>
      <c r="N404" s="10"/>
      <c r="O404" s="10"/>
      <c r="P404" s="10"/>
    </row>
    <row r="405" s="2" customFormat="1" ht="14.25" spans="1:16">
      <c r="A405" s="10">
        <v>303</v>
      </c>
      <c r="B405" s="10" t="s">
        <v>1115</v>
      </c>
      <c r="C405" s="12" t="s">
        <v>1116</v>
      </c>
      <c r="D405" s="12" t="s">
        <v>1117</v>
      </c>
      <c r="E405" s="12" t="s">
        <v>334</v>
      </c>
      <c r="F405" s="10" t="s">
        <v>343</v>
      </c>
      <c r="G405" s="10">
        <f>SUMIF(成品月初库存!$C$3:$C$362,$B405,成品月初库存!$F$3:$F$362)</f>
        <v>0</v>
      </c>
      <c r="H405" s="10">
        <f>SUMIF(成品入库明细!$D$2:$D$500,$B405,成品入库明细!$G$2:$G$500)</f>
        <v>0</v>
      </c>
      <c r="I405" s="10">
        <f>SUMIF(成品出库明细!$D$2:$D$1172,$B405,成品出库明细!$G$2:$G$1172)</f>
        <v>0</v>
      </c>
      <c r="J405" s="10">
        <f t="shared" si="8"/>
        <v>0</v>
      </c>
      <c r="K405" s="12" t="s">
        <v>300</v>
      </c>
      <c r="L405" s="10"/>
      <c r="M405" s="10"/>
      <c r="N405" s="10"/>
      <c r="O405" s="10"/>
      <c r="P405" s="10"/>
    </row>
    <row r="406" s="2" customFormat="1" ht="14.25" spans="1:16">
      <c r="A406" s="10">
        <v>304</v>
      </c>
      <c r="B406" s="10" t="s">
        <v>1118</v>
      </c>
      <c r="C406" s="10">
        <v>166</v>
      </c>
      <c r="D406" s="12" t="s">
        <v>1117</v>
      </c>
      <c r="E406" s="12" t="s">
        <v>334</v>
      </c>
      <c r="F406" s="10" t="s">
        <v>343</v>
      </c>
      <c r="G406" s="10">
        <f>SUMIF(成品月初库存!$C$3:$C$362,$B406,成品月初库存!$F$3:$F$362)</f>
        <v>0</v>
      </c>
      <c r="H406" s="10">
        <f>SUMIF(成品入库明细!$D$2:$D$500,$B406,成品入库明细!$G$2:$G$500)</f>
        <v>0</v>
      </c>
      <c r="I406" s="10">
        <f>SUMIF(成品出库明细!$D$2:$D$1172,$B406,成品出库明细!$G$2:$G$1172)</f>
        <v>0</v>
      </c>
      <c r="J406" s="10">
        <f t="shared" si="8"/>
        <v>0</v>
      </c>
      <c r="K406" s="12" t="s">
        <v>300</v>
      </c>
      <c r="L406" s="10"/>
      <c r="M406" s="10"/>
      <c r="N406" s="10"/>
      <c r="O406" s="10"/>
      <c r="P406" s="10"/>
    </row>
    <row r="407" s="2" customFormat="1" ht="14.25" spans="1:16">
      <c r="A407" s="10">
        <v>305</v>
      </c>
      <c r="B407" s="10" t="s">
        <v>1119</v>
      </c>
      <c r="C407" s="12" t="s">
        <v>1120</v>
      </c>
      <c r="D407" s="12" t="s">
        <v>1117</v>
      </c>
      <c r="E407" s="12" t="s">
        <v>334</v>
      </c>
      <c r="F407" s="10" t="s">
        <v>343</v>
      </c>
      <c r="G407" s="10">
        <f>SUMIF(成品月初库存!$C$3:$C$362,$B407,成品月初库存!$F$3:$F$362)</f>
        <v>0</v>
      </c>
      <c r="H407" s="10">
        <f>SUMIF(成品入库明细!$D$2:$D$500,$B407,成品入库明细!$G$2:$G$500)</f>
        <v>0</v>
      </c>
      <c r="I407" s="10">
        <f>SUMIF(成品出库明细!$D$2:$D$1172,$B407,成品出库明细!$G$2:$G$1172)</f>
        <v>0</v>
      </c>
      <c r="J407" s="10">
        <f t="shared" si="8"/>
        <v>0</v>
      </c>
      <c r="K407" s="12" t="s">
        <v>300</v>
      </c>
      <c r="L407" s="10"/>
      <c r="M407" s="10"/>
      <c r="N407" s="10"/>
      <c r="O407" s="10"/>
      <c r="P407" s="10"/>
    </row>
    <row r="408" s="2" customFormat="1" ht="14.25" spans="1:16">
      <c r="A408" s="10">
        <v>306</v>
      </c>
      <c r="B408" s="10" t="s">
        <v>1121</v>
      </c>
      <c r="C408" s="10" t="s">
        <v>1122</v>
      </c>
      <c r="D408" s="12" t="s">
        <v>1117</v>
      </c>
      <c r="E408" s="12" t="s">
        <v>334</v>
      </c>
      <c r="F408" s="10" t="s">
        <v>343</v>
      </c>
      <c r="G408" s="10">
        <f>SUMIF(成品月初库存!$C$3:$C$362,$B408,成品月初库存!$F$3:$F$362)</f>
        <v>0</v>
      </c>
      <c r="H408" s="10">
        <f>SUMIF(成品入库明细!$D$2:$D$500,$B408,成品入库明细!$G$2:$G$500)</f>
        <v>0</v>
      </c>
      <c r="I408" s="10">
        <f>SUMIF(成品出库明细!$D$2:$D$1172,$B408,成品出库明细!$G$2:$G$1172)</f>
        <v>0</v>
      </c>
      <c r="J408" s="10">
        <f t="shared" si="8"/>
        <v>0</v>
      </c>
      <c r="K408" s="12" t="s">
        <v>300</v>
      </c>
      <c r="L408" s="10"/>
      <c r="M408" s="10"/>
      <c r="N408" s="10"/>
      <c r="O408" s="10"/>
      <c r="P408" s="10"/>
    </row>
    <row r="409" s="2" customFormat="1" ht="14.25" spans="1:16">
      <c r="A409" s="10">
        <v>307</v>
      </c>
      <c r="B409" s="10" t="s">
        <v>1123</v>
      </c>
      <c r="C409" s="12" t="s">
        <v>1124</v>
      </c>
      <c r="D409" s="12" t="s">
        <v>1117</v>
      </c>
      <c r="E409" s="12" t="s">
        <v>334</v>
      </c>
      <c r="F409" s="10" t="s">
        <v>343</v>
      </c>
      <c r="G409" s="10">
        <f>SUMIF(成品月初库存!$C$3:$C$362,$B409,成品月初库存!$F$3:$F$362)</f>
        <v>0</v>
      </c>
      <c r="H409" s="10">
        <f>SUMIF(成品入库明细!$D$2:$D$500,$B409,成品入库明细!$G$2:$G$500)</f>
        <v>0</v>
      </c>
      <c r="I409" s="10">
        <f>SUMIF(成品出库明细!$D$2:$D$1172,$B409,成品出库明细!$G$2:$G$1172)</f>
        <v>0</v>
      </c>
      <c r="J409" s="10">
        <f t="shared" si="8"/>
        <v>0</v>
      </c>
      <c r="K409" s="12" t="s">
        <v>300</v>
      </c>
      <c r="L409" s="10"/>
      <c r="M409" s="10"/>
      <c r="N409" s="10"/>
      <c r="O409" s="10"/>
      <c r="P409" s="10"/>
    </row>
    <row r="410" s="2" customFormat="1" ht="14.25" spans="1:16">
      <c r="A410" s="10">
        <v>308</v>
      </c>
      <c r="B410" s="10" t="s">
        <v>1125</v>
      </c>
      <c r="C410" s="12" t="s">
        <v>1126</v>
      </c>
      <c r="D410" s="12" t="s">
        <v>1117</v>
      </c>
      <c r="E410" s="12" t="s">
        <v>334</v>
      </c>
      <c r="F410" s="10" t="s">
        <v>343</v>
      </c>
      <c r="G410" s="10">
        <f>SUMIF(成品月初库存!$C$3:$C$362,$B410,成品月初库存!$F$3:$F$362)</f>
        <v>0</v>
      </c>
      <c r="H410" s="10">
        <f>SUMIF(成品入库明细!$D$2:$D$500,$B410,成品入库明细!$G$2:$G$500)</f>
        <v>0</v>
      </c>
      <c r="I410" s="10">
        <f>SUMIF(成品出库明细!$D$2:$D$1172,$B410,成品出库明细!$G$2:$G$1172)</f>
        <v>0</v>
      </c>
      <c r="J410" s="10">
        <f t="shared" si="8"/>
        <v>0</v>
      </c>
      <c r="K410" s="12" t="s">
        <v>300</v>
      </c>
      <c r="L410" s="10"/>
      <c r="M410" s="10"/>
      <c r="N410" s="10"/>
      <c r="O410" s="10"/>
      <c r="P410" s="10"/>
    </row>
    <row r="411" s="2" customFormat="1" ht="14.25" spans="1:16">
      <c r="A411" s="10">
        <v>309</v>
      </c>
      <c r="B411" s="10" t="s">
        <v>1127</v>
      </c>
      <c r="C411" s="12" t="s">
        <v>1128</v>
      </c>
      <c r="D411" s="12" t="s">
        <v>1117</v>
      </c>
      <c r="E411" s="12" t="s">
        <v>334</v>
      </c>
      <c r="F411" s="10" t="s">
        <v>343</v>
      </c>
      <c r="G411" s="10">
        <f>SUMIF(成品月初库存!$C$3:$C$362,$B411,成品月初库存!$F$3:$F$362)</f>
        <v>0</v>
      </c>
      <c r="H411" s="10">
        <f>SUMIF(成品入库明细!$D$2:$D$500,$B411,成品入库明细!$G$2:$G$500)</f>
        <v>0</v>
      </c>
      <c r="I411" s="10">
        <f>SUMIF(成品出库明细!$D$2:$D$1172,$B411,成品出库明细!$G$2:$G$1172)</f>
        <v>0</v>
      </c>
      <c r="J411" s="10">
        <f t="shared" si="8"/>
        <v>0</v>
      </c>
      <c r="K411" s="10"/>
      <c r="L411" s="10"/>
      <c r="M411" s="10"/>
      <c r="N411" s="10"/>
      <c r="O411" s="10"/>
      <c r="P411" s="10"/>
    </row>
    <row r="412" s="2" customFormat="1" ht="14.25" spans="1:16">
      <c r="A412" s="10">
        <v>310</v>
      </c>
      <c r="B412" s="10" t="s">
        <v>1129</v>
      </c>
      <c r="C412" s="10" t="s">
        <v>1130</v>
      </c>
      <c r="D412" s="12" t="s">
        <v>1117</v>
      </c>
      <c r="E412" s="12" t="s">
        <v>334</v>
      </c>
      <c r="F412" s="10" t="s">
        <v>343</v>
      </c>
      <c r="G412" s="10">
        <f>SUMIF(成品月初库存!$C$3:$C$362,$B412,成品月初库存!$F$3:$F$362)</f>
        <v>0</v>
      </c>
      <c r="H412" s="10">
        <f>SUMIF(成品入库明细!$D$2:$D$500,$B412,成品入库明细!$G$2:$G$500)</f>
        <v>0</v>
      </c>
      <c r="I412" s="10">
        <f>SUMIF(成品出库明细!$D$2:$D$1172,$B412,成品出库明细!$G$2:$G$1172)</f>
        <v>0</v>
      </c>
      <c r="J412" s="10">
        <f t="shared" si="8"/>
        <v>0</v>
      </c>
      <c r="K412" s="12" t="s">
        <v>300</v>
      </c>
      <c r="L412" s="10"/>
      <c r="M412" s="10"/>
      <c r="N412" s="10"/>
      <c r="O412" s="10"/>
      <c r="P412" s="10"/>
    </row>
    <row r="413" s="2" customFormat="1" ht="15.75" spans="1:16">
      <c r="A413" s="10">
        <v>311</v>
      </c>
      <c r="B413" s="10" t="s">
        <v>1131</v>
      </c>
      <c r="C413" s="13" t="s">
        <v>1132</v>
      </c>
      <c r="D413" s="12" t="s">
        <v>1133</v>
      </c>
      <c r="E413" s="12" t="s">
        <v>334</v>
      </c>
      <c r="F413" s="10" t="s">
        <v>343</v>
      </c>
      <c r="G413" s="10">
        <f>SUMIF(成品月初库存!$C$3:$C$362,$B413,成品月初库存!$F$3:$F$362)</f>
        <v>0</v>
      </c>
      <c r="H413" s="10">
        <f>SUMIF(成品入库明细!$D$2:$D$500,$B413,成品入库明细!$G$2:$G$500)</f>
        <v>0</v>
      </c>
      <c r="I413" s="10">
        <f>SUMIF(成品出库明细!$D$2:$D$1172,$B413,成品出库明细!$G$2:$G$1172)</f>
        <v>0</v>
      </c>
      <c r="J413" s="10">
        <f t="shared" si="8"/>
        <v>0</v>
      </c>
      <c r="K413" s="12" t="s">
        <v>389</v>
      </c>
      <c r="L413" s="10"/>
      <c r="M413" s="10"/>
      <c r="N413" s="10"/>
      <c r="O413" s="10"/>
      <c r="P413" s="10"/>
    </row>
    <row r="414" s="2" customFormat="1" ht="14.25" spans="1:16">
      <c r="A414" s="10">
        <v>312</v>
      </c>
      <c r="B414" s="10" t="s">
        <v>1134</v>
      </c>
      <c r="C414" s="12" t="s">
        <v>1135</v>
      </c>
      <c r="D414" s="12" t="s">
        <v>1133</v>
      </c>
      <c r="E414" s="12" t="s">
        <v>334</v>
      </c>
      <c r="F414" s="10" t="s">
        <v>343</v>
      </c>
      <c r="G414" s="10">
        <f>SUMIF(成品月初库存!$C$3:$C$362,$B414,成品月初库存!$F$3:$F$362)</f>
        <v>0</v>
      </c>
      <c r="H414" s="10">
        <f>SUMIF(成品入库明细!$D$2:$D$500,$B414,成品入库明细!$G$2:$G$500)</f>
        <v>0</v>
      </c>
      <c r="I414" s="10">
        <f>SUMIF(成品出库明细!$D$2:$D$1172,$B414,成品出库明细!$G$2:$G$1172)</f>
        <v>0</v>
      </c>
      <c r="J414" s="10">
        <f t="shared" si="8"/>
        <v>0</v>
      </c>
      <c r="K414" s="12" t="s">
        <v>389</v>
      </c>
      <c r="L414" s="10"/>
      <c r="M414" s="10"/>
      <c r="N414" s="10"/>
      <c r="O414" s="10"/>
      <c r="P414" s="10"/>
    </row>
    <row r="415" s="2" customFormat="1" ht="14.25" spans="1:16">
      <c r="A415" s="10">
        <v>313</v>
      </c>
      <c r="B415" s="10" t="s">
        <v>1136</v>
      </c>
      <c r="C415" s="12" t="s">
        <v>1137</v>
      </c>
      <c r="D415" s="12" t="s">
        <v>1133</v>
      </c>
      <c r="E415" s="12" t="s">
        <v>334</v>
      </c>
      <c r="F415" s="10" t="s">
        <v>343</v>
      </c>
      <c r="G415" s="10">
        <f>SUMIF(成品月初库存!$C$3:$C$362,$B415,成品月初库存!$F$3:$F$362)</f>
        <v>0</v>
      </c>
      <c r="H415" s="10">
        <f>SUMIF(成品入库明细!$D$2:$D$500,$B415,成品入库明细!$G$2:$G$500)</f>
        <v>0</v>
      </c>
      <c r="I415" s="10">
        <f>SUMIF(成品出库明细!$D$2:$D$1172,$B415,成品出库明细!$G$2:$G$1172)</f>
        <v>0</v>
      </c>
      <c r="J415" s="10">
        <f t="shared" si="8"/>
        <v>0</v>
      </c>
      <c r="K415" s="12" t="s">
        <v>389</v>
      </c>
      <c r="L415" s="10"/>
      <c r="M415" s="10"/>
      <c r="N415" s="10"/>
      <c r="O415" s="10"/>
      <c r="P415" s="10"/>
    </row>
    <row r="416" s="2" customFormat="1" ht="14.25" spans="1:16">
      <c r="A416" s="10">
        <v>314</v>
      </c>
      <c r="B416" s="10" t="s">
        <v>1138</v>
      </c>
      <c r="C416" s="10" t="s">
        <v>1139</v>
      </c>
      <c r="D416" s="12" t="s">
        <v>1140</v>
      </c>
      <c r="E416" s="12" t="s">
        <v>334</v>
      </c>
      <c r="F416" s="10" t="s">
        <v>343</v>
      </c>
      <c r="G416" s="10">
        <f>SUMIF(成品月初库存!$C$3:$C$362,$B416,成品月初库存!$F$3:$F$362)</f>
        <v>0</v>
      </c>
      <c r="H416" s="10">
        <f>SUMIF(成品入库明细!$D$2:$D$500,$B416,成品入库明细!$G$2:$G$500)</f>
        <v>0</v>
      </c>
      <c r="I416" s="10">
        <f>SUMIF(成品出库明细!$D$2:$D$1172,$B416,成品出库明细!$G$2:$G$1172)</f>
        <v>0</v>
      </c>
      <c r="J416" s="10">
        <f t="shared" si="8"/>
        <v>0</v>
      </c>
      <c r="K416" s="10"/>
      <c r="L416" s="10"/>
      <c r="M416" s="10"/>
      <c r="N416" s="10"/>
      <c r="O416" s="10"/>
      <c r="P416" s="10"/>
    </row>
    <row r="417" s="2" customFormat="1" ht="14.25" spans="1:16">
      <c r="A417" s="10">
        <v>315</v>
      </c>
      <c r="B417" s="10" t="s">
        <v>1141</v>
      </c>
      <c r="C417" s="12" t="s">
        <v>1142</v>
      </c>
      <c r="D417" s="12" t="s">
        <v>1143</v>
      </c>
      <c r="E417" s="12" t="s">
        <v>334</v>
      </c>
      <c r="F417" s="10" t="s">
        <v>343</v>
      </c>
      <c r="G417" s="10">
        <f>SUMIF(成品月初库存!$C$3:$C$362,$B417,成品月初库存!$F$3:$F$362)</f>
        <v>0</v>
      </c>
      <c r="H417" s="10">
        <f>SUMIF(成品入库明细!$D$2:$D$500,$B417,成品入库明细!$G$2:$G$500)</f>
        <v>0</v>
      </c>
      <c r="I417" s="10">
        <f>SUMIF(成品出库明细!$D$2:$D$1172,$B417,成品出库明细!$G$2:$G$1172)</f>
        <v>0</v>
      </c>
      <c r="J417" s="10">
        <f t="shared" si="8"/>
        <v>0</v>
      </c>
      <c r="K417" s="10"/>
      <c r="L417" s="10"/>
      <c r="M417" s="10"/>
      <c r="N417" s="10"/>
      <c r="O417" s="10"/>
      <c r="P417" s="10"/>
    </row>
    <row r="418" s="2" customFormat="1" ht="14.25" spans="1:16">
      <c r="A418" s="10">
        <v>316</v>
      </c>
      <c r="B418" s="10" t="s">
        <v>689</v>
      </c>
      <c r="C418" s="10" t="s">
        <v>1144</v>
      </c>
      <c r="D418" s="12" t="s">
        <v>1145</v>
      </c>
      <c r="E418" s="12" t="s">
        <v>334</v>
      </c>
      <c r="F418" s="10" t="s">
        <v>343</v>
      </c>
      <c r="G418" s="10">
        <f>SUMIF(成品月初库存!$C$3:$C$362,$B418,成品月初库存!$F$3:$F$362)</f>
        <v>0</v>
      </c>
      <c r="H418" s="10">
        <f>SUMIF(成品入库明细!$D$2:$D$500,$B418,成品入库明细!$G$2:$G$500)</f>
        <v>0</v>
      </c>
      <c r="I418" s="10">
        <f>SUMIF(成品出库明细!$D$2:$D$1172,$B418,成品出库明细!$G$2:$G$1172)</f>
        <v>0</v>
      </c>
      <c r="J418" s="10">
        <f t="shared" si="8"/>
        <v>0</v>
      </c>
      <c r="K418" s="12" t="s">
        <v>370</v>
      </c>
      <c r="L418" s="10"/>
      <c r="M418" s="10"/>
      <c r="N418" s="10"/>
      <c r="O418" s="10"/>
      <c r="P418" s="10"/>
    </row>
    <row r="419" s="2" customFormat="1" ht="14.25" spans="1:16">
      <c r="A419" s="10">
        <v>317</v>
      </c>
      <c r="B419" s="10" t="s">
        <v>1146</v>
      </c>
      <c r="C419" s="10" t="s">
        <v>1147</v>
      </c>
      <c r="D419" s="12" t="s">
        <v>1148</v>
      </c>
      <c r="E419" s="12" t="s">
        <v>334</v>
      </c>
      <c r="F419" s="10" t="s">
        <v>343</v>
      </c>
      <c r="G419" s="10">
        <f>SUMIF(成品月初库存!$C$3:$C$362,$B419,成品月初库存!$F$3:$F$362)</f>
        <v>0</v>
      </c>
      <c r="H419" s="10">
        <f>SUMIF(成品入库明细!$D$2:$D$500,$B419,成品入库明细!$G$2:$G$500)</f>
        <v>0</v>
      </c>
      <c r="I419" s="10">
        <f>SUMIF(成品出库明细!$D$2:$D$1172,$B419,成品出库明细!$G$2:$G$1172)</f>
        <v>0</v>
      </c>
      <c r="J419" s="10">
        <f t="shared" si="8"/>
        <v>0</v>
      </c>
      <c r="K419" s="12" t="s">
        <v>300</v>
      </c>
      <c r="L419" s="10"/>
      <c r="M419" s="10"/>
      <c r="N419" s="10"/>
      <c r="O419" s="10"/>
      <c r="P419" s="10"/>
    </row>
    <row r="420" s="2" customFormat="1" ht="14.25" spans="1:16">
      <c r="A420" s="10">
        <v>318</v>
      </c>
      <c r="B420" s="10" t="s">
        <v>1149</v>
      </c>
      <c r="C420" s="10" t="s">
        <v>1150</v>
      </c>
      <c r="D420" s="12" t="s">
        <v>1148</v>
      </c>
      <c r="E420" s="12" t="s">
        <v>334</v>
      </c>
      <c r="F420" s="10" t="s">
        <v>343</v>
      </c>
      <c r="G420" s="10">
        <f>SUMIF(成品月初库存!$C$3:$C$362,$B420,成品月初库存!$F$3:$F$362)</f>
        <v>0</v>
      </c>
      <c r="H420" s="10">
        <f>SUMIF(成品入库明细!$D$2:$D$500,$B420,成品入库明细!$G$2:$G$500)</f>
        <v>0</v>
      </c>
      <c r="I420" s="10">
        <f>SUMIF(成品出库明细!$D$2:$D$1172,$B420,成品出库明细!$G$2:$G$1172)</f>
        <v>0</v>
      </c>
      <c r="J420" s="10">
        <f t="shared" si="8"/>
        <v>0</v>
      </c>
      <c r="K420" s="12" t="s">
        <v>300</v>
      </c>
      <c r="L420" s="10"/>
      <c r="M420" s="10"/>
      <c r="N420" s="10"/>
      <c r="O420" s="10"/>
      <c r="P420" s="10"/>
    </row>
    <row r="421" s="2" customFormat="1" ht="14.25" spans="1:16">
      <c r="A421" s="10">
        <v>319</v>
      </c>
      <c r="B421" s="10" t="s">
        <v>1151</v>
      </c>
      <c r="C421" s="10" t="s">
        <v>1152</v>
      </c>
      <c r="D421" s="12" t="s">
        <v>1148</v>
      </c>
      <c r="E421" s="12" t="s">
        <v>334</v>
      </c>
      <c r="F421" s="10" t="s">
        <v>343</v>
      </c>
      <c r="G421" s="10">
        <f>SUMIF(成品月初库存!$C$3:$C$362,$B421,成品月初库存!$F$3:$F$362)</f>
        <v>0</v>
      </c>
      <c r="H421" s="10">
        <f>SUMIF(成品入库明细!$D$2:$D$500,$B421,成品入库明细!$G$2:$G$500)</f>
        <v>0</v>
      </c>
      <c r="I421" s="10">
        <f>SUMIF(成品出库明细!$D$2:$D$1172,$B421,成品出库明细!$G$2:$G$1172)</f>
        <v>0</v>
      </c>
      <c r="J421" s="10">
        <f t="shared" si="8"/>
        <v>0</v>
      </c>
      <c r="K421" s="12" t="s">
        <v>300</v>
      </c>
      <c r="L421" s="10"/>
      <c r="M421" s="10"/>
      <c r="N421" s="10"/>
      <c r="O421" s="10"/>
      <c r="P421" s="10"/>
    </row>
    <row r="422" s="2" customFormat="1" ht="14.25" spans="1:16">
      <c r="A422" s="10">
        <v>320</v>
      </c>
      <c r="B422" s="10" t="s">
        <v>1153</v>
      </c>
      <c r="C422" s="10" t="s">
        <v>1154</v>
      </c>
      <c r="D422" s="12" t="s">
        <v>1148</v>
      </c>
      <c r="E422" s="12" t="s">
        <v>334</v>
      </c>
      <c r="F422" s="10" t="s">
        <v>343</v>
      </c>
      <c r="G422" s="10">
        <f>SUMIF(成品月初库存!$C$3:$C$362,$B422,成品月初库存!$F$3:$F$362)</f>
        <v>0</v>
      </c>
      <c r="H422" s="10">
        <f>SUMIF(成品入库明细!$D$2:$D$500,$B422,成品入库明细!$G$2:$G$500)</f>
        <v>0</v>
      </c>
      <c r="I422" s="10">
        <f>SUMIF(成品出库明细!$D$2:$D$1172,$B422,成品出库明细!$G$2:$G$1172)</f>
        <v>0</v>
      </c>
      <c r="J422" s="10">
        <f t="shared" si="8"/>
        <v>0</v>
      </c>
      <c r="K422" s="12" t="s">
        <v>300</v>
      </c>
      <c r="L422" s="10"/>
      <c r="M422" s="10"/>
      <c r="N422" s="10"/>
      <c r="O422" s="10"/>
      <c r="P422" s="10"/>
    </row>
    <row r="423" s="2" customFormat="1" ht="14.25" spans="1:16">
      <c r="A423" s="10">
        <v>321</v>
      </c>
      <c r="B423" s="10" t="s">
        <v>1155</v>
      </c>
      <c r="C423" s="10" t="s">
        <v>1156</v>
      </c>
      <c r="D423" s="12" t="s">
        <v>1148</v>
      </c>
      <c r="E423" s="12" t="s">
        <v>334</v>
      </c>
      <c r="F423" s="10" t="s">
        <v>343</v>
      </c>
      <c r="G423" s="10">
        <f>SUMIF(成品月初库存!$C$3:$C$362,$B423,成品月初库存!$F$3:$F$362)</f>
        <v>0</v>
      </c>
      <c r="H423" s="10">
        <f>SUMIF(成品入库明细!$D$2:$D$500,$B423,成品入库明细!$G$2:$G$500)</f>
        <v>0</v>
      </c>
      <c r="I423" s="10">
        <f>SUMIF(成品出库明细!$D$2:$D$1172,$B423,成品出库明细!$G$2:$G$1172)</f>
        <v>0</v>
      </c>
      <c r="J423" s="10">
        <f t="shared" si="8"/>
        <v>0</v>
      </c>
      <c r="K423" s="12" t="s">
        <v>300</v>
      </c>
      <c r="L423" s="10"/>
      <c r="M423" s="10"/>
      <c r="N423" s="10"/>
      <c r="O423" s="10"/>
      <c r="P423" s="10"/>
    </row>
    <row r="424" s="2" customFormat="1" ht="14.25" spans="1:16">
      <c r="A424" s="10">
        <v>322</v>
      </c>
      <c r="B424" s="10" t="s">
        <v>1157</v>
      </c>
      <c r="C424" s="10" t="s">
        <v>1158</v>
      </c>
      <c r="D424" s="12" t="s">
        <v>1148</v>
      </c>
      <c r="E424" s="12" t="s">
        <v>334</v>
      </c>
      <c r="F424" s="10" t="s">
        <v>343</v>
      </c>
      <c r="G424" s="10">
        <f>SUMIF(成品月初库存!$C$3:$C$362,$B424,成品月初库存!$F$3:$F$362)</f>
        <v>0</v>
      </c>
      <c r="H424" s="10">
        <f>SUMIF(成品入库明细!$D$2:$D$500,$B424,成品入库明细!$G$2:$G$500)</f>
        <v>0</v>
      </c>
      <c r="I424" s="10">
        <f>SUMIF(成品出库明细!$D$2:$D$1172,$B424,成品出库明细!$G$2:$G$1172)</f>
        <v>0</v>
      </c>
      <c r="J424" s="10">
        <f t="shared" si="8"/>
        <v>0</v>
      </c>
      <c r="K424" s="12" t="s">
        <v>300</v>
      </c>
      <c r="L424" s="10"/>
      <c r="M424" s="10"/>
      <c r="N424" s="10"/>
      <c r="O424" s="10"/>
      <c r="P424" s="10"/>
    </row>
    <row r="425" s="2" customFormat="1" ht="14.25" spans="1:16">
      <c r="A425" s="10">
        <v>323</v>
      </c>
      <c r="B425" s="10" t="s">
        <v>1159</v>
      </c>
      <c r="C425" s="10" t="s">
        <v>1160</v>
      </c>
      <c r="D425" s="12" t="s">
        <v>1148</v>
      </c>
      <c r="E425" s="12" t="s">
        <v>334</v>
      </c>
      <c r="F425" s="10" t="s">
        <v>343</v>
      </c>
      <c r="G425" s="10">
        <f>SUMIF(成品月初库存!$C$3:$C$362,$B425,成品月初库存!$F$3:$F$362)</f>
        <v>0</v>
      </c>
      <c r="H425" s="10">
        <f>SUMIF(成品入库明细!$D$2:$D$500,$B425,成品入库明细!$G$2:$G$500)</f>
        <v>0</v>
      </c>
      <c r="I425" s="10">
        <f>SUMIF(成品出库明细!$D$2:$D$1172,$B425,成品出库明细!$G$2:$G$1172)</f>
        <v>0</v>
      </c>
      <c r="J425" s="10">
        <f t="shared" si="8"/>
        <v>0</v>
      </c>
      <c r="K425" s="12" t="s">
        <v>300</v>
      </c>
      <c r="L425" s="10"/>
      <c r="M425" s="10"/>
      <c r="N425" s="10"/>
      <c r="O425" s="10"/>
      <c r="P425" s="10"/>
    </row>
    <row r="426" s="2" customFormat="1" ht="14.25" spans="1:16">
      <c r="A426" s="10">
        <v>324</v>
      </c>
      <c r="B426" s="10" t="s">
        <v>1161</v>
      </c>
      <c r="C426" s="10" t="s">
        <v>1162</v>
      </c>
      <c r="D426" s="12" t="s">
        <v>1148</v>
      </c>
      <c r="E426" s="12" t="s">
        <v>334</v>
      </c>
      <c r="F426" s="10" t="s">
        <v>343</v>
      </c>
      <c r="G426" s="10">
        <f>SUMIF(成品月初库存!$C$3:$C$362,$B426,成品月初库存!$F$3:$F$362)</f>
        <v>0</v>
      </c>
      <c r="H426" s="10">
        <f>SUMIF(成品入库明细!$D$2:$D$500,$B426,成品入库明细!$G$2:$G$500)</f>
        <v>0</v>
      </c>
      <c r="I426" s="10">
        <f>SUMIF(成品出库明细!$D$2:$D$1172,$B426,成品出库明细!$G$2:$G$1172)</f>
        <v>0</v>
      </c>
      <c r="J426" s="10">
        <f t="shared" si="8"/>
        <v>0</v>
      </c>
      <c r="K426" s="12" t="s">
        <v>300</v>
      </c>
      <c r="L426" s="10"/>
      <c r="M426" s="10"/>
      <c r="N426" s="10"/>
      <c r="O426" s="10"/>
      <c r="P426" s="10"/>
    </row>
    <row r="427" s="2" customFormat="1" ht="14.25" spans="1:16">
      <c r="A427" s="10">
        <v>325</v>
      </c>
      <c r="B427" s="10" t="s">
        <v>1163</v>
      </c>
      <c r="C427" s="10" t="s">
        <v>1164</v>
      </c>
      <c r="D427" s="12" t="s">
        <v>1148</v>
      </c>
      <c r="E427" s="12" t="s">
        <v>334</v>
      </c>
      <c r="F427" s="10" t="s">
        <v>343</v>
      </c>
      <c r="G427" s="10">
        <f>SUMIF(成品月初库存!$C$3:$C$362,$B427,成品月初库存!$F$3:$F$362)</f>
        <v>0</v>
      </c>
      <c r="H427" s="10">
        <f>SUMIF(成品入库明细!$D$2:$D$500,$B427,成品入库明细!$G$2:$G$500)</f>
        <v>0</v>
      </c>
      <c r="I427" s="10">
        <f>SUMIF(成品出库明细!$D$2:$D$1172,$B427,成品出库明细!$G$2:$G$1172)</f>
        <v>0</v>
      </c>
      <c r="J427" s="10">
        <f t="shared" si="8"/>
        <v>0</v>
      </c>
      <c r="K427" s="12" t="s">
        <v>300</v>
      </c>
      <c r="L427" s="10"/>
      <c r="M427" s="10"/>
      <c r="N427" s="10"/>
      <c r="O427" s="10"/>
      <c r="P427" s="10"/>
    </row>
    <row r="428" s="2" customFormat="1" ht="14.25" spans="1:16">
      <c r="A428" s="10">
        <v>326</v>
      </c>
      <c r="B428" s="10" t="s">
        <v>1165</v>
      </c>
      <c r="C428" s="10" t="s">
        <v>1166</v>
      </c>
      <c r="D428" s="12" t="s">
        <v>1167</v>
      </c>
      <c r="E428" s="12" t="s">
        <v>334</v>
      </c>
      <c r="F428" s="10" t="s">
        <v>343</v>
      </c>
      <c r="G428" s="10">
        <f>SUMIF(成品月初库存!$C$3:$C$362,$B428,成品月初库存!$F$3:$F$362)</f>
        <v>0</v>
      </c>
      <c r="H428" s="10">
        <f>SUMIF(成品入库明细!$D$2:$D$500,$B428,成品入库明细!$G$2:$G$500)</f>
        <v>0</v>
      </c>
      <c r="I428" s="10">
        <f>SUMIF(成品出库明细!$D$2:$D$1172,$B428,成品出库明细!$G$2:$G$1172)</f>
        <v>0</v>
      </c>
      <c r="J428" s="10">
        <f t="shared" si="8"/>
        <v>0</v>
      </c>
      <c r="K428" s="12" t="s">
        <v>379</v>
      </c>
      <c r="L428" s="10"/>
      <c r="M428" s="10"/>
      <c r="N428" s="10"/>
      <c r="O428" s="10"/>
      <c r="P428" s="10"/>
    </row>
    <row r="429" s="2" customFormat="1" ht="14.25" spans="1:16">
      <c r="A429" s="10">
        <v>327</v>
      </c>
      <c r="B429" s="10" t="s">
        <v>1168</v>
      </c>
      <c r="C429" s="10" t="s">
        <v>1169</v>
      </c>
      <c r="D429" s="12" t="s">
        <v>1167</v>
      </c>
      <c r="E429" s="12" t="s">
        <v>334</v>
      </c>
      <c r="F429" s="10" t="s">
        <v>343</v>
      </c>
      <c r="G429" s="10">
        <f>SUMIF(成品月初库存!$C$3:$C$362,$B429,成品月初库存!$F$3:$F$362)</f>
        <v>0</v>
      </c>
      <c r="H429" s="10">
        <f>SUMIF(成品入库明细!$D$2:$D$500,$B429,成品入库明细!$G$2:$G$500)</f>
        <v>0</v>
      </c>
      <c r="I429" s="10">
        <f>SUMIF(成品出库明细!$D$2:$D$1172,$B429,成品出库明细!$G$2:$G$1172)</f>
        <v>0</v>
      </c>
      <c r="J429" s="10">
        <f t="shared" si="8"/>
        <v>0</v>
      </c>
      <c r="K429" s="12" t="s">
        <v>379</v>
      </c>
      <c r="L429" s="10"/>
      <c r="M429" s="10"/>
      <c r="N429" s="10"/>
      <c r="O429" s="10"/>
      <c r="P429" s="10"/>
    </row>
    <row r="430" s="2" customFormat="1" ht="14.25" spans="1:16">
      <c r="A430" s="10">
        <v>328</v>
      </c>
      <c r="B430" s="10" t="s">
        <v>1170</v>
      </c>
      <c r="C430" s="10" t="s">
        <v>1171</v>
      </c>
      <c r="D430" s="12" t="s">
        <v>1167</v>
      </c>
      <c r="E430" s="12" t="s">
        <v>334</v>
      </c>
      <c r="F430" s="10" t="s">
        <v>343</v>
      </c>
      <c r="G430" s="10">
        <f>SUMIF(成品月初库存!$C$3:$C$362,$B430,成品月初库存!$F$3:$F$362)</f>
        <v>0</v>
      </c>
      <c r="H430" s="10">
        <f>SUMIF(成品入库明细!$D$2:$D$500,$B430,成品入库明细!$G$2:$G$500)</f>
        <v>0</v>
      </c>
      <c r="I430" s="10">
        <f>SUMIF(成品出库明细!$D$2:$D$1172,$B430,成品出库明细!$G$2:$G$1172)</f>
        <v>0</v>
      </c>
      <c r="J430" s="10">
        <f t="shared" si="8"/>
        <v>0</v>
      </c>
      <c r="K430" s="12" t="s">
        <v>379</v>
      </c>
      <c r="L430" s="10"/>
      <c r="M430" s="10"/>
      <c r="N430" s="10"/>
      <c r="O430" s="10"/>
      <c r="P430" s="10"/>
    </row>
    <row r="431" s="2" customFormat="1" ht="15.75" spans="1:16">
      <c r="A431" s="10">
        <v>329</v>
      </c>
      <c r="B431" s="10" t="s">
        <v>1172</v>
      </c>
      <c r="C431" s="11" t="s">
        <v>1173</v>
      </c>
      <c r="D431" s="12" t="s">
        <v>1167</v>
      </c>
      <c r="E431" s="12" t="s">
        <v>334</v>
      </c>
      <c r="F431" s="10" t="s">
        <v>343</v>
      </c>
      <c r="G431" s="10">
        <f>SUMIF(成品月初库存!$C$3:$C$362,$B431,成品月初库存!$F$3:$F$362)</f>
        <v>0</v>
      </c>
      <c r="H431" s="10">
        <f>SUMIF(成品入库明细!$D$2:$D$500,$B431,成品入库明细!$G$2:$G$500)</f>
        <v>0</v>
      </c>
      <c r="I431" s="10">
        <f>SUMIF(成品出库明细!$D$2:$D$1172,$B431,成品出库明细!$G$2:$G$1172)</f>
        <v>0</v>
      </c>
      <c r="J431" s="10">
        <f t="shared" si="8"/>
        <v>0</v>
      </c>
      <c r="K431" s="12" t="s">
        <v>370</v>
      </c>
      <c r="L431" s="10"/>
      <c r="M431" s="10"/>
      <c r="N431" s="10"/>
      <c r="O431" s="10"/>
      <c r="P431" s="10"/>
    </row>
    <row r="432" s="2" customFormat="1" ht="14.25" spans="1:16">
      <c r="A432" s="10">
        <v>330</v>
      </c>
      <c r="B432" s="10" t="s">
        <v>1174</v>
      </c>
      <c r="C432" s="12" t="s">
        <v>1175</v>
      </c>
      <c r="D432" s="12" t="s">
        <v>1176</v>
      </c>
      <c r="E432" s="12" t="s">
        <v>334</v>
      </c>
      <c r="F432" s="10" t="s">
        <v>343</v>
      </c>
      <c r="G432" s="10">
        <f>SUMIF(成品月初库存!$C$3:$C$362,$B432,成品月初库存!$F$3:$F$362)</f>
        <v>0</v>
      </c>
      <c r="H432" s="10">
        <f>SUMIF(成品入库明细!$D$2:$D$500,$B432,成品入库明细!$G$2:$G$500)</f>
        <v>0</v>
      </c>
      <c r="I432" s="10">
        <f>SUMIF(成品出库明细!$D$2:$D$1172,$B432,成品出库明细!$G$2:$G$1172)</f>
        <v>0</v>
      </c>
      <c r="J432" s="10">
        <f t="shared" si="8"/>
        <v>0</v>
      </c>
      <c r="K432" s="12" t="s">
        <v>300</v>
      </c>
      <c r="L432" s="10"/>
      <c r="M432" s="10"/>
      <c r="N432" s="10"/>
      <c r="O432" s="10"/>
      <c r="P432" s="10"/>
    </row>
    <row r="433" s="2" customFormat="1" ht="14.25" spans="1:16">
      <c r="A433" s="10">
        <v>331</v>
      </c>
      <c r="B433" s="10" t="s">
        <v>1177</v>
      </c>
      <c r="C433" s="10">
        <v>3178371</v>
      </c>
      <c r="D433" s="12" t="s">
        <v>1176</v>
      </c>
      <c r="E433" s="12" t="s">
        <v>334</v>
      </c>
      <c r="F433" s="10" t="s">
        <v>343</v>
      </c>
      <c r="G433" s="10">
        <f>SUMIF(成品月初库存!$C$3:$C$362,$B433,成品月初库存!$F$3:$F$362)</f>
        <v>0</v>
      </c>
      <c r="H433" s="10">
        <f>SUMIF(成品入库明细!$D$2:$D$500,$B433,成品入库明细!$G$2:$G$500)</f>
        <v>0</v>
      </c>
      <c r="I433" s="10">
        <f>SUMIF(成品出库明细!$D$2:$D$1172,$B433,成品出库明细!$G$2:$G$1172)</f>
        <v>0</v>
      </c>
      <c r="J433" s="10">
        <f t="shared" si="8"/>
        <v>0</v>
      </c>
      <c r="K433" s="12" t="s">
        <v>300</v>
      </c>
      <c r="L433" s="10"/>
      <c r="M433" s="10"/>
      <c r="N433" s="10"/>
      <c r="O433" s="10"/>
      <c r="P433" s="10"/>
    </row>
    <row r="434" s="2" customFormat="1" ht="15.75" spans="1:16">
      <c r="A434" s="10">
        <v>332</v>
      </c>
      <c r="B434" s="10" t="s">
        <v>1178</v>
      </c>
      <c r="C434" s="11" t="s">
        <v>1179</v>
      </c>
      <c r="D434" s="12" t="s">
        <v>1176</v>
      </c>
      <c r="E434" s="12" t="s">
        <v>334</v>
      </c>
      <c r="F434" s="10" t="s">
        <v>343</v>
      </c>
      <c r="G434" s="10">
        <f>SUMIF(成品月初库存!$C$3:$C$362,$B434,成品月初库存!$F$3:$F$362)</f>
        <v>0</v>
      </c>
      <c r="H434" s="10">
        <f>SUMIF(成品入库明细!$D$2:$D$500,$B434,成品入库明细!$G$2:$G$500)</f>
        <v>0</v>
      </c>
      <c r="I434" s="10">
        <f>SUMIF(成品出库明细!$D$2:$D$1172,$B434,成品出库明细!$G$2:$G$1172)</f>
        <v>0</v>
      </c>
      <c r="J434" s="10">
        <f t="shared" si="8"/>
        <v>0</v>
      </c>
      <c r="K434" s="12" t="s">
        <v>300</v>
      </c>
      <c r="L434" s="10"/>
      <c r="M434" s="10"/>
      <c r="N434" s="10"/>
      <c r="O434" s="10"/>
      <c r="P434" s="10"/>
    </row>
    <row r="435" s="2" customFormat="1" ht="14.25" spans="1:16">
      <c r="A435" s="10">
        <v>333</v>
      </c>
      <c r="B435" s="10" t="s">
        <v>1180</v>
      </c>
      <c r="C435" s="12" t="s">
        <v>1181</v>
      </c>
      <c r="D435" s="12" t="s">
        <v>1176</v>
      </c>
      <c r="E435" s="12" t="s">
        <v>334</v>
      </c>
      <c r="F435" s="10" t="s">
        <v>343</v>
      </c>
      <c r="G435" s="10">
        <f>SUMIF(成品月初库存!$C$3:$C$362,$B435,成品月初库存!$F$3:$F$362)</f>
        <v>0</v>
      </c>
      <c r="H435" s="10">
        <f>SUMIF(成品入库明细!$D$2:$D$500,$B435,成品入库明细!$G$2:$G$500)</f>
        <v>0</v>
      </c>
      <c r="I435" s="10">
        <f>SUMIF(成品出库明细!$D$2:$D$1172,$B435,成品出库明细!$G$2:$G$1172)</f>
        <v>0</v>
      </c>
      <c r="J435" s="10">
        <f t="shared" si="8"/>
        <v>0</v>
      </c>
      <c r="K435" s="12" t="s">
        <v>300</v>
      </c>
      <c r="L435" s="10"/>
      <c r="M435" s="10"/>
      <c r="N435" s="10"/>
      <c r="O435" s="10"/>
      <c r="P435" s="10"/>
    </row>
    <row r="436" s="2" customFormat="1" ht="14.25" spans="1:16">
      <c r="A436" s="10">
        <v>334</v>
      </c>
      <c r="B436" s="10" t="s">
        <v>1182</v>
      </c>
      <c r="C436" s="10" t="s">
        <v>1183</v>
      </c>
      <c r="D436" s="12" t="s">
        <v>1176</v>
      </c>
      <c r="E436" s="12" t="s">
        <v>334</v>
      </c>
      <c r="F436" s="10" t="s">
        <v>343</v>
      </c>
      <c r="G436" s="10">
        <f>SUMIF(成品月初库存!$C$3:$C$362,$B436,成品月初库存!$F$3:$F$362)</f>
        <v>0</v>
      </c>
      <c r="H436" s="10">
        <f>SUMIF(成品入库明细!$D$2:$D$500,$B436,成品入库明细!$G$2:$G$500)</f>
        <v>0</v>
      </c>
      <c r="I436" s="10">
        <f>SUMIF(成品出库明细!$D$2:$D$1172,$B436,成品出库明细!$G$2:$G$1172)</f>
        <v>0</v>
      </c>
      <c r="J436" s="10">
        <f t="shared" si="8"/>
        <v>0</v>
      </c>
      <c r="K436" s="12" t="s">
        <v>300</v>
      </c>
      <c r="L436" s="10"/>
      <c r="M436" s="10"/>
      <c r="N436" s="10"/>
      <c r="O436" s="10"/>
      <c r="P436" s="10"/>
    </row>
    <row r="437" s="2" customFormat="1" ht="14.25" spans="1:16">
      <c r="A437" s="10">
        <v>335</v>
      </c>
      <c r="B437" s="10" t="s">
        <v>1184</v>
      </c>
      <c r="C437" s="12" t="s">
        <v>1185</v>
      </c>
      <c r="D437" s="12" t="s">
        <v>1176</v>
      </c>
      <c r="E437" s="12" t="s">
        <v>334</v>
      </c>
      <c r="F437" s="10" t="s">
        <v>343</v>
      </c>
      <c r="G437" s="10">
        <f>SUMIF(成品月初库存!$C$3:$C$362,$B437,成品月初库存!$F$3:$F$362)</f>
        <v>0</v>
      </c>
      <c r="H437" s="10">
        <f>SUMIF(成品入库明细!$D$2:$D$500,$B437,成品入库明细!$G$2:$G$500)</f>
        <v>0</v>
      </c>
      <c r="I437" s="10">
        <f>SUMIF(成品出库明细!$D$2:$D$1172,$B437,成品出库明细!$G$2:$G$1172)</f>
        <v>0</v>
      </c>
      <c r="J437" s="10">
        <f t="shared" si="8"/>
        <v>0</v>
      </c>
      <c r="K437" s="12" t="s">
        <v>300</v>
      </c>
      <c r="L437" s="10"/>
      <c r="M437" s="10"/>
      <c r="N437" s="10"/>
      <c r="O437" s="10"/>
      <c r="P437" s="10"/>
    </row>
    <row r="438" s="2" customFormat="1" ht="14.25" spans="1:16">
      <c r="A438" s="10">
        <v>336</v>
      </c>
      <c r="B438" s="10" t="s">
        <v>1186</v>
      </c>
      <c r="C438" s="10">
        <v>142980</v>
      </c>
      <c r="D438" s="12" t="s">
        <v>1176</v>
      </c>
      <c r="E438" s="12" t="s">
        <v>334</v>
      </c>
      <c r="F438" s="10" t="s">
        <v>343</v>
      </c>
      <c r="G438" s="10">
        <f>SUMIF(成品月初库存!$C$3:$C$362,$B438,成品月初库存!$F$3:$F$362)</f>
        <v>0</v>
      </c>
      <c r="H438" s="10">
        <f>SUMIF(成品入库明细!$D$2:$D$500,$B438,成品入库明细!$G$2:$G$500)</f>
        <v>0</v>
      </c>
      <c r="I438" s="10">
        <f>SUMIF(成品出库明细!$D$2:$D$1172,$B438,成品出库明细!$G$2:$G$1172)</f>
        <v>0</v>
      </c>
      <c r="J438" s="10">
        <f t="shared" si="8"/>
        <v>0</v>
      </c>
      <c r="K438" s="12" t="s">
        <v>300</v>
      </c>
      <c r="L438" s="10"/>
      <c r="M438" s="10"/>
      <c r="N438" s="10"/>
      <c r="O438" s="10"/>
      <c r="P438" s="10"/>
    </row>
    <row r="439" s="2" customFormat="1" ht="14.25" spans="1:16">
      <c r="A439" s="10">
        <v>337</v>
      </c>
      <c r="B439" s="10" t="s">
        <v>1187</v>
      </c>
      <c r="C439" s="12" t="s">
        <v>1188</v>
      </c>
      <c r="D439" s="12" t="s">
        <v>1176</v>
      </c>
      <c r="E439" s="12" t="s">
        <v>334</v>
      </c>
      <c r="F439" s="10" t="s">
        <v>343</v>
      </c>
      <c r="G439" s="10">
        <f>SUMIF(成品月初库存!$C$3:$C$362,$B439,成品月初库存!$F$3:$F$362)</f>
        <v>0</v>
      </c>
      <c r="H439" s="10">
        <f>SUMIF(成品入库明细!$D$2:$D$500,$B439,成品入库明细!$G$2:$G$500)</f>
        <v>0</v>
      </c>
      <c r="I439" s="10">
        <f>SUMIF(成品出库明细!$D$2:$D$1172,$B439,成品出库明细!$G$2:$G$1172)</f>
        <v>0</v>
      </c>
      <c r="J439" s="10">
        <f t="shared" si="8"/>
        <v>0</v>
      </c>
      <c r="K439" s="12" t="s">
        <v>300</v>
      </c>
      <c r="L439" s="10"/>
      <c r="M439" s="10"/>
      <c r="N439" s="10"/>
      <c r="O439" s="10"/>
      <c r="P439" s="10"/>
    </row>
    <row r="440" s="2" customFormat="1" ht="14.25" spans="1:16">
      <c r="A440" s="10">
        <v>338</v>
      </c>
      <c r="B440" s="10" t="s">
        <v>1189</v>
      </c>
      <c r="C440" s="10" t="s">
        <v>1190</v>
      </c>
      <c r="D440" s="12" t="s">
        <v>1176</v>
      </c>
      <c r="E440" s="12" t="s">
        <v>334</v>
      </c>
      <c r="F440" s="10" t="s">
        <v>343</v>
      </c>
      <c r="G440" s="10">
        <f>SUMIF(成品月初库存!$C$3:$C$362,$B440,成品月初库存!$F$3:$F$362)</f>
        <v>0</v>
      </c>
      <c r="H440" s="10">
        <f>SUMIF(成品入库明细!$D$2:$D$500,$B440,成品入库明细!$G$2:$G$500)</f>
        <v>0</v>
      </c>
      <c r="I440" s="10">
        <f>SUMIF(成品出库明细!$D$2:$D$1172,$B440,成品出库明细!$G$2:$G$1172)</f>
        <v>0</v>
      </c>
      <c r="J440" s="10">
        <f t="shared" si="8"/>
        <v>0</v>
      </c>
      <c r="K440" s="12" t="s">
        <v>300</v>
      </c>
      <c r="L440" s="10"/>
      <c r="M440" s="10"/>
      <c r="N440" s="10"/>
      <c r="O440" s="10"/>
      <c r="P440" s="10"/>
    </row>
    <row r="441" s="2" customFormat="1" ht="14.25" spans="1:16">
      <c r="A441" s="10">
        <v>339</v>
      </c>
      <c r="B441" s="10" t="s">
        <v>1191</v>
      </c>
      <c r="C441" s="12" t="s">
        <v>1192</v>
      </c>
      <c r="D441" s="12" t="s">
        <v>1176</v>
      </c>
      <c r="E441" s="12" t="s">
        <v>334</v>
      </c>
      <c r="F441" s="10" t="s">
        <v>343</v>
      </c>
      <c r="G441" s="10">
        <f>SUMIF(成品月初库存!$C$3:$C$362,$B441,成品月初库存!$F$3:$F$362)</f>
        <v>0</v>
      </c>
      <c r="H441" s="10">
        <f>SUMIF(成品入库明细!$D$2:$D$500,$B441,成品入库明细!$G$2:$G$500)</f>
        <v>0</v>
      </c>
      <c r="I441" s="10">
        <f>SUMIF(成品出库明细!$D$2:$D$1172,$B441,成品出库明细!$G$2:$G$1172)</f>
        <v>0</v>
      </c>
      <c r="J441" s="10">
        <f t="shared" si="8"/>
        <v>0</v>
      </c>
      <c r="K441" s="12" t="s">
        <v>300</v>
      </c>
      <c r="L441" s="10"/>
      <c r="M441" s="10"/>
      <c r="N441" s="10"/>
      <c r="O441" s="10"/>
      <c r="P441" s="10"/>
    </row>
    <row r="442" s="3" customFormat="1" ht="14.25" spans="1:16">
      <c r="A442" s="10">
        <v>340</v>
      </c>
      <c r="B442" s="10" t="s">
        <v>1193</v>
      </c>
      <c r="C442" s="10" t="s">
        <v>1194</v>
      </c>
      <c r="D442" s="12" t="s">
        <v>1176</v>
      </c>
      <c r="E442" s="12" t="s">
        <v>334</v>
      </c>
      <c r="F442" s="10" t="s">
        <v>343</v>
      </c>
      <c r="G442" s="10">
        <f>SUMIF(成品月初库存!$C$3:$C$362,$B442,成品月初库存!$F$3:$F$362)</f>
        <v>0</v>
      </c>
      <c r="H442" s="10">
        <f>SUMIF(成品入库明细!$D$2:$D$500,$B442,成品入库明细!$G$2:$G$500)</f>
        <v>0</v>
      </c>
      <c r="I442" s="10">
        <f>SUMIF(成品出库明细!$D$2:$D$1172,$B442,成品出库明细!$G$2:$G$1172)</f>
        <v>0</v>
      </c>
      <c r="J442" s="10">
        <f t="shared" si="8"/>
        <v>0</v>
      </c>
      <c r="K442" s="12" t="s">
        <v>300</v>
      </c>
      <c r="L442" s="10"/>
      <c r="M442" s="10"/>
      <c r="N442" s="10"/>
      <c r="O442" s="10"/>
      <c r="P442" s="10"/>
    </row>
    <row r="443" s="3" customFormat="1" ht="14.25" spans="1:16">
      <c r="A443" s="10">
        <v>341</v>
      </c>
      <c r="B443" s="10" t="s">
        <v>1195</v>
      </c>
      <c r="C443" s="10" t="s">
        <v>1196</v>
      </c>
      <c r="D443" s="12" t="s">
        <v>1176</v>
      </c>
      <c r="E443" s="12" t="s">
        <v>334</v>
      </c>
      <c r="F443" s="10" t="s">
        <v>343</v>
      </c>
      <c r="G443" s="10">
        <f>SUMIF(成品月初库存!$C$3:$C$362,$B443,成品月初库存!$F$3:$F$362)</f>
        <v>0</v>
      </c>
      <c r="H443" s="10">
        <f>SUMIF(成品入库明细!$D$2:$D$500,$B443,成品入库明细!$G$2:$G$500)</f>
        <v>0</v>
      </c>
      <c r="I443" s="10">
        <f>SUMIF(成品出库明细!$D$2:$D$1172,$B443,成品出库明细!$G$2:$G$1172)</f>
        <v>0</v>
      </c>
      <c r="J443" s="10">
        <f t="shared" si="8"/>
        <v>0</v>
      </c>
      <c r="K443" s="12" t="s">
        <v>300</v>
      </c>
      <c r="L443" s="10"/>
      <c r="M443" s="10"/>
      <c r="N443" s="10"/>
      <c r="O443" s="10"/>
      <c r="P443" s="10"/>
    </row>
    <row r="444" s="3" customFormat="1" ht="14.25" spans="1:16">
      <c r="A444" s="10">
        <v>342</v>
      </c>
      <c r="B444" s="10" t="s">
        <v>1197</v>
      </c>
      <c r="C444" s="12" t="s">
        <v>1198</v>
      </c>
      <c r="D444" s="12" t="s">
        <v>1199</v>
      </c>
      <c r="E444" s="12" t="s">
        <v>334</v>
      </c>
      <c r="F444" s="10" t="s">
        <v>343</v>
      </c>
      <c r="G444" s="10">
        <f>SUMIF(成品月初库存!$C$3:$C$362,$B444,成品月初库存!$F$3:$F$362)</f>
        <v>0</v>
      </c>
      <c r="H444" s="10">
        <f>SUMIF(成品入库明细!$D$2:$D$500,$B444,成品入库明细!$G$2:$G$500)</f>
        <v>0</v>
      </c>
      <c r="I444" s="10">
        <f>SUMIF(成品出库明细!$D$2:$D$1172,$B444,成品出库明细!$G$2:$G$1172)</f>
        <v>0</v>
      </c>
      <c r="J444" s="10">
        <f t="shared" si="8"/>
        <v>0</v>
      </c>
      <c r="K444" s="12" t="s">
        <v>300</v>
      </c>
      <c r="L444" s="10"/>
      <c r="M444" s="10"/>
      <c r="N444" s="10"/>
      <c r="O444" s="10"/>
      <c r="P444" s="10"/>
    </row>
    <row r="445" s="3" customFormat="1" ht="15.75" spans="1:16">
      <c r="A445" s="10">
        <v>343</v>
      </c>
      <c r="B445" s="10" t="s">
        <v>1200</v>
      </c>
      <c r="C445" s="11" t="s">
        <v>1201</v>
      </c>
      <c r="D445" s="12" t="s">
        <v>1202</v>
      </c>
      <c r="E445" s="12" t="s">
        <v>334</v>
      </c>
      <c r="F445" s="10" t="s">
        <v>343</v>
      </c>
      <c r="G445" s="10">
        <f>SUMIF(成品月初库存!$C$3:$C$362,$B445,成品月初库存!$F$3:$F$362)</f>
        <v>0</v>
      </c>
      <c r="H445" s="10">
        <f>SUMIF(成品入库明细!$D$2:$D$500,$B445,成品入库明细!$G$2:$G$500)</f>
        <v>0</v>
      </c>
      <c r="I445" s="10">
        <f>SUMIF(成品出库明细!$D$2:$D$1172,$B445,成品出库明细!$G$2:$G$1172)</f>
        <v>0</v>
      </c>
      <c r="J445" s="10">
        <f t="shared" si="8"/>
        <v>0</v>
      </c>
      <c r="K445" s="12" t="s">
        <v>344</v>
      </c>
      <c r="L445" s="10"/>
      <c r="M445" s="10"/>
      <c r="N445" s="10"/>
      <c r="O445" s="10"/>
      <c r="P445" s="10"/>
    </row>
    <row r="446" s="3" customFormat="1" ht="14.25" spans="1:16">
      <c r="A446" s="10">
        <v>344</v>
      </c>
      <c r="B446" s="10" t="s">
        <v>1203</v>
      </c>
      <c r="C446" s="10" t="s">
        <v>1204</v>
      </c>
      <c r="D446" s="12" t="s">
        <v>1205</v>
      </c>
      <c r="E446" s="12" t="s">
        <v>334</v>
      </c>
      <c r="F446" s="10" t="s">
        <v>343</v>
      </c>
      <c r="G446" s="10">
        <f>SUMIF(成品月初库存!$C$3:$C$362,$B446,成品月初库存!$F$3:$F$362)</f>
        <v>0</v>
      </c>
      <c r="H446" s="10">
        <f>SUMIF(成品入库明细!$D$2:$D$500,$B446,成品入库明细!$G$2:$G$500)</f>
        <v>0</v>
      </c>
      <c r="I446" s="10">
        <f>SUMIF(成品出库明细!$D$2:$D$1172,$B446,成品出库明细!$G$2:$G$1172)</f>
        <v>0</v>
      </c>
      <c r="J446" s="10">
        <f t="shared" si="8"/>
        <v>0</v>
      </c>
      <c r="K446" s="12" t="s">
        <v>300</v>
      </c>
      <c r="L446" s="10"/>
      <c r="M446" s="10"/>
      <c r="N446" s="10"/>
      <c r="O446" s="10"/>
      <c r="P446" s="10"/>
    </row>
    <row r="447" s="3" customFormat="1" ht="14.25" spans="1:16">
      <c r="A447" s="10">
        <v>345</v>
      </c>
      <c r="B447" s="10" t="s">
        <v>144</v>
      </c>
      <c r="C447" s="12" t="s">
        <v>1206</v>
      </c>
      <c r="D447" s="12" t="s">
        <v>1207</v>
      </c>
      <c r="E447" s="12" t="s">
        <v>334</v>
      </c>
      <c r="F447" s="10" t="s">
        <v>343</v>
      </c>
      <c r="G447" s="10">
        <f>SUMIF(成品月初库存!$C$3:$C$362,$B447,成品月初库存!$F$3:$F$362)</f>
        <v>987</v>
      </c>
      <c r="H447" s="10">
        <f>SUMIF(成品入库明细!$D$2:$D$500,$B447,成品入库明细!$G$2:$G$500)</f>
        <v>0</v>
      </c>
      <c r="I447" s="10">
        <f>SUMIF(成品出库明细!$D$2:$D$1172,$B447,成品出库明细!$G$2:$G$1172)</f>
        <v>0</v>
      </c>
      <c r="J447" s="10">
        <f t="shared" si="8"/>
        <v>987</v>
      </c>
      <c r="K447" s="12" t="s">
        <v>300</v>
      </c>
      <c r="L447" s="10"/>
      <c r="M447" s="10"/>
      <c r="N447" s="10"/>
      <c r="O447" s="10"/>
      <c r="P447" s="10"/>
    </row>
    <row r="448" s="3" customFormat="1" ht="14.25" spans="1:16">
      <c r="A448" s="10">
        <v>346</v>
      </c>
      <c r="B448" s="10" t="s">
        <v>1208</v>
      </c>
      <c r="C448" s="10" t="s">
        <v>1209</v>
      </c>
      <c r="D448" s="12" t="s">
        <v>1210</v>
      </c>
      <c r="E448" s="12" t="s">
        <v>334</v>
      </c>
      <c r="F448" s="10" t="s">
        <v>343</v>
      </c>
      <c r="G448" s="10">
        <f>SUMIF(成品月初库存!$C$3:$C$362,$B448,成品月初库存!$F$3:$F$362)</f>
        <v>0</v>
      </c>
      <c r="H448" s="10">
        <f>SUMIF(成品入库明细!$D$2:$D$500,$B448,成品入库明细!$G$2:$G$500)</f>
        <v>0</v>
      </c>
      <c r="I448" s="10">
        <f>SUMIF(成品出库明细!$D$2:$D$1172,$B448,成品出库明细!$G$2:$G$1172)</f>
        <v>0</v>
      </c>
      <c r="J448" s="10">
        <f t="shared" si="8"/>
        <v>0</v>
      </c>
      <c r="K448" s="12" t="s">
        <v>379</v>
      </c>
      <c r="L448" s="10"/>
      <c r="M448" s="10"/>
      <c r="N448" s="10"/>
      <c r="O448" s="10"/>
      <c r="P448" s="10"/>
    </row>
    <row r="449" s="3" customFormat="1" ht="15.75" spans="1:16">
      <c r="A449" s="10">
        <v>347</v>
      </c>
      <c r="B449" s="10" t="s">
        <v>329</v>
      </c>
      <c r="C449" s="11" t="s">
        <v>1211</v>
      </c>
      <c r="D449" s="12" t="s">
        <v>1212</v>
      </c>
      <c r="E449" s="12" t="s">
        <v>334</v>
      </c>
      <c r="F449" s="10" t="s">
        <v>343</v>
      </c>
      <c r="G449" s="10">
        <f>SUMIF(成品月初库存!$C$3:$C$362,$B449,成品月初库存!$F$3:$F$362)</f>
        <v>0</v>
      </c>
      <c r="H449" s="10">
        <f>SUMIF(成品入库明细!$D$2:$D$500,$B449,成品入库明细!$G$2:$G$500)</f>
        <v>0</v>
      </c>
      <c r="I449" s="10">
        <f>SUMIF(成品出库明细!$D$2:$D$1172,$B449,成品出库明细!$G$2:$G$1172)</f>
        <v>-761</v>
      </c>
      <c r="J449" s="10">
        <f t="shared" ref="J449:J512" si="9">G449+H449-I449</f>
        <v>761</v>
      </c>
      <c r="K449" s="12" t="s">
        <v>988</v>
      </c>
      <c r="L449" s="10"/>
      <c r="M449" s="10"/>
      <c r="N449" s="10"/>
      <c r="O449" s="10"/>
      <c r="P449" s="10"/>
    </row>
    <row r="450" s="3" customFormat="1" ht="15.75" spans="1:16">
      <c r="A450" s="10">
        <v>348</v>
      </c>
      <c r="B450" s="10" t="s">
        <v>330</v>
      </c>
      <c r="C450" s="11" t="s">
        <v>1213</v>
      </c>
      <c r="D450" s="12" t="s">
        <v>1212</v>
      </c>
      <c r="E450" s="12" t="s">
        <v>334</v>
      </c>
      <c r="F450" s="10" t="s">
        <v>343</v>
      </c>
      <c r="G450" s="10">
        <f>SUMIF(成品月初库存!$C$3:$C$362,$B450,成品月初库存!$F$3:$F$362)</f>
        <v>0</v>
      </c>
      <c r="H450" s="10">
        <f>SUMIF(成品入库明细!$D$2:$D$500,$B450,成品入库明细!$G$2:$G$500)</f>
        <v>0</v>
      </c>
      <c r="I450" s="10">
        <f>SUMIF(成品出库明细!$D$2:$D$1172,$B450,成品出库明细!$G$2:$G$1172)</f>
        <v>-360</v>
      </c>
      <c r="J450" s="10">
        <f t="shared" si="9"/>
        <v>360</v>
      </c>
      <c r="K450" s="12" t="s">
        <v>988</v>
      </c>
      <c r="L450" s="10"/>
      <c r="M450" s="10"/>
      <c r="N450" s="10"/>
      <c r="O450" s="10"/>
      <c r="P450" s="10"/>
    </row>
    <row r="451" s="3" customFormat="1" ht="15.75" spans="1:16">
      <c r="A451" s="10">
        <v>349</v>
      </c>
      <c r="B451" s="10" t="s">
        <v>1214</v>
      </c>
      <c r="C451" s="11" t="s">
        <v>1215</v>
      </c>
      <c r="D451" s="12" t="s">
        <v>1212</v>
      </c>
      <c r="E451" s="12" t="s">
        <v>334</v>
      </c>
      <c r="F451" s="10" t="s">
        <v>343</v>
      </c>
      <c r="G451" s="10">
        <f>SUMIF(成品月初库存!$C$3:$C$362,$B451,成品月初库存!$F$3:$F$362)</f>
        <v>0</v>
      </c>
      <c r="H451" s="10">
        <f>SUMIF(成品入库明细!$D$2:$D$500,$B451,成品入库明细!$G$2:$G$500)</f>
        <v>0</v>
      </c>
      <c r="I451" s="10">
        <f>SUMIF(成品出库明细!$D$2:$D$1172,$B451,成品出库明细!$G$2:$G$1172)</f>
        <v>0</v>
      </c>
      <c r="J451" s="10">
        <f t="shared" si="9"/>
        <v>0</v>
      </c>
      <c r="K451" s="12" t="s">
        <v>988</v>
      </c>
      <c r="L451" s="10"/>
      <c r="M451" s="10"/>
      <c r="N451" s="10"/>
      <c r="O451" s="10"/>
      <c r="P451" s="10"/>
    </row>
    <row r="452" s="3" customFormat="1" ht="15.75" spans="1:16">
      <c r="A452" s="10">
        <v>350</v>
      </c>
      <c r="B452" s="10" t="s">
        <v>1216</v>
      </c>
      <c r="C452" s="24" t="s">
        <v>1217</v>
      </c>
      <c r="D452" s="12" t="s">
        <v>1218</v>
      </c>
      <c r="E452" s="12" t="s">
        <v>334</v>
      </c>
      <c r="F452" s="10" t="s">
        <v>343</v>
      </c>
      <c r="G452" s="10">
        <f>SUMIF(成品月初库存!$C$3:$C$362,$B452,成品月初库存!$F$3:$F$362)</f>
        <v>0</v>
      </c>
      <c r="H452" s="10">
        <f>SUMIF(成品入库明细!$D$2:$D$500,$B452,成品入库明细!$G$2:$G$500)</f>
        <v>0</v>
      </c>
      <c r="I452" s="10">
        <f>SUMIF(成品出库明细!$D$2:$D$1172,$B452,成品出库明细!$G$2:$G$1172)</f>
        <v>0</v>
      </c>
      <c r="J452" s="10">
        <f t="shared" si="9"/>
        <v>0</v>
      </c>
      <c r="K452" s="12" t="s">
        <v>300</v>
      </c>
      <c r="L452" s="10"/>
      <c r="M452" s="10"/>
      <c r="N452" s="10"/>
      <c r="O452" s="10"/>
      <c r="P452" s="10"/>
    </row>
    <row r="453" s="3" customFormat="1" ht="14.25" spans="1:16">
      <c r="A453" s="10">
        <v>351</v>
      </c>
      <c r="B453" s="10" t="s">
        <v>1219</v>
      </c>
      <c r="C453" s="12" t="s">
        <v>1220</v>
      </c>
      <c r="D453" s="12" t="s">
        <v>1218</v>
      </c>
      <c r="E453" s="12" t="s">
        <v>334</v>
      </c>
      <c r="F453" s="10" t="s">
        <v>343</v>
      </c>
      <c r="G453" s="10">
        <f>SUMIF(成品月初库存!$C$3:$C$362,$B453,成品月初库存!$F$3:$F$362)</f>
        <v>0</v>
      </c>
      <c r="H453" s="10">
        <f>SUMIF(成品入库明细!$D$2:$D$500,$B453,成品入库明细!$G$2:$G$500)</f>
        <v>0</v>
      </c>
      <c r="I453" s="10">
        <f>SUMIF(成品出库明细!$D$2:$D$1172,$B453,成品出库明细!$G$2:$G$1172)</f>
        <v>0</v>
      </c>
      <c r="J453" s="10">
        <f t="shared" si="9"/>
        <v>0</v>
      </c>
      <c r="K453" s="12" t="s">
        <v>300</v>
      </c>
      <c r="L453" s="10"/>
      <c r="M453" s="10"/>
      <c r="N453" s="10"/>
      <c r="O453" s="10"/>
      <c r="P453" s="10"/>
    </row>
    <row r="454" s="3" customFormat="1" ht="14.25" spans="1:16">
      <c r="A454" s="10">
        <v>352</v>
      </c>
      <c r="B454" s="10" t="s">
        <v>1221</v>
      </c>
      <c r="C454" s="12" t="s">
        <v>1222</v>
      </c>
      <c r="D454" s="12" t="s">
        <v>1218</v>
      </c>
      <c r="E454" s="12" t="s">
        <v>334</v>
      </c>
      <c r="F454" s="10" t="s">
        <v>343</v>
      </c>
      <c r="G454" s="10">
        <f>SUMIF(成品月初库存!$C$3:$C$362,$B454,成品月初库存!$F$3:$F$362)</f>
        <v>0</v>
      </c>
      <c r="H454" s="10">
        <f>SUMIF(成品入库明细!$D$2:$D$500,$B454,成品入库明细!$G$2:$G$500)</f>
        <v>0</v>
      </c>
      <c r="I454" s="10">
        <f>SUMIF(成品出库明细!$D$2:$D$1172,$B454,成品出库明细!$G$2:$G$1172)</f>
        <v>0</v>
      </c>
      <c r="J454" s="10">
        <f t="shared" si="9"/>
        <v>0</v>
      </c>
      <c r="K454" s="12" t="s">
        <v>300</v>
      </c>
      <c r="L454" s="10"/>
      <c r="M454" s="10"/>
      <c r="N454" s="10"/>
      <c r="O454" s="10"/>
      <c r="P454" s="10"/>
    </row>
    <row r="455" s="3" customFormat="1" ht="14.25" spans="1:16">
      <c r="A455" s="10">
        <v>353</v>
      </c>
      <c r="B455" s="10" t="s">
        <v>1223</v>
      </c>
      <c r="C455" s="10" t="s">
        <v>1224</v>
      </c>
      <c r="D455" s="12" t="s">
        <v>332</v>
      </c>
      <c r="E455" s="12" t="s">
        <v>334</v>
      </c>
      <c r="F455" s="10" t="s">
        <v>343</v>
      </c>
      <c r="G455" s="10">
        <f>SUMIF(成品月初库存!$C$3:$C$362,$B455,成品月初库存!$F$3:$F$362)</f>
        <v>0</v>
      </c>
      <c r="H455" s="10">
        <f>SUMIF(成品入库明细!$D$2:$D$500,$B455,成品入库明细!$G$2:$G$500)</f>
        <v>0</v>
      </c>
      <c r="I455" s="10">
        <f>SUMIF(成品出库明细!$D$2:$D$1172,$B455,成品出库明细!$G$2:$G$1172)</f>
        <v>0</v>
      </c>
      <c r="J455" s="10">
        <f t="shared" si="9"/>
        <v>0</v>
      </c>
      <c r="K455" s="12" t="s">
        <v>344</v>
      </c>
      <c r="L455" s="10"/>
      <c r="M455" s="10"/>
      <c r="N455" s="10"/>
      <c r="O455" s="10"/>
      <c r="P455" s="10"/>
    </row>
    <row r="456" s="3" customFormat="1" ht="14.25" spans="1:16">
      <c r="A456" s="10">
        <v>354</v>
      </c>
      <c r="B456" s="10" t="s">
        <v>1225</v>
      </c>
      <c r="C456" s="12" t="s">
        <v>1226</v>
      </c>
      <c r="D456" s="12" t="s">
        <v>332</v>
      </c>
      <c r="E456" s="12" t="s">
        <v>334</v>
      </c>
      <c r="F456" s="10" t="s">
        <v>343</v>
      </c>
      <c r="G456" s="10">
        <f>SUMIF(成品月初库存!$C$3:$C$362,$B456,成品月初库存!$F$3:$F$362)</f>
        <v>0</v>
      </c>
      <c r="H456" s="10">
        <f>SUMIF(成品入库明细!$D$2:$D$500,$B456,成品入库明细!$G$2:$G$500)</f>
        <v>0</v>
      </c>
      <c r="I456" s="10">
        <f>SUMIF(成品出库明细!$D$2:$D$1172,$B456,成品出库明细!$G$2:$G$1172)</f>
        <v>0</v>
      </c>
      <c r="J456" s="10">
        <f t="shared" si="9"/>
        <v>0</v>
      </c>
      <c r="K456" s="12" t="s">
        <v>1227</v>
      </c>
      <c r="L456" s="10"/>
      <c r="M456" s="10"/>
      <c r="N456" s="10"/>
      <c r="O456" s="10"/>
      <c r="P456" s="10"/>
    </row>
    <row r="457" s="3" customFormat="1" ht="14.25" spans="1:16">
      <c r="A457" s="10">
        <v>355</v>
      </c>
      <c r="B457" s="10" t="s">
        <v>1228</v>
      </c>
      <c r="C457" s="12" t="s">
        <v>1229</v>
      </c>
      <c r="D457" s="12" t="s">
        <v>332</v>
      </c>
      <c r="E457" s="12" t="s">
        <v>334</v>
      </c>
      <c r="F457" s="10" t="s">
        <v>343</v>
      </c>
      <c r="G457" s="10">
        <f>SUMIF(成品月初库存!$C$3:$C$362,$B457,成品月初库存!$F$3:$F$362)</f>
        <v>0</v>
      </c>
      <c r="H457" s="10">
        <f>SUMIF(成品入库明细!$D$2:$D$500,$B457,成品入库明细!$G$2:$G$500)</f>
        <v>0</v>
      </c>
      <c r="I457" s="10">
        <f>SUMIF(成品出库明细!$D$2:$D$1172,$B457,成品出库明细!$G$2:$G$1172)</f>
        <v>0</v>
      </c>
      <c r="J457" s="10">
        <f t="shared" si="9"/>
        <v>0</v>
      </c>
      <c r="K457" s="12" t="s">
        <v>1230</v>
      </c>
      <c r="L457" s="10"/>
      <c r="M457" s="10"/>
      <c r="N457" s="10"/>
      <c r="O457" s="10"/>
      <c r="P457" s="10"/>
    </row>
    <row r="458" s="3" customFormat="1" ht="14.25" spans="1:16">
      <c r="A458" s="10">
        <v>356</v>
      </c>
      <c r="B458" s="10" t="s">
        <v>1231</v>
      </c>
      <c r="C458" s="12" t="s">
        <v>1232</v>
      </c>
      <c r="D458" s="12" t="s">
        <v>332</v>
      </c>
      <c r="E458" s="12" t="s">
        <v>334</v>
      </c>
      <c r="F458" s="10" t="s">
        <v>343</v>
      </c>
      <c r="G458" s="10">
        <f>SUMIF(成品月初库存!$C$3:$C$362,$B458,成品月初库存!$F$3:$F$362)</f>
        <v>0</v>
      </c>
      <c r="H458" s="10">
        <f>SUMIF(成品入库明细!$D$2:$D$500,$B458,成品入库明细!$G$2:$G$500)</f>
        <v>0</v>
      </c>
      <c r="I458" s="10">
        <f>SUMIF(成品出库明细!$D$2:$D$1172,$B458,成品出库明细!$G$2:$G$1172)</f>
        <v>0</v>
      </c>
      <c r="J458" s="10">
        <f t="shared" si="9"/>
        <v>0</v>
      </c>
      <c r="K458" s="12" t="s">
        <v>370</v>
      </c>
      <c r="L458" s="10"/>
      <c r="M458" s="10"/>
      <c r="N458" s="10"/>
      <c r="O458" s="10"/>
      <c r="P458" s="10"/>
    </row>
    <row r="459" s="3" customFormat="1" ht="14.25" spans="1:16">
      <c r="A459" s="10">
        <v>357</v>
      </c>
      <c r="B459" s="10" t="s">
        <v>1233</v>
      </c>
      <c r="C459" s="10" t="s">
        <v>1234</v>
      </c>
      <c r="D459" s="12" t="s">
        <v>332</v>
      </c>
      <c r="E459" s="12" t="s">
        <v>334</v>
      </c>
      <c r="F459" s="10" t="s">
        <v>343</v>
      </c>
      <c r="G459" s="10">
        <f>SUMIF(成品月初库存!$C$3:$C$362,$B459,成品月初库存!$F$3:$F$362)</f>
        <v>0</v>
      </c>
      <c r="H459" s="10">
        <f>SUMIF(成品入库明细!$D$2:$D$500,$B459,成品入库明细!$G$2:$G$500)</f>
        <v>0</v>
      </c>
      <c r="I459" s="10">
        <f>SUMIF(成品出库明细!$D$2:$D$1172,$B459,成品出库明细!$G$2:$G$1172)</f>
        <v>0</v>
      </c>
      <c r="J459" s="10">
        <f t="shared" si="9"/>
        <v>0</v>
      </c>
      <c r="K459" s="12" t="s">
        <v>370</v>
      </c>
      <c r="L459" s="10"/>
      <c r="M459" s="10"/>
      <c r="N459" s="10"/>
      <c r="O459" s="10"/>
      <c r="P459" s="10"/>
    </row>
    <row r="460" s="3" customFormat="1" ht="14.25" spans="1:16">
      <c r="A460" s="10">
        <v>358</v>
      </c>
      <c r="B460" s="10" t="s">
        <v>302</v>
      </c>
      <c r="C460" s="12" t="s">
        <v>1235</v>
      </c>
      <c r="D460" s="12" t="s">
        <v>332</v>
      </c>
      <c r="E460" s="12" t="s">
        <v>334</v>
      </c>
      <c r="F460" s="10" t="s">
        <v>343</v>
      </c>
      <c r="G460" s="10">
        <f>SUMIF(成品月初库存!$C$3:$C$362,$B460,成品月初库存!$F$3:$F$362)</f>
        <v>0</v>
      </c>
      <c r="H460" s="10">
        <f>SUMIF(成品入库明细!$D$2:$D$500,$B460,成品入库明细!$G$2:$G$500)</f>
        <v>5088</v>
      </c>
      <c r="I460" s="10">
        <f>SUMIF(成品出库明细!$D$2:$D$1172,$B460,成品出库明细!$G$2:$G$1172)</f>
        <v>5095</v>
      </c>
      <c r="J460" s="10">
        <f t="shared" si="9"/>
        <v>-7</v>
      </c>
      <c r="K460" s="12" t="s">
        <v>300</v>
      </c>
      <c r="L460" s="10"/>
      <c r="M460" s="10"/>
      <c r="N460" s="10"/>
      <c r="O460" s="10"/>
      <c r="P460" s="10"/>
    </row>
    <row r="461" s="3" customFormat="1" ht="14.25" spans="1:16">
      <c r="A461" s="10">
        <v>358</v>
      </c>
      <c r="B461" s="10" t="s">
        <v>1236</v>
      </c>
      <c r="C461" s="12" t="s">
        <v>484</v>
      </c>
      <c r="D461" s="12" t="s">
        <v>1237</v>
      </c>
      <c r="E461" s="12" t="s">
        <v>334</v>
      </c>
      <c r="F461" s="10" t="s">
        <v>343</v>
      </c>
      <c r="G461" s="10">
        <f>SUMIF(成品月初库存!$C$3:$C$362,$B461,成品月初库存!$F$3:$F$362)</f>
        <v>0</v>
      </c>
      <c r="H461" s="10">
        <f>SUMIF(成品入库明细!$D$2:$D$500,$B461,成品入库明细!$G$2:$G$500)</f>
        <v>0</v>
      </c>
      <c r="I461" s="10">
        <f>SUMIF(成品出库明细!$D$2:$D$1172,$B461,成品出库明细!$G$2:$G$1172)</f>
        <v>0</v>
      </c>
      <c r="J461" s="10">
        <f t="shared" si="9"/>
        <v>0</v>
      </c>
      <c r="K461" s="12" t="s">
        <v>300</v>
      </c>
      <c r="L461" s="10"/>
      <c r="M461" s="10"/>
      <c r="N461" s="10"/>
      <c r="O461" s="10"/>
      <c r="P461" s="10"/>
    </row>
    <row r="462" s="3" customFormat="1" ht="14.25" spans="1:16">
      <c r="A462" s="10">
        <v>359</v>
      </c>
      <c r="B462" s="10" t="s">
        <v>1238</v>
      </c>
      <c r="C462" s="12" t="s">
        <v>1198</v>
      </c>
      <c r="D462" s="12" t="s">
        <v>1237</v>
      </c>
      <c r="E462" s="12" t="s">
        <v>334</v>
      </c>
      <c r="F462" s="10" t="s">
        <v>343</v>
      </c>
      <c r="G462" s="10">
        <f>SUMIF(成品月初库存!$C$3:$C$362,$B462,成品月初库存!$F$3:$F$362)</f>
        <v>0</v>
      </c>
      <c r="H462" s="10">
        <f>SUMIF(成品入库明细!$D$2:$D$500,$B462,成品入库明细!$G$2:$G$500)</f>
        <v>0</v>
      </c>
      <c r="I462" s="10">
        <f>SUMIF(成品出库明细!$D$2:$D$1172,$B462,成品出库明细!$G$2:$G$1172)</f>
        <v>0</v>
      </c>
      <c r="J462" s="10">
        <f t="shared" si="9"/>
        <v>0</v>
      </c>
      <c r="K462" s="12" t="s">
        <v>300</v>
      </c>
      <c r="L462" s="10"/>
      <c r="M462" s="10"/>
      <c r="N462" s="10"/>
      <c r="O462" s="10"/>
      <c r="P462" s="10"/>
    </row>
    <row r="463" s="3" customFormat="1" ht="14.25" spans="1:16">
      <c r="A463" s="10">
        <v>360</v>
      </c>
      <c r="B463" s="10" t="s">
        <v>145</v>
      </c>
      <c r="C463" s="10" t="s">
        <v>1239</v>
      </c>
      <c r="D463" s="12" t="s">
        <v>1240</v>
      </c>
      <c r="E463" s="12" t="s">
        <v>334</v>
      </c>
      <c r="F463" s="10" t="s">
        <v>343</v>
      </c>
      <c r="G463" s="10">
        <f>SUMIF(成品月初库存!$C$3:$C$362,$B463,成品月初库存!$F$3:$F$362)</f>
        <v>301</v>
      </c>
      <c r="H463" s="10">
        <f>SUMIF(成品入库明细!$D$2:$D$500,$B463,成品入库明细!$G$2:$G$500)</f>
        <v>0</v>
      </c>
      <c r="I463" s="10">
        <f>SUMIF(成品出库明细!$D$2:$D$1172,$B463,成品出库明细!$G$2:$G$1172)</f>
        <v>0</v>
      </c>
      <c r="J463" s="10">
        <f t="shared" si="9"/>
        <v>301</v>
      </c>
      <c r="K463" s="12" t="s">
        <v>370</v>
      </c>
      <c r="L463" s="10"/>
      <c r="M463" s="10"/>
      <c r="N463" s="10"/>
      <c r="O463" s="10"/>
      <c r="P463" s="10"/>
    </row>
    <row r="464" s="3" customFormat="1" ht="14.25" spans="1:16">
      <c r="A464" s="10">
        <v>361</v>
      </c>
      <c r="B464" s="10" t="s">
        <v>146</v>
      </c>
      <c r="C464" s="10" t="s">
        <v>1241</v>
      </c>
      <c r="D464" s="12" t="s">
        <v>1240</v>
      </c>
      <c r="E464" s="12" t="s">
        <v>334</v>
      </c>
      <c r="F464" s="10" t="s">
        <v>343</v>
      </c>
      <c r="G464" s="10">
        <f>SUMIF(成品月初库存!$C$3:$C$362,$B464,成品月初库存!$F$3:$F$362)</f>
        <v>249</v>
      </c>
      <c r="H464" s="10">
        <f>SUMIF(成品入库明细!$D$2:$D$500,$B464,成品入库明细!$G$2:$G$500)</f>
        <v>0</v>
      </c>
      <c r="I464" s="10">
        <f>SUMIF(成品出库明细!$D$2:$D$1172,$B464,成品出库明细!$G$2:$G$1172)</f>
        <v>0</v>
      </c>
      <c r="J464" s="10">
        <f t="shared" si="9"/>
        <v>249</v>
      </c>
      <c r="K464" s="12" t="s">
        <v>370</v>
      </c>
      <c r="L464" s="10"/>
      <c r="M464" s="10"/>
      <c r="N464" s="10"/>
      <c r="O464" s="10"/>
      <c r="P464" s="10"/>
    </row>
    <row r="465" s="3" customFormat="1" ht="14.25" spans="1:16">
      <c r="A465" s="10">
        <v>362</v>
      </c>
      <c r="B465" s="10" t="s">
        <v>1242</v>
      </c>
      <c r="C465" s="12" t="s">
        <v>1243</v>
      </c>
      <c r="D465" s="12" t="s">
        <v>1244</v>
      </c>
      <c r="E465" s="12" t="s">
        <v>334</v>
      </c>
      <c r="F465" s="10" t="s">
        <v>343</v>
      </c>
      <c r="G465" s="10">
        <f>SUMIF(成品月初库存!$C$3:$C$362,$B465,成品月初库存!$F$3:$F$362)</f>
        <v>0</v>
      </c>
      <c r="H465" s="10">
        <f>SUMIF(成品入库明细!$D$2:$D$500,$B465,成品入库明细!$G$2:$G$500)</f>
        <v>0</v>
      </c>
      <c r="I465" s="10">
        <f>SUMIF(成品出库明细!$D$2:$D$1172,$B465,成品出库明细!$G$2:$G$1172)</f>
        <v>0</v>
      </c>
      <c r="J465" s="10">
        <f t="shared" si="9"/>
        <v>0</v>
      </c>
      <c r="K465" s="12" t="s">
        <v>1245</v>
      </c>
      <c r="L465" s="10"/>
      <c r="M465" s="10"/>
      <c r="N465" s="10"/>
      <c r="O465" s="10"/>
      <c r="P465" s="10"/>
    </row>
    <row r="466" s="3" customFormat="1" ht="14.25" spans="1:16">
      <c r="A466" s="10">
        <v>363</v>
      </c>
      <c r="B466" s="10" t="s">
        <v>1246</v>
      </c>
      <c r="C466" s="10" t="s">
        <v>1247</v>
      </c>
      <c r="D466" s="12" t="s">
        <v>1248</v>
      </c>
      <c r="E466" s="12" t="s">
        <v>334</v>
      </c>
      <c r="F466" s="10" t="s">
        <v>343</v>
      </c>
      <c r="G466" s="10">
        <f>SUMIF(成品月初库存!$C$3:$C$362,$B466,成品月初库存!$F$3:$F$362)</f>
        <v>0</v>
      </c>
      <c r="H466" s="10">
        <f>SUMIF(成品入库明细!$D$2:$D$500,$B466,成品入库明细!$G$2:$G$500)</f>
        <v>0</v>
      </c>
      <c r="I466" s="10">
        <f>SUMIF(成品出库明细!$D$2:$D$1172,$B466,成品出库明细!$G$2:$G$1172)</f>
        <v>0</v>
      </c>
      <c r="J466" s="10">
        <f t="shared" si="9"/>
        <v>0</v>
      </c>
      <c r="K466" s="12" t="s">
        <v>357</v>
      </c>
      <c r="L466" s="10"/>
      <c r="M466" s="10"/>
      <c r="N466" s="10"/>
      <c r="O466" s="10"/>
      <c r="P466" s="10"/>
    </row>
    <row r="467" s="3" customFormat="1" ht="14.25" spans="1:16">
      <c r="A467" s="10">
        <v>364</v>
      </c>
      <c r="B467" s="10" t="s">
        <v>1249</v>
      </c>
      <c r="C467" s="12" t="s">
        <v>1250</v>
      </c>
      <c r="D467" s="12" t="s">
        <v>1251</v>
      </c>
      <c r="E467" s="12" t="s">
        <v>334</v>
      </c>
      <c r="F467" s="10" t="s">
        <v>343</v>
      </c>
      <c r="G467" s="10">
        <f>SUMIF(成品月初库存!$C$3:$C$362,$B467,成品月初库存!$F$3:$F$362)</f>
        <v>0</v>
      </c>
      <c r="H467" s="10">
        <f>SUMIF(成品入库明细!$D$2:$D$500,$B467,成品入库明细!$G$2:$G$500)</f>
        <v>0</v>
      </c>
      <c r="I467" s="10">
        <f>SUMIF(成品出库明细!$D$2:$D$1172,$B467,成品出库明细!$G$2:$G$1172)</f>
        <v>0</v>
      </c>
      <c r="J467" s="10">
        <f t="shared" si="9"/>
        <v>0</v>
      </c>
      <c r="K467" s="12" t="s">
        <v>357</v>
      </c>
      <c r="L467" s="10"/>
      <c r="M467" s="10"/>
      <c r="N467" s="10"/>
      <c r="O467" s="10"/>
      <c r="P467" s="10"/>
    </row>
    <row r="468" s="3" customFormat="1" ht="14.25" spans="1:16">
      <c r="A468" s="10">
        <v>365</v>
      </c>
      <c r="B468" s="10" t="s">
        <v>147</v>
      </c>
      <c r="C468" s="12" t="s">
        <v>1252</v>
      </c>
      <c r="D468" s="12" t="s">
        <v>1251</v>
      </c>
      <c r="E468" s="12" t="s">
        <v>334</v>
      </c>
      <c r="F468" s="10" t="s">
        <v>343</v>
      </c>
      <c r="G468" s="10">
        <f>SUMIF(成品月初库存!$C$3:$C$362,$B468,成品月初库存!$F$3:$F$362)</f>
        <v>9270</v>
      </c>
      <c r="H468" s="10">
        <f>SUMIF(成品入库明细!$D$2:$D$500,$B468,成品入库明细!$G$2:$G$500)</f>
        <v>0</v>
      </c>
      <c r="I468" s="10">
        <f>SUMIF(成品出库明细!$D$2:$D$1172,$B468,成品出库明细!$G$2:$G$1172)</f>
        <v>0</v>
      </c>
      <c r="J468" s="15">
        <f t="shared" si="9"/>
        <v>9270</v>
      </c>
      <c r="K468" s="12" t="s">
        <v>357</v>
      </c>
      <c r="L468" s="10"/>
      <c r="M468" s="10"/>
      <c r="N468" s="10"/>
      <c r="O468" s="10"/>
      <c r="P468" s="10"/>
    </row>
    <row r="469" s="3" customFormat="1" ht="14.25" spans="1:16">
      <c r="A469" s="10">
        <v>366</v>
      </c>
      <c r="B469" s="10" t="s">
        <v>148</v>
      </c>
      <c r="C469" s="10" t="s">
        <v>1253</v>
      </c>
      <c r="D469" s="12" t="s">
        <v>1251</v>
      </c>
      <c r="E469" s="12" t="s">
        <v>334</v>
      </c>
      <c r="F469" s="10" t="s">
        <v>343</v>
      </c>
      <c r="G469" s="10">
        <f>SUMIF(成品月初库存!$C$3:$C$362,$B469,成品月初库存!$F$3:$F$362)</f>
        <v>682</v>
      </c>
      <c r="H469" s="10">
        <f>SUMIF(成品入库明细!$D$2:$D$500,$B469,成品入库明细!$G$2:$G$500)</f>
        <v>0</v>
      </c>
      <c r="I469" s="10">
        <f>SUMIF(成品出库明细!$D$2:$D$1172,$B469,成品出库明细!$G$2:$G$1172)</f>
        <v>0</v>
      </c>
      <c r="J469" s="15">
        <f t="shared" si="9"/>
        <v>682</v>
      </c>
      <c r="K469" s="12" t="s">
        <v>357</v>
      </c>
      <c r="L469" s="10"/>
      <c r="M469" s="10"/>
      <c r="N469" s="10"/>
      <c r="O469" s="10"/>
      <c r="P469" s="10"/>
    </row>
    <row r="470" s="3" customFormat="1" ht="14.25" spans="1:16">
      <c r="A470" s="10">
        <v>367</v>
      </c>
      <c r="B470" s="10" t="s">
        <v>149</v>
      </c>
      <c r="C470" s="27" t="s">
        <v>1254</v>
      </c>
      <c r="D470" s="12" t="s">
        <v>1251</v>
      </c>
      <c r="E470" s="12" t="s">
        <v>334</v>
      </c>
      <c r="F470" s="10" t="s">
        <v>343</v>
      </c>
      <c r="G470" s="10">
        <f>SUMIF(成品月初库存!$C$3:$C$362,$B470,成品月初库存!$F$3:$F$362)</f>
        <v>10255</v>
      </c>
      <c r="H470" s="10">
        <f>SUMIF(成品入库明细!$D$2:$D$500,$B470,成品入库明细!$G$2:$G$500)</f>
        <v>0</v>
      </c>
      <c r="I470" s="10">
        <f>SUMIF(成品出库明细!$D$2:$D$1172,$B470,成品出库明细!$G$2:$G$1172)</f>
        <v>0</v>
      </c>
      <c r="J470" s="15">
        <f t="shared" si="9"/>
        <v>10255</v>
      </c>
      <c r="K470" s="12" t="s">
        <v>357</v>
      </c>
      <c r="L470" s="14" t="s">
        <v>1255</v>
      </c>
      <c r="M470" s="28" t="s">
        <v>150</v>
      </c>
      <c r="N470" s="10"/>
      <c r="O470" s="10"/>
      <c r="P470" s="10"/>
    </row>
    <row r="471" s="3" customFormat="1" ht="14.25" spans="1:16">
      <c r="A471" s="10"/>
      <c r="B471" s="10" t="s">
        <v>151</v>
      </c>
      <c r="C471" s="27" t="s">
        <v>1256</v>
      </c>
      <c r="D471" s="12" t="s">
        <v>1251</v>
      </c>
      <c r="E471" s="12" t="s">
        <v>334</v>
      </c>
      <c r="F471" s="10" t="s">
        <v>343</v>
      </c>
      <c r="G471" s="10">
        <f>SUMIF(成品月初库存!$C$3:$C$362,$B471,成品月初库存!$F$3:$F$362)</f>
        <v>3608</v>
      </c>
      <c r="H471" s="10">
        <f>SUMIF(成品入库明细!$D$2:$D$500,$B471,成品入库明细!$G$2:$G$500)</f>
        <v>0</v>
      </c>
      <c r="I471" s="10">
        <f>SUMIF(成品出库明细!$D$2:$D$1172,$B471,成品出库明细!$G$2:$G$1172)</f>
        <v>0</v>
      </c>
      <c r="J471" s="15">
        <f t="shared" si="9"/>
        <v>3608</v>
      </c>
      <c r="K471" s="12" t="s">
        <v>357</v>
      </c>
      <c r="L471" s="21"/>
      <c r="M471" s="10"/>
      <c r="N471" s="10"/>
      <c r="O471" s="10"/>
      <c r="P471" s="10"/>
    </row>
    <row r="472" s="3" customFormat="1" ht="14.25" spans="1:16">
      <c r="A472" s="10">
        <v>368</v>
      </c>
      <c r="B472" s="10" t="s">
        <v>152</v>
      </c>
      <c r="C472" s="27" t="s">
        <v>1257</v>
      </c>
      <c r="D472" s="12" t="s">
        <v>1251</v>
      </c>
      <c r="E472" s="12" t="s">
        <v>334</v>
      </c>
      <c r="F472" s="10" t="s">
        <v>343</v>
      </c>
      <c r="G472" s="10">
        <f>SUMIF(成品月初库存!$C$3:$C$362,$B472,成品月初库存!$F$3:$F$362)</f>
        <v>1261</v>
      </c>
      <c r="H472" s="10">
        <f>SUMIF(成品入库明细!$D$2:$D$500,$B472,成品入库明细!$G$2:$G$500)</f>
        <v>0</v>
      </c>
      <c r="I472" s="10">
        <f>SUMIF(成品出库明细!$D$2:$D$1172,$B472,成品出库明细!$G$2:$G$1172)</f>
        <v>0</v>
      </c>
      <c r="J472" s="15">
        <f t="shared" si="9"/>
        <v>1261</v>
      </c>
      <c r="K472" s="12" t="s">
        <v>357</v>
      </c>
      <c r="L472" s="10"/>
      <c r="M472" s="10"/>
      <c r="N472" s="10"/>
      <c r="O472" s="10"/>
      <c r="P472" s="10"/>
    </row>
    <row r="473" s="3" customFormat="1" ht="14.25" spans="1:16">
      <c r="A473" s="10">
        <v>368</v>
      </c>
      <c r="B473" s="10" t="s">
        <v>153</v>
      </c>
      <c r="C473" s="12" t="s">
        <v>1258</v>
      </c>
      <c r="D473" s="12" t="s">
        <v>1251</v>
      </c>
      <c r="E473" s="12" t="s">
        <v>334</v>
      </c>
      <c r="F473" s="10" t="s">
        <v>343</v>
      </c>
      <c r="G473" s="10">
        <f>SUMIF(成品月初库存!$C$3:$C$362,$B473,成品月初库存!$F$3:$F$362)</f>
        <v>25018</v>
      </c>
      <c r="H473" s="10">
        <f>SUMIF(成品入库明细!$D$2:$D$500,$B473,成品入库明细!$G$2:$G$500)</f>
        <v>0</v>
      </c>
      <c r="I473" s="10">
        <f>SUMIF(成品出库明细!$D$2:$D$1172,$B473,成品出库明细!$G$2:$G$1172)</f>
        <v>0</v>
      </c>
      <c r="J473" s="10">
        <f t="shared" si="9"/>
        <v>25018</v>
      </c>
      <c r="K473" s="12" t="s">
        <v>357</v>
      </c>
      <c r="L473" s="10"/>
      <c r="M473" s="10"/>
      <c r="N473" s="10"/>
      <c r="O473" s="10"/>
      <c r="P473" s="10"/>
    </row>
    <row r="474" s="3" customFormat="1" ht="14.25" spans="1:16">
      <c r="A474" s="10">
        <v>368</v>
      </c>
      <c r="B474" s="10" t="s">
        <v>155</v>
      </c>
      <c r="C474" s="12" t="s">
        <v>1259</v>
      </c>
      <c r="D474" s="12" t="s">
        <v>1251</v>
      </c>
      <c r="E474" s="12" t="s">
        <v>334</v>
      </c>
      <c r="F474" s="10" t="s">
        <v>343</v>
      </c>
      <c r="G474" s="10">
        <f>SUMIF(成品月初库存!$C$3:$C$362,$B474,成品月初库存!$F$3:$F$362)</f>
        <v>35936</v>
      </c>
      <c r="H474" s="10">
        <f>SUMIF(成品入库明细!$D$2:$D$500,$B474,成品入库明细!$G$2:$G$500)</f>
        <v>0</v>
      </c>
      <c r="I474" s="10">
        <f>SUMIF(成品出库明细!$D$2:$D$1172,$B474,成品出库明细!$G$2:$G$1172)</f>
        <v>0</v>
      </c>
      <c r="J474" s="10">
        <f t="shared" si="9"/>
        <v>35936</v>
      </c>
      <c r="K474" s="12" t="s">
        <v>357</v>
      </c>
      <c r="L474" s="10"/>
      <c r="M474" s="10"/>
      <c r="N474" s="10"/>
      <c r="O474" s="10"/>
      <c r="P474" s="10"/>
    </row>
    <row r="475" s="3" customFormat="1" ht="14.25" spans="1:16">
      <c r="A475" s="10"/>
      <c r="B475" s="10" t="s">
        <v>158</v>
      </c>
      <c r="C475" s="10" t="s">
        <v>1260</v>
      </c>
      <c r="D475" s="12" t="s">
        <v>1251</v>
      </c>
      <c r="E475" s="12" t="s">
        <v>334</v>
      </c>
      <c r="F475" s="10" t="s">
        <v>343</v>
      </c>
      <c r="G475" s="10">
        <f>SUMIF(成品月初库存!$C$3:$C$362,$B475,成品月初库存!$F$3:$F$362)</f>
        <v>1351</v>
      </c>
      <c r="H475" s="10">
        <f>SUMIF(成品入库明细!$D$2:$D$500,$B475,成品入库明细!$G$2:$G$500)</f>
        <v>0</v>
      </c>
      <c r="I475" s="10">
        <f>SUMIF(成品出库明细!$D$2:$D$1172,$B475,成品出库明细!$G$2:$G$1172)</f>
        <v>0</v>
      </c>
      <c r="J475" s="10">
        <f t="shared" si="9"/>
        <v>1351</v>
      </c>
      <c r="K475" s="12" t="s">
        <v>357</v>
      </c>
      <c r="L475" s="10"/>
      <c r="M475" s="10"/>
      <c r="N475" s="10"/>
      <c r="O475" s="10"/>
      <c r="P475" s="10"/>
    </row>
    <row r="476" s="3" customFormat="1" ht="14.25" spans="1:16">
      <c r="A476" s="10"/>
      <c r="B476" s="10" t="s">
        <v>159</v>
      </c>
      <c r="C476" s="10" t="s">
        <v>1261</v>
      </c>
      <c r="D476" s="12" t="s">
        <v>1251</v>
      </c>
      <c r="E476" s="12" t="s">
        <v>334</v>
      </c>
      <c r="F476" s="10" t="s">
        <v>343</v>
      </c>
      <c r="G476" s="10">
        <f>SUMIF(成品月初库存!$C$3:$C$362,$B476,成品月初库存!$F$3:$F$362)</f>
        <v>1803</v>
      </c>
      <c r="H476" s="10">
        <f>SUMIF(成品入库明细!$D$2:$D$500,$B476,成品入库明细!$G$2:$G$500)</f>
        <v>0</v>
      </c>
      <c r="I476" s="10">
        <f>SUMIF(成品出库明细!$D$2:$D$1172,$B476,成品出库明细!$G$2:$G$1172)</f>
        <v>0</v>
      </c>
      <c r="J476" s="10">
        <f t="shared" si="9"/>
        <v>1803</v>
      </c>
      <c r="K476" s="12" t="s">
        <v>357</v>
      </c>
      <c r="L476" s="10"/>
      <c r="M476" s="10"/>
      <c r="N476" s="10"/>
      <c r="O476" s="10"/>
      <c r="P476" s="10"/>
    </row>
    <row r="477" s="3" customFormat="1" ht="14.25" spans="1:16">
      <c r="A477" s="10"/>
      <c r="B477" s="10" t="s">
        <v>160</v>
      </c>
      <c r="C477" s="10" t="s">
        <v>1262</v>
      </c>
      <c r="D477" s="12" t="s">
        <v>1251</v>
      </c>
      <c r="E477" s="12" t="s">
        <v>334</v>
      </c>
      <c r="F477" s="10" t="s">
        <v>343</v>
      </c>
      <c r="G477" s="10">
        <f>SUMIF(成品月初库存!$C$3:$C$362,$B477,成品月初库存!$F$3:$F$362)</f>
        <v>9071</v>
      </c>
      <c r="H477" s="10">
        <f>SUMIF(成品入库明细!$D$2:$D$500,$B477,成品入库明细!$G$2:$G$500)</f>
        <v>0</v>
      </c>
      <c r="I477" s="10">
        <f>SUMIF(成品出库明细!$D$2:$D$1172,$B477,成品出库明细!$G$2:$G$1172)</f>
        <v>0</v>
      </c>
      <c r="J477" s="15">
        <f t="shared" si="9"/>
        <v>9071</v>
      </c>
      <c r="K477" s="12" t="s">
        <v>357</v>
      </c>
      <c r="L477" s="10"/>
      <c r="M477" s="10"/>
      <c r="N477" s="10"/>
      <c r="O477" s="10"/>
      <c r="P477" s="10"/>
    </row>
    <row r="478" s="3" customFormat="1" ht="14.25" spans="1:16">
      <c r="A478" s="10"/>
      <c r="B478" s="10" t="s">
        <v>161</v>
      </c>
      <c r="C478" s="10" t="s">
        <v>1263</v>
      </c>
      <c r="D478" s="12" t="s">
        <v>1251</v>
      </c>
      <c r="E478" s="12" t="s">
        <v>334</v>
      </c>
      <c r="F478" s="10" t="s">
        <v>343</v>
      </c>
      <c r="G478" s="10">
        <f>SUMIF(成品月初库存!$C$3:$C$362,$B478,成品月初库存!$F$3:$F$362)</f>
        <v>586</v>
      </c>
      <c r="H478" s="10">
        <f>SUMIF(成品入库明细!$D$2:$D$500,$B478,成品入库明细!$G$2:$G$500)</f>
        <v>0</v>
      </c>
      <c r="I478" s="10">
        <f>SUMIF(成品出库明细!$D$2:$D$1172,$B478,成品出库明细!$G$2:$G$1172)</f>
        <v>0</v>
      </c>
      <c r="J478" s="10">
        <f t="shared" si="9"/>
        <v>586</v>
      </c>
      <c r="K478" s="12" t="s">
        <v>357</v>
      </c>
      <c r="L478" s="10"/>
      <c r="M478" s="10"/>
      <c r="N478" s="10"/>
      <c r="O478" s="10"/>
      <c r="P478" s="10"/>
    </row>
    <row r="479" s="3" customFormat="1" ht="14.25" spans="1:16">
      <c r="A479" s="10"/>
      <c r="B479" s="10" t="s">
        <v>1264</v>
      </c>
      <c r="C479" s="10" t="s">
        <v>1265</v>
      </c>
      <c r="D479" s="12" t="s">
        <v>1251</v>
      </c>
      <c r="E479" s="12" t="s">
        <v>334</v>
      </c>
      <c r="F479" s="10" t="s">
        <v>343</v>
      </c>
      <c r="G479" s="10">
        <f>SUMIF(成品月初库存!$C$3:$C$362,$B479,成品月初库存!$F$3:$F$362)</f>
        <v>0</v>
      </c>
      <c r="H479" s="10">
        <f>SUMIF(成品入库明细!$D$2:$D$500,$B479,成品入库明细!$G$2:$G$500)</f>
        <v>0</v>
      </c>
      <c r="I479" s="10">
        <f>SUMIF(成品出库明细!$D$2:$D$1172,$B479,成品出库明细!$G$2:$G$1172)</f>
        <v>0</v>
      </c>
      <c r="J479" s="10">
        <f t="shared" si="9"/>
        <v>0</v>
      </c>
      <c r="K479" s="12" t="s">
        <v>1266</v>
      </c>
      <c r="L479" s="10"/>
      <c r="M479" s="10"/>
      <c r="N479" s="10"/>
      <c r="O479" s="10"/>
      <c r="P479" s="10"/>
    </row>
    <row r="480" s="3" customFormat="1" ht="14.25" spans="1:16">
      <c r="A480" s="10"/>
      <c r="B480" s="10" t="s">
        <v>162</v>
      </c>
      <c r="C480" s="10" t="s">
        <v>1267</v>
      </c>
      <c r="D480" s="12" t="s">
        <v>1251</v>
      </c>
      <c r="E480" s="12" t="s">
        <v>334</v>
      </c>
      <c r="F480" s="10" t="s">
        <v>343</v>
      </c>
      <c r="G480" s="10">
        <f>SUMIF(成品月初库存!$C$3:$C$362,$B480,成品月初库存!$F$3:$F$362)</f>
        <v>2096</v>
      </c>
      <c r="H480" s="10">
        <f>SUMIF(成品入库明细!$D$2:$D$500,$B480,成品入库明细!$G$2:$G$500)</f>
        <v>0</v>
      </c>
      <c r="I480" s="10">
        <f>SUMIF(成品出库明细!$D$2:$D$1172,$B480,成品出库明细!$G$2:$G$1172)</f>
        <v>0</v>
      </c>
      <c r="J480" s="15">
        <f t="shared" si="9"/>
        <v>2096</v>
      </c>
      <c r="K480" s="12" t="s">
        <v>344</v>
      </c>
      <c r="L480" s="10"/>
      <c r="M480" s="10"/>
      <c r="N480" s="10"/>
      <c r="O480" s="10"/>
      <c r="P480" s="10"/>
    </row>
    <row r="481" s="3" customFormat="1" ht="14.25" spans="1:16">
      <c r="A481" s="10"/>
      <c r="B481" s="10" t="s">
        <v>163</v>
      </c>
      <c r="C481" s="10" t="s">
        <v>1268</v>
      </c>
      <c r="D481" s="12" t="s">
        <v>1251</v>
      </c>
      <c r="E481" s="12" t="s">
        <v>334</v>
      </c>
      <c r="F481" s="10" t="s">
        <v>343</v>
      </c>
      <c r="G481" s="10">
        <f>SUMIF(成品月初库存!$C$3:$C$362,$B481,成品月初库存!$F$3:$F$362)</f>
        <v>260</v>
      </c>
      <c r="H481" s="10">
        <f>SUMIF(成品入库明细!$D$2:$D$500,$B481,成品入库明细!$G$2:$G$500)</f>
        <v>0</v>
      </c>
      <c r="I481" s="10">
        <f>SUMIF(成品出库明细!$D$2:$D$1172,$B481,成品出库明细!$G$2:$G$1172)</f>
        <v>0</v>
      </c>
      <c r="J481" s="10">
        <f t="shared" si="9"/>
        <v>260</v>
      </c>
      <c r="K481" s="12" t="s">
        <v>1269</v>
      </c>
      <c r="L481" s="10"/>
      <c r="M481" s="10"/>
      <c r="N481" s="10"/>
      <c r="O481" s="10"/>
      <c r="P481" s="10"/>
    </row>
    <row r="482" s="3" customFormat="1" ht="14.25" spans="1:16">
      <c r="A482" s="10"/>
      <c r="B482" s="10" t="s">
        <v>164</v>
      </c>
      <c r="C482" s="10" t="s">
        <v>1270</v>
      </c>
      <c r="D482" s="12" t="s">
        <v>1251</v>
      </c>
      <c r="E482" s="12" t="s">
        <v>334</v>
      </c>
      <c r="F482" s="10" t="s">
        <v>343</v>
      </c>
      <c r="G482" s="10">
        <f>SUMIF(成品月初库存!$C$3:$C$362,$B482,成品月初库存!$F$3:$F$362)</f>
        <v>1316</v>
      </c>
      <c r="H482" s="10">
        <f>SUMIF(成品入库明细!$D$2:$D$500,$B482,成品入库明细!$G$2:$G$500)</f>
        <v>0</v>
      </c>
      <c r="I482" s="10">
        <f>SUMIF(成品出库明细!$D$2:$D$1172,$B482,成品出库明细!$G$2:$G$1172)</f>
        <v>0</v>
      </c>
      <c r="J482" s="10">
        <f t="shared" si="9"/>
        <v>1316</v>
      </c>
      <c r="K482" s="12" t="s">
        <v>375</v>
      </c>
      <c r="L482" s="10"/>
      <c r="M482" s="10"/>
      <c r="N482" s="10"/>
      <c r="O482" s="10"/>
      <c r="P482" s="10"/>
    </row>
    <row r="483" s="3" customFormat="1" ht="14.25" spans="1:16">
      <c r="A483" s="10"/>
      <c r="B483" s="10" t="s">
        <v>165</v>
      </c>
      <c r="C483" s="10" t="s">
        <v>1271</v>
      </c>
      <c r="D483" s="12" t="s">
        <v>1251</v>
      </c>
      <c r="E483" s="12" t="s">
        <v>334</v>
      </c>
      <c r="F483" s="10" t="s">
        <v>343</v>
      </c>
      <c r="G483" s="10">
        <f>SUMIF(成品月初库存!$C$3:$C$362,$B483,成品月初库存!$F$3:$F$362)</f>
        <v>105</v>
      </c>
      <c r="H483" s="10">
        <f>SUMIF(成品入库明细!$D$2:$D$500,$B483,成品入库明细!$G$2:$G$500)</f>
        <v>0</v>
      </c>
      <c r="I483" s="10">
        <f>SUMIF(成品出库明细!$D$2:$D$1172,$B483,成品出库明细!$G$2:$G$1172)</f>
        <v>0</v>
      </c>
      <c r="J483" s="10">
        <f t="shared" si="9"/>
        <v>105</v>
      </c>
      <c r="K483" s="12" t="s">
        <v>344</v>
      </c>
      <c r="L483" s="10"/>
      <c r="M483" s="10"/>
      <c r="N483" s="10"/>
      <c r="O483" s="10"/>
      <c r="P483" s="10"/>
    </row>
    <row r="484" s="3" customFormat="1" ht="14.25" spans="1:16">
      <c r="A484" s="10"/>
      <c r="B484" s="10" t="s">
        <v>166</v>
      </c>
      <c r="C484" s="10" t="s">
        <v>1272</v>
      </c>
      <c r="D484" s="12" t="s">
        <v>1251</v>
      </c>
      <c r="E484" s="12" t="s">
        <v>334</v>
      </c>
      <c r="F484" s="10" t="s">
        <v>343</v>
      </c>
      <c r="G484" s="10">
        <f>SUMIF(成品月初库存!$C$3:$C$362,$B484,成品月初库存!$F$3:$F$362)</f>
        <v>735</v>
      </c>
      <c r="H484" s="10">
        <f>SUMIF(成品入库明细!$D$2:$D$500,$B484,成品入库明细!$G$2:$G$500)</f>
        <v>0</v>
      </c>
      <c r="I484" s="10">
        <f>SUMIF(成品出库明细!$D$2:$D$1172,$B484,成品出库明细!$G$2:$G$1172)</f>
        <v>0</v>
      </c>
      <c r="J484" s="10">
        <f t="shared" si="9"/>
        <v>735</v>
      </c>
      <c r="K484" s="12" t="s">
        <v>1273</v>
      </c>
      <c r="L484" s="10"/>
      <c r="M484" s="10"/>
      <c r="N484" s="10"/>
      <c r="O484" s="10"/>
      <c r="P484" s="10"/>
    </row>
    <row r="485" s="3" customFormat="1" ht="14.25" spans="1:16">
      <c r="A485" s="10"/>
      <c r="B485" s="10" t="s">
        <v>167</v>
      </c>
      <c r="C485" s="10" t="s">
        <v>1274</v>
      </c>
      <c r="D485" s="12" t="s">
        <v>1251</v>
      </c>
      <c r="E485" s="12" t="s">
        <v>334</v>
      </c>
      <c r="F485" s="10" t="s">
        <v>343</v>
      </c>
      <c r="G485" s="10">
        <f>SUMIF(成品月初库存!$C$3:$C$362,$B485,成品月初库存!$F$3:$F$362)</f>
        <v>209</v>
      </c>
      <c r="H485" s="10">
        <f>SUMIF(成品入库明细!$D$2:$D$500,$B485,成品入库明细!$G$2:$G$500)</f>
        <v>0</v>
      </c>
      <c r="I485" s="10">
        <f>SUMIF(成品出库明细!$D$2:$D$1172,$B485,成品出库明细!$G$2:$G$1172)</f>
        <v>0</v>
      </c>
      <c r="J485" s="10">
        <f t="shared" si="9"/>
        <v>209</v>
      </c>
      <c r="K485" s="12" t="s">
        <v>1275</v>
      </c>
      <c r="L485" s="10"/>
      <c r="M485" s="10"/>
      <c r="N485" s="10"/>
      <c r="O485" s="10"/>
      <c r="P485" s="10"/>
    </row>
    <row r="486" s="3" customFormat="1" ht="14.25" spans="1:16">
      <c r="A486" s="10"/>
      <c r="B486" s="10" t="s">
        <v>168</v>
      </c>
      <c r="C486" s="10" t="s">
        <v>1276</v>
      </c>
      <c r="D486" s="12" t="s">
        <v>1251</v>
      </c>
      <c r="E486" s="12" t="s">
        <v>334</v>
      </c>
      <c r="F486" s="10" t="s">
        <v>343</v>
      </c>
      <c r="G486" s="10">
        <f>SUMIF(成品月初库存!$C$3:$C$362,$B486,成品月初库存!$F$3:$F$362)</f>
        <v>813</v>
      </c>
      <c r="H486" s="10">
        <f>SUMIF(成品入库明细!$D$2:$D$500,$B486,成品入库明细!$G$2:$G$500)</f>
        <v>0</v>
      </c>
      <c r="I486" s="10">
        <f>SUMIF(成品出库明细!$D$2:$D$1172,$B486,成品出库明细!$G$2:$G$1172)</f>
        <v>0</v>
      </c>
      <c r="J486" s="10">
        <f t="shared" si="9"/>
        <v>813</v>
      </c>
      <c r="K486" s="12" t="s">
        <v>375</v>
      </c>
      <c r="L486" s="10"/>
      <c r="M486" s="10"/>
      <c r="N486" s="10"/>
      <c r="O486" s="10"/>
      <c r="P486" s="10"/>
    </row>
    <row r="487" s="3" customFormat="1" ht="14.25" spans="1:16">
      <c r="A487" s="10"/>
      <c r="B487" s="10" t="s">
        <v>169</v>
      </c>
      <c r="C487" s="10" t="s">
        <v>170</v>
      </c>
      <c r="D487" s="12" t="s">
        <v>1251</v>
      </c>
      <c r="E487" s="12" t="s">
        <v>334</v>
      </c>
      <c r="F487" s="10" t="s">
        <v>343</v>
      </c>
      <c r="G487" s="10">
        <f>SUMIF(成品月初库存!$C$3:$C$362,$B487,成品月初库存!$F$3:$F$362)</f>
        <v>306</v>
      </c>
      <c r="H487" s="10">
        <f>SUMIF(成品入库明细!$D$2:$D$500,$B487,成品入库明细!$G$2:$G$500)</f>
        <v>0</v>
      </c>
      <c r="I487" s="10">
        <f>SUMIF(成品出库明细!$D$2:$D$1172,$B487,成品出库明细!$G$2:$G$1172)</f>
        <v>0</v>
      </c>
      <c r="J487" s="10">
        <f t="shared" si="9"/>
        <v>306</v>
      </c>
      <c r="K487" s="12" t="s">
        <v>370</v>
      </c>
      <c r="L487" s="10"/>
      <c r="M487" s="10"/>
      <c r="N487" s="10"/>
      <c r="O487" s="10"/>
      <c r="P487" s="10"/>
    </row>
    <row r="488" s="3" customFormat="1" ht="14.25" spans="1:16">
      <c r="A488" s="10"/>
      <c r="B488" s="10" t="s">
        <v>1277</v>
      </c>
      <c r="C488" s="10" t="s">
        <v>1278</v>
      </c>
      <c r="D488" s="12" t="s">
        <v>1251</v>
      </c>
      <c r="E488" s="12" t="s">
        <v>334</v>
      </c>
      <c r="F488" s="10" t="s">
        <v>343</v>
      </c>
      <c r="G488" s="10">
        <f>SUMIF(成品月初库存!$C$3:$C$362,$B488,成品月初库存!$F$3:$F$362)</f>
        <v>0</v>
      </c>
      <c r="H488" s="10">
        <f>SUMIF(成品入库明细!$D$2:$D$500,$B488,成品入库明细!$G$2:$G$500)</f>
        <v>0</v>
      </c>
      <c r="I488" s="10">
        <f>SUMIF(成品出库明细!$D$2:$D$1172,$B488,成品出库明细!$G$2:$G$1172)</f>
        <v>0</v>
      </c>
      <c r="J488" s="10">
        <f t="shared" si="9"/>
        <v>0</v>
      </c>
      <c r="K488" s="12" t="s">
        <v>344</v>
      </c>
      <c r="L488" s="10"/>
      <c r="M488" s="10"/>
      <c r="N488" s="10"/>
      <c r="O488" s="10"/>
      <c r="P488" s="10"/>
    </row>
    <row r="489" s="3" customFormat="1" ht="14.25" spans="1:16">
      <c r="A489" s="10"/>
      <c r="B489" s="10" t="s">
        <v>1279</v>
      </c>
      <c r="C489" s="12" t="s">
        <v>1280</v>
      </c>
      <c r="D489" s="12" t="s">
        <v>1281</v>
      </c>
      <c r="E489" s="12" t="s">
        <v>334</v>
      </c>
      <c r="F489" s="10" t="s">
        <v>343</v>
      </c>
      <c r="G489" s="10">
        <f>SUMIF(成品月初库存!$C$3:$C$362,$B489,成品月初库存!$F$3:$F$362)</f>
        <v>0</v>
      </c>
      <c r="H489" s="10">
        <f>SUMIF(成品入库明细!$D$2:$D$500,$B489,成品入库明细!$G$2:$G$500)</f>
        <v>0</v>
      </c>
      <c r="I489" s="10">
        <f>SUMIF(成品出库明细!$D$2:$D$1172,$B489,成品出库明细!$G$2:$G$1172)</f>
        <v>0</v>
      </c>
      <c r="J489" s="10">
        <f t="shared" si="9"/>
        <v>0</v>
      </c>
      <c r="K489" s="12" t="s">
        <v>375</v>
      </c>
      <c r="L489" s="10"/>
      <c r="M489" s="10"/>
      <c r="N489" s="10"/>
      <c r="O489" s="10"/>
      <c r="P489" s="10"/>
    </row>
    <row r="490" s="3" customFormat="1" ht="15" spans="1:16">
      <c r="A490" s="10"/>
      <c r="B490" s="10" t="s">
        <v>1282</v>
      </c>
      <c r="C490" s="29" t="s">
        <v>1283</v>
      </c>
      <c r="D490" s="12" t="s">
        <v>1281</v>
      </c>
      <c r="E490" s="12" t="s">
        <v>334</v>
      </c>
      <c r="F490" s="10" t="s">
        <v>343</v>
      </c>
      <c r="G490" s="10">
        <f>SUMIF(成品月初库存!$C$3:$C$362,$B490,成品月初库存!$F$3:$F$362)</f>
        <v>0</v>
      </c>
      <c r="H490" s="10">
        <f>SUMIF(成品入库明细!$D$2:$D$500,$B490,成品入库明细!$G$2:$G$500)</f>
        <v>0</v>
      </c>
      <c r="I490" s="10">
        <f>SUMIF(成品出库明细!$D$2:$D$1172,$B490,成品出库明细!$G$2:$G$1172)</f>
        <v>0</v>
      </c>
      <c r="J490" s="10">
        <f t="shared" si="9"/>
        <v>0</v>
      </c>
      <c r="K490" s="12" t="s">
        <v>375</v>
      </c>
      <c r="L490" s="10"/>
      <c r="M490" s="10"/>
      <c r="N490" s="10"/>
      <c r="O490" s="10"/>
      <c r="P490" s="10"/>
    </row>
    <row r="491" s="3" customFormat="1" ht="14.25" spans="1:16">
      <c r="A491" s="10"/>
      <c r="B491" s="10" t="s">
        <v>1284</v>
      </c>
      <c r="C491" s="29" t="s">
        <v>1285</v>
      </c>
      <c r="D491" s="12" t="s">
        <v>1281</v>
      </c>
      <c r="E491" s="12" t="s">
        <v>334</v>
      </c>
      <c r="F491" s="10" t="s">
        <v>343</v>
      </c>
      <c r="G491" s="10">
        <f>SUMIF(成品月初库存!$C$3:$C$362,$B491,成品月初库存!$F$3:$F$362)</f>
        <v>0</v>
      </c>
      <c r="H491" s="10">
        <f>SUMIF(成品入库明细!$D$2:$D$500,$B491,成品入库明细!$G$2:$G$500)</f>
        <v>0</v>
      </c>
      <c r="I491" s="10">
        <f>SUMIF(成品出库明细!$D$2:$D$1172,$B491,成品出库明细!$G$2:$G$1172)</f>
        <v>0</v>
      </c>
      <c r="J491" s="10">
        <f t="shared" si="9"/>
        <v>0</v>
      </c>
      <c r="K491" s="12" t="s">
        <v>375</v>
      </c>
      <c r="L491" s="10"/>
      <c r="M491" s="10"/>
      <c r="N491" s="10"/>
      <c r="O491" s="10"/>
      <c r="P491" s="10"/>
    </row>
    <row r="492" s="3" customFormat="1" ht="14.25" spans="1:16">
      <c r="A492" s="10"/>
      <c r="B492" s="10" t="s">
        <v>1286</v>
      </c>
      <c r="C492" s="29" t="s">
        <v>1287</v>
      </c>
      <c r="D492" s="12" t="s">
        <v>1288</v>
      </c>
      <c r="E492" s="12" t="s">
        <v>334</v>
      </c>
      <c r="F492" s="10" t="s">
        <v>343</v>
      </c>
      <c r="G492" s="10">
        <f>SUMIF(成品月初库存!$C$3:$C$362,$B492,成品月初库存!$F$3:$F$362)</f>
        <v>0</v>
      </c>
      <c r="H492" s="10">
        <f>SUMIF(成品入库明细!$D$2:$D$500,$B492,成品入库明细!$G$2:$G$500)</f>
        <v>0</v>
      </c>
      <c r="I492" s="10">
        <f>SUMIF(成品出库明细!$D$2:$D$1172,$B492,成品出库明细!$G$2:$G$1172)</f>
        <v>0</v>
      </c>
      <c r="J492" s="10">
        <f t="shared" si="9"/>
        <v>0</v>
      </c>
      <c r="K492" s="12" t="s">
        <v>300</v>
      </c>
      <c r="L492" s="10"/>
      <c r="M492" s="10"/>
      <c r="N492" s="10"/>
      <c r="O492" s="10"/>
      <c r="P492" s="10"/>
    </row>
    <row r="493" s="3" customFormat="1" ht="15" spans="1:16">
      <c r="A493" s="10"/>
      <c r="B493" s="10" t="s">
        <v>1289</v>
      </c>
      <c r="C493" s="29" t="s">
        <v>1290</v>
      </c>
      <c r="D493" s="12" t="s">
        <v>1288</v>
      </c>
      <c r="E493" s="12" t="s">
        <v>334</v>
      </c>
      <c r="F493" s="10" t="s">
        <v>343</v>
      </c>
      <c r="G493" s="10">
        <f>SUMIF(成品月初库存!$C$3:$C$362,$B493,成品月初库存!$F$3:$F$362)</f>
        <v>0</v>
      </c>
      <c r="H493" s="10">
        <f>SUMIF(成品入库明细!$D$2:$D$500,$B493,成品入库明细!$G$2:$G$500)</f>
        <v>0</v>
      </c>
      <c r="I493" s="10">
        <f>SUMIF(成品出库明细!$D$2:$D$1172,$B493,成品出库明细!$G$2:$G$1172)</f>
        <v>0</v>
      </c>
      <c r="J493" s="10">
        <f t="shared" si="9"/>
        <v>0</v>
      </c>
      <c r="K493" s="12" t="s">
        <v>300</v>
      </c>
      <c r="L493" s="10"/>
      <c r="M493" s="10"/>
      <c r="N493" s="10"/>
      <c r="O493" s="10"/>
      <c r="P493" s="10"/>
    </row>
    <row r="494" s="3" customFormat="1" ht="15" spans="1:16">
      <c r="A494" s="10"/>
      <c r="B494" s="10" t="s">
        <v>172</v>
      </c>
      <c r="C494" s="29" t="s">
        <v>1291</v>
      </c>
      <c r="D494" s="12" t="s">
        <v>333</v>
      </c>
      <c r="E494" s="12" t="s">
        <v>334</v>
      </c>
      <c r="F494" s="10" t="s">
        <v>343</v>
      </c>
      <c r="G494" s="10">
        <f>SUMIF(成品月初库存!$C$3:$C$362,$B494,成品月初库存!$F$3:$F$362)</f>
        <v>7146</v>
      </c>
      <c r="H494" s="10">
        <f>SUMIF(成品入库明细!$D$2:$D$500,$B494,成品入库明细!$G$2:$G$500)</f>
        <v>0</v>
      </c>
      <c r="I494" s="10">
        <f>SUMIF(成品出库明细!$D$2:$D$1172,$B494,成品出库明细!$G$2:$G$1172)</f>
        <v>0</v>
      </c>
      <c r="J494" s="15">
        <f t="shared" si="9"/>
        <v>7146</v>
      </c>
      <c r="K494" s="12" t="s">
        <v>709</v>
      </c>
      <c r="L494" s="12" t="s">
        <v>334</v>
      </c>
      <c r="M494" s="10"/>
      <c r="N494" s="10"/>
      <c r="O494" s="10"/>
      <c r="P494" s="10"/>
    </row>
    <row r="495" s="3" customFormat="1" ht="14.25" spans="1:16">
      <c r="A495" s="10"/>
      <c r="B495" s="10" t="s">
        <v>173</v>
      </c>
      <c r="C495" s="29" t="s">
        <v>1292</v>
      </c>
      <c r="D495" s="12" t="s">
        <v>333</v>
      </c>
      <c r="E495" s="12" t="s">
        <v>334</v>
      </c>
      <c r="F495" s="10" t="s">
        <v>343</v>
      </c>
      <c r="G495" s="10">
        <f>SUMIF(成品月初库存!$C$3:$C$362,$B495,成品月初库存!$F$3:$F$362)</f>
        <v>2100</v>
      </c>
      <c r="H495" s="10">
        <f>SUMIF(成品入库明细!$D$2:$D$500,$B495,成品入库明细!$G$2:$G$500)</f>
        <v>3116</v>
      </c>
      <c r="I495" s="10">
        <f>SUMIF(成品出库明细!$D$2:$D$1172,$B495,成品出库明细!$G$2:$G$1172)</f>
        <v>3541</v>
      </c>
      <c r="J495" s="10">
        <f t="shared" si="9"/>
        <v>1675</v>
      </c>
      <c r="K495" s="12" t="s">
        <v>709</v>
      </c>
      <c r="L495" s="12" t="s">
        <v>334</v>
      </c>
      <c r="M495" s="10"/>
      <c r="N495" s="10"/>
      <c r="O495" s="10"/>
      <c r="P495" s="10"/>
    </row>
    <row r="496" s="3" customFormat="1" ht="14.25" spans="1:16">
      <c r="A496" s="10"/>
      <c r="B496" s="10" t="s">
        <v>1293</v>
      </c>
      <c r="C496" s="30" t="s">
        <v>1294</v>
      </c>
      <c r="D496" s="12" t="s">
        <v>333</v>
      </c>
      <c r="E496" s="12" t="s">
        <v>334</v>
      </c>
      <c r="F496" s="10" t="s">
        <v>343</v>
      </c>
      <c r="G496" s="10">
        <f>SUMIF(成品月初库存!$C$3:$C$362,$B496,成品月初库存!$F$3:$F$362)</f>
        <v>0</v>
      </c>
      <c r="H496" s="10">
        <f>SUMIF(成品入库明细!$D$2:$D$500,$B496,成品入库明细!$G$2:$G$500)</f>
        <v>0</v>
      </c>
      <c r="I496" s="10">
        <f>SUMIF(成品出库明细!$D$2:$D$1172,$B496,成品出库明细!$G$2:$G$1172)</f>
        <v>0</v>
      </c>
      <c r="J496" s="10">
        <f t="shared" si="9"/>
        <v>0</v>
      </c>
      <c r="K496" s="12" t="s">
        <v>709</v>
      </c>
      <c r="L496" s="12" t="s">
        <v>334</v>
      </c>
      <c r="M496" s="10"/>
      <c r="N496" s="10"/>
      <c r="O496" s="10"/>
      <c r="P496" s="10"/>
    </row>
    <row r="497" s="3" customFormat="1" ht="14.25" spans="1:16">
      <c r="A497" s="10"/>
      <c r="B497" s="10" t="s">
        <v>174</v>
      </c>
      <c r="C497" s="29" t="s">
        <v>1295</v>
      </c>
      <c r="D497" s="12" t="s">
        <v>333</v>
      </c>
      <c r="E497" s="12" t="s">
        <v>334</v>
      </c>
      <c r="F497" s="10" t="s">
        <v>343</v>
      </c>
      <c r="G497" s="10">
        <f>SUMIF(成品月初库存!$C$3:$C$362,$B497,成品月初库存!$F$3:$F$362)</f>
        <v>5574</v>
      </c>
      <c r="H497" s="10">
        <f>SUMIF(成品入库明细!$D$2:$D$500,$B497,成品入库明细!$G$2:$G$500)</f>
        <v>0</v>
      </c>
      <c r="I497" s="10">
        <f>SUMIF(成品出库明细!$D$2:$D$1172,$B497,成品出库明细!$G$2:$G$1172)</f>
        <v>0</v>
      </c>
      <c r="J497" s="10">
        <f t="shared" si="9"/>
        <v>5574</v>
      </c>
      <c r="K497" s="12" t="s">
        <v>709</v>
      </c>
      <c r="L497" s="10"/>
      <c r="M497" s="10"/>
      <c r="N497" s="10"/>
      <c r="O497" s="10"/>
      <c r="P497" s="10"/>
    </row>
    <row r="498" s="3" customFormat="1" ht="14.25" spans="1:16">
      <c r="A498" s="10"/>
      <c r="B498" s="10" t="s">
        <v>175</v>
      </c>
      <c r="C498" s="29" t="s">
        <v>1296</v>
      </c>
      <c r="D498" s="12" t="s">
        <v>333</v>
      </c>
      <c r="E498" s="12" t="s">
        <v>334</v>
      </c>
      <c r="F498" s="10" t="s">
        <v>343</v>
      </c>
      <c r="G498" s="10">
        <f>SUMIF(成品月初库存!$C$3:$C$362,$B498,成品月初库存!$F$3:$F$362)</f>
        <v>1670</v>
      </c>
      <c r="H498" s="10">
        <f>SUMIF(成品入库明细!$D$2:$D$500,$B498,成品入库明细!$G$2:$G$500)</f>
        <v>200</v>
      </c>
      <c r="I498" s="10">
        <f>SUMIF(成品出库明细!$D$2:$D$1172,$B498,成品出库明细!$G$2:$G$1172)</f>
        <v>200</v>
      </c>
      <c r="J498" s="10">
        <f t="shared" si="9"/>
        <v>1670</v>
      </c>
      <c r="K498" s="12" t="s">
        <v>709</v>
      </c>
      <c r="L498" s="10"/>
      <c r="M498" s="10"/>
      <c r="N498" s="10"/>
      <c r="O498" s="10"/>
      <c r="P498" s="10"/>
    </row>
    <row r="499" s="3" customFormat="1" ht="14.25" spans="1:16">
      <c r="A499" s="10"/>
      <c r="B499" s="10" t="s">
        <v>176</v>
      </c>
      <c r="C499" s="29" t="s">
        <v>1297</v>
      </c>
      <c r="D499" s="12" t="s">
        <v>333</v>
      </c>
      <c r="E499" s="12" t="s">
        <v>334</v>
      </c>
      <c r="F499" s="10" t="s">
        <v>343</v>
      </c>
      <c r="G499" s="10">
        <f>SUMIF(成品月初库存!$C$3:$C$362,$B499,成品月初库存!$F$3:$F$362)</f>
        <v>2761</v>
      </c>
      <c r="H499" s="10">
        <f>SUMIF(成品入库明细!$D$2:$D$500,$B499,成品入库明细!$G$2:$G$500)</f>
        <v>0</v>
      </c>
      <c r="I499" s="10">
        <f>SUMIF(成品出库明细!$D$2:$D$1172,$B499,成品出库明细!$G$2:$G$1172)</f>
        <v>0</v>
      </c>
      <c r="J499" s="10">
        <f t="shared" si="9"/>
        <v>2761</v>
      </c>
      <c r="K499" s="12" t="s">
        <v>709</v>
      </c>
      <c r="L499" s="10"/>
      <c r="M499" s="10"/>
      <c r="N499" s="10"/>
      <c r="O499" s="10"/>
      <c r="P499" s="10"/>
    </row>
    <row r="500" s="3" customFormat="1" ht="14.25" spans="1:16">
      <c r="A500" s="10"/>
      <c r="B500" s="10" t="s">
        <v>1298</v>
      </c>
      <c r="C500" s="30" t="s">
        <v>1299</v>
      </c>
      <c r="D500" s="12" t="s">
        <v>333</v>
      </c>
      <c r="E500" s="12" t="s">
        <v>334</v>
      </c>
      <c r="F500" s="10" t="s">
        <v>343</v>
      </c>
      <c r="G500" s="10">
        <f>SUMIF(成品月初库存!$C$3:$C$362,$B500,成品月初库存!$F$3:$F$362)</f>
        <v>0</v>
      </c>
      <c r="H500" s="10">
        <f>SUMIF(成品入库明细!$D$2:$D$500,$B500,成品入库明细!$G$2:$G$500)</f>
        <v>0</v>
      </c>
      <c r="I500" s="10">
        <f>SUMIF(成品出库明细!$D$2:$D$1172,$B500,成品出库明细!$G$2:$G$1172)</f>
        <v>0</v>
      </c>
      <c r="J500" s="10">
        <f t="shared" si="9"/>
        <v>0</v>
      </c>
      <c r="K500" s="12" t="s">
        <v>709</v>
      </c>
      <c r="L500" s="10"/>
      <c r="M500" s="10"/>
      <c r="N500" s="10"/>
      <c r="O500" s="10"/>
      <c r="P500" s="10"/>
    </row>
    <row r="501" s="3" customFormat="1" ht="40.5" spans="1:16">
      <c r="A501" s="10"/>
      <c r="B501" s="10" t="s">
        <v>1300</v>
      </c>
      <c r="C501" s="31" t="s">
        <v>1301</v>
      </c>
      <c r="D501" s="12" t="s">
        <v>333</v>
      </c>
      <c r="E501" s="12" t="s">
        <v>334</v>
      </c>
      <c r="F501" s="10" t="s">
        <v>343</v>
      </c>
      <c r="G501" s="10">
        <f>SUMIF(成品月初库存!$C$3:$C$362,$B501,成品月初库存!$F$3:$F$362)</f>
        <v>0</v>
      </c>
      <c r="H501" s="10">
        <f>SUMIF(成品入库明细!$D$2:$D$500,$B501,成品入库明细!$G$2:$G$500)</f>
        <v>0</v>
      </c>
      <c r="I501" s="10">
        <f>SUMIF(成品出库明细!$D$2:$D$1172,$B501,成品出库明细!$G$2:$G$1172)</f>
        <v>0</v>
      </c>
      <c r="J501" s="10">
        <f t="shared" si="9"/>
        <v>0</v>
      </c>
      <c r="K501" s="12" t="s">
        <v>709</v>
      </c>
      <c r="L501" s="32" t="s">
        <v>1302</v>
      </c>
      <c r="M501" s="10"/>
      <c r="N501" s="10"/>
      <c r="O501" s="10"/>
      <c r="P501" s="10"/>
    </row>
    <row r="502" s="3" customFormat="1" ht="14.25" spans="1:16">
      <c r="A502" s="10"/>
      <c r="B502" s="10" t="s">
        <v>177</v>
      </c>
      <c r="C502" s="29" t="s">
        <v>1303</v>
      </c>
      <c r="D502" s="12" t="s">
        <v>333</v>
      </c>
      <c r="E502" s="12" t="s">
        <v>334</v>
      </c>
      <c r="F502" s="10" t="s">
        <v>343</v>
      </c>
      <c r="G502" s="10">
        <f>SUMIF(成品月初库存!$C$3:$C$362,$B502,成品月初库存!$F$3:$F$362)</f>
        <v>713</v>
      </c>
      <c r="H502" s="10">
        <f>SUMIF(成品入库明细!$D$2:$D$500,$B502,成品入库明细!$G$2:$G$500)</f>
        <v>0</v>
      </c>
      <c r="I502" s="10">
        <f>SUMIF(成品出库明细!$D$2:$D$1172,$B502,成品出库明细!$G$2:$G$1172)</f>
        <v>0</v>
      </c>
      <c r="J502" s="10">
        <f t="shared" si="9"/>
        <v>713</v>
      </c>
      <c r="K502" s="12" t="s">
        <v>709</v>
      </c>
      <c r="L502" s="12" t="s">
        <v>1304</v>
      </c>
      <c r="M502" s="10"/>
      <c r="N502" s="10"/>
      <c r="O502" s="10"/>
      <c r="P502" s="10"/>
    </row>
    <row r="503" s="3" customFormat="1" ht="14.25" spans="1:16">
      <c r="A503" s="10"/>
      <c r="B503" s="10" t="s">
        <v>178</v>
      </c>
      <c r="C503" s="29" t="s">
        <v>1305</v>
      </c>
      <c r="D503" s="12" t="s">
        <v>333</v>
      </c>
      <c r="E503" s="12" t="s">
        <v>334</v>
      </c>
      <c r="F503" s="10" t="s">
        <v>343</v>
      </c>
      <c r="G503" s="10">
        <f>SUMIF(成品月初库存!$C$3:$C$362,$B503,成品月初库存!$F$3:$F$362)</f>
        <v>456</v>
      </c>
      <c r="H503" s="10">
        <f>SUMIF(成品入库明细!$D$2:$D$500,$B503,成品入库明细!$G$2:$G$500)</f>
        <v>0</v>
      </c>
      <c r="I503" s="10">
        <f>SUMIF(成品出库明细!$D$2:$D$1172,$B503,成品出库明细!$G$2:$G$1172)</f>
        <v>0</v>
      </c>
      <c r="J503" s="10">
        <f t="shared" si="9"/>
        <v>456</v>
      </c>
      <c r="K503" s="12" t="s">
        <v>709</v>
      </c>
      <c r="L503" s="10"/>
      <c r="M503" s="10"/>
      <c r="N503" s="10"/>
      <c r="O503" s="10"/>
      <c r="P503" s="10"/>
    </row>
    <row r="504" s="3" customFormat="1" ht="14.25" spans="1:16">
      <c r="A504" s="10"/>
      <c r="B504" s="10" t="s">
        <v>179</v>
      </c>
      <c r="C504" s="29" t="s">
        <v>1306</v>
      </c>
      <c r="D504" s="12" t="s">
        <v>333</v>
      </c>
      <c r="E504" s="12" t="s">
        <v>334</v>
      </c>
      <c r="F504" s="10" t="s">
        <v>343</v>
      </c>
      <c r="G504" s="10">
        <f>SUMIF(成品月初库存!$C$3:$C$362,$B504,成品月初库存!$F$3:$F$362)</f>
        <v>1720</v>
      </c>
      <c r="H504" s="10">
        <f>SUMIF(成品入库明细!$D$2:$D$500,$B504,成品入库明细!$G$2:$G$500)</f>
        <v>2542</v>
      </c>
      <c r="I504" s="10">
        <f>SUMIF(成品出库明细!$D$2:$D$1172,$B504,成品出库明细!$G$2:$G$1172)</f>
        <v>4</v>
      </c>
      <c r="J504" s="10">
        <f t="shared" si="9"/>
        <v>4258</v>
      </c>
      <c r="K504" s="12" t="s">
        <v>709</v>
      </c>
      <c r="L504" s="10"/>
      <c r="M504" s="10"/>
      <c r="N504" s="10"/>
      <c r="O504" s="10"/>
      <c r="P504" s="10"/>
    </row>
    <row r="505" s="3" customFormat="1" ht="14.25" spans="1:16">
      <c r="A505" s="10"/>
      <c r="B505" s="10" t="s">
        <v>180</v>
      </c>
      <c r="C505" s="33" t="s">
        <v>1307</v>
      </c>
      <c r="D505" s="12" t="s">
        <v>333</v>
      </c>
      <c r="E505" s="12" t="s">
        <v>334</v>
      </c>
      <c r="F505" s="10" t="s">
        <v>343</v>
      </c>
      <c r="G505" s="10">
        <f>SUMIF(成品月初库存!$C$3:$C$362,$B505,成品月初库存!$F$3:$F$362)</f>
        <v>536</v>
      </c>
      <c r="H505" s="10">
        <f>SUMIF(成品入库明细!$D$2:$D$500,$B505,成品入库明细!$G$2:$G$500)</f>
        <v>0</v>
      </c>
      <c r="I505" s="10">
        <f>SUMIF(成品出库明细!$D$2:$D$1172,$B505,成品出库明细!$G$2:$G$1172)</f>
        <v>0</v>
      </c>
      <c r="J505" s="10">
        <f t="shared" si="9"/>
        <v>536</v>
      </c>
      <c r="K505" s="12" t="s">
        <v>709</v>
      </c>
      <c r="L505" s="10"/>
      <c r="M505" s="10"/>
      <c r="N505" s="10"/>
      <c r="O505" s="10"/>
      <c r="P505" s="10"/>
    </row>
    <row r="506" s="3" customFormat="1" ht="14.25" spans="1:16">
      <c r="A506" s="10"/>
      <c r="B506" s="10" t="s">
        <v>181</v>
      </c>
      <c r="C506" s="34" t="s">
        <v>1308</v>
      </c>
      <c r="D506" s="12" t="s">
        <v>333</v>
      </c>
      <c r="E506" s="12" t="s">
        <v>334</v>
      </c>
      <c r="F506" s="10" t="s">
        <v>343</v>
      </c>
      <c r="G506" s="10">
        <f>SUMIF(成品月初库存!$C$3:$C$362,$B506,成品月初库存!$F$3:$F$362)</f>
        <v>2601</v>
      </c>
      <c r="H506" s="10">
        <f>SUMIF(成品入库明细!$D$2:$D$500,$B506,成品入库明细!$G$2:$G$500)</f>
        <v>0</v>
      </c>
      <c r="I506" s="10">
        <f>SUMIF(成品出库明细!$D$2:$D$1172,$B506,成品出库明细!$G$2:$G$1172)</f>
        <v>0</v>
      </c>
      <c r="J506" s="10">
        <f t="shared" si="9"/>
        <v>2601</v>
      </c>
      <c r="K506" s="12" t="s">
        <v>370</v>
      </c>
      <c r="L506" s="10"/>
      <c r="M506" s="10"/>
      <c r="N506" s="10"/>
      <c r="O506" s="10"/>
      <c r="P506" s="10"/>
    </row>
    <row r="507" s="3" customFormat="1" ht="14.25" spans="1:16">
      <c r="A507" s="10"/>
      <c r="B507" s="10" t="s">
        <v>182</v>
      </c>
      <c r="C507" s="34" t="s">
        <v>1309</v>
      </c>
      <c r="D507" s="12" t="s">
        <v>333</v>
      </c>
      <c r="E507" s="12" t="s">
        <v>334</v>
      </c>
      <c r="F507" s="10" t="s">
        <v>343</v>
      </c>
      <c r="G507" s="10">
        <f>SUMIF(成品月初库存!$C$3:$C$362,$B507,成品月初库存!$F$3:$F$362)</f>
        <v>2734</v>
      </c>
      <c r="H507" s="10">
        <f>SUMIF(成品入库明细!$D$2:$D$500,$B507,成品入库明细!$G$2:$G$500)</f>
        <v>0</v>
      </c>
      <c r="I507" s="10">
        <f>SUMIF(成品出库明细!$D$2:$D$1172,$B507,成品出库明细!$G$2:$G$1172)</f>
        <v>0</v>
      </c>
      <c r="J507" s="10">
        <f t="shared" si="9"/>
        <v>2734</v>
      </c>
      <c r="K507" s="12" t="s">
        <v>370</v>
      </c>
      <c r="L507" s="10"/>
      <c r="M507" s="10"/>
      <c r="N507" s="10"/>
      <c r="O507" s="10"/>
      <c r="P507" s="10"/>
    </row>
    <row r="508" s="3" customFormat="1" ht="14.25" spans="1:16">
      <c r="A508" s="10"/>
      <c r="B508" s="10" t="s">
        <v>183</v>
      </c>
      <c r="C508" s="34" t="s">
        <v>1310</v>
      </c>
      <c r="D508" s="12" t="s">
        <v>333</v>
      </c>
      <c r="E508" s="12" t="s">
        <v>334</v>
      </c>
      <c r="F508" s="10" t="s">
        <v>343</v>
      </c>
      <c r="G508" s="10">
        <f>SUMIF(成品月初库存!$C$3:$C$362,$B508,成品月初库存!$F$3:$F$362)</f>
        <v>2048</v>
      </c>
      <c r="H508" s="10">
        <f>SUMIF(成品入库明细!$D$2:$D$500,$B508,成品入库明细!$G$2:$G$500)</f>
        <v>0</v>
      </c>
      <c r="I508" s="10">
        <f>SUMIF(成品出库明细!$D$2:$D$1172,$B508,成品出库明细!$G$2:$G$1172)</f>
        <v>0</v>
      </c>
      <c r="J508" s="10">
        <f t="shared" si="9"/>
        <v>2048</v>
      </c>
      <c r="K508" s="12" t="s">
        <v>709</v>
      </c>
      <c r="L508" s="10"/>
      <c r="M508" s="10"/>
      <c r="N508" s="10"/>
      <c r="O508" s="10"/>
      <c r="P508" s="10"/>
    </row>
    <row r="509" s="3" customFormat="1" ht="14.25" spans="1:16">
      <c r="A509" s="10"/>
      <c r="B509" s="10" t="s">
        <v>184</v>
      </c>
      <c r="C509" s="34" t="s">
        <v>185</v>
      </c>
      <c r="D509" s="12" t="s">
        <v>333</v>
      </c>
      <c r="E509" s="12" t="s">
        <v>334</v>
      </c>
      <c r="F509" s="10" t="s">
        <v>343</v>
      </c>
      <c r="G509" s="10">
        <f>SUMIF(成品月初库存!$C$3:$C$362,$B509,成品月初库存!$F$3:$F$362)</f>
        <v>5953</v>
      </c>
      <c r="H509" s="10">
        <f>SUMIF(成品入库明细!$D$2:$D$500,$B509,成品入库明细!$G$2:$G$500)</f>
        <v>0</v>
      </c>
      <c r="I509" s="10">
        <f>SUMIF(成品出库明细!$D$2:$D$1172,$B509,成品出库明细!$G$2:$G$1172)</f>
        <v>0</v>
      </c>
      <c r="J509" s="10">
        <f t="shared" si="9"/>
        <v>5953</v>
      </c>
      <c r="K509" s="12" t="s">
        <v>709</v>
      </c>
      <c r="L509" s="10"/>
      <c r="M509" s="10"/>
      <c r="N509" s="10"/>
      <c r="O509" s="10"/>
      <c r="P509" s="10"/>
    </row>
    <row r="510" s="3" customFormat="1" ht="14.25" spans="1:16">
      <c r="A510" s="10"/>
      <c r="B510" s="10" t="s">
        <v>297</v>
      </c>
      <c r="C510" s="35" t="s">
        <v>1311</v>
      </c>
      <c r="D510" s="12" t="s">
        <v>333</v>
      </c>
      <c r="E510" s="12" t="s">
        <v>334</v>
      </c>
      <c r="F510" s="10" t="s">
        <v>343</v>
      </c>
      <c r="G510" s="10">
        <f>SUMIF(成品月初库存!$C$3:$C$362,$B510,成品月初库存!$F$3:$F$362)</f>
        <v>0</v>
      </c>
      <c r="H510" s="10">
        <f>SUMIF(成品入库明细!$D$2:$D$500,$B510,成品入库明细!$G$2:$G$500)</f>
        <v>2985</v>
      </c>
      <c r="I510" s="10">
        <f>SUMIF(成品出库明细!$D$2:$D$1172,$B510,成品出库明细!$G$2:$G$1172)</f>
        <v>2143</v>
      </c>
      <c r="J510" s="10">
        <f t="shared" si="9"/>
        <v>842</v>
      </c>
      <c r="K510" s="12" t="s">
        <v>709</v>
      </c>
      <c r="L510" s="10"/>
      <c r="M510" s="10"/>
      <c r="N510" s="10"/>
      <c r="O510" s="10"/>
      <c r="P510" s="10"/>
    </row>
    <row r="511" s="3" customFormat="1" ht="14.25" spans="1:16">
      <c r="A511" s="10"/>
      <c r="B511" s="10" t="s">
        <v>186</v>
      </c>
      <c r="C511" s="34" t="s">
        <v>1312</v>
      </c>
      <c r="D511" s="12" t="s">
        <v>333</v>
      </c>
      <c r="E511" s="12" t="s">
        <v>334</v>
      </c>
      <c r="F511" s="10" t="s">
        <v>343</v>
      </c>
      <c r="G511" s="10">
        <f>SUMIF(成品月初库存!$C$3:$C$362,$B511,成品月初库存!$F$3:$F$362)</f>
        <v>1487</v>
      </c>
      <c r="H511" s="10">
        <f>SUMIF(成品入库明细!$D$2:$D$500,$B511,成品入库明细!$G$2:$G$500)</f>
        <v>0</v>
      </c>
      <c r="I511" s="10">
        <f>SUMIF(成品出库明细!$D$2:$D$1172,$B511,成品出库明细!$G$2:$G$1172)</f>
        <v>0</v>
      </c>
      <c r="J511" s="10">
        <f t="shared" si="9"/>
        <v>1487</v>
      </c>
      <c r="K511" s="12" t="s">
        <v>709</v>
      </c>
      <c r="L511" s="10"/>
      <c r="M511" s="10"/>
      <c r="N511" s="10"/>
      <c r="O511" s="10"/>
      <c r="P511" s="10"/>
    </row>
    <row r="512" s="3" customFormat="1" ht="14.25" spans="1:16">
      <c r="A512" s="10"/>
      <c r="B512" s="10" t="s">
        <v>187</v>
      </c>
      <c r="C512" s="34" t="s">
        <v>1313</v>
      </c>
      <c r="D512" s="12" t="s">
        <v>333</v>
      </c>
      <c r="E512" s="12" t="s">
        <v>334</v>
      </c>
      <c r="F512" s="10" t="s">
        <v>343</v>
      </c>
      <c r="G512" s="10">
        <f>SUMIF(成品月初库存!$C$3:$C$362,$B512,成品月初库存!$F$3:$F$362)</f>
        <v>26</v>
      </c>
      <c r="H512" s="10">
        <f>SUMIF(成品入库明细!$D$2:$D$500,$B512,成品入库明细!$G$2:$G$500)</f>
        <v>0</v>
      </c>
      <c r="I512" s="10">
        <f>SUMIF(成品出库明细!$D$2:$D$1172,$B512,成品出库明细!$G$2:$G$1172)</f>
        <v>0</v>
      </c>
      <c r="J512" s="10">
        <f t="shared" si="9"/>
        <v>26</v>
      </c>
      <c r="K512" s="12" t="s">
        <v>709</v>
      </c>
      <c r="L512" s="10"/>
      <c r="M512" s="10"/>
      <c r="N512" s="10"/>
      <c r="O512" s="10"/>
      <c r="P512" s="10"/>
    </row>
    <row r="513" s="3" customFormat="1" ht="14.25" spans="1:16">
      <c r="A513" s="10"/>
      <c r="B513" s="10" t="s">
        <v>1314</v>
      </c>
      <c r="C513" s="29" t="s">
        <v>1315</v>
      </c>
      <c r="D513" s="12" t="s">
        <v>333</v>
      </c>
      <c r="E513" s="12" t="s">
        <v>334</v>
      </c>
      <c r="F513" s="10" t="s">
        <v>343</v>
      </c>
      <c r="G513" s="10">
        <f>SUMIF(成品月初库存!$C$3:$C$362,$B513,成品月初库存!$F$3:$F$362)</f>
        <v>0</v>
      </c>
      <c r="H513" s="10">
        <f>SUMIF(成品入库明细!$D$2:$D$500,$B513,成品入库明细!$G$2:$G$500)</f>
        <v>0</v>
      </c>
      <c r="I513" s="10">
        <f>SUMIF(成品出库明细!$D$2:$D$1172,$B513,成品出库明细!$G$2:$G$1172)</f>
        <v>0</v>
      </c>
      <c r="J513" s="10">
        <f>G513+H513-I513</f>
        <v>0</v>
      </c>
      <c r="K513" s="12" t="s">
        <v>709</v>
      </c>
      <c r="L513" s="10"/>
      <c r="M513" s="10"/>
      <c r="N513" s="10"/>
      <c r="O513" s="10"/>
      <c r="P513" s="10"/>
    </row>
    <row r="514" s="3" customFormat="1" ht="14.25" spans="1:16">
      <c r="A514" s="10"/>
      <c r="B514" s="10" t="s">
        <v>188</v>
      </c>
      <c r="C514" s="34" t="s">
        <v>1316</v>
      </c>
      <c r="D514" s="12" t="s">
        <v>333</v>
      </c>
      <c r="E514" s="12" t="s">
        <v>334</v>
      </c>
      <c r="F514" s="10" t="s">
        <v>343</v>
      </c>
      <c r="G514" s="10">
        <f>SUMIF(成品月初库存!$C$3:$C$362,$B514,成品月初库存!$F$3:$F$362)</f>
        <v>3328</v>
      </c>
      <c r="H514" s="10">
        <f>SUMIF(成品入库明细!$D$2:$D$500,$B514,成品入库明细!$G$2:$G$500)</f>
        <v>0</v>
      </c>
      <c r="I514" s="10">
        <f>SUMIF(成品出库明细!$D$2:$D$1172,$B514,成品出库明细!$G$2:$G$1172)</f>
        <v>0</v>
      </c>
      <c r="J514" s="10">
        <f t="shared" ref="J514:J559" si="10">G514+H514-I514</f>
        <v>3328</v>
      </c>
      <c r="K514" s="12" t="s">
        <v>709</v>
      </c>
      <c r="L514" s="10"/>
      <c r="M514" s="10"/>
      <c r="N514" s="10"/>
      <c r="O514" s="10"/>
      <c r="P514" s="10"/>
    </row>
    <row r="515" s="3" customFormat="1" ht="14.25" spans="1:16">
      <c r="A515" s="10"/>
      <c r="B515" s="10" t="s">
        <v>189</v>
      </c>
      <c r="C515" s="34" t="s">
        <v>190</v>
      </c>
      <c r="D515" s="12" t="s">
        <v>333</v>
      </c>
      <c r="E515" s="12" t="s">
        <v>334</v>
      </c>
      <c r="F515" s="10" t="s">
        <v>343</v>
      </c>
      <c r="G515" s="10">
        <f>SUMIF(成品月初库存!$C$3:$C$362,$B515,成品月初库存!$F$3:$F$362)</f>
        <v>2405</v>
      </c>
      <c r="H515" s="10">
        <f>SUMIF(成品入库明细!$D$2:$D$500,$B515,成品入库明细!$G$2:$G$500)</f>
        <v>0</v>
      </c>
      <c r="I515" s="10">
        <f>SUMIF(成品出库明细!$D$2:$D$1172,$B515,成品出库明细!$G$2:$G$1172)</f>
        <v>0</v>
      </c>
      <c r="J515" s="10">
        <f t="shared" si="10"/>
        <v>2405</v>
      </c>
      <c r="K515" s="12" t="s">
        <v>709</v>
      </c>
      <c r="L515" s="10"/>
      <c r="M515" s="10"/>
      <c r="N515" s="10"/>
      <c r="O515" s="10"/>
      <c r="P515" s="10"/>
    </row>
    <row r="516" s="3" customFormat="1" ht="14.25" spans="1:16">
      <c r="A516" s="10"/>
      <c r="B516" s="10" t="s">
        <v>1317</v>
      </c>
      <c r="C516" s="34" t="s">
        <v>1318</v>
      </c>
      <c r="D516" s="12" t="s">
        <v>333</v>
      </c>
      <c r="E516" s="12" t="s">
        <v>334</v>
      </c>
      <c r="F516" s="10" t="s">
        <v>343</v>
      </c>
      <c r="G516" s="10">
        <f>SUMIF(成品月初库存!$C$3:$C$362,$B516,成品月初库存!$F$3:$F$362)</f>
        <v>0</v>
      </c>
      <c r="H516" s="10">
        <f>SUMIF(成品入库明细!$D$2:$D$500,$B516,成品入库明细!$G$2:$G$500)</f>
        <v>0</v>
      </c>
      <c r="I516" s="10">
        <f>SUMIF(成品出库明细!$D$2:$D$1172,$B516,成品出库明细!$G$2:$G$1172)</f>
        <v>0</v>
      </c>
      <c r="J516" s="10">
        <f t="shared" si="10"/>
        <v>0</v>
      </c>
      <c r="K516" s="12" t="s">
        <v>709</v>
      </c>
      <c r="L516" s="10"/>
      <c r="M516" s="10"/>
      <c r="N516" s="10"/>
      <c r="O516" s="10"/>
      <c r="P516" s="10"/>
    </row>
    <row r="517" s="3" customFormat="1" ht="14.25" spans="1:16">
      <c r="A517" s="10"/>
      <c r="B517" s="10" t="s">
        <v>191</v>
      </c>
      <c r="C517" s="34" t="s">
        <v>192</v>
      </c>
      <c r="D517" s="12" t="s">
        <v>333</v>
      </c>
      <c r="E517" s="12" t="s">
        <v>334</v>
      </c>
      <c r="F517" s="10" t="s">
        <v>343</v>
      </c>
      <c r="G517" s="10">
        <f>SUMIF(成品月初库存!$C$3:$C$362,$B517,成品月初库存!$F$3:$F$362)</f>
        <v>667</v>
      </c>
      <c r="H517" s="10">
        <f>SUMIF(成品入库明细!$D$2:$D$500,$B517,成品入库明细!$G$2:$G$500)</f>
        <v>0</v>
      </c>
      <c r="I517" s="10">
        <f>SUMIF(成品出库明细!$D$2:$D$1172,$B517,成品出库明细!$G$2:$G$1172)</f>
        <v>0</v>
      </c>
      <c r="J517" s="10">
        <f t="shared" si="10"/>
        <v>667</v>
      </c>
      <c r="K517" s="12" t="s">
        <v>709</v>
      </c>
      <c r="L517" s="10"/>
      <c r="M517" s="10"/>
      <c r="N517" s="10"/>
      <c r="O517" s="10"/>
      <c r="P517" s="10"/>
    </row>
    <row r="518" s="3" customFormat="1" ht="14.25" spans="1:16">
      <c r="A518" s="10"/>
      <c r="B518" s="10" t="s">
        <v>193</v>
      </c>
      <c r="C518" s="34" t="s">
        <v>1319</v>
      </c>
      <c r="D518" s="12" t="s">
        <v>333</v>
      </c>
      <c r="E518" s="12" t="s">
        <v>334</v>
      </c>
      <c r="F518" s="10" t="s">
        <v>343</v>
      </c>
      <c r="G518" s="10">
        <f>SUMIF(成品月初库存!$C$3:$C$362,$B518,成品月初库存!$F$3:$F$362)</f>
        <v>1141</v>
      </c>
      <c r="H518" s="10">
        <f>SUMIF(成品入库明细!$D$2:$D$500,$B518,成品入库明细!$G$2:$G$500)</f>
        <v>0</v>
      </c>
      <c r="I518" s="10">
        <f>SUMIF(成品出库明细!$D$2:$D$1172,$B518,成品出库明细!$G$2:$G$1172)</f>
        <v>0</v>
      </c>
      <c r="J518" s="10">
        <f t="shared" si="10"/>
        <v>1141</v>
      </c>
      <c r="K518" s="12" t="s">
        <v>466</v>
      </c>
      <c r="L518" s="10"/>
      <c r="M518" s="10"/>
      <c r="N518" s="10"/>
      <c r="O518" s="10"/>
      <c r="P518" s="10"/>
    </row>
    <row r="519" s="3" customFormat="1" ht="16.5" spans="1:16">
      <c r="A519" s="10"/>
      <c r="B519" s="10" t="s">
        <v>194</v>
      </c>
      <c r="C519" s="36" t="s">
        <v>195</v>
      </c>
      <c r="D519" s="12" t="s">
        <v>333</v>
      </c>
      <c r="E519" s="12" t="s">
        <v>334</v>
      </c>
      <c r="F519" s="10" t="s">
        <v>343</v>
      </c>
      <c r="G519" s="10">
        <f>SUMIF(成品月初库存!$C$3:$C$362,$B519,成品月初库存!$F$3:$F$362)</f>
        <v>1247</v>
      </c>
      <c r="H519" s="10">
        <f>SUMIF(成品入库明细!$D$2:$D$500,$B519,成品入库明细!$G$2:$G$500)</f>
        <v>0</v>
      </c>
      <c r="I519" s="10">
        <f>SUMIF(成品出库明细!$D$2:$D$1172,$B519,成品出库明细!$G$2:$G$1172)</f>
        <v>0</v>
      </c>
      <c r="J519" s="10">
        <f t="shared" si="10"/>
        <v>1247</v>
      </c>
      <c r="K519" s="12" t="s">
        <v>370</v>
      </c>
      <c r="L519" s="10"/>
      <c r="M519" s="10"/>
      <c r="N519" s="10"/>
      <c r="O519" s="10"/>
      <c r="P519" s="10"/>
    </row>
    <row r="520" s="3" customFormat="1" ht="16.5" spans="1:16">
      <c r="A520" s="10"/>
      <c r="B520" s="10" t="s">
        <v>196</v>
      </c>
      <c r="C520" s="36" t="s">
        <v>197</v>
      </c>
      <c r="D520" s="12" t="s">
        <v>333</v>
      </c>
      <c r="E520" s="12" t="s">
        <v>334</v>
      </c>
      <c r="F520" s="10" t="s">
        <v>343</v>
      </c>
      <c r="G520" s="10">
        <f>SUMIF(成品月初库存!$C$3:$C$362,$B520,成品月初库存!$F$3:$F$362)</f>
        <v>1266</v>
      </c>
      <c r="H520" s="10">
        <f>SUMIF(成品入库明细!$D$2:$D$500,$B520,成品入库明细!$G$2:$G$500)</f>
        <v>0</v>
      </c>
      <c r="I520" s="10">
        <f>SUMIF(成品出库明细!$D$2:$D$1172,$B520,成品出库明细!$G$2:$G$1172)</f>
        <v>0</v>
      </c>
      <c r="J520" s="10">
        <f t="shared" si="10"/>
        <v>1266</v>
      </c>
      <c r="K520" s="12" t="s">
        <v>370</v>
      </c>
      <c r="L520" s="10"/>
      <c r="M520" s="10"/>
      <c r="N520" s="10"/>
      <c r="O520" s="10"/>
      <c r="P520" s="10"/>
    </row>
    <row r="521" s="3" customFormat="1" ht="14.25" spans="1:16">
      <c r="A521" s="10"/>
      <c r="B521" s="10" t="s">
        <v>198</v>
      </c>
      <c r="C521" s="37" t="s">
        <v>199</v>
      </c>
      <c r="D521" s="12" t="s">
        <v>333</v>
      </c>
      <c r="E521" s="12" t="s">
        <v>334</v>
      </c>
      <c r="F521" s="10" t="s">
        <v>343</v>
      </c>
      <c r="G521" s="10">
        <f>SUMIF(成品月初库存!$C$3:$C$362,$B521,成品月初库存!$F$3:$F$362)</f>
        <v>629</v>
      </c>
      <c r="H521" s="10">
        <f>SUMIF(成品入库明细!$D$2:$D$500,$B521,成品入库明细!$G$2:$G$500)</f>
        <v>0</v>
      </c>
      <c r="I521" s="10">
        <f>SUMIF(成品出库明细!$D$2:$D$1172,$B521,成品出库明细!$G$2:$G$1172)</f>
        <v>0</v>
      </c>
      <c r="J521" s="10">
        <f t="shared" si="10"/>
        <v>629</v>
      </c>
      <c r="K521" s="12" t="s">
        <v>709</v>
      </c>
      <c r="L521" s="10"/>
      <c r="M521" s="10"/>
      <c r="N521" s="10"/>
      <c r="O521" s="10"/>
      <c r="P521" s="10"/>
    </row>
    <row r="522" s="3" customFormat="1" ht="14.25" spans="1:16">
      <c r="A522" s="10"/>
      <c r="B522" s="10" t="s">
        <v>200</v>
      </c>
      <c r="C522" s="37" t="s">
        <v>1320</v>
      </c>
      <c r="D522" s="12" t="s">
        <v>333</v>
      </c>
      <c r="E522" s="12" t="s">
        <v>334</v>
      </c>
      <c r="F522" s="10" t="s">
        <v>343</v>
      </c>
      <c r="G522" s="10">
        <f>SUMIF(成品月初库存!$C$3:$C$362,$B522,成品月初库存!$F$3:$F$362)</f>
        <v>189</v>
      </c>
      <c r="H522" s="10">
        <f>SUMIF(成品入库明细!$D$2:$D$500,$B522,成品入库明细!$G$2:$G$500)</f>
        <v>0</v>
      </c>
      <c r="I522" s="10">
        <f>SUMIF(成品出库明细!$D$2:$D$1172,$B522,成品出库明细!$G$2:$G$1172)</f>
        <v>0</v>
      </c>
      <c r="J522" s="10">
        <f t="shared" si="10"/>
        <v>189</v>
      </c>
      <c r="K522" s="12" t="s">
        <v>709</v>
      </c>
      <c r="L522" s="10"/>
      <c r="M522" s="10"/>
      <c r="N522" s="10"/>
      <c r="O522" s="10"/>
      <c r="P522" s="10"/>
    </row>
    <row r="523" s="3" customFormat="1" ht="14.25" spans="1:16">
      <c r="A523" s="10"/>
      <c r="B523" s="10" t="s">
        <v>201</v>
      </c>
      <c r="C523" s="37" t="s">
        <v>1321</v>
      </c>
      <c r="D523" s="12" t="s">
        <v>333</v>
      </c>
      <c r="E523" s="12" t="s">
        <v>334</v>
      </c>
      <c r="F523" s="10" t="s">
        <v>343</v>
      </c>
      <c r="G523" s="10">
        <f>SUMIF(成品月初库存!$C$3:$C$362,$B523,成品月初库存!$F$3:$F$362)</f>
        <v>1138</v>
      </c>
      <c r="H523" s="10">
        <f>SUMIF(成品入库明细!$D$2:$D$500,$B523,成品入库明细!$G$2:$G$500)</f>
        <v>0</v>
      </c>
      <c r="I523" s="10">
        <f>SUMIF(成品出库明细!$D$2:$D$1172,$B523,成品出库明细!$G$2:$G$1172)</f>
        <v>0</v>
      </c>
      <c r="J523" s="10">
        <f t="shared" si="10"/>
        <v>1138</v>
      </c>
      <c r="K523" s="12" t="s">
        <v>466</v>
      </c>
      <c r="L523" s="10"/>
      <c r="M523" s="10"/>
      <c r="N523" s="10"/>
      <c r="O523" s="10"/>
      <c r="P523" s="10"/>
    </row>
    <row r="524" s="3" customFormat="1" ht="14.25" spans="1:16">
      <c r="A524" s="10"/>
      <c r="B524" s="10" t="s">
        <v>284</v>
      </c>
      <c r="C524" s="34" t="s">
        <v>1322</v>
      </c>
      <c r="D524" s="12" t="s">
        <v>333</v>
      </c>
      <c r="E524" s="12" t="s">
        <v>334</v>
      </c>
      <c r="F524" s="10" t="s">
        <v>343</v>
      </c>
      <c r="G524" s="10">
        <f>SUMIF(成品月初库存!$C$3:$C$362,$B524,成品月初库存!$F$3:$F$362)</f>
        <v>32</v>
      </c>
      <c r="H524" s="10">
        <f>SUMIF(成品入库明细!$D$2:$D$500,$B524,成品入库明细!$G$2:$G$500)</f>
        <v>2400</v>
      </c>
      <c r="I524" s="10">
        <f>SUMIF(成品出库明细!$D$2:$D$1172,$B524,成品出库明细!$G$2:$G$1172)</f>
        <v>2679</v>
      </c>
      <c r="J524" s="10">
        <f t="shared" si="10"/>
        <v>-247</v>
      </c>
      <c r="K524" s="12" t="s">
        <v>709</v>
      </c>
      <c r="L524" s="10"/>
      <c r="M524" s="10"/>
      <c r="N524" s="10"/>
      <c r="O524" s="10"/>
      <c r="P524" s="10"/>
    </row>
    <row r="525" s="3" customFormat="1" ht="14.25" spans="1:16">
      <c r="A525" s="10"/>
      <c r="B525" s="10" t="s">
        <v>202</v>
      </c>
      <c r="C525" s="34" t="s">
        <v>203</v>
      </c>
      <c r="D525" s="12" t="s">
        <v>333</v>
      </c>
      <c r="E525" s="12" t="s">
        <v>334</v>
      </c>
      <c r="F525" s="10" t="s">
        <v>343</v>
      </c>
      <c r="G525" s="10">
        <f>SUMIF(成品月初库存!$C$3:$C$362,$B525,成品月初库存!$F$3:$F$362)</f>
        <v>2205</v>
      </c>
      <c r="H525" s="10">
        <f>SUMIF(成品入库明细!$D$2:$D$500,$B525,成品入库明细!$G$2:$G$500)</f>
        <v>1173</v>
      </c>
      <c r="I525" s="10">
        <f>SUMIF(成品出库明细!$D$2:$D$1172,$B525,成品出库明细!$G$2:$G$1172)</f>
        <v>3385</v>
      </c>
      <c r="J525" s="10">
        <f t="shared" si="10"/>
        <v>-7</v>
      </c>
      <c r="K525" s="12" t="s">
        <v>709</v>
      </c>
      <c r="L525" s="10"/>
      <c r="M525" s="10"/>
      <c r="N525" s="10"/>
      <c r="O525" s="10"/>
      <c r="P525" s="10"/>
    </row>
    <row r="526" s="3" customFormat="1" ht="14.25" spans="1:16">
      <c r="A526" s="10"/>
      <c r="B526" s="10" t="s">
        <v>204</v>
      </c>
      <c r="C526" s="34" t="s">
        <v>205</v>
      </c>
      <c r="D526" s="12" t="s">
        <v>333</v>
      </c>
      <c r="E526" s="12" t="s">
        <v>334</v>
      </c>
      <c r="F526" s="10" t="s">
        <v>343</v>
      </c>
      <c r="G526" s="10">
        <f>SUMIF(成品月初库存!$C$3:$C$362,$B526,成品月初库存!$F$3:$F$362)</f>
        <v>53</v>
      </c>
      <c r="H526" s="10">
        <f>SUMIF(成品入库明细!$D$2:$D$500,$B526,成品入库明细!$G$2:$G$500)</f>
        <v>2000</v>
      </c>
      <c r="I526" s="10">
        <f>SUMIF(成品出库明细!$D$2:$D$1172,$B526,成品出库明细!$G$2:$G$1172)</f>
        <v>2051</v>
      </c>
      <c r="J526" s="10">
        <f t="shared" si="10"/>
        <v>2</v>
      </c>
      <c r="K526" s="12" t="s">
        <v>709</v>
      </c>
      <c r="L526" s="10"/>
      <c r="M526" s="10"/>
      <c r="N526" s="10"/>
      <c r="O526" s="10"/>
      <c r="P526" s="10"/>
    </row>
    <row r="527" s="3" customFormat="1" ht="14.25" spans="1:16">
      <c r="A527" s="10"/>
      <c r="B527" s="10" t="s">
        <v>207</v>
      </c>
      <c r="C527" s="34" t="s">
        <v>208</v>
      </c>
      <c r="D527" s="12" t="s">
        <v>333</v>
      </c>
      <c r="E527" s="12" t="s">
        <v>334</v>
      </c>
      <c r="F527" s="10" t="s">
        <v>343</v>
      </c>
      <c r="G527" s="10">
        <f>SUMIF(成品月初库存!$C$3:$C$362,$B527,成品月初库存!$F$3:$F$362)</f>
        <v>598</v>
      </c>
      <c r="H527" s="10">
        <f>SUMIF(成品入库明细!$D$2:$D$500,$B527,成品入库明细!$G$2:$G$500)</f>
        <v>0</v>
      </c>
      <c r="I527" s="10">
        <f>SUMIF(成品出库明细!$D$2:$D$1172,$B527,成品出库明细!$G$2:$G$1172)</f>
        <v>0</v>
      </c>
      <c r="J527" s="10">
        <f t="shared" si="10"/>
        <v>598</v>
      </c>
      <c r="K527" s="12" t="s">
        <v>709</v>
      </c>
      <c r="L527" s="10"/>
      <c r="M527" s="10"/>
      <c r="N527" s="10"/>
      <c r="O527" s="10"/>
      <c r="P527" s="10"/>
    </row>
    <row r="528" s="3" customFormat="1" ht="14.25" spans="1:16">
      <c r="A528" s="10"/>
      <c r="B528" s="10" t="s">
        <v>209</v>
      </c>
      <c r="C528" s="34" t="s">
        <v>1323</v>
      </c>
      <c r="D528" s="12" t="s">
        <v>333</v>
      </c>
      <c r="E528" s="12" t="s">
        <v>334</v>
      </c>
      <c r="F528" s="10" t="s">
        <v>343</v>
      </c>
      <c r="G528" s="10">
        <f>SUMIF(成品月初库存!$C$3:$C$362,$B528,成品月初库存!$F$3:$F$362)</f>
        <v>707</v>
      </c>
      <c r="H528" s="10">
        <f>SUMIF(成品入库明细!$D$2:$D$500,$B528,成品入库明细!$G$2:$G$500)</f>
        <v>0</v>
      </c>
      <c r="I528" s="10">
        <f>SUMIF(成品出库明细!$D$2:$D$1172,$B528,成品出库明细!$G$2:$G$1172)</f>
        <v>707</v>
      </c>
      <c r="J528" s="10">
        <f t="shared" si="10"/>
        <v>0</v>
      </c>
      <c r="K528" s="12" t="s">
        <v>709</v>
      </c>
      <c r="L528" s="10"/>
      <c r="M528" s="10"/>
      <c r="N528" s="10"/>
      <c r="O528" s="10"/>
      <c r="P528" s="10"/>
    </row>
    <row r="529" s="3" customFormat="1" ht="14.25" spans="1:16">
      <c r="A529" s="10"/>
      <c r="B529" s="10" t="s">
        <v>211</v>
      </c>
      <c r="C529" s="34" t="s">
        <v>1324</v>
      </c>
      <c r="D529" s="12" t="s">
        <v>333</v>
      </c>
      <c r="E529" s="12" t="s">
        <v>334</v>
      </c>
      <c r="F529" s="10" t="s">
        <v>343</v>
      </c>
      <c r="G529" s="10">
        <f>SUMIF(成品月初库存!$C$3:$C$362,$B529,成品月初库存!$F$3:$F$362)</f>
        <v>10</v>
      </c>
      <c r="H529" s="10">
        <f>SUMIF(成品入库明细!$D$2:$D$500,$B529,成品入库明细!$G$2:$G$500)</f>
        <v>0</v>
      </c>
      <c r="I529" s="10">
        <f>SUMIF(成品出库明细!$D$2:$D$1172,$B529,成品出库明细!$G$2:$G$1172)</f>
        <v>728</v>
      </c>
      <c r="J529" s="10">
        <f t="shared" si="10"/>
        <v>-718</v>
      </c>
      <c r="K529" s="12" t="s">
        <v>709</v>
      </c>
      <c r="L529" s="10"/>
      <c r="M529" s="10"/>
      <c r="N529" s="10"/>
      <c r="O529" s="10"/>
      <c r="P529" s="10"/>
    </row>
    <row r="530" s="3" customFormat="1" ht="14.25" spans="1:16">
      <c r="A530" s="10"/>
      <c r="B530" s="10" t="s">
        <v>212</v>
      </c>
      <c r="C530" s="34" t="s">
        <v>1325</v>
      </c>
      <c r="D530" s="12" t="s">
        <v>333</v>
      </c>
      <c r="E530" s="12" t="s">
        <v>334</v>
      </c>
      <c r="F530" s="10" t="s">
        <v>343</v>
      </c>
      <c r="G530" s="10">
        <f>SUMIF(成品月初库存!$C$3:$C$362,$B530,成品月初库存!$F$3:$F$362)</f>
        <v>888</v>
      </c>
      <c r="H530" s="10">
        <f>SUMIF(成品入库明细!$D$2:$D$500,$B530,成品入库明细!$G$2:$G$500)</f>
        <v>0</v>
      </c>
      <c r="I530" s="10">
        <f>SUMIF(成品出库明细!$D$2:$D$1172,$B530,成品出库明细!$G$2:$G$1172)</f>
        <v>888</v>
      </c>
      <c r="J530" s="10">
        <f t="shared" si="10"/>
        <v>0</v>
      </c>
      <c r="K530" s="12" t="s">
        <v>709</v>
      </c>
      <c r="L530" s="10"/>
      <c r="M530" s="10"/>
      <c r="N530" s="10"/>
      <c r="O530" s="10"/>
      <c r="P530" s="10"/>
    </row>
    <row r="531" s="3" customFormat="1" ht="14.25" spans="1:16">
      <c r="A531" s="10"/>
      <c r="B531" s="10" t="s">
        <v>213</v>
      </c>
      <c r="C531" s="34" t="s">
        <v>214</v>
      </c>
      <c r="D531" s="12" t="s">
        <v>333</v>
      </c>
      <c r="E531" s="12" t="s">
        <v>334</v>
      </c>
      <c r="F531" s="10" t="s">
        <v>343</v>
      </c>
      <c r="G531" s="10">
        <f>SUMIF(成品月初库存!$C$3:$C$362,$B531,成品月初库存!$F$3:$F$362)</f>
        <v>529</v>
      </c>
      <c r="H531" s="10">
        <f>SUMIF(成品入库明细!$D$2:$D$500,$B531,成品入库明细!$G$2:$G$500)</f>
        <v>0</v>
      </c>
      <c r="I531" s="10">
        <f>SUMIF(成品出库明细!$D$2:$D$1172,$B531,成品出库明细!$G$2:$G$1172)</f>
        <v>0</v>
      </c>
      <c r="J531" s="10">
        <f t="shared" si="10"/>
        <v>529</v>
      </c>
      <c r="K531" s="12" t="s">
        <v>709</v>
      </c>
      <c r="L531" s="10"/>
      <c r="M531" s="10"/>
      <c r="N531" s="10"/>
      <c r="O531" s="10"/>
      <c r="P531" s="10"/>
    </row>
    <row r="532" s="3" customFormat="1" ht="14.25" spans="1:16">
      <c r="A532" s="10"/>
      <c r="B532" s="10" t="s">
        <v>215</v>
      </c>
      <c r="C532" s="34" t="s">
        <v>1326</v>
      </c>
      <c r="D532" s="12" t="s">
        <v>333</v>
      </c>
      <c r="E532" s="12" t="s">
        <v>334</v>
      </c>
      <c r="F532" s="10" t="s">
        <v>343</v>
      </c>
      <c r="G532" s="10">
        <f>SUMIF(成品月初库存!$C$3:$C$362,$B532,成品月初库存!$F$3:$F$362)</f>
        <v>365</v>
      </c>
      <c r="H532" s="10">
        <f>SUMIF(成品入库明细!$D$2:$D$500,$B532,成品入库明细!$G$2:$G$500)</f>
        <v>0</v>
      </c>
      <c r="I532" s="10">
        <f>SUMIF(成品出库明细!$D$2:$D$1172,$B532,成品出库明细!$G$2:$G$1172)</f>
        <v>0</v>
      </c>
      <c r="J532" s="10">
        <f t="shared" si="10"/>
        <v>365</v>
      </c>
      <c r="K532" s="12" t="s">
        <v>709</v>
      </c>
      <c r="L532" s="10"/>
      <c r="M532" s="10"/>
      <c r="N532" s="10"/>
      <c r="O532" s="10"/>
      <c r="P532" s="10"/>
    </row>
    <row r="533" s="3" customFormat="1" ht="14.25" spans="1:16">
      <c r="A533" s="10"/>
      <c r="B533" s="10" t="s">
        <v>1327</v>
      </c>
      <c r="C533" s="34" t="s">
        <v>1328</v>
      </c>
      <c r="D533" s="12" t="s">
        <v>333</v>
      </c>
      <c r="E533" s="12" t="s">
        <v>334</v>
      </c>
      <c r="F533" s="10" t="s">
        <v>343</v>
      </c>
      <c r="G533" s="10">
        <f>SUMIF(成品月初库存!$C$3:$C$362,$B533,成品月初库存!$F$3:$F$362)</f>
        <v>0</v>
      </c>
      <c r="H533" s="10">
        <f>SUMIF(成品入库明细!$D$2:$D$500,$B533,成品入库明细!$G$2:$G$500)</f>
        <v>0</v>
      </c>
      <c r="I533" s="10">
        <f>SUMIF(成品出库明细!$D$2:$D$1172,$B533,成品出库明细!$G$2:$G$1172)</f>
        <v>0</v>
      </c>
      <c r="J533" s="10">
        <f t="shared" si="10"/>
        <v>0</v>
      </c>
      <c r="K533" s="12" t="s">
        <v>709</v>
      </c>
      <c r="L533" s="10"/>
      <c r="M533" s="10"/>
      <c r="N533" s="10"/>
      <c r="O533" s="10"/>
      <c r="P533" s="10"/>
    </row>
    <row r="534" s="3" customFormat="1" ht="14.25" spans="1:16">
      <c r="A534" s="10"/>
      <c r="B534" s="10" t="s">
        <v>1329</v>
      </c>
      <c r="C534" s="34" t="s">
        <v>1330</v>
      </c>
      <c r="D534" s="12" t="s">
        <v>333</v>
      </c>
      <c r="E534" s="12" t="s">
        <v>334</v>
      </c>
      <c r="F534" s="10" t="s">
        <v>343</v>
      </c>
      <c r="G534" s="10">
        <f>SUMIF(成品月初库存!$C$3:$C$362,$B534,成品月初库存!$F$3:$F$362)</f>
        <v>0</v>
      </c>
      <c r="H534" s="10">
        <f>SUMIF(成品入库明细!$D$2:$D$500,$B534,成品入库明细!$G$2:$G$500)</f>
        <v>0</v>
      </c>
      <c r="I534" s="10">
        <f>SUMIF(成品出库明细!$D$2:$D$1172,$B534,成品出库明细!$G$2:$G$1172)</f>
        <v>0</v>
      </c>
      <c r="J534" s="10">
        <f t="shared" si="10"/>
        <v>0</v>
      </c>
      <c r="K534" s="12" t="s">
        <v>709</v>
      </c>
      <c r="L534" s="10"/>
      <c r="M534" s="10"/>
      <c r="N534" s="10"/>
      <c r="O534" s="10"/>
      <c r="P534" s="10"/>
    </row>
    <row r="535" s="3" customFormat="1" ht="14.25" spans="1:16">
      <c r="A535" s="10"/>
      <c r="B535" s="10" t="s">
        <v>216</v>
      </c>
      <c r="C535" s="34" t="s">
        <v>1331</v>
      </c>
      <c r="D535" s="12" t="s">
        <v>333</v>
      </c>
      <c r="E535" s="12" t="s">
        <v>334</v>
      </c>
      <c r="F535" s="10" t="s">
        <v>343</v>
      </c>
      <c r="G535" s="10">
        <f>SUMIF(成品月初库存!$C$3:$C$362,$B535,成品月初库存!$F$3:$F$362)</f>
        <v>9</v>
      </c>
      <c r="H535" s="10">
        <f>SUMIF(成品入库明细!$D$2:$D$500,$B535,成品入库明细!$G$2:$G$500)</f>
        <v>0</v>
      </c>
      <c r="I535" s="10">
        <f>SUMIF(成品出库明细!$D$2:$D$1172,$B535,成品出库明细!$G$2:$G$1172)</f>
        <v>0</v>
      </c>
      <c r="J535" s="10">
        <f t="shared" si="10"/>
        <v>9</v>
      </c>
      <c r="K535" s="12" t="s">
        <v>709</v>
      </c>
      <c r="L535" s="10"/>
      <c r="M535" s="10"/>
      <c r="N535" s="10"/>
      <c r="O535" s="10"/>
      <c r="P535" s="10"/>
    </row>
    <row r="536" s="3" customFormat="1" ht="14.25" spans="1:16">
      <c r="A536" s="10"/>
      <c r="B536" s="10" t="s">
        <v>217</v>
      </c>
      <c r="C536" s="34" t="s">
        <v>218</v>
      </c>
      <c r="D536" s="12" t="s">
        <v>333</v>
      </c>
      <c r="E536" s="12" t="s">
        <v>334</v>
      </c>
      <c r="F536" s="10" t="s">
        <v>343</v>
      </c>
      <c r="G536" s="10">
        <f>SUMIF(成品月初库存!$C$3:$C$362,$B536,成品月初库存!$F$3:$F$362)</f>
        <v>226</v>
      </c>
      <c r="H536" s="10">
        <f>SUMIF(成品入库明细!$D$2:$D$500,$B536,成品入库明细!$G$2:$G$500)</f>
        <v>0</v>
      </c>
      <c r="I536" s="10">
        <f>SUMIF(成品出库明细!$D$2:$D$1172,$B536,成品出库明细!$G$2:$G$1172)</f>
        <v>0</v>
      </c>
      <c r="J536" s="10">
        <f t="shared" si="10"/>
        <v>226</v>
      </c>
      <c r="K536" s="12" t="s">
        <v>709</v>
      </c>
      <c r="L536" s="10"/>
      <c r="M536" s="10"/>
      <c r="N536" s="10"/>
      <c r="O536" s="10"/>
      <c r="P536" s="10"/>
    </row>
    <row r="537" s="3" customFormat="1" ht="14.25" spans="1:16">
      <c r="A537" s="10"/>
      <c r="B537" s="10" t="s">
        <v>219</v>
      </c>
      <c r="C537" s="34" t="s">
        <v>1332</v>
      </c>
      <c r="D537" s="12" t="s">
        <v>333</v>
      </c>
      <c r="E537" s="12" t="s">
        <v>334</v>
      </c>
      <c r="F537" s="10" t="s">
        <v>343</v>
      </c>
      <c r="G537" s="10">
        <f>SUMIF(成品月初库存!$C$3:$C$362,$B537,成品月初库存!$F$3:$F$362)</f>
        <v>409</v>
      </c>
      <c r="H537" s="10">
        <f>SUMIF(成品入库明细!$D$2:$D$500,$B537,成品入库明细!$G$2:$G$500)</f>
        <v>0</v>
      </c>
      <c r="I537" s="10">
        <f>SUMIF(成品出库明细!$D$2:$D$1172,$B537,成品出库明细!$G$2:$G$1172)</f>
        <v>0</v>
      </c>
      <c r="J537" s="10">
        <f t="shared" si="10"/>
        <v>409</v>
      </c>
      <c r="K537" s="12" t="s">
        <v>709</v>
      </c>
      <c r="L537" s="10"/>
      <c r="M537" s="10"/>
      <c r="N537" s="10"/>
      <c r="O537" s="10"/>
      <c r="P537" s="10"/>
    </row>
    <row r="538" s="3" customFormat="1" ht="14.25" spans="1:16">
      <c r="A538" s="10"/>
      <c r="B538" s="10" t="s">
        <v>220</v>
      </c>
      <c r="C538" s="34" t="s">
        <v>1333</v>
      </c>
      <c r="D538" s="12" t="s">
        <v>333</v>
      </c>
      <c r="E538" s="12" t="s">
        <v>334</v>
      </c>
      <c r="F538" s="10" t="s">
        <v>343</v>
      </c>
      <c r="G538" s="10">
        <f>SUMIF(成品月初库存!$C$3:$C$362,$B538,成品月初库存!$F$3:$F$362)</f>
        <v>345</v>
      </c>
      <c r="H538" s="10">
        <f>SUMIF(成品入库明细!$D$2:$D$500,$B538,成品入库明细!$G$2:$G$500)</f>
        <v>0</v>
      </c>
      <c r="I538" s="10">
        <f>SUMIF(成品出库明细!$D$2:$D$1172,$B538,成品出库明细!$G$2:$G$1172)</f>
        <v>341</v>
      </c>
      <c r="J538" s="10">
        <f t="shared" si="10"/>
        <v>4</v>
      </c>
      <c r="K538" s="12" t="s">
        <v>709</v>
      </c>
      <c r="L538" s="10"/>
      <c r="M538" s="10"/>
      <c r="N538" s="10"/>
      <c r="O538" s="10"/>
      <c r="P538" s="10"/>
    </row>
    <row r="539" s="3" customFormat="1" ht="14.25" spans="1:16">
      <c r="A539" s="10"/>
      <c r="B539" s="10" t="s">
        <v>221</v>
      </c>
      <c r="C539" s="34" t="s">
        <v>1334</v>
      </c>
      <c r="D539" s="12" t="s">
        <v>333</v>
      </c>
      <c r="E539" s="12" t="s">
        <v>334</v>
      </c>
      <c r="F539" s="10" t="s">
        <v>343</v>
      </c>
      <c r="G539" s="10">
        <f>SUMIF(成品月初库存!$C$3:$C$362,$B539,成品月初库存!$F$3:$F$362)</f>
        <v>2206</v>
      </c>
      <c r="H539" s="10">
        <f>SUMIF(成品入库明细!$D$2:$D$500,$B539,成品入库明细!$G$2:$G$500)</f>
        <v>0</v>
      </c>
      <c r="I539" s="10">
        <f>SUMIF(成品出库明细!$D$2:$D$1172,$B539,成品出库明细!$G$2:$G$1172)</f>
        <v>0</v>
      </c>
      <c r="J539" s="10">
        <f t="shared" si="10"/>
        <v>2206</v>
      </c>
      <c r="K539" s="12" t="s">
        <v>370</v>
      </c>
      <c r="L539" s="10"/>
      <c r="M539" s="10"/>
      <c r="N539" s="10"/>
      <c r="O539" s="10"/>
      <c r="P539" s="10"/>
    </row>
    <row r="540" s="3" customFormat="1" ht="14.25" spans="1:16">
      <c r="A540" s="10"/>
      <c r="B540" s="10" t="s">
        <v>222</v>
      </c>
      <c r="C540" s="34" t="s">
        <v>1335</v>
      </c>
      <c r="D540" s="12" t="s">
        <v>333</v>
      </c>
      <c r="E540" s="12" t="s">
        <v>334</v>
      </c>
      <c r="F540" s="10" t="s">
        <v>343</v>
      </c>
      <c r="G540" s="10">
        <f>SUMIF(成品月初库存!$C$3:$C$362,$B540,成品月初库存!$F$3:$F$362)</f>
        <v>1792</v>
      </c>
      <c r="H540" s="10">
        <f>SUMIF(成品入库明细!$D$2:$D$500,$B540,成品入库明细!$G$2:$G$500)</f>
        <v>0</v>
      </c>
      <c r="I540" s="10">
        <f>SUMIF(成品出库明细!$D$2:$D$1172,$B540,成品出库明细!$G$2:$G$1172)</f>
        <v>0</v>
      </c>
      <c r="J540" s="10">
        <f t="shared" si="10"/>
        <v>1792</v>
      </c>
      <c r="K540" s="12" t="s">
        <v>370</v>
      </c>
      <c r="L540" s="10"/>
      <c r="M540" s="10"/>
      <c r="N540" s="10"/>
      <c r="O540" s="10"/>
      <c r="P540" s="10"/>
    </row>
    <row r="541" s="3" customFormat="1" ht="14.25" spans="1:16">
      <c r="A541" s="10"/>
      <c r="B541" s="10" t="s">
        <v>223</v>
      </c>
      <c r="C541" s="34" t="s">
        <v>1336</v>
      </c>
      <c r="D541" s="12" t="s">
        <v>333</v>
      </c>
      <c r="E541" s="12" t="s">
        <v>334</v>
      </c>
      <c r="F541" s="10" t="s">
        <v>343</v>
      </c>
      <c r="G541" s="10">
        <f>SUMIF(成品月初库存!$C$3:$C$362,$B541,成品月初库存!$F$3:$F$362)</f>
        <v>2</v>
      </c>
      <c r="H541" s="10">
        <f>SUMIF(成品入库明细!$D$2:$D$500,$B541,成品入库明细!$G$2:$G$500)</f>
        <v>0</v>
      </c>
      <c r="I541" s="10">
        <f>SUMIF(成品出库明细!$D$2:$D$1172,$B541,成品出库明细!$G$2:$G$1172)</f>
        <v>0</v>
      </c>
      <c r="J541" s="10">
        <f t="shared" si="10"/>
        <v>2</v>
      </c>
      <c r="K541" s="12" t="s">
        <v>709</v>
      </c>
      <c r="L541" s="10"/>
      <c r="M541" s="10"/>
      <c r="N541" s="10"/>
      <c r="O541" s="10"/>
      <c r="P541" s="10"/>
    </row>
    <row r="542" s="3" customFormat="1" ht="14.25" spans="1:16">
      <c r="A542" s="10"/>
      <c r="B542" s="10" t="s">
        <v>224</v>
      </c>
      <c r="C542" s="34" t="s">
        <v>1337</v>
      </c>
      <c r="D542" s="12" t="s">
        <v>333</v>
      </c>
      <c r="E542" s="12" t="s">
        <v>334</v>
      </c>
      <c r="F542" s="10" t="s">
        <v>343</v>
      </c>
      <c r="G542" s="10">
        <f>SUMIF(成品月初库存!$C$3:$C$362,$B542,成品月初库存!$F$3:$F$362)</f>
        <v>2502</v>
      </c>
      <c r="H542" s="10">
        <f>SUMIF(成品入库明细!$D$2:$D$500,$B542,成品入库明细!$G$2:$G$500)</f>
        <v>0</v>
      </c>
      <c r="I542" s="10">
        <f>SUMIF(成品出库明细!$D$2:$D$1172,$B542,成品出库明细!$G$2:$G$1172)</f>
        <v>0</v>
      </c>
      <c r="J542" s="10">
        <f t="shared" si="10"/>
        <v>2502</v>
      </c>
      <c r="K542" s="12" t="s">
        <v>514</v>
      </c>
      <c r="L542" s="10"/>
      <c r="M542" s="10"/>
      <c r="N542" s="10"/>
      <c r="O542" s="10"/>
      <c r="P542" s="10"/>
    </row>
    <row r="543" s="3" customFormat="1" ht="14.25" spans="1:16">
      <c r="A543" s="10"/>
      <c r="B543" s="10" t="s">
        <v>225</v>
      </c>
      <c r="C543" s="34" t="s">
        <v>226</v>
      </c>
      <c r="D543" s="12" t="s">
        <v>333</v>
      </c>
      <c r="E543" s="12" t="s">
        <v>334</v>
      </c>
      <c r="F543" s="10" t="s">
        <v>343</v>
      </c>
      <c r="G543" s="10">
        <f>SUMIF(成品月初库存!$C$3:$C$362,$B543,成品月初库存!$F$3:$F$362)</f>
        <v>111</v>
      </c>
      <c r="H543" s="10">
        <f>SUMIF(成品入库明细!$D$2:$D$500,$B543,成品入库明细!$G$2:$G$500)</f>
        <v>-4</v>
      </c>
      <c r="I543" s="10">
        <f>SUMIF(成品出库明细!$D$2:$D$1172,$B543,成品出库明细!$G$2:$G$1172)</f>
        <v>0</v>
      </c>
      <c r="J543" s="10">
        <f t="shared" si="10"/>
        <v>107</v>
      </c>
      <c r="K543" s="12" t="s">
        <v>709</v>
      </c>
      <c r="L543" s="10"/>
      <c r="M543" s="10"/>
      <c r="N543" s="10"/>
      <c r="O543" s="10"/>
      <c r="P543" s="10"/>
    </row>
    <row r="544" s="3" customFormat="1" ht="14.25" spans="1:16">
      <c r="A544" s="10"/>
      <c r="B544" s="10" t="s">
        <v>227</v>
      </c>
      <c r="C544" s="34" t="s">
        <v>1338</v>
      </c>
      <c r="D544" s="2" t="s">
        <v>1339</v>
      </c>
      <c r="E544" s="12" t="s">
        <v>334</v>
      </c>
      <c r="F544" s="10" t="s">
        <v>343</v>
      </c>
      <c r="G544" s="10">
        <f>SUMIF(成品月初库存!$C$3:$C$362,$B544,成品月初库存!$F$3:$F$362)</f>
        <v>378</v>
      </c>
      <c r="H544" s="10">
        <f>SUMIF(成品入库明细!$D$2:$D$500,$B544,成品入库明细!$G$2:$G$500)</f>
        <v>0</v>
      </c>
      <c r="I544" s="10">
        <f>SUMIF(成品出库明细!$D$2:$D$1172,$B544,成品出库明细!$G$2:$G$1172)</f>
        <v>0</v>
      </c>
      <c r="J544" s="10">
        <f t="shared" si="10"/>
        <v>378</v>
      </c>
      <c r="K544" s="12" t="s">
        <v>988</v>
      </c>
      <c r="L544" s="10"/>
      <c r="M544" s="10"/>
      <c r="N544" s="10"/>
      <c r="O544" s="10"/>
      <c r="P544" s="10"/>
    </row>
    <row r="545" s="3" customFormat="1" ht="14.25" spans="1:16">
      <c r="A545" s="10"/>
      <c r="B545" s="10" t="s">
        <v>232</v>
      </c>
      <c r="C545" s="34" t="s">
        <v>1340</v>
      </c>
      <c r="D545" s="2" t="s">
        <v>1339</v>
      </c>
      <c r="E545" s="12" t="s">
        <v>334</v>
      </c>
      <c r="F545" s="10" t="s">
        <v>343</v>
      </c>
      <c r="G545" s="10">
        <f>SUMIF(成品月初库存!$C$3:$C$362,$B545,成品月初库存!$F$3:$F$362)</f>
        <v>173</v>
      </c>
      <c r="H545" s="10">
        <f>SUMIF(成品入库明细!$D$2:$D$500,$B545,成品入库明细!$G$2:$G$500)</f>
        <v>0</v>
      </c>
      <c r="I545" s="10">
        <f>SUMIF(成品出库明细!$D$2:$D$1172,$B545,成品出库明细!$G$2:$G$1172)</f>
        <v>0</v>
      </c>
      <c r="J545" s="10">
        <f t="shared" si="10"/>
        <v>173</v>
      </c>
      <c r="K545" s="12" t="s">
        <v>988</v>
      </c>
      <c r="L545" s="10"/>
      <c r="M545" s="10"/>
      <c r="N545" s="10"/>
      <c r="O545" s="10"/>
      <c r="P545" s="10"/>
    </row>
    <row r="546" s="3" customFormat="1" ht="15.75" spans="1:16">
      <c r="A546" s="10"/>
      <c r="B546" s="10" t="s">
        <v>231</v>
      </c>
      <c r="C546" s="38" t="s">
        <v>1341</v>
      </c>
      <c r="D546" s="2" t="s">
        <v>1339</v>
      </c>
      <c r="E546" s="12" t="s">
        <v>334</v>
      </c>
      <c r="F546" s="10" t="s">
        <v>343</v>
      </c>
      <c r="G546" s="10">
        <f>SUMIF(成品月初库存!$C$3:$C$362,$B546,成品月初库存!$F$3:$F$362)</f>
        <v>982</v>
      </c>
      <c r="H546" s="10">
        <f>SUMIF(成品入库明细!$D$2:$D$500,$B546,成品入库明细!$G$2:$G$500)</f>
        <v>0</v>
      </c>
      <c r="I546" s="10">
        <f>SUMIF(成品出库明细!$D$2:$D$1172,$B546,成品出库明细!$G$2:$G$1172)</f>
        <v>0</v>
      </c>
      <c r="J546" s="10">
        <f t="shared" si="10"/>
        <v>982</v>
      </c>
      <c r="K546" s="12" t="s">
        <v>988</v>
      </c>
      <c r="L546" s="10"/>
      <c r="M546" s="10"/>
      <c r="N546" s="10"/>
      <c r="O546" s="10"/>
      <c r="P546" s="10"/>
    </row>
    <row r="547" s="3" customFormat="1" ht="15.75" spans="1:16">
      <c r="A547" s="10"/>
      <c r="B547" s="10" t="s">
        <v>1342</v>
      </c>
      <c r="C547" s="39" t="s">
        <v>1343</v>
      </c>
      <c r="D547" s="2" t="s">
        <v>1339</v>
      </c>
      <c r="E547" s="12" t="s">
        <v>1344</v>
      </c>
      <c r="F547" s="10" t="s">
        <v>343</v>
      </c>
      <c r="G547" s="10">
        <f>SUMIF(成品月初库存!$C$3:$C$362,$B547,成品月初库存!$F$3:$F$362)</f>
        <v>0</v>
      </c>
      <c r="H547" s="10">
        <f>SUMIF(成品入库明细!$D$2:$D$500,$B547,成品入库明细!$G$2:$G$500)</f>
        <v>0</v>
      </c>
      <c r="I547" s="10">
        <f>SUMIF(成品出库明细!$D$2:$D$1172,$B547,成品出库明细!$G$2:$G$1172)</f>
        <v>0</v>
      </c>
      <c r="J547" s="10">
        <f t="shared" si="10"/>
        <v>0</v>
      </c>
      <c r="K547" s="12" t="s">
        <v>1266</v>
      </c>
      <c r="L547" s="10"/>
      <c r="M547" s="10"/>
      <c r="N547" s="10"/>
      <c r="O547" s="10"/>
      <c r="P547" s="10"/>
    </row>
    <row r="548" s="3" customFormat="1" ht="15.75" spans="1:16">
      <c r="A548" s="10"/>
      <c r="B548" s="10" t="s">
        <v>1345</v>
      </c>
      <c r="C548" s="39" t="s">
        <v>1346</v>
      </c>
      <c r="D548" s="2" t="s">
        <v>1339</v>
      </c>
      <c r="E548" s="12" t="s">
        <v>1344</v>
      </c>
      <c r="F548" s="10" t="s">
        <v>343</v>
      </c>
      <c r="G548" s="10">
        <f>SUMIF(成品月初库存!$C$3:$C$362,$B548,成品月初库存!$F$3:$F$362)</f>
        <v>0</v>
      </c>
      <c r="H548" s="10">
        <f>SUMIF(成品入库明细!$D$2:$D$500,$B548,成品入库明细!$G$2:$G$500)</f>
        <v>0</v>
      </c>
      <c r="I548" s="10">
        <f>SUMIF(成品出库明细!$D$2:$D$1172,$B548,成品出库明细!$G$2:$G$1172)</f>
        <v>0</v>
      </c>
      <c r="J548" s="10">
        <f t="shared" si="10"/>
        <v>0</v>
      </c>
      <c r="K548" s="12" t="s">
        <v>1266</v>
      </c>
      <c r="L548" s="10"/>
      <c r="M548" s="10"/>
      <c r="N548" s="10"/>
      <c r="O548" s="10"/>
      <c r="P548" s="10"/>
    </row>
    <row r="549" s="3" customFormat="1" ht="15.75" spans="1:16">
      <c r="A549" s="10"/>
      <c r="B549" s="10" t="s">
        <v>1347</v>
      </c>
      <c r="C549" s="39" t="s">
        <v>1348</v>
      </c>
      <c r="D549" s="2" t="s">
        <v>1339</v>
      </c>
      <c r="E549" s="12" t="s">
        <v>1344</v>
      </c>
      <c r="F549" s="10" t="s">
        <v>343</v>
      </c>
      <c r="G549" s="10">
        <f>SUMIF(成品月初库存!$C$3:$C$362,$B549,成品月初库存!$F$3:$F$362)</f>
        <v>0</v>
      </c>
      <c r="H549" s="10">
        <f>SUMIF(成品入库明细!$D$2:$D$500,$B549,成品入库明细!$G$2:$G$500)</f>
        <v>0</v>
      </c>
      <c r="I549" s="10">
        <f>SUMIF(成品出库明细!$D$2:$D$1172,$B549,成品出库明细!$G$2:$G$1172)</f>
        <v>0</v>
      </c>
      <c r="J549" s="10">
        <f t="shared" si="10"/>
        <v>0</v>
      </c>
      <c r="K549" s="12" t="s">
        <v>1266</v>
      </c>
      <c r="L549" s="10"/>
      <c r="M549" s="10"/>
      <c r="N549" s="10"/>
      <c r="O549" s="10"/>
      <c r="P549" s="10"/>
    </row>
    <row r="550" s="3" customFormat="1" ht="15.75" spans="1:16">
      <c r="A550" s="10"/>
      <c r="B550" s="10" t="s">
        <v>1349</v>
      </c>
      <c r="C550" s="39" t="s">
        <v>1350</v>
      </c>
      <c r="D550" s="2" t="s">
        <v>1339</v>
      </c>
      <c r="E550" s="12" t="s">
        <v>1344</v>
      </c>
      <c r="F550" s="10" t="s">
        <v>343</v>
      </c>
      <c r="G550" s="10">
        <f>SUMIF(成品月初库存!$C$3:$C$362,$B550,成品月初库存!$F$3:$F$362)</f>
        <v>0</v>
      </c>
      <c r="H550" s="10">
        <f>SUMIF(成品入库明细!$D$2:$D$500,$B550,成品入库明细!$G$2:$G$500)</f>
        <v>0</v>
      </c>
      <c r="I550" s="10">
        <f>SUMIF(成品出库明细!$D$2:$D$1172,$B550,成品出库明细!$G$2:$G$1172)</f>
        <v>0</v>
      </c>
      <c r="J550" s="10">
        <f t="shared" si="10"/>
        <v>0</v>
      </c>
      <c r="K550" s="12" t="s">
        <v>1266</v>
      </c>
      <c r="L550" s="10"/>
      <c r="M550" s="10"/>
      <c r="N550" s="10"/>
      <c r="O550" s="10"/>
      <c r="P550" s="10"/>
    </row>
    <row r="551" s="3" customFormat="1" ht="15.75" spans="1:16">
      <c r="A551" s="10"/>
      <c r="B551" s="10" t="s">
        <v>1351</v>
      </c>
      <c r="C551" s="39" t="s">
        <v>1352</v>
      </c>
      <c r="D551" s="2" t="s">
        <v>1339</v>
      </c>
      <c r="E551" s="12" t="s">
        <v>1344</v>
      </c>
      <c r="F551" s="10" t="s">
        <v>343</v>
      </c>
      <c r="G551" s="10">
        <f>SUMIF(成品月初库存!$C$3:$C$362,$B551,成品月初库存!$F$3:$F$362)</f>
        <v>0</v>
      </c>
      <c r="H551" s="10">
        <f>SUMIF(成品入库明细!$D$2:$D$500,$B551,成品入库明细!$G$2:$G$500)</f>
        <v>0</v>
      </c>
      <c r="I551" s="10">
        <f>SUMIF(成品出库明细!$D$2:$D$1172,$B551,成品出库明细!$G$2:$G$1172)</f>
        <v>0</v>
      </c>
      <c r="J551" s="10">
        <f t="shared" si="10"/>
        <v>0</v>
      </c>
      <c r="K551" s="12" t="s">
        <v>1266</v>
      </c>
      <c r="L551" s="10"/>
      <c r="M551" s="10"/>
      <c r="N551" s="10"/>
      <c r="O551" s="10"/>
      <c r="P551" s="10"/>
    </row>
    <row r="552" s="3" customFormat="1" ht="15.75" spans="1:16">
      <c r="A552" s="10"/>
      <c r="B552" s="10" t="s">
        <v>1353</v>
      </c>
      <c r="C552" s="39" t="s">
        <v>1354</v>
      </c>
      <c r="D552" s="2" t="s">
        <v>1339</v>
      </c>
      <c r="E552" s="12" t="s">
        <v>1344</v>
      </c>
      <c r="F552" s="10" t="s">
        <v>343</v>
      </c>
      <c r="G552" s="10">
        <f>SUMIF(成品月初库存!$C$3:$C$362,$B552,成品月初库存!$F$3:$F$362)</f>
        <v>0</v>
      </c>
      <c r="H552" s="10">
        <f>SUMIF(成品入库明细!$D$2:$D$500,$B552,成品入库明细!$G$2:$G$500)</f>
        <v>0</v>
      </c>
      <c r="I552" s="10">
        <f>SUMIF(成品出库明细!$D$2:$D$1172,$B552,成品出库明细!$G$2:$G$1172)</f>
        <v>0</v>
      </c>
      <c r="J552" s="10">
        <f t="shared" si="10"/>
        <v>0</v>
      </c>
      <c r="K552" s="12" t="s">
        <v>1266</v>
      </c>
      <c r="L552" s="10"/>
      <c r="M552" s="10"/>
      <c r="N552" s="10"/>
      <c r="O552" s="10"/>
      <c r="P552" s="10"/>
    </row>
    <row r="553" s="3" customFormat="1" ht="15.75" spans="1:16">
      <c r="A553" s="10"/>
      <c r="B553" s="10" t="s">
        <v>233</v>
      </c>
      <c r="C553" s="40" t="s">
        <v>234</v>
      </c>
      <c r="D553" s="2" t="s">
        <v>1339</v>
      </c>
      <c r="E553" s="12" t="s">
        <v>334</v>
      </c>
      <c r="F553" s="10" t="s">
        <v>343</v>
      </c>
      <c r="G553" s="10">
        <f>SUMIF(成品月初库存!$C$3:$C$362,$B553,成品月初库存!$F$3:$F$362)</f>
        <v>401</v>
      </c>
      <c r="H553" s="10">
        <f>SUMIF(成品入库明细!$D$2:$D$500,$B553,成品入库明细!$G$2:$G$500)</f>
        <v>0</v>
      </c>
      <c r="I553" s="10">
        <f>SUMIF(成品出库明细!$D$2:$D$1172,$B553,成品出库明细!$G$2:$G$1172)</f>
        <v>0</v>
      </c>
      <c r="J553" s="10">
        <f t="shared" si="10"/>
        <v>401</v>
      </c>
      <c r="K553" s="12"/>
      <c r="L553" s="10"/>
      <c r="M553" s="10"/>
      <c r="N553" s="10"/>
      <c r="O553" s="10"/>
      <c r="P553" s="10"/>
    </row>
    <row r="554" s="3" customFormat="1" ht="15.75" spans="1:16">
      <c r="A554" s="10"/>
      <c r="B554" s="10" t="s">
        <v>235</v>
      </c>
      <c r="C554" s="40" t="s">
        <v>236</v>
      </c>
      <c r="D554" s="2" t="s">
        <v>1339</v>
      </c>
      <c r="E554" s="12" t="s">
        <v>334</v>
      </c>
      <c r="F554" s="10" t="s">
        <v>343</v>
      </c>
      <c r="G554" s="10">
        <f>SUMIF(成品月初库存!$C$3:$C$362,$B554,成品月初库存!$F$3:$F$362)</f>
        <v>355</v>
      </c>
      <c r="H554" s="10">
        <f>SUMIF(成品入库明细!$D$2:$D$500,$B554,成品入库明细!$G$2:$G$500)</f>
        <v>0</v>
      </c>
      <c r="I554" s="10">
        <f>SUMIF(成品出库明细!$D$2:$D$1172,$B554,成品出库明细!$G$2:$G$1172)</f>
        <v>0</v>
      </c>
      <c r="J554" s="10">
        <f t="shared" si="10"/>
        <v>355</v>
      </c>
      <c r="K554" s="12"/>
      <c r="L554" s="10"/>
      <c r="M554" s="10"/>
      <c r="N554" s="10"/>
      <c r="O554" s="10"/>
      <c r="P554" s="10"/>
    </row>
    <row r="555" s="3" customFormat="1" ht="15.75" spans="1:16">
      <c r="A555" s="10"/>
      <c r="B555" s="10" t="s">
        <v>1355</v>
      </c>
      <c r="C555" s="40" t="s">
        <v>1356</v>
      </c>
      <c r="D555" s="2" t="s">
        <v>1339</v>
      </c>
      <c r="E555" s="12" t="s">
        <v>334</v>
      </c>
      <c r="F555" s="10" t="s">
        <v>343</v>
      </c>
      <c r="G555" s="10">
        <f>SUMIF(成品月初库存!$C$3:$C$362,$B555,成品月初库存!$F$3:$F$362)</f>
        <v>0</v>
      </c>
      <c r="H555" s="10">
        <f>SUMIF(成品入库明细!$D$2:$D$500,$B555,成品入库明细!$G$2:$G$500)</f>
        <v>0</v>
      </c>
      <c r="I555" s="10">
        <f>SUMIF(成品出库明细!$D$2:$D$1172,$B555,成品出库明细!$G$2:$G$1172)</f>
        <v>0</v>
      </c>
      <c r="J555" s="10">
        <f t="shared" si="10"/>
        <v>0</v>
      </c>
      <c r="K555" s="12"/>
      <c r="L555" s="10"/>
      <c r="M555" s="10"/>
      <c r="N555" s="10"/>
      <c r="O555" s="10"/>
      <c r="P555" s="10"/>
    </row>
    <row r="556" s="3" customFormat="1" ht="15.75" spans="1:16">
      <c r="A556" s="10"/>
      <c r="B556" s="10" t="s">
        <v>1357</v>
      </c>
      <c r="C556" s="40" t="s">
        <v>1358</v>
      </c>
      <c r="D556" s="2" t="s">
        <v>1339</v>
      </c>
      <c r="E556" s="12" t="s">
        <v>334</v>
      </c>
      <c r="F556" s="10" t="s">
        <v>343</v>
      </c>
      <c r="G556" s="10">
        <f>SUMIF(成品月初库存!$C$3:$C$362,$B556,成品月初库存!$F$3:$F$362)</f>
        <v>0</v>
      </c>
      <c r="H556" s="10">
        <f>SUMIF(成品入库明细!$D$2:$D$500,$B556,成品入库明细!$G$2:$G$500)</f>
        <v>0</v>
      </c>
      <c r="I556" s="10">
        <f>SUMIF(成品出库明细!$D$2:$D$1172,$B556,成品出库明细!$G$2:$G$1172)</f>
        <v>0</v>
      </c>
      <c r="J556" s="10">
        <f t="shared" si="10"/>
        <v>0</v>
      </c>
      <c r="K556" s="12" t="s">
        <v>1266</v>
      </c>
      <c r="L556" s="10"/>
      <c r="M556" s="10"/>
      <c r="N556" s="10"/>
      <c r="O556" s="10"/>
      <c r="P556" s="10"/>
    </row>
    <row r="557" s="3" customFormat="1" ht="15.75" spans="1:16">
      <c r="A557" s="10"/>
      <c r="B557" s="10" t="s">
        <v>1359</v>
      </c>
      <c r="C557" s="40" t="s">
        <v>1360</v>
      </c>
      <c r="D557" s="2" t="s">
        <v>1339</v>
      </c>
      <c r="E557" s="12" t="s">
        <v>334</v>
      </c>
      <c r="F557" s="10" t="s">
        <v>343</v>
      </c>
      <c r="G557" s="10">
        <f>SUMIF(成品月初库存!$C$3:$C$362,$B557,成品月初库存!$F$3:$F$362)</f>
        <v>0</v>
      </c>
      <c r="H557" s="10">
        <f>SUMIF(成品入库明细!$D$2:$D$500,$B557,成品入库明细!$G$2:$G$500)</f>
        <v>0</v>
      </c>
      <c r="I557" s="10">
        <f>SUMIF(成品出库明细!$D$2:$D$1172,$B557,成品出库明细!$G$2:$G$1172)</f>
        <v>0</v>
      </c>
      <c r="J557" s="10">
        <f t="shared" si="10"/>
        <v>0</v>
      </c>
      <c r="K557" s="12" t="s">
        <v>1266</v>
      </c>
      <c r="L557" s="10"/>
      <c r="M557" s="10"/>
      <c r="N557" s="10"/>
      <c r="O557" s="10"/>
      <c r="P557" s="10"/>
    </row>
    <row r="558" s="3" customFormat="1" ht="15.75" spans="1:16">
      <c r="A558" s="10"/>
      <c r="B558" s="10" t="s">
        <v>1361</v>
      </c>
      <c r="C558" s="40" t="s">
        <v>1362</v>
      </c>
      <c r="D558" s="2" t="s">
        <v>1339</v>
      </c>
      <c r="E558" s="12" t="s">
        <v>334</v>
      </c>
      <c r="F558" s="10" t="s">
        <v>343</v>
      </c>
      <c r="G558" s="10">
        <f>SUMIF(成品月初库存!$C$3:$C$362,$B558,成品月初库存!$F$3:$F$362)</f>
        <v>0</v>
      </c>
      <c r="H558" s="10">
        <f>SUMIF(成品入库明细!$D$2:$D$500,$B558,成品入库明细!$G$2:$G$500)</f>
        <v>0</v>
      </c>
      <c r="I558" s="10">
        <f>SUMIF(成品出库明细!$D$2:$D$1172,$B558,成品出库明细!$G$2:$G$1172)</f>
        <v>0</v>
      </c>
      <c r="J558" s="10">
        <f t="shared" si="10"/>
        <v>0</v>
      </c>
      <c r="K558" s="12" t="s">
        <v>1266</v>
      </c>
      <c r="L558" s="10"/>
      <c r="M558" s="10"/>
      <c r="N558" s="10"/>
      <c r="O558" s="10"/>
      <c r="P558" s="10"/>
    </row>
    <row r="559" s="3" customFormat="1" ht="15.75" spans="1:16">
      <c r="A559" s="10"/>
      <c r="B559" s="10" t="s">
        <v>1363</v>
      </c>
      <c r="C559" s="40" t="s">
        <v>1364</v>
      </c>
      <c r="D559" s="2" t="s">
        <v>1339</v>
      </c>
      <c r="E559" s="12" t="s">
        <v>334</v>
      </c>
      <c r="F559" s="10" t="s">
        <v>343</v>
      </c>
      <c r="G559" s="10">
        <f>SUMIF(成品月初库存!$C$3:$C$362,$B559,成品月初库存!$F$3:$F$362)</f>
        <v>0</v>
      </c>
      <c r="H559" s="10">
        <f>SUMIF(成品入库明细!$D$2:$D$500,$B559,成品入库明细!$G$2:$G$500)</f>
        <v>0</v>
      </c>
      <c r="I559" s="10">
        <f>SUMIF(成品出库明细!$D$2:$D$1172,$B559,成品出库明细!$G$2:$G$1172)</f>
        <v>0</v>
      </c>
      <c r="J559" s="10">
        <f t="shared" si="10"/>
        <v>0</v>
      </c>
      <c r="K559" s="12" t="s">
        <v>1266</v>
      </c>
      <c r="L559" s="10"/>
      <c r="M559" s="10"/>
      <c r="N559" s="10"/>
      <c r="O559" s="10"/>
      <c r="P559" s="10"/>
    </row>
    <row r="560" s="3" customFormat="1" ht="14.25" spans="1:16">
      <c r="A560" s="10"/>
      <c r="B560" s="10" t="s">
        <v>1365</v>
      </c>
      <c r="C560" s="10">
        <v>6335</v>
      </c>
      <c r="D560" s="12" t="s">
        <v>1366</v>
      </c>
      <c r="E560" s="12" t="s">
        <v>334</v>
      </c>
      <c r="F560" s="10" t="s">
        <v>343</v>
      </c>
      <c r="G560" s="10">
        <f>SUMIF(成品月初库存!$C$3:$C$362,$B560,成品月初库存!$F$3:$F$362)</f>
        <v>0</v>
      </c>
      <c r="H560" s="10">
        <f>SUMIF(成品入库明细!$D$2:$D$500,$B560,成品入库明细!$G$2:$G$500)</f>
        <v>0</v>
      </c>
      <c r="I560" s="10">
        <f>SUMIF(成品出库明细!$D$2:$D$1172,$B560,成品出库明细!$G$2:$G$1172)</f>
        <v>0</v>
      </c>
      <c r="J560" s="10">
        <f t="shared" ref="J560:J592" si="11">G560+H560-I560</f>
        <v>0</v>
      </c>
      <c r="K560" s="12" t="s">
        <v>300</v>
      </c>
      <c r="L560" s="10"/>
      <c r="M560" s="10"/>
      <c r="N560" s="10"/>
      <c r="O560" s="10"/>
      <c r="P560" s="10"/>
    </row>
    <row r="561" s="3" customFormat="1" ht="14.25" spans="1:16">
      <c r="A561" s="10"/>
      <c r="B561" s="10" t="s">
        <v>1367</v>
      </c>
      <c r="C561" s="10">
        <v>8397</v>
      </c>
      <c r="D561" s="12" t="s">
        <v>1366</v>
      </c>
      <c r="E561" s="12" t="s">
        <v>334</v>
      </c>
      <c r="F561" s="10" t="s">
        <v>343</v>
      </c>
      <c r="G561" s="10">
        <f>SUMIF(成品月初库存!$C$3:$C$362,$B561,成品月初库存!$F$3:$F$362)</f>
        <v>0</v>
      </c>
      <c r="H561" s="10">
        <f>SUMIF(成品入库明细!$D$2:$D$500,$B561,成品入库明细!$G$2:$G$500)</f>
        <v>0</v>
      </c>
      <c r="I561" s="10">
        <f>SUMIF(成品出库明细!$D$2:$D$1172,$B561,成品出库明细!$G$2:$G$1172)</f>
        <v>0</v>
      </c>
      <c r="J561" s="10">
        <f t="shared" si="11"/>
        <v>0</v>
      </c>
      <c r="K561" s="12" t="s">
        <v>300</v>
      </c>
      <c r="L561" s="10"/>
      <c r="M561" s="10"/>
      <c r="N561" s="10"/>
      <c r="O561" s="10"/>
      <c r="P561" s="10"/>
    </row>
    <row r="562" s="3" customFormat="1" ht="14.25" spans="1:16">
      <c r="A562" s="10"/>
      <c r="B562" s="10" t="s">
        <v>1368</v>
      </c>
      <c r="C562" s="10" t="s">
        <v>1369</v>
      </c>
      <c r="D562" s="12" t="s">
        <v>1366</v>
      </c>
      <c r="E562" s="12" t="s">
        <v>334</v>
      </c>
      <c r="F562" s="10" t="s">
        <v>343</v>
      </c>
      <c r="G562" s="10">
        <f>SUMIF(成品月初库存!$C$3:$C$362,$B562,成品月初库存!$F$3:$F$362)</f>
        <v>0</v>
      </c>
      <c r="H562" s="10">
        <f>SUMIF(成品入库明细!$D$2:$D$500,$B562,成品入库明细!$G$2:$G$500)</f>
        <v>0</v>
      </c>
      <c r="I562" s="10">
        <f>SUMIF(成品出库明细!$D$2:$D$1172,$B562,成品出库明细!$G$2:$G$1172)</f>
        <v>0</v>
      </c>
      <c r="J562" s="10">
        <f t="shared" si="11"/>
        <v>0</v>
      </c>
      <c r="K562" s="12" t="s">
        <v>300</v>
      </c>
      <c r="L562" s="10"/>
      <c r="M562" s="10"/>
      <c r="N562" s="10"/>
      <c r="O562" s="10"/>
      <c r="P562" s="10"/>
    </row>
    <row r="563" s="3" customFormat="1" ht="14.25" spans="1:16">
      <c r="A563" s="10"/>
      <c r="B563" s="10" t="s">
        <v>237</v>
      </c>
      <c r="C563" s="10" t="s">
        <v>1370</v>
      </c>
      <c r="D563" s="2" t="s">
        <v>322</v>
      </c>
      <c r="E563" s="12" t="s">
        <v>334</v>
      </c>
      <c r="F563" s="10" t="s">
        <v>343</v>
      </c>
      <c r="G563" s="10">
        <f>SUMIF(成品月初库存!$C$3:$C$362,$B563,成品月初库存!$F$3:$F$362)</f>
        <v>3592</v>
      </c>
      <c r="H563" s="10">
        <f>SUMIF(成品入库明细!$D$2:$D$500,$B563,成品入库明细!$G$2:$G$500)</f>
        <v>0</v>
      </c>
      <c r="I563" s="10">
        <f>SUMIF(成品出库明细!$D$2:$D$1172,$B563,成品出库明细!$G$2:$G$1172)</f>
        <v>0</v>
      </c>
      <c r="J563" s="10">
        <f t="shared" si="11"/>
        <v>3592</v>
      </c>
      <c r="K563" s="12" t="s">
        <v>349</v>
      </c>
      <c r="L563" s="10"/>
      <c r="M563" s="10"/>
      <c r="N563" s="10"/>
      <c r="O563" s="10"/>
      <c r="P563" s="10"/>
    </row>
    <row r="564" s="3" customFormat="1" ht="14.25" spans="1:16">
      <c r="A564" s="10"/>
      <c r="B564" s="10" t="s">
        <v>290</v>
      </c>
      <c r="C564" s="10" t="s">
        <v>1371</v>
      </c>
      <c r="D564" s="2" t="s">
        <v>322</v>
      </c>
      <c r="E564" s="12" t="s">
        <v>334</v>
      </c>
      <c r="F564" s="10" t="s">
        <v>343</v>
      </c>
      <c r="G564" s="10">
        <f>SUMIF(成品月初库存!$C$3:$C$362,$B564,成品月初库存!$F$3:$F$362)</f>
        <v>132</v>
      </c>
      <c r="H564" s="10">
        <f>SUMIF(成品入库明细!$D$2:$D$500,$B564,成品入库明细!$G$2:$G$500)</f>
        <v>0</v>
      </c>
      <c r="I564" s="10">
        <f>SUMIF(成品出库明细!$D$2:$D$1172,$B564,成品出库明细!$G$2:$G$1172)</f>
        <v>0</v>
      </c>
      <c r="J564" s="10">
        <f t="shared" si="11"/>
        <v>132</v>
      </c>
      <c r="K564" s="12" t="s">
        <v>344</v>
      </c>
      <c r="L564" s="10"/>
      <c r="M564" s="10"/>
      <c r="N564" s="10"/>
      <c r="O564" s="10"/>
      <c r="P564" s="10"/>
    </row>
    <row r="565" s="3" customFormat="1" ht="14.25" spans="1:16">
      <c r="A565" s="10"/>
      <c r="B565" s="10" t="s">
        <v>238</v>
      </c>
      <c r="C565" s="10" t="s">
        <v>1372</v>
      </c>
      <c r="D565" s="2" t="s">
        <v>322</v>
      </c>
      <c r="E565" s="12" t="s">
        <v>334</v>
      </c>
      <c r="F565" s="10" t="s">
        <v>343</v>
      </c>
      <c r="G565" s="10">
        <f>SUMIF(成品月初库存!$C$3:$C$362,$B565,成品月初库存!$F$3:$F$362)</f>
        <v>10347</v>
      </c>
      <c r="H565" s="10">
        <f>SUMIF(成品入库明细!$D$2:$D$500,$B565,成品入库明细!$G$2:$G$500)</f>
        <v>0</v>
      </c>
      <c r="I565" s="10">
        <f>SUMIF(成品出库明细!$D$2:$D$1172,$B565,成品出库明细!$G$2:$G$1172)</f>
        <v>0</v>
      </c>
      <c r="J565" s="10">
        <f t="shared" si="11"/>
        <v>10347</v>
      </c>
      <c r="K565" s="12" t="s">
        <v>538</v>
      </c>
      <c r="L565" s="10"/>
      <c r="M565" s="10"/>
      <c r="N565" s="10"/>
      <c r="O565" s="10"/>
      <c r="P565" s="10"/>
    </row>
    <row r="566" s="3" customFormat="1" ht="16.5" spans="1:16">
      <c r="A566" s="10"/>
      <c r="B566" s="10" t="s">
        <v>239</v>
      </c>
      <c r="C566" s="41" t="s">
        <v>1373</v>
      </c>
      <c r="D566" s="2" t="s">
        <v>322</v>
      </c>
      <c r="E566" s="12" t="s">
        <v>334</v>
      </c>
      <c r="F566" s="10" t="s">
        <v>343</v>
      </c>
      <c r="G566" s="10">
        <f>SUMIF(成品月初库存!$C$3:$C$362,$B566,成品月初库存!$F$3:$F$362)</f>
        <v>15672</v>
      </c>
      <c r="H566" s="10">
        <f>SUMIF(成品入库明细!$D$2:$D$500,$B566,成品入库明细!$G$2:$G$500)</f>
        <v>0</v>
      </c>
      <c r="I566" s="10">
        <f>SUMIF(成品出库明细!$D$2:$D$1172,$B566,成品出库明细!$G$2:$G$1172)</f>
        <v>0</v>
      </c>
      <c r="J566" s="10">
        <f t="shared" si="11"/>
        <v>15672</v>
      </c>
      <c r="K566" s="12" t="s">
        <v>300</v>
      </c>
      <c r="L566" s="10"/>
      <c r="M566" s="10"/>
      <c r="N566" s="10"/>
      <c r="O566" s="10"/>
      <c r="P566" s="10"/>
    </row>
    <row r="567" s="3" customFormat="1" ht="14.25" spans="1:16">
      <c r="A567" s="10"/>
      <c r="B567" s="10" t="s">
        <v>240</v>
      </c>
      <c r="C567" s="21" t="s">
        <v>241</v>
      </c>
      <c r="D567" s="2" t="s">
        <v>322</v>
      </c>
      <c r="E567" s="12" t="s">
        <v>334</v>
      </c>
      <c r="F567" s="10" t="s">
        <v>343</v>
      </c>
      <c r="G567" s="10">
        <f>SUMIF(成品月初库存!$C$3:$C$362,$B567,成品月初库存!$F$3:$F$362)</f>
        <v>16126</v>
      </c>
      <c r="H567" s="10">
        <f>SUMIF(成品入库明细!$D$2:$D$500,$B567,成品入库明细!$G$2:$G$500)</f>
        <v>0</v>
      </c>
      <c r="I567" s="10">
        <f>SUMIF(成品出库明细!$D$2:$D$1172,$B567,成品出库明细!$G$2:$G$1172)</f>
        <v>35</v>
      </c>
      <c r="J567" s="10">
        <f t="shared" si="11"/>
        <v>16091</v>
      </c>
      <c r="K567" s="12" t="s">
        <v>344</v>
      </c>
      <c r="L567" s="10"/>
      <c r="M567" s="10"/>
      <c r="N567" s="10"/>
      <c r="O567" s="10"/>
      <c r="P567" s="10"/>
    </row>
    <row r="568" s="3" customFormat="1" ht="14.25" spans="1:16">
      <c r="A568" s="10"/>
      <c r="B568" s="10" t="s">
        <v>243</v>
      </c>
      <c r="C568" s="21" t="s">
        <v>1374</v>
      </c>
      <c r="D568" s="2" t="s">
        <v>322</v>
      </c>
      <c r="E568" s="12" t="s">
        <v>334</v>
      </c>
      <c r="F568" s="10" t="s">
        <v>343</v>
      </c>
      <c r="G568" s="10">
        <f>SUMIF(成品月初库存!$C$3:$C$362,$B568,成品月初库存!$F$3:$F$362)</f>
        <v>870</v>
      </c>
      <c r="H568" s="10">
        <f>SUMIF(成品入库明细!$D$2:$D$500,$B568,成品入库明细!$G$2:$G$500)</f>
        <v>0</v>
      </c>
      <c r="I568" s="10">
        <f>SUMIF(成品出库明细!$D$2:$D$1172,$B568,成品出库明细!$G$2:$G$1172)</f>
        <v>0</v>
      </c>
      <c r="J568" s="10">
        <f t="shared" si="11"/>
        <v>870</v>
      </c>
      <c r="K568" s="12" t="s">
        <v>379</v>
      </c>
      <c r="L568" s="10"/>
      <c r="M568" s="10"/>
      <c r="N568" s="10"/>
      <c r="O568" s="10"/>
      <c r="P568" s="10"/>
    </row>
    <row r="569" s="3" customFormat="1" ht="14.25" spans="1:16">
      <c r="A569" s="10"/>
      <c r="B569" s="10" t="s">
        <v>244</v>
      </c>
      <c r="C569" s="21" t="s">
        <v>1375</v>
      </c>
      <c r="D569" s="2" t="s">
        <v>322</v>
      </c>
      <c r="E569" s="12" t="s">
        <v>334</v>
      </c>
      <c r="F569" s="10" t="s">
        <v>343</v>
      </c>
      <c r="G569" s="10">
        <f>SUMIF(成品月初库存!$C$3:$C$362,$B569,成品月初库存!$F$3:$F$362)</f>
        <v>2411</v>
      </c>
      <c r="H569" s="10">
        <f>SUMIF(成品入库明细!$D$2:$D$500,$B569,成品入库明细!$G$2:$G$500)</f>
        <v>0</v>
      </c>
      <c r="I569" s="10">
        <f>SUMIF(成品出库明细!$D$2:$D$1172,$B569,成品出库明细!$G$2:$G$1172)</f>
        <v>0</v>
      </c>
      <c r="J569" s="10">
        <f t="shared" si="11"/>
        <v>2411</v>
      </c>
      <c r="K569" s="12" t="s">
        <v>379</v>
      </c>
      <c r="L569" s="10"/>
      <c r="M569" s="10"/>
      <c r="N569" s="10"/>
      <c r="O569" s="10"/>
      <c r="P569" s="10"/>
    </row>
    <row r="570" s="3" customFormat="1" ht="14.25" spans="1:16">
      <c r="A570" s="10"/>
      <c r="B570" s="10" t="s">
        <v>1376</v>
      </c>
      <c r="C570" s="21" t="s">
        <v>1377</v>
      </c>
      <c r="D570" s="2" t="s">
        <v>322</v>
      </c>
      <c r="E570" s="12" t="s">
        <v>334</v>
      </c>
      <c r="F570" s="10" t="s">
        <v>343</v>
      </c>
      <c r="G570" s="10">
        <f>SUMIF(成品月初库存!$C$3:$C$362,$B570,成品月初库存!$F$3:$F$362)</f>
        <v>0</v>
      </c>
      <c r="H570" s="10">
        <f>SUMIF(成品入库明细!$D$2:$D$500,$B570,成品入库明细!$G$2:$G$500)</f>
        <v>0</v>
      </c>
      <c r="I570" s="10">
        <f>SUMIF(成品出库明细!$D$2:$D$1172,$B570,成品出库明细!$G$2:$G$1172)</f>
        <v>0</v>
      </c>
      <c r="J570" s="10">
        <f t="shared" si="11"/>
        <v>0</v>
      </c>
      <c r="K570" s="12" t="s">
        <v>344</v>
      </c>
      <c r="L570" s="10"/>
      <c r="M570" s="10"/>
      <c r="N570" s="10"/>
      <c r="O570" s="10"/>
      <c r="P570" s="10"/>
    </row>
    <row r="571" s="3" customFormat="1" ht="14.25" spans="1:16">
      <c r="A571" s="10"/>
      <c r="B571" s="10" t="s">
        <v>245</v>
      </c>
      <c r="C571" s="21" t="s">
        <v>1378</v>
      </c>
      <c r="D571" s="2" t="s">
        <v>322</v>
      </c>
      <c r="E571" s="12" t="s">
        <v>334</v>
      </c>
      <c r="F571" s="10" t="s">
        <v>343</v>
      </c>
      <c r="G571" s="10">
        <f>SUMIF(成品月初库存!$C$3:$C$362,$B571,成品月初库存!$F$3:$F$362)</f>
        <v>3</v>
      </c>
      <c r="H571" s="10">
        <f>SUMIF(成品入库明细!$D$2:$D$500,$B571,成品入库明细!$G$2:$G$500)</f>
        <v>2066</v>
      </c>
      <c r="I571" s="10">
        <f>SUMIF(成品出库明细!$D$2:$D$1172,$B571,成品出库明细!$G$2:$G$1172)</f>
        <v>0</v>
      </c>
      <c r="J571" s="10">
        <f t="shared" si="11"/>
        <v>2069</v>
      </c>
      <c r="K571" s="12" t="s">
        <v>1379</v>
      </c>
      <c r="L571" s="10"/>
      <c r="M571" s="10"/>
      <c r="N571" s="10"/>
      <c r="O571" s="10"/>
      <c r="P571" s="10"/>
    </row>
    <row r="572" s="3" customFormat="1" ht="14.25" spans="1:16">
      <c r="A572" s="10"/>
      <c r="B572" s="10" t="s">
        <v>246</v>
      </c>
      <c r="C572" s="21" t="s">
        <v>1380</v>
      </c>
      <c r="D572" s="12" t="s">
        <v>1381</v>
      </c>
      <c r="E572" s="12" t="s">
        <v>334</v>
      </c>
      <c r="F572" s="10" t="s">
        <v>343</v>
      </c>
      <c r="G572" s="10">
        <f>SUMIF(成品月初库存!$C$3:$C$362,$B572,成品月初库存!$F$3:$F$362)</f>
        <v>970</v>
      </c>
      <c r="H572" s="10">
        <f>SUMIF(成品入库明细!$D$2:$D$500,$B572,成品入库明细!$G$2:$G$500)</f>
        <v>0</v>
      </c>
      <c r="I572" s="10">
        <f>SUMIF(成品出库明细!$D$2:$D$1172,$B572,成品出库明细!$G$2:$G$1172)</f>
        <v>0</v>
      </c>
      <c r="J572" s="10">
        <f t="shared" si="11"/>
        <v>970</v>
      </c>
      <c r="K572" s="12" t="s">
        <v>300</v>
      </c>
      <c r="L572" s="10"/>
      <c r="M572" s="10"/>
      <c r="N572" s="10"/>
      <c r="O572" s="10"/>
      <c r="P572" s="10"/>
    </row>
    <row r="573" s="3" customFormat="1" ht="14.25" spans="1:16">
      <c r="A573" s="10"/>
      <c r="B573" s="10" t="s">
        <v>247</v>
      </c>
      <c r="C573" s="21" t="s">
        <v>1382</v>
      </c>
      <c r="D573" s="12" t="s">
        <v>1381</v>
      </c>
      <c r="E573" s="12" t="s">
        <v>334</v>
      </c>
      <c r="F573" s="10" t="s">
        <v>343</v>
      </c>
      <c r="G573" s="10">
        <f>SUMIF(成品月初库存!$C$3:$C$362,$B573,成品月初库存!$F$3:$F$362)</f>
        <v>5075</v>
      </c>
      <c r="H573" s="10">
        <f>SUMIF(成品入库明细!$D$2:$D$500,$B573,成品入库明细!$G$2:$G$500)</f>
        <v>0</v>
      </c>
      <c r="I573" s="10">
        <f>SUMIF(成品出库明细!$D$2:$D$1172,$B573,成品出库明细!$G$2:$G$1172)</f>
        <v>0</v>
      </c>
      <c r="J573" s="10">
        <f t="shared" si="11"/>
        <v>5075</v>
      </c>
      <c r="K573" s="12" t="s">
        <v>300</v>
      </c>
      <c r="L573" s="10"/>
      <c r="M573" s="10"/>
      <c r="N573" s="10"/>
      <c r="O573" s="10"/>
      <c r="P573" s="10"/>
    </row>
    <row r="574" s="3" customFormat="1" ht="14.25" spans="1:16">
      <c r="A574" s="10"/>
      <c r="B574" s="4" t="s">
        <v>1383</v>
      </c>
      <c r="C574" s="10" t="s">
        <v>1384</v>
      </c>
      <c r="D574" s="21" t="s">
        <v>1385</v>
      </c>
      <c r="E574" s="12" t="s">
        <v>334</v>
      </c>
      <c r="F574" s="10" t="s">
        <v>343</v>
      </c>
      <c r="G574" s="10">
        <f>SUMIF(成品月初库存!$C$3:$C$362,$B574,成品月初库存!$F$3:$F$362)</f>
        <v>0</v>
      </c>
      <c r="H574" s="10">
        <f>SUMIF(成品入库明细!$D$2:$D$500,$B574,成品入库明细!$G$2:$G$500)</f>
        <v>0</v>
      </c>
      <c r="I574" s="10">
        <f>SUMIF(成品出库明细!$D$2:$D$1172,$B574,成品出库明细!$G$2:$G$1172)</f>
        <v>0</v>
      </c>
      <c r="J574" s="10">
        <f t="shared" si="11"/>
        <v>0</v>
      </c>
      <c r="K574" s="12" t="s">
        <v>751</v>
      </c>
      <c r="L574" s="14" t="s">
        <v>1386</v>
      </c>
      <c r="M574" s="10"/>
      <c r="N574" s="10"/>
      <c r="O574" s="10"/>
      <c r="P574" s="10"/>
    </row>
    <row r="575" s="3" customFormat="1" ht="14.25" spans="1:16">
      <c r="A575" s="10"/>
      <c r="B575" s="4" t="s">
        <v>1387</v>
      </c>
      <c r="C575" s="10" t="s">
        <v>1388</v>
      </c>
      <c r="D575" s="21" t="s">
        <v>1385</v>
      </c>
      <c r="E575" s="12" t="s">
        <v>334</v>
      </c>
      <c r="F575" s="10" t="s">
        <v>343</v>
      </c>
      <c r="G575" s="10">
        <f>SUMIF(成品月初库存!$C$3:$C$362,$B575,成品月初库存!$F$3:$F$362)</f>
        <v>0</v>
      </c>
      <c r="H575" s="10">
        <f>SUMIF(成品入库明细!$D$2:$D$500,$B575,成品入库明细!$G$2:$G$500)</f>
        <v>0</v>
      </c>
      <c r="I575" s="10">
        <f>SUMIF(成品出库明细!$D$2:$D$1172,$B575,成品出库明细!$G$2:$G$1172)</f>
        <v>0</v>
      </c>
      <c r="J575" s="10">
        <f t="shared" si="11"/>
        <v>0</v>
      </c>
      <c r="K575" s="12" t="s">
        <v>1003</v>
      </c>
      <c r="L575" s="14"/>
      <c r="M575" s="10"/>
      <c r="N575" s="10"/>
      <c r="O575" s="10"/>
      <c r="P575" s="10"/>
    </row>
    <row r="576" s="3" customFormat="1" ht="14.25" spans="1:16">
      <c r="A576" s="10"/>
      <c r="B576" s="4" t="s">
        <v>1389</v>
      </c>
      <c r="C576" s="10" t="s">
        <v>1390</v>
      </c>
      <c r="D576" s="12" t="s">
        <v>1385</v>
      </c>
      <c r="E576" s="12" t="s">
        <v>334</v>
      </c>
      <c r="F576" s="10" t="s">
        <v>343</v>
      </c>
      <c r="G576" s="10">
        <f>SUMIF(成品月初库存!$C$3:$C$362,$B576,成品月初库存!$F$3:$F$362)</f>
        <v>0</v>
      </c>
      <c r="H576" s="10">
        <f>SUMIF(成品入库明细!$D$2:$D$500,$B576,成品入库明细!$G$2:$G$500)</f>
        <v>0</v>
      </c>
      <c r="I576" s="10">
        <f>SUMIF(成品出库明细!$D$2:$D$1172,$B576,成品出库明细!$G$2:$G$1172)</f>
        <v>0</v>
      </c>
      <c r="J576" s="10">
        <f t="shared" si="11"/>
        <v>0</v>
      </c>
      <c r="K576" s="10" t="s">
        <v>514</v>
      </c>
      <c r="L576" s="14"/>
      <c r="M576" s="10"/>
      <c r="N576" s="10"/>
      <c r="O576" s="10"/>
      <c r="P576" s="10"/>
    </row>
    <row r="577" s="3" customFormat="1" ht="14.25" spans="1:16">
      <c r="A577" s="10"/>
      <c r="B577" s="4" t="s">
        <v>248</v>
      </c>
      <c r="C577" s="12" t="s">
        <v>1391</v>
      </c>
      <c r="D577" s="12" t="s">
        <v>1385</v>
      </c>
      <c r="E577" s="12" t="s">
        <v>334</v>
      </c>
      <c r="F577" s="10" t="s">
        <v>343</v>
      </c>
      <c r="G577" s="10">
        <f>SUMIF(成品月初库存!$C$3:$C$362,$B577,成品月初库存!$F$3:$F$362)</f>
        <v>163</v>
      </c>
      <c r="H577" s="10">
        <f>SUMIF(成品入库明细!$D$2:$D$500,$B577,成品入库明细!$G$2:$G$500)</f>
        <v>0</v>
      </c>
      <c r="I577" s="10">
        <f>SUMIF(成品出库明细!$D$2:$D$1172,$B577,成品出库明细!$G$2:$G$1172)</f>
        <v>0</v>
      </c>
      <c r="J577" s="10">
        <f t="shared" si="11"/>
        <v>163</v>
      </c>
      <c r="K577" s="12" t="s">
        <v>770</v>
      </c>
      <c r="L577" s="10"/>
      <c r="M577" s="10"/>
      <c r="N577" s="10"/>
      <c r="O577" s="10"/>
      <c r="P577" s="10"/>
    </row>
    <row r="578" s="3" customFormat="1" ht="14.25" spans="1:16">
      <c r="A578" s="10"/>
      <c r="B578" s="4" t="s">
        <v>249</v>
      </c>
      <c r="C578" s="12" t="s">
        <v>1392</v>
      </c>
      <c r="D578" s="12" t="s">
        <v>1385</v>
      </c>
      <c r="E578" s="12" t="s">
        <v>334</v>
      </c>
      <c r="F578" s="10" t="s">
        <v>343</v>
      </c>
      <c r="G578" s="10">
        <f>SUMIF(成品月初库存!$C$3:$C$362,$B578,成品月初库存!$F$3:$F$362)</f>
        <v>877</v>
      </c>
      <c r="H578" s="10">
        <f>SUMIF(成品入库明细!$D$2:$D$500,$B578,成品入库明细!$G$2:$G$500)</f>
        <v>0</v>
      </c>
      <c r="I578" s="10">
        <f>SUMIF(成品出库明细!$D$2:$D$1172,$B578,成品出库明细!$G$2:$G$1172)</f>
        <v>0</v>
      </c>
      <c r="J578" s="10">
        <f t="shared" si="11"/>
        <v>877</v>
      </c>
      <c r="K578" s="12" t="s">
        <v>770</v>
      </c>
      <c r="L578" s="10"/>
      <c r="M578" s="10"/>
      <c r="N578" s="10"/>
      <c r="O578" s="10"/>
      <c r="P578" s="10"/>
    </row>
    <row r="579" s="3" customFormat="1" ht="14.25" spans="1:16">
      <c r="A579" s="10"/>
      <c r="B579" s="4" t="s">
        <v>1393</v>
      </c>
      <c r="C579" s="12" t="s">
        <v>1394</v>
      </c>
      <c r="D579" s="12" t="s">
        <v>1385</v>
      </c>
      <c r="E579" s="12" t="s">
        <v>334</v>
      </c>
      <c r="F579" s="10" t="s">
        <v>343</v>
      </c>
      <c r="G579" s="10">
        <f>SUMIF(成品月初库存!$C$3:$C$362,$B579,成品月初库存!$F$3:$F$362)</f>
        <v>0</v>
      </c>
      <c r="H579" s="10">
        <f>SUMIF(成品入库明细!$D$2:$D$500,$B579,成品入库明细!$G$2:$G$500)</f>
        <v>0</v>
      </c>
      <c r="I579" s="10">
        <f>SUMIF(成品出库明细!$D$2:$D$1172,$B579,成品出库明细!$G$2:$G$1172)</f>
        <v>0</v>
      </c>
      <c r="J579" s="10">
        <f t="shared" si="11"/>
        <v>0</v>
      </c>
      <c r="K579" s="12" t="s">
        <v>751</v>
      </c>
      <c r="L579" s="10"/>
      <c r="M579" s="10"/>
      <c r="N579" s="10"/>
      <c r="O579" s="10"/>
      <c r="P579" s="10"/>
    </row>
    <row r="580" s="3" customFormat="1" ht="14.25" spans="1:16">
      <c r="A580" s="10"/>
      <c r="B580" s="4" t="s">
        <v>1395</v>
      </c>
      <c r="C580" s="12" t="s">
        <v>1396</v>
      </c>
      <c r="D580" s="12" t="s">
        <v>1385</v>
      </c>
      <c r="E580" s="12" t="s">
        <v>334</v>
      </c>
      <c r="F580" s="10" t="s">
        <v>343</v>
      </c>
      <c r="G580" s="10">
        <f>SUMIF(成品月初库存!$C$3:$C$362,$B580,成品月初库存!$F$3:$F$362)</f>
        <v>0</v>
      </c>
      <c r="H580" s="10">
        <f>SUMIF(成品入库明细!$D$2:$D$500,$B580,成品入库明细!$G$2:$G$500)</f>
        <v>0</v>
      </c>
      <c r="I580" s="10">
        <f>SUMIF(成品出库明细!$D$2:$D$1172,$B580,成品出库明细!$G$2:$G$1172)</f>
        <v>0</v>
      </c>
      <c r="J580" s="10">
        <f t="shared" si="11"/>
        <v>0</v>
      </c>
      <c r="K580" s="12" t="s">
        <v>1003</v>
      </c>
      <c r="L580" s="10"/>
      <c r="M580" s="10"/>
      <c r="N580" s="10"/>
      <c r="O580" s="10"/>
      <c r="P580" s="10"/>
    </row>
    <row r="581" s="3" customFormat="1" ht="14.25" spans="1:16">
      <c r="A581" s="10"/>
      <c r="B581" s="4" t="s">
        <v>1397</v>
      </c>
      <c r="C581" s="12" t="s">
        <v>1398</v>
      </c>
      <c r="D581" s="12" t="s">
        <v>1385</v>
      </c>
      <c r="E581" s="12" t="s">
        <v>334</v>
      </c>
      <c r="F581" s="10" t="s">
        <v>343</v>
      </c>
      <c r="G581" s="10">
        <f>SUMIF(成品月初库存!$C$3:$C$362,$B581,成品月初库存!$F$3:$F$362)</f>
        <v>0</v>
      </c>
      <c r="H581" s="10">
        <f>SUMIF(成品入库明细!$D$2:$D$500,$B581,成品入库明细!$G$2:$G$500)</f>
        <v>0</v>
      </c>
      <c r="I581" s="10">
        <f>SUMIF(成品出库明细!$D$2:$D$1172,$B581,成品出库明细!$G$2:$G$1172)</f>
        <v>0</v>
      </c>
      <c r="J581" s="10">
        <f t="shared" si="11"/>
        <v>0</v>
      </c>
      <c r="K581" s="12" t="s">
        <v>751</v>
      </c>
      <c r="L581" s="10"/>
      <c r="M581" s="10"/>
      <c r="N581" s="10"/>
      <c r="O581" s="10"/>
      <c r="P581" s="10"/>
    </row>
    <row r="582" s="3" customFormat="1" ht="14.25" spans="1:16">
      <c r="A582" s="10"/>
      <c r="B582" s="4" t="s">
        <v>1399</v>
      </c>
      <c r="C582" s="12" t="s">
        <v>1400</v>
      </c>
      <c r="D582" s="12" t="s">
        <v>1385</v>
      </c>
      <c r="E582" s="12" t="s">
        <v>334</v>
      </c>
      <c r="F582" s="10" t="s">
        <v>343</v>
      </c>
      <c r="G582" s="10">
        <f>SUMIF(成品月初库存!$C$3:$C$362,$B582,成品月初库存!$F$3:$F$362)</f>
        <v>0</v>
      </c>
      <c r="H582" s="10">
        <f>SUMIF(成品入库明细!$D$2:$D$500,$B582,成品入库明细!$G$2:$G$500)</f>
        <v>0</v>
      </c>
      <c r="I582" s="10">
        <f>SUMIF(成品出库明细!$D$2:$D$1172,$B582,成品出库明细!$G$2:$G$1172)</f>
        <v>0</v>
      </c>
      <c r="J582" s="10">
        <f t="shared" si="11"/>
        <v>0</v>
      </c>
      <c r="K582" s="12" t="s">
        <v>1003</v>
      </c>
      <c r="L582" s="10"/>
      <c r="M582" s="10"/>
      <c r="N582" s="10"/>
      <c r="O582" s="10"/>
      <c r="P582" s="10"/>
    </row>
    <row r="583" s="3" customFormat="1" ht="14.25" spans="1:16">
      <c r="A583" s="10"/>
      <c r="B583" s="4" t="s">
        <v>1401</v>
      </c>
      <c r="C583" s="12" t="s">
        <v>1402</v>
      </c>
      <c r="D583" s="12" t="s">
        <v>1385</v>
      </c>
      <c r="E583" s="12" t="s">
        <v>334</v>
      </c>
      <c r="F583" s="10" t="s">
        <v>343</v>
      </c>
      <c r="G583" s="10">
        <f>SUMIF(成品月初库存!$C$3:$C$362,$B583,成品月初库存!$F$3:$F$362)</f>
        <v>0</v>
      </c>
      <c r="H583" s="10">
        <f>SUMIF(成品入库明细!$D$2:$D$500,$B583,成品入库明细!$G$2:$G$500)</f>
        <v>0</v>
      </c>
      <c r="I583" s="10">
        <f>SUMIF(成品出库明细!$D$2:$D$1172,$B583,成品出库明细!$G$2:$G$1172)</f>
        <v>0</v>
      </c>
      <c r="J583" s="10">
        <f t="shared" si="11"/>
        <v>0</v>
      </c>
      <c r="K583" s="12" t="s">
        <v>751</v>
      </c>
      <c r="L583" s="10"/>
      <c r="M583" s="10"/>
      <c r="N583" s="10"/>
      <c r="O583" s="10"/>
      <c r="P583" s="10"/>
    </row>
    <row r="584" s="3" customFormat="1" ht="14.25" spans="1:16">
      <c r="A584" s="10"/>
      <c r="B584" s="4" t="s">
        <v>1403</v>
      </c>
      <c r="C584" s="12" t="s">
        <v>1404</v>
      </c>
      <c r="D584" s="12" t="s">
        <v>1385</v>
      </c>
      <c r="E584" s="12" t="s">
        <v>334</v>
      </c>
      <c r="F584" s="10" t="s">
        <v>343</v>
      </c>
      <c r="G584" s="10">
        <f>SUMIF(成品月初库存!$C$3:$C$362,$B584,成品月初库存!$F$3:$F$362)</f>
        <v>0</v>
      </c>
      <c r="H584" s="10">
        <f>SUMIF(成品入库明细!$D$2:$D$500,$B584,成品入库明细!$G$2:$G$500)</f>
        <v>0</v>
      </c>
      <c r="I584" s="10">
        <f>SUMIF(成品出库明细!$D$2:$D$1172,$B584,成品出库明细!$G$2:$G$1172)</f>
        <v>0</v>
      </c>
      <c r="J584" s="10">
        <f t="shared" si="11"/>
        <v>0</v>
      </c>
      <c r="K584" s="12" t="s">
        <v>1405</v>
      </c>
      <c r="L584" s="10"/>
      <c r="M584" s="10"/>
      <c r="N584" s="10"/>
      <c r="O584" s="10"/>
      <c r="P584" s="10"/>
    </row>
    <row r="585" s="3" customFormat="1" ht="14.25" spans="1:16">
      <c r="A585" s="10"/>
      <c r="B585" s="4" t="s">
        <v>250</v>
      </c>
      <c r="C585" s="12" t="s">
        <v>1406</v>
      </c>
      <c r="D585" s="12" t="s">
        <v>1385</v>
      </c>
      <c r="E585" s="12" t="s">
        <v>334</v>
      </c>
      <c r="F585" s="10" t="s">
        <v>343</v>
      </c>
      <c r="G585" s="10">
        <f>SUMIF(成品月初库存!$C$3:$C$362,$B585,成品月初库存!$F$3:$F$362)</f>
        <v>0</v>
      </c>
      <c r="H585" s="10">
        <f>SUMIF(成品入库明细!$D$2:$D$500,$B585,成品入库明细!$G$2:$G$500)</f>
        <v>0</v>
      </c>
      <c r="I585" s="10">
        <f>SUMIF(成品出库明细!$D$2:$D$1172,$B585,成品出库明细!$G$2:$G$1172)</f>
        <v>0</v>
      </c>
      <c r="J585" s="10">
        <f t="shared" si="11"/>
        <v>0</v>
      </c>
      <c r="K585" s="12" t="s">
        <v>751</v>
      </c>
      <c r="L585" s="10"/>
      <c r="M585" s="10"/>
      <c r="N585" s="10"/>
      <c r="O585" s="10"/>
      <c r="P585" s="10"/>
    </row>
    <row r="586" s="3" customFormat="1" ht="14.25" spans="1:16">
      <c r="A586" s="10"/>
      <c r="B586" s="4" t="s">
        <v>251</v>
      </c>
      <c r="C586" s="12" t="s">
        <v>1407</v>
      </c>
      <c r="D586" s="12" t="s">
        <v>1385</v>
      </c>
      <c r="E586" s="12" t="s">
        <v>334</v>
      </c>
      <c r="F586" s="10" t="s">
        <v>343</v>
      </c>
      <c r="G586" s="10">
        <f>SUMIF(成品月初库存!$C$3:$C$362,$B586,成品月初库存!$F$3:$F$362)</f>
        <v>102</v>
      </c>
      <c r="H586" s="10">
        <f>SUMIF(成品入库明细!$D$2:$D$500,$B586,成品入库明细!$G$2:$G$500)</f>
        <v>0</v>
      </c>
      <c r="I586" s="10">
        <f>SUMIF(成品出库明细!$D$2:$D$1172,$B586,成品出库明细!$G$2:$G$1172)</f>
        <v>0</v>
      </c>
      <c r="J586" s="10">
        <f t="shared" si="11"/>
        <v>102</v>
      </c>
      <c r="K586" s="12"/>
      <c r="L586" s="10"/>
      <c r="M586" s="10"/>
      <c r="N586" s="10"/>
      <c r="O586" s="10"/>
      <c r="P586" s="10"/>
    </row>
    <row r="587" s="3" customFormat="1" ht="14.25" spans="1:16">
      <c r="A587" s="10"/>
      <c r="B587" s="4" t="s">
        <v>252</v>
      </c>
      <c r="C587" s="12" t="s">
        <v>1408</v>
      </c>
      <c r="D587" s="12" t="s">
        <v>1409</v>
      </c>
      <c r="E587" s="12" t="s">
        <v>334</v>
      </c>
      <c r="F587" s="10" t="s">
        <v>343</v>
      </c>
      <c r="G587" s="10">
        <f>SUMIF(成品月初库存!$C$3:$C$362,$B587,成品月初库存!$F$3:$F$362)</f>
        <v>541</v>
      </c>
      <c r="H587" s="10">
        <f>SUMIF(成品入库明细!$D$2:$D$500,$B587,成品入库明细!$G$2:$G$500)</f>
        <v>0</v>
      </c>
      <c r="I587" s="10">
        <f>SUMIF(成品出库明细!$D$2:$D$1172,$B587,成品出库明细!$G$2:$G$1172)</f>
        <v>0</v>
      </c>
      <c r="J587" s="10">
        <f t="shared" si="11"/>
        <v>541</v>
      </c>
      <c r="K587" s="12" t="s">
        <v>1410</v>
      </c>
      <c r="L587" s="10"/>
      <c r="M587" s="10"/>
      <c r="N587" s="10"/>
      <c r="O587" s="10"/>
      <c r="P587" s="10"/>
    </row>
    <row r="588" s="3" customFormat="1" ht="14.25" spans="1:16">
      <c r="A588" s="10"/>
      <c r="B588" s="4" t="s">
        <v>253</v>
      </c>
      <c r="C588" s="12" t="s">
        <v>1411</v>
      </c>
      <c r="D588" s="12" t="s">
        <v>1409</v>
      </c>
      <c r="E588" s="12" t="s">
        <v>334</v>
      </c>
      <c r="F588" s="10" t="s">
        <v>343</v>
      </c>
      <c r="G588" s="10">
        <f>SUMIF(成品月初库存!$C$3:$C$362,$B588,成品月初库存!$F$3:$F$362)</f>
        <v>478</v>
      </c>
      <c r="H588" s="10">
        <f>SUMIF(成品入库明细!$D$2:$D$500,$B588,成品入库明细!$G$2:$G$500)</f>
        <v>0</v>
      </c>
      <c r="I588" s="10">
        <f>SUMIF(成品出库明细!$D$2:$D$1172,$B588,成品出库明细!$G$2:$G$1172)</f>
        <v>0</v>
      </c>
      <c r="J588" s="10">
        <f t="shared" si="11"/>
        <v>478</v>
      </c>
      <c r="K588" s="12" t="s">
        <v>1410</v>
      </c>
      <c r="L588" s="10"/>
      <c r="M588" s="10"/>
      <c r="N588" s="10"/>
      <c r="O588" s="10"/>
      <c r="P588" s="10"/>
    </row>
    <row r="589" s="3" customFormat="1" ht="14.25" spans="1:16">
      <c r="A589" s="10"/>
      <c r="B589" s="4" t="s">
        <v>1412</v>
      </c>
      <c r="C589" s="12" t="s">
        <v>1413</v>
      </c>
      <c r="D589" s="12" t="s">
        <v>1414</v>
      </c>
      <c r="E589" s="12" t="s">
        <v>334</v>
      </c>
      <c r="F589" s="10" t="s">
        <v>343</v>
      </c>
      <c r="G589" s="10">
        <f>SUMIF(成品月初库存!$C$3:$C$362,$B589,成品月初库存!$F$3:$F$362)</f>
        <v>0</v>
      </c>
      <c r="H589" s="10">
        <f>SUMIF(成品入库明细!$D$2:$D$500,$B589,成品入库明细!$G$2:$G$500)</f>
        <v>0</v>
      </c>
      <c r="I589" s="10">
        <f>SUMIF(成品出库明细!$D$2:$D$1172,$B589,成品出库明细!$G$2:$G$1172)</f>
        <v>0</v>
      </c>
      <c r="J589" s="10">
        <f t="shared" si="11"/>
        <v>0</v>
      </c>
      <c r="K589" s="12" t="s">
        <v>300</v>
      </c>
      <c r="L589" s="10"/>
      <c r="M589" s="10"/>
      <c r="N589" s="10"/>
      <c r="O589" s="10"/>
      <c r="P589" s="10"/>
    </row>
    <row r="590" s="3" customFormat="1" ht="14.25" spans="1:16">
      <c r="A590" s="10"/>
      <c r="B590" s="4" t="s">
        <v>1415</v>
      </c>
      <c r="C590" s="12" t="s">
        <v>1416</v>
      </c>
      <c r="D590" s="12" t="s">
        <v>1414</v>
      </c>
      <c r="E590" s="12" t="s">
        <v>334</v>
      </c>
      <c r="F590" s="10" t="s">
        <v>343</v>
      </c>
      <c r="G590" s="10">
        <f>SUMIF(成品月初库存!$C$3:$C$362,$B590,成品月初库存!$F$3:$F$362)</f>
        <v>0</v>
      </c>
      <c r="H590" s="10">
        <f>SUMIF(成品入库明细!$D$2:$D$500,$B590,成品入库明细!$G$2:$G$500)</f>
        <v>0</v>
      </c>
      <c r="I590" s="10">
        <f>SUMIF(成品出库明细!$D$2:$D$1172,$B590,成品出库明细!$G$2:$G$1172)</f>
        <v>0</v>
      </c>
      <c r="J590" s="10">
        <f t="shared" si="11"/>
        <v>0</v>
      </c>
      <c r="K590" s="12" t="s">
        <v>300</v>
      </c>
      <c r="L590" s="10"/>
      <c r="M590" s="10"/>
      <c r="N590" s="10"/>
      <c r="O590" s="10"/>
      <c r="P590" s="10"/>
    </row>
    <row r="591" s="3" customFormat="1" ht="14.25" spans="1:16">
      <c r="A591" s="10"/>
      <c r="B591" s="4" t="s">
        <v>1417</v>
      </c>
      <c r="C591" s="12" t="s">
        <v>1418</v>
      </c>
      <c r="D591" s="12" t="s">
        <v>1414</v>
      </c>
      <c r="E591" s="12" t="s">
        <v>334</v>
      </c>
      <c r="F591" s="10" t="s">
        <v>343</v>
      </c>
      <c r="G591" s="10">
        <f>SUMIF(成品月初库存!$C$3:$C$362,$B591,成品月初库存!$F$3:$F$362)</f>
        <v>0</v>
      </c>
      <c r="H591" s="10">
        <f>SUMIF(成品入库明细!$D$2:$D$500,$B591,成品入库明细!$G$2:$G$500)</f>
        <v>0</v>
      </c>
      <c r="I591" s="10">
        <f>SUMIF(成品出库明细!$D$2:$D$1172,$B591,成品出库明细!$G$2:$G$1172)</f>
        <v>0</v>
      </c>
      <c r="J591" s="10">
        <f t="shared" si="11"/>
        <v>0</v>
      </c>
      <c r="K591" s="12" t="s">
        <v>300</v>
      </c>
      <c r="L591" s="10"/>
      <c r="M591" s="10"/>
      <c r="N591" s="10"/>
      <c r="O591" s="10"/>
      <c r="P591" s="10"/>
    </row>
    <row r="592" s="3" customFormat="1" ht="14.25" spans="1:16">
      <c r="A592" s="10"/>
      <c r="B592" s="4" t="s">
        <v>1419</v>
      </c>
      <c r="C592" s="10" t="s">
        <v>1420</v>
      </c>
      <c r="D592" s="12" t="s">
        <v>1414</v>
      </c>
      <c r="E592" s="12" t="s">
        <v>334</v>
      </c>
      <c r="F592" s="10" t="s">
        <v>343</v>
      </c>
      <c r="G592" s="10">
        <f>SUMIF(成品月初库存!$C$3:$C$362,$B592,成品月初库存!$F$3:$F$362)</f>
        <v>0</v>
      </c>
      <c r="H592" s="10">
        <f>SUMIF(成品入库明细!$D$2:$D$500,$B592,成品入库明细!$G$2:$G$500)</f>
        <v>0</v>
      </c>
      <c r="I592" s="10">
        <f>SUMIF(成品出库明细!$D$2:$D$1172,$B592,成品出库明细!$G$2:$G$1172)</f>
        <v>0</v>
      </c>
      <c r="J592" s="10">
        <f t="shared" si="11"/>
        <v>0</v>
      </c>
      <c r="K592" s="12" t="s">
        <v>1421</v>
      </c>
      <c r="L592" s="10"/>
      <c r="M592" s="10"/>
      <c r="N592" s="10"/>
      <c r="O592" s="10"/>
      <c r="P592" s="10"/>
    </row>
    <row r="593" s="3" customFormat="1" ht="14.25" spans="1:16">
      <c r="A593" s="10"/>
      <c r="B593" s="4" t="s">
        <v>1422</v>
      </c>
      <c r="C593" s="10" t="s">
        <v>1423</v>
      </c>
      <c r="D593" s="12" t="s">
        <v>1414</v>
      </c>
      <c r="E593" s="12" t="s">
        <v>334</v>
      </c>
      <c r="F593" s="10" t="s">
        <v>343</v>
      </c>
      <c r="G593" s="10">
        <f>SUMIF(成品月初库存!$C$3:$C$362,$B593,成品月初库存!$F$3:$F$362)</f>
        <v>0</v>
      </c>
      <c r="H593" s="10">
        <f>SUMIF(成品入库明细!$D$2:$D$500,$B593,成品入库明细!$G$2:$G$500)</f>
        <v>0</v>
      </c>
      <c r="I593" s="10">
        <f>SUMIF(成品出库明细!$D$2:$D$1172,$B593,成品出库明细!$G$2:$G$1172)</f>
        <v>0</v>
      </c>
      <c r="J593" s="10">
        <f t="shared" ref="J593:J649" si="12">G593+H593-I593</f>
        <v>0</v>
      </c>
      <c r="K593" s="12" t="s">
        <v>1424</v>
      </c>
      <c r="L593" s="10"/>
      <c r="M593" s="10"/>
      <c r="N593" s="10"/>
      <c r="O593" s="10"/>
      <c r="P593" s="10"/>
    </row>
    <row r="594" s="3" customFormat="1" ht="14.25" spans="1:16">
      <c r="A594" s="10"/>
      <c r="B594" s="4" t="s">
        <v>1425</v>
      </c>
      <c r="C594" s="12" t="s">
        <v>1426</v>
      </c>
      <c r="D594" s="12" t="s">
        <v>1414</v>
      </c>
      <c r="E594" s="12" t="s">
        <v>334</v>
      </c>
      <c r="F594" s="10" t="s">
        <v>343</v>
      </c>
      <c r="G594" s="10">
        <f>SUMIF(成品月初库存!$C$3:$C$362,$B594,成品月初库存!$F$3:$F$362)</f>
        <v>0</v>
      </c>
      <c r="H594" s="10">
        <f>SUMIF(成品入库明细!$D$2:$D$500,$B594,成品入库明细!$G$2:$G$500)</f>
        <v>0</v>
      </c>
      <c r="I594" s="10">
        <f>SUMIF(成品出库明细!$D$2:$D$1172,$B594,成品出库明细!$G$2:$G$1172)</f>
        <v>0</v>
      </c>
      <c r="J594" s="10">
        <f t="shared" si="12"/>
        <v>0</v>
      </c>
      <c r="K594" s="12" t="s">
        <v>300</v>
      </c>
      <c r="L594" s="10"/>
      <c r="M594" s="10"/>
      <c r="N594" s="10"/>
      <c r="O594" s="10"/>
      <c r="P594" s="10"/>
    </row>
    <row r="595" s="3" customFormat="1" ht="14.25" spans="1:16">
      <c r="A595" s="10"/>
      <c r="B595" s="4" t="s">
        <v>1427</v>
      </c>
      <c r="C595" s="12" t="s">
        <v>1428</v>
      </c>
      <c r="D595" s="12" t="s">
        <v>1414</v>
      </c>
      <c r="E595" s="12" t="s">
        <v>334</v>
      </c>
      <c r="F595" s="10" t="s">
        <v>343</v>
      </c>
      <c r="G595" s="10">
        <f>SUMIF(成品月初库存!$C$3:$C$362,$B595,成品月初库存!$F$3:$F$362)</f>
        <v>0</v>
      </c>
      <c r="H595" s="10">
        <f>SUMIF(成品入库明细!$D$2:$D$500,$B595,成品入库明细!$G$2:$G$500)</f>
        <v>0</v>
      </c>
      <c r="I595" s="10">
        <f>SUMIF(成品出库明细!$D$2:$D$1172,$B595,成品出库明细!$G$2:$G$1172)</f>
        <v>0</v>
      </c>
      <c r="J595" s="10">
        <f t="shared" si="12"/>
        <v>0</v>
      </c>
      <c r="K595" s="12" t="s">
        <v>300</v>
      </c>
      <c r="L595" s="10"/>
      <c r="M595" s="10"/>
      <c r="N595" s="10"/>
      <c r="O595" s="10"/>
      <c r="P595" s="10"/>
    </row>
    <row r="596" s="3" customFormat="1" ht="14.25" spans="1:16">
      <c r="A596" s="10"/>
      <c r="B596" s="4" t="s">
        <v>1429</v>
      </c>
      <c r="C596" s="12" t="s">
        <v>1430</v>
      </c>
      <c r="D596" s="12" t="s">
        <v>1414</v>
      </c>
      <c r="E596" s="12" t="s">
        <v>334</v>
      </c>
      <c r="F596" s="10" t="s">
        <v>343</v>
      </c>
      <c r="G596" s="10">
        <f>SUMIF(成品月初库存!$C$3:$C$362,$B596,成品月初库存!$F$3:$F$362)</f>
        <v>0</v>
      </c>
      <c r="H596" s="10">
        <f>SUMIF(成品入库明细!$D$2:$D$500,$B596,成品入库明细!$G$2:$G$500)</f>
        <v>0</v>
      </c>
      <c r="I596" s="10">
        <f>SUMIF(成品出库明细!$D$2:$D$1172,$B596,成品出库明细!$G$2:$G$1172)</f>
        <v>0</v>
      </c>
      <c r="J596" s="10">
        <f t="shared" si="12"/>
        <v>0</v>
      </c>
      <c r="K596" s="12" t="s">
        <v>300</v>
      </c>
      <c r="L596" s="10"/>
      <c r="M596" s="10"/>
      <c r="N596" s="10"/>
      <c r="O596" s="10"/>
      <c r="P596" s="10"/>
    </row>
    <row r="597" s="3" customFormat="1" ht="14.25" spans="1:16">
      <c r="A597" s="10"/>
      <c r="B597" s="4" t="s">
        <v>1431</v>
      </c>
      <c r="C597" s="12" t="s">
        <v>1432</v>
      </c>
      <c r="D597" s="12" t="s">
        <v>1414</v>
      </c>
      <c r="E597" s="12" t="s">
        <v>334</v>
      </c>
      <c r="F597" s="10" t="s">
        <v>343</v>
      </c>
      <c r="G597" s="10">
        <f>SUMIF(成品月初库存!$C$3:$C$362,$B597,成品月初库存!$F$3:$F$362)</f>
        <v>0</v>
      </c>
      <c r="H597" s="10">
        <f>SUMIF(成品入库明细!$D$2:$D$500,$B597,成品入库明细!$G$2:$G$500)</f>
        <v>0</v>
      </c>
      <c r="I597" s="10">
        <f>SUMIF(成品出库明细!$D$2:$D$1172,$B597,成品出库明细!$G$2:$G$1172)</f>
        <v>0</v>
      </c>
      <c r="J597" s="10">
        <f t="shared" si="12"/>
        <v>0</v>
      </c>
      <c r="K597" s="12" t="s">
        <v>300</v>
      </c>
      <c r="L597" s="10"/>
      <c r="M597" s="10"/>
      <c r="N597" s="10"/>
      <c r="O597" s="10"/>
      <c r="P597" s="10"/>
    </row>
    <row r="598" s="3" customFormat="1" ht="14.25" spans="1:16">
      <c r="A598" s="10"/>
      <c r="B598" s="4" t="s">
        <v>1433</v>
      </c>
      <c r="C598" s="12" t="s">
        <v>1434</v>
      </c>
      <c r="D598" s="12" t="s">
        <v>1414</v>
      </c>
      <c r="E598" s="12" t="s">
        <v>334</v>
      </c>
      <c r="F598" s="10" t="s">
        <v>343</v>
      </c>
      <c r="G598" s="10">
        <f>SUMIF(成品月初库存!$C$3:$C$362,$B598,成品月初库存!$F$3:$F$362)</f>
        <v>0</v>
      </c>
      <c r="H598" s="10">
        <f>SUMIF(成品入库明细!$D$2:$D$500,$B598,成品入库明细!$G$2:$G$500)</f>
        <v>0</v>
      </c>
      <c r="I598" s="10">
        <f>SUMIF(成品出库明细!$D$2:$D$1172,$B598,成品出库明细!$G$2:$G$1172)</f>
        <v>0</v>
      </c>
      <c r="J598" s="10">
        <f t="shared" si="12"/>
        <v>0</v>
      </c>
      <c r="K598" s="12" t="s">
        <v>300</v>
      </c>
      <c r="L598" s="10"/>
      <c r="M598" s="10"/>
      <c r="N598" s="10"/>
      <c r="O598" s="10"/>
      <c r="P598" s="10"/>
    </row>
    <row r="599" s="3" customFormat="1" ht="14.25" spans="1:16">
      <c r="A599" s="10"/>
      <c r="B599" s="10" t="s">
        <v>1435</v>
      </c>
      <c r="C599" s="12" t="s">
        <v>1436</v>
      </c>
      <c r="D599" s="12" t="s">
        <v>1437</v>
      </c>
      <c r="E599" s="12" t="s">
        <v>334</v>
      </c>
      <c r="F599" s="10" t="s">
        <v>343</v>
      </c>
      <c r="G599" s="10">
        <f>SUMIF(成品月初库存!$C$3:$C$362,$B599,成品月初库存!$F$3:$F$362)</f>
        <v>0</v>
      </c>
      <c r="H599" s="10">
        <f>SUMIF(成品入库明细!$D$2:$D$500,$B599,成品入库明细!$G$2:$G$500)</f>
        <v>0</v>
      </c>
      <c r="I599" s="10">
        <f>SUMIF(成品出库明细!$D$2:$D$1172,$B599,成品出库明细!$G$2:$G$1172)</f>
        <v>0</v>
      </c>
      <c r="J599" s="10">
        <f t="shared" si="12"/>
        <v>0</v>
      </c>
      <c r="K599" s="10"/>
      <c r="L599" s="10"/>
      <c r="M599" s="10"/>
      <c r="N599" s="10"/>
      <c r="O599" s="10"/>
      <c r="P599" s="10"/>
    </row>
    <row r="600" s="3" customFormat="1" ht="14.25" spans="1:16">
      <c r="B600" s="10" t="s">
        <v>1438</v>
      </c>
      <c r="C600" s="12" t="s">
        <v>1439</v>
      </c>
      <c r="D600" s="12" t="s">
        <v>1437</v>
      </c>
      <c r="E600" s="12" t="s">
        <v>334</v>
      </c>
      <c r="F600" s="10" t="s">
        <v>343</v>
      </c>
      <c r="G600" s="10">
        <f>SUMIF(成品月初库存!$C$3:$C$362,$B600,成品月初库存!$F$3:$F$362)</f>
        <v>0</v>
      </c>
      <c r="H600" s="10">
        <f>SUMIF(成品入库明细!$D$2:$D$500,$B600,成品入库明细!$G$2:$G$500)</f>
        <v>0</v>
      </c>
      <c r="I600" s="10">
        <f>SUMIF(成品出库明细!$D$2:$D$1172,$B600,成品出库明细!$G$2:$G$1172)</f>
        <v>0</v>
      </c>
      <c r="J600" s="10">
        <f t="shared" si="12"/>
        <v>0</v>
      </c>
      <c r="K600" s="10"/>
      <c r="L600" s="10"/>
      <c r="M600" s="10"/>
      <c r="N600" s="10"/>
      <c r="O600" s="10"/>
    </row>
    <row r="601" s="3" customFormat="1" ht="14.25" spans="1:16">
      <c r="B601" s="10" t="s">
        <v>1440</v>
      </c>
      <c r="C601" s="12" t="s">
        <v>1441</v>
      </c>
      <c r="D601" s="12" t="s">
        <v>1437</v>
      </c>
      <c r="E601" s="12" t="s">
        <v>334</v>
      </c>
      <c r="F601" s="10" t="s">
        <v>343</v>
      </c>
      <c r="G601" s="10">
        <f>SUMIF(成品月初库存!$C$3:$C$362,$B601,成品月初库存!$F$3:$F$362)</f>
        <v>0</v>
      </c>
      <c r="H601" s="10">
        <f>SUMIF(成品入库明细!$D$2:$D$500,$B601,成品入库明细!$G$2:$G$500)</f>
        <v>0</v>
      </c>
      <c r="I601" s="10">
        <f>SUMIF(成品出库明细!$D$2:$D$1172,$B601,成品出库明细!$G$2:$G$1172)</f>
        <v>0</v>
      </c>
      <c r="J601" s="10">
        <f t="shared" si="12"/>
        <v>0</v>
      </c>
      <c r="K601" s="10"/>
      <c r="L601" s="10"/>
      <c r="M601" s="10"/>
      <c r="N601" s="10"/>
      <c r="O601" s="10"/>
    </row>
    <row r="602" s="3" customFormat="1" ht="14.25" spans="1:16">
      <c r="B602" s="10" t="s">
        <v>1442</v>
      </c>
      <c r="C602" s="12" t="s">
        <v>1443</v>
      </c>
      <c r="D602" s="12" t="s">
        <v>1437</v>
      </c>
      <c r="E602" s="12" t="s">
        <v>334</v>
      </c>
      <c r="F602" s="10" t="s">
        <v>343</v>
      </c>
      <c r="G602" s="10">
        <f>SUMIF(成品月初库存!$C$3:$C$362,$B602,成品月初库存!$F$3:$F$362)</f>
        <v>0</v>
      </c>
      <c r="H602" s="10">
        <f>SUMIF(成品入库明细!$D$2:$D$500,$B602,成品入库明细!$G$2:$G$500)</f>
        <v>0</v>
      </c>
      <c r="I602" s="10">
        <f>SUMIF(成品出库明细!$D$2:$D$1172,$B602,成品出库明细!$G$2:$G$1172)</f>
        <v>0</v>
      </c>
      <c r="J602" s="10">
        <f t="shared" si="12"/>
        <v>0</v>
      </c>
      <c r="K602" s="10"/>
      <c r="L602" s="10"/>
      <c r="M602" s="10"/>
      <c r="N602" s="10"/>
      <c r="O602" s="10"/>
    </row>
    <row r="603" s="3" customFormat="1" ht="14.25" spans="1:16">
      <c r="B603" s="10" t="s">
        <v>1444</v>
      </c>
      <c r="C603" s="12" t="s">
        <v>1445</v>
      </c>
      <c r="D603" s="12" t="s">
        <v>1437</v>
      </c>
      <c r="E603" s="12" t="s">
        <v>334</v>
      </c>
      <c r="F603" s="10" t="s">
        <v>343</v>
      </c>
      <c r="G603" s="10">
        <f>SUMIF(成品月初库存!$C$3:$C$362,$B603,成品月初库存!$F$3:$F$362)</f>
        <v>0</v>
      </c>
      <c r="H603" s="10">
        <f>SUMIF(成品入库明细!$D$2:$D$500,$B603,成品入库明细!$G$2:$G$500)</f>
        <v>0</v>
      </c>
      <c r="I603" s="10">
        <f>SUMIF(成品出库明细!$D$2:$D$1172,$B603,成品出库明细!$G$2:$G$1172)</f>
        <v>0</v>
      </c>
      <c r="J603" s="10">
        <f t="shared" si="12"/>
        <v>0</v>
      </c>
      <c r="K603" s="10"/>
      <c r="L603" s="10"/>
      <c r="M603" s="10"/>
      <c r="N603" s="10"/>
      <c r="O603" s="10"/>
    </row>
    <row r="604" s="3" customFormat="1" ht="14.25" spans="1:16">
      <c r="B604" s="10" t="s">
        <v>1446</v>
      </c>
      <c r="C604" s="12" t="s">
        <v>1447</v>
      </c>
      <c r="D604" s="12" t="s">
        <v>1437</v>
      </c>
      <c r="E604" s="12" t="s">
        <v>334</v>
      </c>
      <c r="F604" s="10" t="s">
        <v>343</v>
      </c>
      <c r="G604" s="10">
        <f>SUMIF(成品月初库存!$C$3:$C$362,$B604,成品月初库存!$F$3:$F$362)</f>
        <v>0</v>
      </c>
      <c r="H604" s="10">
        <f>SUMIF(成品入库明细!$D$2:$D$500,$B604,成品入库明细!$G$2:$G$500)</f>
        <v>0</v>
      </c>
      <c r="I604" s="10">
        <f>SUMIF(成品出库明细!$D$2:$D$1172,$B604,成品出库明细!$G$2:$G$1172)</f>
        <v>0</v>
      </c>
      <c r="J604" s="10">
        <f t="shared" si="12"/>
        <v>0</v>
      </c>
      <c r="K604" s="10"/>
      <c r="L604" s="10"/>
      <c r="M604" s="10"/>
      <c r="N604" s="10"/>
      <c r="O604" s="10"/>
    </row>
    <row r="605" s="3" customFormat="1" ht="14.25" spans="1:16">
      <c r="B605" s="10" t="s">
        <v>1448</v>
      </c>
      <c r="C605" s="21" t="s">
        <v>1449</v>
      </c>
      <c r="D605" s="21" t="s">
        <v>1450</v>
      </c>
      <c r="E605" s="12" t="s">
        <v>334</v>
      </c>
      <c r="F605" s="10" t="s">
        <v>343</v>
      </c>
      <c r="G605" s="10">
        <f>SUMIF(成品月初库存!$C$3:$C$362,$B605,成品月初库存!$F$3:$F$362)</f>
        <v>0</v>
      </c>
      <c r="H605" s="10">
        <f>SUMIF(成品入库明细!$D$2:$D$500,$B605,成品入库明细!$G$2:$G$500)</f>
        <v>0</v>
      </c>
      <c r="I605" s="10">
        <f>SUMIF(成品出库明细!$D$2:$D$1172,$B605,成品出库明细!$G$2:$G$1172)</f>
        <v>0</v>
      </c>
      <c r="J605" s="10">
        <f t="shared" si="12"/>
        <v>0</v>
      </c>
      <c r="K605" s="12" t="s">
        <v>751</v>
      </c>
      <c r="L605" s="10"/>
      <c r="M605" s="10"/>
      <c r="N605" s="10"/>
      <c r="O605" s="10"/>
    </row>
    <row r="606" s="3" customFormat="1" ht="14.25" spans="1:16">
      <c r="B606" s="10" t="s">
        <v>254</v>
      </c>
      <c r="C606" s="10" t="s">
        <v>1451</v>
      </c>
      <c r="D606" s="21" t="s">
        <v>1452</v>
      </c>
      <c r="E606" s="12" t="s">
        <v>334</v>
      </c>
      <c r="F606" s="10" t="s">
        <v>343</v>
      </c>
      <c r="G606" s="10">
        <f>SUMIF(成品月初库存!$C$3:$C$362,$B606,成品月初库存!$F$3:$F$362)</f>
        <v>1470</v>
      </c>
      <c r="H606" s="10">
        <f>SUMIF(成品入库明细!$D$2:$D$500,$B606,成品入库明细!$G$2:$G$500)</f>
        <v>0</v>
      </c>
      <c r="I606" s="10">
        <f>SUMIF(成品出库明细!$D$2:$D$1172,$B606,成品出库明细!$G$2:$G$1172)</f>
        <v>0</v>
      </c>
      <c r="J606" s="15">
        <f t="shared" si="12"/>
        <v>1470</v>
      </c>
      <c r="K606" s="12" t="s">
        <v>370</v>
      </c>
      <c r="L606" s="10"/>
      <c r="N606" s="10"/>
      <c r="O606" s="10"/>
    </row>
    <row r="607" s="3" customFormat="1" ht="14.25" spans="1:16">
      <c r="B607" s="10" t="s">
        <v>255</v>
      </c>
      <c r="C607" s="10" t="s">
        <v>1453</v>
      </c>
      <c r="D607" s="21" t="s">
        <v>1452</v>
      </c>
      <c r="E607" s="12" t="s">
        <v>334</v>
      </c>
      <c r="F607" s="10" t="s">
        <v>343</v>
      </c>
      <c r="G607" s="10">
        <f>SUMIF(成品月初库存!$C$3:$C$362,$B607,成品月初库存!$F$3:$F$362)</f>
        <v>150</v>
      </c>
      <c r="H607" s="10">
        <f>SUMIF(成品入库明细!$D$2:$D$500,$B607,成品入库明细!$G$2:$G$500)</f>
        <v>0</v>
      </c>
      <c r="I607" s="10">
        <f>SUMIF(成品出库明细!$D$2:$D$1172,$B607,成品出库明细!$G$2:$G$1172)</f>
        <v>0</v>
      </c>
      <c r="J607" s="10">
        <f t="shared" si="12"/>
        <v>150</v>
      </c>
      <c r="K607" s="12" t="s">
        <v>375</v>
      </c>
      <c r="L607" s="10"/>
      <c r="M607" s="10"/>
      <c r="N607" s="10"/>
      <c r="O607" s="10"/>
    </row>
    <row r="608" s="3" customFormat="1" ht="14.25" spans="1:16">
      <c r="B608" s="10" t="s">
        <v>1454</v>
      </c>
      <c r="C608" s="10" t="s">
        <v>1455</v>
      </c>
      <c r="D608" s="21" t="s">
        <v>1452</v>
      </c>
      <c r="E608" s="12" t="s">
        <v>334</v>
      </c>
      <c r="F608" s="10" t="s">
        <v>343</v>
      </c>
      <c r="G608" s="10">
        <f>SUMIF(成品月初库存!$C$3:$C$362,$B608,成品月初库存!$F$3:$F$362)</f>
        <v>0</v>
      </c>
      <c r="H608" s="10">
        <f>SUMIF(成品入库明细!$D$2:$D$500,$B608,成品入库明细!$G$2:$G$500)</f>
        <v>0</v>
      </c>
      <c r="I608" s="10">
        <f>SUMIF(成品出库明细!$D$2:$D$1172,$B608,成品出库明细!$G$2:$G$1172)</f>
        <v>0</v>
      </c>
      <c r="J608" s="10">
        <f t="shared" si="12"/>
        <v>0</v>
      </c>
      <c r="K608" s="12" t="s">
        <v>504</v>
      </c>
      <c r="L608" s="10"/>
      <c r="M608" s="10"/>
      <c r="N608" s="10"/>
      <c r="O608" s="10"/>
    </row>
    <row r="609" s="3" customFormat="1" ht="14.25" spans="2:15">
      <c r="B609" s="10" t="s">
        <v>1456</v>
      </c>
      <c r="C609" s="21" t="s">
        <v>1457</v>
      </c>
      <c r="D609" s="21" t="s">
        <v>1458</v>
      </c>
      <c r="E609" s="12" t="s">
        <v>334</v>
      </c>
      <c r="F609" s="10" t="s">
        <v>343</v>
      </c>
      <c r="G609" s="10">
        <f>SUMIF(成品月初库存!$C$3:$C$362,$B609,成品月初库存!$F$3:$F$362)</f>
        <v>0</v>
      </c>
      <c r="H609" s="10">
        <f>SUMIF(成品入库明细!$D$2:$D$500,$B609,成品入库明细!$G$2:$G$500)</f>
        <v>0</v>
      </c>
      <c r="I609" s="10">
        <f>SUMIF(成品出库明细!$D$2:$D$1172,$B609,成品出库明细!$G$2:$G$1172)</f>
        <v>0</v>
      </c>
      <c r="J609" s="10">
        <f t="shared" si="12"/>
        <v>0</v>
      </c>
      <c r="K609" s="12" t="s">
        <v>751</v>
      </c>
      <c r="L609" s="10"/>
      <c r="M609" s="10"/>
      <c r="N609" s="10"/>
      <c r="O609" s="10"/>
    </row>
    <row r="610" s="3" customFormat="1" ht="14.25" spans="2:15">
      <c r="B610" s="10" t="s">
        <v>1459</v>
      </c>
      <c r="C610" s="12" t="s">
        <v>1460</v>
      </c>
      <c r="D610" s="12" t="s">
        <v>1461</v>
      </c>
      <c r="E610" s="12" t="s">
        <v>334</v>
      </c>
      <c r="F610" s="10" t="s">
        <v>343</v>
      </c>
      <c r="G610" s="10">
        <f>SUMIF(成品月初库存!$C$3:$C$362,$B610,成品月初库存!$F$3:$F$362)</f>
        <v>0</v>
      </c>
      <c r="H610" s="10">
        <f>SUMIF(成品入库明细!$D$2:$D$500,$B610,成品入库明细!$G$2:$G$500)</f>
        <v>0</v>
      </c>
      <c r="I610" s="10">
        <f>SUMIF(成品出库明细!$D$2:$D$1172,$B610,成品出库明细!$G$2:$G$1172)</f>
        <v>0</v>
      </c>
      <c r="J610" s="10">
        <f t="shared" si="12"/>
        <v>0</v>
      </c>
      <c r="K610" s="12" t="s">
        <v>370</v>
      </c>
      <c r="L610" s="10"/>
      <c r="M610" s="10"/>
      <c r="N610" s="10"/>
      <c r="O610" s="10"/>
    </row>
    <row r="611" s="3" customFormat="1" ht="14.25" spans="2:15">
      <c r="B611" s="10" t="s">
        <v>1462</v>
      </c>
      <c r="C611" s="12" t="s">
        <v>1463</v>
      </c>
      <c r="D611" s="12" t="s">
        <v>1461</v>
      </c>
      <c r="E611" s="12" t="s">
        <v>334</v>
      </c>
      <c r="F611" s="10" t="s">
        <v>343</v>
      </c>
      <c r="G611" s="10">
        <f>SUMIF(成品月初库存!$C$3:$C$362,$B611,成品月初库存!$F$3:$F$362)</f>
        <v>0</v>
      </c>
      <c r="H611" s="10">
        <f>SUMIF(成品入库明细!$D$2:$D$500,$B611,成品入库明细!$G$2:$G$500)</f>
        <v>0</v>
      </c>
      <c r="I611" s="10">
        <f>SUMIF(成品出库明细!$D$2:$D$1172,$B611,成品出库明细!$G$2:$G$1172)</f>
        <v>0</v>
      </c>
      <c r="J611" s="10">
        <f t="shared" si="12"/>
        <v>0</v>
      </c>
      <c r="K611" s="12" t="s">
        <v>370</v>
      </c>
      <c r="L611" s="10"/>
      <c r="M611" s="10"/>
      <c r="N611" s="10"/>
      <c r="O611" s="10"/>
    </row>
    <row r="612" s="3" customFormat="1" ht="14.25" spans="2:15">
      <c r="B612" s="10" t="s">
        <v>256</v>
      </c>
      <c r="C612" s="12" t="s">
        <v>1464</v>
      </c>
      <c r="D612" s="12" t="s">
        <v>1465</v>
      </c>
      <c r="E612" s="12" t="s">
        <v>334</v>
      </c>
      <c r="F612" s="10" t="s">
        <v>343</v>
      </c>
      <c r="G612" s="10">
        <f>SUMIF(成品月初库存!$C$3:$C$362,$B612,成品月初库存!$F$3:$F$362)</f>
        <v>4043</v>
      </c>
      <c r="H612" s="10">
        <f>SUMIF(成品入库明细!$D$2:$D$500,$B612,成品入库明细!$G$2:$G$500)</f>
        <v>0</v>
      </c>
      <c r="I612" s="10">
        <f>SUMIF(成品出库明细!$D$2:$D$1172,$B612,成品出库明细!$G$2:$G$1172)</f>
        <v>0</v>
      </c>
      <c r="J612" s="10">
        <f t="shared" si="12"/>
        <v>4043</v>
      </c>
      <c r="K612" s="10" t="s">
        <v>514</v>
      </c>
      <c r="L612" s="10"/>
      <c r="M612" s="10"/>
      <c r="N612" s="10"/>
      <c r="O612" s="10"/>
    </row>
    <row r="613" s="3" customFormat="1" ht="14.25" spans="2:15">
      <c r="B613" s="10" t="s">
        <v>1466</v>
      </c>
      <c r="C613" s="21" t="s">
        <v>1467</v>
      </c>
      <c r="D613" s="12" t="s">
        <v>1468</v>
      </c>
      <c r="E613" s="12" t="s">
        <v>334</v>
      </c>
      <c r="F613" s="10" t="s">
        <v>343</v>
      </c>
      <c r="G613" s="10">
        <f>SUMIF(成品月初库存!$C$3:$C$362,$B613,成品月初库存!$F$3:$F$362)</f>
        <v>0</v>
      </c>
      <c r="H613" s="10">
        <f>SUMIF(成品入库明细!$D$2:$D$500,$B613,成品入库明细!$G$2:$G$500)</f>
        <v>0</v>
      </c>
      <c r="I613" s="10">
        <f>SUMIF(成品出库明细!$D$2:$D$1172,$B613,成品出库明细!$G$2:$G$1172)</f>
        <v>0</v>
      </c>
      <c r="J613" s="10">
        <f t="shared" si="12"/>
        <v>0</v>
      </c>
      <c r="K613" s="20" t="s">
        <v>762</v>
      </c>
      <c r="L613" s="10"/>
      <c r="M613" s="10"/>
      <c r="N613" s="10"/>
      <c r="O613" s="10"/>
    </row>
    <row r="614" s="3" customFormat="1" ht="14.25" spans="2:15">
      <c r="B614" s="10" t="s">
        <v>257</v>
      </c>
      <c r="C614" s="21" t="s">
        <v>1469</v>
      </c>
      <c r="D614" s="12" t="s">
        <v>1470</v>
      </c>
      <c r="E614" s="12" t="s">
        <v>334</v>
      </c>
      <c r="F614" s="10" t="s">
        <v>343</v>
      </c>
      <c r="G614" s="10">
        <f>SUMIF(成品月初库存!$C$3:$C$362,$B614,成品月初库存!$F$3:$F$362)</f>
        <v>2323</v>
      </c>
      <c r="H614" s="10">
        <f>SUMIF(成品入库明细!$D$2:$D$500,$B614,成品入库明细!$G$2:$G$500)</f>
        <v>0</v>
      </c>
      <c r="I614" s="10">
        <f>SUMIF(成品出库明细!$D$2:$D$1172,$B614,成品出库明细!$G$2:$G$1172)</f>
        <v>0</v>
      </c>
      <c r="J614" s="10">
        <f t="shared" si="12"/>
        <v>2323</v>
      </c>
      <c r="K614" s="10"/>
      <c r="L614" s="10"/>
      <c r="M614" s="10"/>
      <c r="N614" s="10"/>
      <c r="O614" s="10"/>
    </row>
    <row r="615" s="3" customFormat="1" ht="14.25" spans="2:15">
      <c r="B615" s="10" t="s">
        <v>1471</v>
      </c>
      <c r="C615" s="21" t="s">
        <v>1472</v>
      </c>
      <c r="D615" s="12" t="s">
        <v>1470</v>
      </c>
      <c r="E615" s="12" t="s">
        <v>334</v>
      </c>
      <c r="F615" s="10" t="s">
        <v>343</v>
      </c>
      <c r="G615" s="10">
        <f>SUMIF(成品月初库存!$C$3:$C$362,$B615,成品月初库存!$F$3:$F$362)</f>
        <v>0</v>
      </c>
      <c r="H615" s="10">
        <f>SUMIF(成品入库明细!$D$2:$D$500,$B615,成品入库明细!$G$2:$G$500)</f>
        <v>0</v>
      </c>
      <c r="I615" s="10">
        <f>SUMIF(成品出库明细!$D$2:$D$1172,$B615,成品出库明细!$G$2:$G$1172)</f>
        <v>0</v>
      </c>
      <c r="J615" s="10">
        <f t="shared" si="12"/>
        <v>0</v>
      </c>
      <c r="K615" s="10"/>
      <c r="L615" s="10"/>
      <c r="M615" s="10"/>
      <c r="N615" s="10"/>
      <c r="O615" s="10"/>
    </row>
    <row r="616" s="3" customFormat="1" ht="14.25" spans="2:15">
      <c r="B616" s="10" t="s">
        <v>258</v>
      </c>
      <c r="C616" s="21" t="s">
        <v>1473</v>
      </c>
      <c r="D616" s="12" t="s">
        <v>1470</v>
      </c>
      <c r="E616" s="12" t="s">
        <v>334</v>
      </c>
      <c r="F616" s="10" t="s">
        <v>343</v>
      </c>
      <c r="G616" s="10">
        <f>SUMIF(成品月初库存!$C$3:$C$362,$B616,成品月初库存!$F$3:$F$362)</f>
        <v>2302</v>
      </c>
      <c r="H616" s="10">
        <f>SUMIF(成品入库明细!$D$2:$D$500,$B616,成品入库明细!$G$2:$G$500)</f>
        <v>0</v>
      </c>
      <c r="I616" s="10">
        <f>SUMIF(成品出库明细!$D$2:$D$1172,$B616,成品出库明细!$G$2:$G$1172)</f>
        <v>0</v>
      </c>
      <c r="J616" s="10">
        <f t="shared" si="12"/>
        <v>2302</v>
      </c>
      <c r="K616" s="10"/>
      <c r="L616" s="10"/>
      <c r="M616" s="10"/>
      <c r="N616" s="10"/>
      <c r="O616" s="10"/>
    </row>
    <row r="617" s="3" customFormat="1" ht="14.25" spans="2:15">
      <c r="B617" s="10" t="s">
        <v>259</v>
      </c>
      <c r="C617" s="21" t="s">
        <v>1474</v>
      </c>
      <c r="D617" s="12" t="s">
        <v>1470</v>
      </c>
      <c r="E617" s="12" t="s">
        <v>334</v>
      </c>
      <c r="F617" s="10" t="s">
        <v>343</v>
      </c>
      <c r="G617" s="10">
        <f>SUMIF(成品月初库存!$C$3:$C$362,$B617,成品月初库存!$F$3:$F$362)</f>
        <v>2218</v>
      </c>
      <c r="H617" s="10">
        <f>SUMIF(成品入库明细!$D$2:$D$500,$B617,成品入库明细!$G$2:$G$500)</f>
        <v>0</v>
      </c>
      <c r="I617" s="10">
        <f>SUMIF(成品出库明细!$D$2:$D$1172,$B617,成品出库明细!$G$2:$G$1172)</f>
        <v>0</v>
      </c>
      <c r="J617" s="10">
        <f t="shared" si="12"/>
        <v>2218</v>
      </c>
      <c r="K617" s="10"/>
      <c r="L617" s="10"/>
      <c r="M617" s="10"/>
      <c r="N617" s="10"/>
      <c r="O617" s="10"/>
    </row>
    <row r="618" s="3" customFormat="1" ht="14.25" spans="2:15">
      <c r="B618" s="10" t="s">
        <v>1475</v>
      </c>
      <c r="C618" s="21" t="s">
        <v>1476</v>
      </c>
      <c r="D618" s="12" t="s">
        <v>1470</v>
      </c>
      <c r="E618" s="12" t="s">
        <v>334</v>
      </c>
      <c r="F618" s="10" t="s">
        <v>343</v>
      </c>
      <c r="G618" s="10">
        <f>SUMIF(成品月初库存!$C$3:$C$362,$B618,成品月初库存!$F$3:$F$362)</f>
        <v>0</v>
      </c>
      <c r="H618" s="10">
        <f>SUMIF(成品入库明细!$D$2:$D$500,$B618,成品入库明细!$G$2:$G$500)</f>
        <v>0</v>
      </c>
      <c r="I618" s="10">
        <f>SUMIF(成品出库明细!$D$2:$D$1172,$B618,成品出库明细!$G$2:$G$1172)</f>
        <v>0</v>
      </c>
      <c r="J618" s="10">
        <f t="shared" si="12"/>
        <v>0</v>
      </c>
      <c r="K618" s="10"/>
      <c r="L618" s="10"/>
      <c r="M618" s="10"/>
      <c r="N618" s="10"/>
      <c r="O618" s="10"/>
    </row>
    <row r="619" s="3" customFormat="1" ht="14.25" spans="2:15">
      <c r="B619" s="10" t="s">
        <v>260</v>
      </c>
      <c r="C619" s="21" t="s">
        <v>1477</v>
      </c>
      <c r="D619" s="12" t="s">
        <v>1470</v>
      </c>
      <c r="E619" s="12" t="s">
        <v>334</v>
      </c>
      <c r="F619" s="10" t="s">
        <v>343</v>
      </c>
      <c r="G619" s="10">
        <f>SUMIF(成品月初库存!$C$3:$C$362,$B619,成品月初库存!$F$3:$F$362)</f>
        <v>428</v>
      </c>
      <c r="H619" s="10">
        <f>SUMIF(成品入库明细!$D$2:$D$500,$B619,成品入库明细!$G$2:$G$500)</f>
        <v>0</v>
      </c>
      <c r="I619" s="10">
        <f>SUMIF(成品出库明细!$D$2:$D$1172,$B619,成品出库明细!$G$2:$G$1172)</f>
        <v>0</v>
      </c>
      <c r="J619" s="10">
        <f t="shared" si="12"/>
        <v>428</v>
      </c>
      <c r="K619" s="10"/>
      <c r="L619" s="10"/>
      <c r="M619" s="10"/>
      <c r="N619" s="10"/>
      <c r="O619" s="10"/>
    </row>
    <row r="620" s="3" customFormat="1" ht="14.25" spans="2:15">
      <c r="B620" s="10" t="s">
        <v>261</v>
      </c>
      <c r="C620" s="21" t="s">
        <v>1478</v>
      </c>
      <c r="D620" s="21" t="s">
        <v>1479</v>
      </c>
      <c r="E620" s="12" t="s">
        <v>334</v>
      </c>
      <c r="F620" s="10" t="s">
        <v>343</v>
      </c>
      <c r="G620" s="10">
        <f>SUMIF(成品月初库存!$C$3:$C$362,$B620,成品月初库存!$F$3:$F$362)</f>
        <v>8817</v>
      </c>
      <c r="H620" s="10">
        <f>SUMIF(成品入库明细!$D$2:$D$500,$B620,成品入库明细!$G$2:$G$500)</f>
        <v>0</v>
      </c>
      <c r="I620" s="10">
        <f>SUMIF(成品出库明细!$D$2:$D$1172,$B620,成品出库明细!$G$2:$G$1172)</f>
        <v>0</v>
      </c>
      <c r="J620" s="10">
        <f t="shared" si="12"/>
        <v>8817</v>
      </c>
      <c r="K620" s="12" t="s">
        <v>988</v>
      </c>
      <c r="L620" s="10"/>
      <c r="M620" s="10"/>
      <c r="N620" s="10"/>
      <c r="O620" s="10"/>
    </row>
    <row r="621" s="3" customFormat="1" ht="14.25" spans="2:15">
      <c r="B621" s="10" t="s">
        <v>262</v>
      </c>
      <c r="C621" s="21" t="s">
        <v>1480</v>
      </c>
      <c r="D621" s="21" t="s">
        <v>1479</v>
      </c>
      <c r="E621" s="12" t="s">
        <v>334</v>
      </c>
      <c r="F621" s="10" t="s">
        <v>343</v>
      </c>
      <c r="G621" s="10">
        <f>SUMIF(成品月初库存!$C$3:$C$362,$B621,成品月初库存!$F$3:$F$362)</f>
        <v>2571</v>
      </c>
      <c r="H621" s="10">
        <f>SUMIF(成品入库明细!$D$2:$D$500,$B621,成品入库明细!$G$2:$G$500)</f>
        <v>0</v>
      </c>
      <c r="I621" s="10">
        <f>SUMIF(成品出库明细!$D$2:$D$1172,$B621,成品出库明细!$G$2:$G$1172)</f>
        <v>0</v>
      </c>
      <c r="J621" s="10">
        <f t="shared" si="12"/>
        <v>2571</v>
      </c>
      <c r="K621" s="12" t="s">
        <v>988</v>
      </c>
      <c r="L621" s="10"/>
      <c r="M621" s="10"/>
      <c r="N621" s="10"/>
      <c r="O621" s="10"/>
    </row>
    <row r="622" s="3" customFormat="1" ht="14.25" spans="2:15">
      <c r="B622" s="10" t="s">
        <v>263</v>
      </c>
      <c r="C622" s="21" t="s">
        <v>1481</v>
      </c>
      <c r="D622" s="21" t="s">
        <v>1479</v>
      </c>
      <c r="E622" s="12" t="s">
        <v>334</v>
      </c>
      <c r="F622" s="10" t="s">
        <v>343</v>
      </c>
      <c r="G622" s="10">
        <f>SUMIF(成品月初库存!$C$3:$C$362,$B622,成品月初库存!$F$3:$F$362)</f>
        <v>69</v>
      </c>
      <c r="H622" s="10">
        <f>SUMIF(成品入库明细!$D$2:$D$500,$B622,成品入库明细!$G$2:$G$500)</f>
        <v>0</v>
      </c>
      <c r="I622" s="10">
        <f>SUMIF(成品出库明细!$D$2:$D$1172,$B622,成品出库明细!$G$2:$G$1172)</f>
        <v>0</v>
      </c>
      <c r="J622" s="10">
        <f t="shared" si="12"/>
        <v>69</v>
      </c>
      <c r="K622" s="12" t="s">
        <v>988</v>
      </c>
      <c r="L622" s="10"/>
      <c r="M622" s="10"/>
      <c r="N622" s="10"/>
      <c r="O622" s="10"/>
    </row>
    <row r="623" s="3" customFormat="1" ht="14.25" spans="2:15">
      <c r="B623" s="4" t="s">
        <v>1482</v>
      </c>
      <c r="C623" s="21" t="s">
        <v>1483</v>
      </c>
      <c r="D623" s="21" t="s">
        <v>1484</v>
      </c>
      <c r="E623" s="12" t="s">
        <v>334</v>
      </c>
      <c r="F623" s="10" t="s">
        <v>343</v>
      </c>
      <c r="G623" s="10">
        <f>SUMIF(成品月初库存!$C$3:$C$362,$B623,成品月初库存!$F$3:$F$362)</f>
        <v>0</v>
      </c>
      <c r="H623" s="10">
        <f>SUMIF(成品入库明细!$D$2:$D$500,$B623,成品入库明细!$G$2:$G$500)</f>
        <v>0</v>
      </c>
      <c r="I623" s="10">
        <f>SUMIF(成品出库明细!$D$2:$D$1172,$B623,成品出库明细!$G$2:$G$1172)</f>
        <v>0</v>
      </c>
      <c r="J623" s="10">
        <f t="shared" si="12"/>
        <v>0</v>
      </c>
      <c r="K623" s="12" t="s">
        <v>762</v>
      </c>
      <c r="L623" s="10"/>
      <c r="M623" s="10"/>
      <c r="N623" s="10"/>
      <c r="O623" s="10"/>
    </row>
    <row r="624" s="3" customFormat="1" ht="14.25" spans="2:15">
      <c r="B624" s="10" t="s">
        <v>264</v>
      </c>
      <c r="C624" s="42" t="s">
        <v>1485</v>
      </c>
      <c r="D624" s="12" t="s">
        <v>1486</v>
      </c>
      <c r="E624" s="12" t="s">
        <v>334</v>
      </c>
      <c r="F624" s="10" t="s">
        <v>343</v>
      </c>
      <c r="G624" s="10">
        <f>SUMIF(成品月初库存!$C$3:$C$362,$B624,成品月初库存!$F$3:$F$362)</f>
        <v>90</v>
      </c>
      <c r="H624" s="10">
        <f>SUMIF(成品入库明细!$D$2:$D$500,$B624,成品入库明细!$G$2:$G$500)</f>
        <v>0</v>
      </c>
      <c r="I624" s="10">
        <f>SUMIF(成品出库明细!$D$2:$D$1172,$B624,成品出库明细!$G$2:$G$1172)</f>
        <v>0</v>
      </c>
      <c r="J624" s="10">
        <f t="shared" si="12"/>
        <v>90</v>
      </c>
      <c r="K624" s="12" t="s">
        <v>370</v>
      </c>
      <c r="L624" s="10"/>
      <c r="M624" s="10"/>
      <c r="N624" s="10"/>
      <c r="O624" s="10"/>
    </row>
    <row r="625" s="3" customFormat="1" ht="14.25" spans="2:15">
      <c r="B625" s="10" t="s">
        <v>265</v>
      </c>
      <c r="C625" s="42" t="s">
        <v>1487</v>
      </c>
      <c r="D625" s="12" t="s">
        <v>1486</v>
      </c>
      <c r="E625" s="12" t="s">
        <v>334</v>
      </c>
      <c r="F625" s="10" t="s">
        <v>343</v>
      </c>
      <c r="G625" s="10">
        <f>SUMIF(成品月初库存!$C$3:$C$362,$B625,成品月初库存!$F$3:$F$362)</f>
        <v>146</v>
      </c>
      <c r="H625" s="10">
        <f>SUMIF(成品入库明细!$D$2:$D$500,$B625,成品入库明细!$G$2:$G$500)</f>
        <v>0</v>
      </c>
      <c r="I625" s="10">
        <f>SUMIF(成品出库明细!$D$2:$D$1172,$B625,成品出库明细!$G$2:$G$1172)</f>
        <v>0</v>
      </c>
      <c r="J625" s="10">
        <f t="shared" si="12"/>
        <v>146</v>
      </c>
      <c r="K625" s="12" t="s">
        <v>370</v>
      </c>
      <c r="L625" s="10"/>
      <c r="M625" s="10"/>
      <c r="N625" s="10"/>
      <c r="O625" s="10"/>
    </row>
    <row r="626" s="3" customFormat="1" ht="14.25" spans="2:15">
      <c r="B626" s="10" t="s">
        <v>287</v>
      </c>
      <c r="C626" s="42" t="s">
        <v>1488</v>
      </c>
      <c r="D626" s="12" t="s">
        <v>1486</v>
      </c>
      <c r="E626" s="12" t="s">
        <v>334</v>
      </c>
      <c r="F626" s="10" t="s">
        <v>343</v>
      </c>
      <c r="G626" s="10">
        <f>SUMIF(成品月初库存!$C$3:$C$362,$B626,成品月初库存!$F$3:$F$362)</f>
        <v>31</v>
      </c>
      <c r="H626" s="10">
        <f>SUMIF(成品入库明细!$D$2:$D$500,$B626,成品入库明细!$G$2:$G$500)</f>
        <v>0</v>
      </c>
      <c r="I626" s="10">
        <f>SUMIF(成品出库明细!$D$2:$D$1172,$B626,成品出库明细!$G$2:$G$1172)</f>
        <v>0</v>
      </c>
      <c r="J626" s="10">
        <f t="shared" si="12"/>
        <v>31</v>
      </c>
      <c r="K626" s="12" t="s">
        <v>370</v>
      </c>
      <c r="L626" s="10"/>
      <c r="M626" s="10"/>
      <c r="N626" s="10"/>
      <c r="O626" s="10"/>
    </row>
    <row r="627" s="3" customFormat="1" ht="14.25" spans="2:15">
      <c r="B627" s="10" t="s">
        <v>266</v>
      </c>
      <c r="C627" s="42" t="s">
        <v>1489</v>
      </c>
      <c r="D627" s="12" t="s">
        <v>1486</v>
      </c>
      <c r="E627" s="12" t="s">
        <v>334</v>
      </c>
      <c r="F627" s="10" t="s">
        <v>343</v>
      </c>
      <c r="G627" s="10">
        <f>SUMIF(成品月初库存!$C$3:$C$362,$B627,成品月初库存!$F$3:$F$362)</f>
        <v>49</v>
      </c>
      <c r="H627" s="10">
        <f>SUMIF(成品入库明细!$D$2:$D$500,$B627,成品入库明细!$G$2:$G$500)</f>
        <v>0</v>
      </c>
      <c r="I627" s="10">
        <f>SUMIF(成品出库明细!$D$2:$D$1172,$B627,成品出库明细!$G$2:$G$1172)</f>
        <v>0</v>
      </c>
      <c r="J627" s="10">
        <f t="shared" si="12"/>
        <v>49</v>
      </c>
      <c r="K627" s="12" t="s">
        <v>370</v>
      </c>
      <c r="L627" s="10"/>
      <c r="M627" s="10"/>
      <c r="N627" s="10"/>
      <c r="O627" s="10"/>
    </row>
    <row r="628" s="3" customFormat="1" ht="14.25" spans="2:15">
      <c r="B628" s="10" t="s">
        <v>267</v>
      </c>
      <c r="C628" s="42" t="s">
        <v>1490</v>
      </c>
      <c r="D628" s="12" t="s">
        <v>1486</v>
      </c>
      <c r="E628" s="12" t="s">
        <v>334</v>
      </c>
      <c r="F628" s="10" t="s">
        <v>343</v>
      </c>
      <c r="G628" s="10">
        <f>SUMIF(成品月初库存!$C$3:$C$362,$B628,成品月初库存!$F$3:$F$362)</f>
        <v>769</v>
      </c>
      <c r="H628" s="10">
        <f>SUMIF(成品入库明细!$D$2:$D$500,$B628,成品入库明细!$G$2:$G$500)</f>
        <v>0</v>
      </c>
      <c r="I628" s="10">
        <f>SUMIF(成品出库明细!$D$2:$D$1172,$B628,成品出库明细!$G$2:$G$1172)</f>
        <v>0</v>
      </c>
      <c r="J628" s="10">
        <f t="shared" si="12"/>
        <v>769</v>
      </c>
      <c r="K628" s="12" t="s">
        <v>349</v>
      </c>
      <c r="L628" s="10"/>
      <c r="M628" s="10"/>
      <c r="N628" s="10"/>
      <c r="O628" s="10"/>
    </row>
    <row r="629" s="3" customFormat="1" ht="14.25" spans="2:15">
      <c r="B629" s="10" t="s">
        <v>268</v>
      </c>
      <c r="C629" s="21" t="s">
        <v>1491</v>
      </c>
      <c r="D629" s="12" t="s">
        <v>1492</v>
      </c>
      <c r="E629" s="12" t="s">
        <v>334</v>
      </c>
      <c r="F629" s="10" t="s">
        <v>343</v>
      </c>
      <c r="G629" s="10">
        <f>SUMIF(成品月初库存!$C$3:$C$362,$B629,成品月初库存!$F$3:$F$362)</f>
        <v>4604</v>
      </c>
      <c r="H629" s="10">
        <f>SUMIF(成品入库明细!$D$2:$D$500,$B629,成品入库明细!$G$2:$G$500)</f>
        <v>0</v>
      </c>
      <c r="I629" s="10">
        <f>SUMIF(成品出库明细!$D$2:$D$1172,$B629,成品出库明细!$G$2:$G$1172)</f>
        <v>0</v>
      </c>
      <c r="J629" s="10">
        <f t="shared" si="12"/>
        <v>4604</v>
      </c>
      <c r="K629" s="12" t="s">
        <v>370</v>
      </c>
      <c r="L629" s="12" t="s">
        <v>1493</v>
      </c>
      <c r="M629" s="10"/>
      <c r="N629" s="10"/>
      <c r="O629" s="10"/>
    </row>
    <row r="630" s="3" customFormat="1" ht="14.25" spans="2:15">
      <c r="B630" s="4" t="s">
        <v>269</v>
      </c>
      <c r="C630" s="21" t="s">
        <v>1494</v>
      </c>
      <c r="D630" s="12" t="s">
        <v>1495</v>
      </c>
      <c r="E630" s="12" t="s">
        <v>334</v>
      </c>
      <c r="F630" s="10" t="s">
        <v>343</v>
      </c>
      <c r="G630" s="10">
        <f>SUMIF(成品月初库存!$C$3:$C$362,$B630,成品月初库存!$F$3:$F$362)</f>
        <v>1619</v>
      </c>
      <c r="H630" s="10">
        <f>SUMIF(成品入库明细!$D$2:$D$500,$B630,成品入库明细!$G$2:$G$500)</f>
        <v>0</v>
      </c>
      <c r="I630" s="10">
        <f>SUMIF(成品出库明细!$D$2:$D$1172,$B630,成品出库明细!$G$2:$G$1172)</f>
        <v>0</v>
      </c>
      <c r="J630" s="10">
        <f t="shared" si="12"/>
        <v>1619</v>
      </c>
      <c r="K630" s="12" t="s">
        <v>1379</v>
      </c>
      <c r="L630" s="10"/>
      <c r="M630" s="10"/>
      <c r="N630" s="10"/>
      <c r="O630" s="10"/>
    </row>
    <row r="631" s="3" customFormat="1" ht="14.25" spans="2:15">
      <c r="B631" s="4" t="s">
        <v>1496</v>
      </c>
      <c r="C631" s="21" t="s">
        <v>1497</v>
      </c>
      <c r="D631" s="12" t="s">
        <v>1495</v>
      </c>
      <c r="E631" s="12" t="s">
        <v>334</v>
      </c>
      <c r="F631" s="10" t="s">
        <v>343</v>
      </c>
      <c r="G631" s="10">
        <f>SUMIF(成品月初库存!$C$3:$C$362,$B631,成品月初库存!$F$3:$F$362)</f>
        <v>0</v>
      </c>
      <c r="H631" s="10">
        <f>SUMIF(成品入库明细!$D$2:$D$500,$B631,成品入库明细!$G$2:$G$500)</f>
        <v>0</v>
      </c>
      <c r="I631" s="10">
        <f>SUMIF(成品出库明细!$D$2:$D$1172,$B631,成品出库明细!$G$2:$G$1172)</f>
        <v>0</v>
      </c>
      <c r="J631" s="10">
        <f t="shared" si="12"/>
        <v>0</v>
      </c>
      <c r="K631" s="12" t="s">
        <v>1498</v>
      </c>
      <c r="L631" s="10"/>
      <c r="M631" s="10"/>
      <c r="N631" s="10"/>
      <c r="O631" s="10"/>
    </row>
    <row r="632" s="3" customFormat="1" ht="14.25" spans="2:15">
      <c r="B632" s="4" t="s">
        <v>1499</v>
      </c>
      <c r="C632" s="21" t="s">
        <v>1500</v>
      </c>
      <c r="D632" s="12" t="s">
        <v>1495</v>
      </c>
      <c r="E632" s="12" t="s">
        <v>334</v>
      </c>
      <c r="F632" s="10" t="s">
        <v>343</v>
      </c>
      <c r="G632" s="10">
        <f>SUMIF(成品月初库存!$C$3:$C$362,$B632,成品月初库存!$F$3:$F$362)</f>
        <v>0</v>
      </c>
      <c r="H632" s="10">
        <f>SUMIF(成品入库明细!$D$2:$D$500,$B632,成品入库明细!$G$2:$G$500)</f>
        <v>0</v>
      </c>
      <c r="I632" s="10">
        <f>SUMIF(成品出库明细!$D$2:$D$1172,$B632,成品出库明细!$G$2:$G$1172)</f>
        <v>0</v>
      </c>
      <c r="J632" s="10">
        <f t="shared" si="12"/>
        <v>0</v>
      </c>
      <c r="K632" s="12" t="s">
        <v>1498</v>
      </c>
      <c r="L632" s="10"/>
      <c r="M632" s="10"/>
      <c r="N632" s="10"/>
      <c r="O632" s="10"/>
    </row>
    <row r="633" s="3" customFormat="1" ht="14.25" spans="2:15">
      <c r="B633" s="4" t="s">
        <v>1501</v>
      </c>
      <c r="C633" s="21" t="s">
        <v>1502</v>
      </c>
      <c r="D633" s="12" t="s">
        <v>1495</v>
      </c>
      <c r="E633" s="12" t="s">
        <v>334</v>
      </c>
      <c r="F633" s="10" t="s">
        <v>343</v>
      </c>
      <c r="G633" s="10">
        <f>SUMIF(成品月初库存!$C$3:$C$362,$B633,成品月初库存!$F$3:$F$362)</f>
        <v>0</v>
      </c>
      <c r="H633" s="10">
        <f>SUMIF(成品入库明细!$D$2:$D$500,$B633,成品入库明细!$G$2:$G$500)</f>
        <v>0</v>
      </c>
      <c r="I633" s="10">
        <f>SUMIF(成品出库明细!$D$2:$D$1172,$B633,成品出库明细!$G$2:$G$1172)</f>
        <v>0</v>
      </c>
      <c r="J633" s="10">
        <f t="shared" si="12"/>
        <v>0</v>
      </c>
      <c r="K633" s="12" t="s">
        <v>1498</v>
      </c>
      <c r="L633" s="10"/>
      <c r="M633" s="10"/>
      <c r="N633" s="10"/>
      <c r="O633" s="10"/>
    </row>
    <row r="634" s="3" customFormat="1" ht="14.25" spans="2:15">
      <c r="B634" s="4" t="s">
        <v>1503</v>
      </c>
      <c r="C634" s="21" t="s">
        <v>1504</v>
      </c>
      <c r="D634" s="12" t="s">
        <v>1495</v>
      </c>
      <c r="E634" s="12" t="s">
        <v>334</v>
      </c>
      <c r="F634" s="10" t="s">
        <v>343</v>
      </c>
      <c r="G634" s="10">
        <f>SUMIF(成品月初库存!$C$3:$C$362,$B634,成品月初库存!$F$3:$F$362)</f>
        <v>0</v>
      </c>
      <c r="H634" s="10">
        <f>SUMIF(成品入库明细!$D$2:$D$500,$B634,成品入库明细!$G$2:$G$500)</f>
        <v>0</v>
      </c>
      <c r="I634" s="10">
        <f>SUMIF(成品出库明细!$D$2:$D$1172,$B634,成品出库明细!$G$2:$G$1172)</f>
        <v>0</v>
      </c>
      <c r="J634" s="10">
        <f t="shared" si="12"/>
        <v>0</v>
      </c>
      <c r="K634" s="12" t="s">
        <v>1498</v>
      </c>
      <c r="L634" s="10"/>
      <c r="M634" s="10"/>
      <c r="N634" s="10"/>
      <c r="O634" s="10"/>
    </row>
    <row r="635" s="3" customFormat="1" ht="14.25" spans="2:15">
      <c r="B635" s="4" t="s">
        <v>1505</v>
      </c>
      <c r="C635" s="21" t="s">
        <v>946</v>
      </c>
      <c r="D635" s="12" t="s">
        <v>1495</v>
      </c>
      <c r="E635" s="12" t="s">
        <v>334</v>
      </c>
      <c r="F635" s="10" t="s">
        <v>343</v>
      </c>
      <c r="G635" s="10">
        <f>SUMIF(成品月初库存!$C$3:$C$362,$B635,成品月初库存!$F$3:$F$362)</f>
        <v>0</v>
      </c>
      <c r="H635" s="10">
        <f>SUMIF(成品入库明细!$D$2:$D$500,$B635,成品入库明细!$G$2:$G$500)</f>
        <v>0</v>
      </c>
      <c r="I635" s="10">
        <f>SUMIF(成品出库明细!$D$2:$D$1172,$B635,成品出库明细!$G$2:$G$1172)</f>
        <v>0</v>
      </c>
      <c r="J635" s="10">
        <f t="shared" si="12"/>
        <v>0</v>
      </c>
      <c r="K635" s="12" t="s">
        <v>349</v>
      </c>
      <c r="L635" s="10"/>
      <c r="M635" s="10"/>
      <c r="N635" s="10"/>
      <c r="O635" s="10"/>
    </row>
    <row r="636" s="3" customFormat="1" ht="14.25" spans="2:15">
      <c r="B636" s="4" t="s">
        <v>1506</v>
      </c>
      <c r="C636" s="21" t="s">
        <v>1507</v>
      </c>
      <c r="D636" s="12" t="s">
        <v>1495</v>
      </c>
      <c r="E636" s="12" t="s">
        <v>334</v>
      </c>
      <c r="F636" s="10" t="s">
        <v>343</v>
      </c>
      <c r="G636" s="10">
        <f>SUMIF(成品月初库存!$C$3:$C$362,$B636,成品月初库存!$F$3:$F$362)</f>
        <v>0</v>
      </c>
      <c r="H636" s="10">
        <f>SUMIF(成品入库明细!$D$2:$D$500,$B636,成品入库明细!$G$2:$G$500)</f>
        <v>0</v>
      </c>
      <c r="I636" s="10">
        <f>SUMIF(成品出库明细!$D$2:$D$1172,$B636,成品出库明细!$G$2:$G$1172)</f>
        <v>0</v>
      </c>
      <c r="J636" s="10">
        <f t="shared" si="12"/>
        <v>0</v>
      </c>
      <c r="K636" s="12" t="s">
        <v>1498</v>
      </c>
      <c r="L636" s="10"/>
      <c r="M636" s="10"/>
      <c r="N636" s="10"/>
      <c r="O636" s="10"/>
    </row>
    <row r="637" s="3" customFormat="1" ht="14.25" spans="2:15">
      <c r="B637" s="4" t="s">
        <v>1508</v>
      </c>
      <c r="C637" s="21" t="s">
        <v>1509</v>
      </c>
      <c r="D637" s="12" t="s">
        <v>1495</v>
      </c>
      <c r="E637" s="12" t="s">
        <v>334</v>
      </c>
      <c r="F637" s="10" t="s">
        <v>343</v>
      </c>
      <c r="G637" s="10">
        <f>SUMIF(成品月初库存!$C$3:$C$362,$B637,成品月初库存!$F$3:$F$362)</f>
        <v>0</v>
      </c>
      <c r="H637" s="10">
        <f>SUMIF(成品入库明细!$D$2:$D$500,$B637,成品入库明细!$G$2:$G$500)</f>
        <v>0</v>
      </c>
      <c r="I637" s="10">
        <f>SUMIF(成品出库明细!$D$2:$D$1172,$B637,成品出库明细!$G$2:$G$1172)</f>
        <v>0</v>
      </c>
      <c r="J637" s="10">
        <f t="shared" si="12"/>
        <v>0</v>
      </c>
      <c r="K637" s="12"/>
      <c r="L637" s="10"/>
      <c r="M637" s="10"/>
      <c r="N637" s="10"/>
      <c r="O637" s="10"/>
    </row>
    <row r="638" s="3" customFormat="1" ht="14.25" spans="2:15">
      <c r="B638" s="4" t="s">
        <v>270</v>
      </c>
      <c r="C638" s="21" t="s">
        <v>1510</v>
      </c>
      <c r="D638" s="12" t="s">
        <v>1495</v>
      </c>
      <c r="E638" s="12" t="s">
        <v>334</v>
      </c>
      <c r="F638" s="10" t="s">
        <v>343</v>
      </c>
      <c r="G638" s="10">
        <f>SUMIF(成品月初库存!$C$3:$C$362,$B638,成品月初库存!$F$3:$F$362)</f>
        <v>23</v>
      </c>
      <c r="H638" s="10">
        <f>SUMIF(成品入库明细!$D$2:$D$500,$B638,成品入库明细!$G$2:$G$500)</f>
        <v>0</v>
      </c>
      <c r="I638" s="10">
        <f>SUMIF(成品出库明细!$D$2:$D$1172,$B638,成品出库明细!$G$2:$G$1172)</f>
        <v>0</v>
      </c>
      <c r="J638" s="10">
        <f t="shared" si="12"/>
        <v>23</v>
      </c>
      <c r="K638" s="12" t="s">
        <v>988</v>
      </c>
      <c r="L638" s="10"/>
      <c r="M638" s="10"/>
      <c r="N638" s="10"/>
      <c r="O638" s="10"/>
    </row>
    <row r="639" s="3" customFormat="1" ht="14.25" spans="2:15">
      <c r="B639" s="4" t="s">
        <v>1511</v>
      </c>
      <c r="C639" s="21" t="s">
        <v>1512</v>
      </c>
      <c r="D639" s="12" t="s">
        <v>1495</v>
      </c>
      <c r="E639" s="12" t="s">
        <v>334</v>
      </c>
      <c r="F639" s="10" t="s">
        <v>343</v>
      </c>
      <c r="G639" s="10">
        <f>SUMIF(成品月初库存!$C$3:$C$362,$B639,成品月初库存!$F$3:$F$362)</f>
        <v>0</v>
      </c>
      <c r="H639" s="10">
        <f>SUMIF(成品入库明细!$D$2:$D$500,$B639,成品入库明细!$G$2:$G$500)</f>
        <v>0</v>
      </c>
      <c r="I639" s="10">
        <f>SUMIF(成品出库明细!$D$2:$D$1172,$B639,成品出库明细!$G$2:$G$1172)</f>
        <v>0</v>
      </c>
      <c r="J639" s="10">
        <f t="shared" si="12"/>
        <v>0</v>
      </c>
      <c r="K639" s="12" t="s">
        <v>1498</v>
      </c>
      <c r="L639" s="10"/>
      <c r="M639" s="10"/>
      <c r="N639" s="10"/>
      <c r="O639" s="10"/>
    </row>
    <row r="640" s="3" customFormat="1" ht="14.25" spans="2:15">
      <c r="B640" s="4" t="s">
        <v>271</v>
      </c>
      <c r="C640" s="21" t="s">
        <v>1513</v>
      </c>
      <c r="D640" s="12" t="s">
        <v>1495</v>
      </c>
      <c r="E640" s="12" t="s">
        <v>334</v>
      </c>
      <c r="F640" s="10" t="s">
        <v>343</v>
      </c>
      <c r="G640" s="10">
        <f>SUMIF(成品月初库存!$C$3:$C$362,$B640,成品月初库存!$F$3:$F$362)</f>
        <v>2780</v>
      </c>
      <c r="H640" s="10">
        <f>SUMIF(成品入库明细!$D$2:$D$500,$B640,成品入库明细!$G$2:$G$500)</f>
        <v>0</v>
      </c>
      <c r="I640" s="10">
        <f>SUMIF(成品出库明细!$D$2:$D$1172,$B640,成品出库明细!$G$2:$G$1172)</f>
        <v>0</v>
      </c>
      <c r="J640" s="10">
        <f t="shared" si="12"/>
        <v>2780</v>
      </c>
      <c r="K640" s="12" t="s">
        <v>988</v>
      </c>
      <c r="L640" s="10"/>
      <c r="M640" s="10"/>
      <c r="N640" s="10"/>
      <c r="O640" s="10"/>
    </row>
    <row r="641" s="3" customFormat="1" ht="14.25" spans="2:15">
      <c r="B641" s="4" t="s">
        <v>272</v>
      </c>
      <c r="C641" s="21" t="s">
        <v>1514</v>
      </c>
      <c r="D641" s="12" t="s">
        <v>1495</v>
      </c>
      <c r="E641" s="12" t="s">
        <v>334</v>
      </c>
      <c r="F641" s="10" t="s">
        <v>343</v>
      </c>
      <c r="G641" s="10">
        <f>SUMIF(成品月初库存!$C$3:$C$362,$B641,成品月初库存!$F$3:$F$362)</f>
        <v>1727</v>
      </c>
      <c r="H641" s="10">
        <f>SUMIF(成品入库明细!$D$2:$D$500,$B641,成品入库明细!$G$2:$G$500)</f>
        <v>0</v>
      </c>
      <c r="I641" s="10">
        <f>SUMIF(成品出库明细!$D$2:$D$1172,$B641,成品出库明细!$G$2:$G$1172)</f>
        <v>0</v>
      </c>
      <c r="J641" s="10">
        <f t="shared" si="12"/>
        <v>1727</v>
      </c>
      <c r="K641" s="12" t="s">
        <v>1379</v>
      </c>
      <c r="L641" s="10"/>
      <c r="M641" s="10"/>
      <c r="N641" s="10"/>
      <c r="O641" s="10"/>
    </row>
    <row r="642" s="3" customFormat="1" ht="14.25" spans="2:15">
      <c r="B642" s="10" t="s">
        <v>1515</v>
      </c>
      <c r="C642" s="21" t="s">
        <v>1516</v>
      </c>
      <c r="D642" s="12" t="s">
        <v>1517</v>
      </c>
      <c r="E642" s="12" t="s">
        <v>334</v>
      </c>
      <c r="F642" s="10" t="s">
        <v>343</v>
      </c>
      <c r="G642" s="10">
        <f>SUMIF(成品月初库存!$C$3:$C$362,$B642,成品月初库存!$F$3:$F$362)</f>
        <v>0</v>
      </c>
      <c r="H642" s="10">
        <f>SUMIF(成品入库明细!$D$2:$D$500,$B642,成品入库明细!$G$2:$G$500)</f>
        <v>0</v>
      </c>
      <c r="I642" s="10">
        <f>SUMIF(成品出库明细!$D$2:$D$1172,$B642,成品出库明细!$G$2:$G$1172)</f>
        <v>0</v>
      </c>
      <c r="J642" s="10">
        <f t="shared" si="12"/>
        <v>0</v>
      </c>
      <c r="K642" s="12" t="s">
        <v>514</v>
      </c>
      <c r="L642" s="10"/>
      <c r="M642" s="10"/>
      <c r="N642" s="10"/>
      <c r="O642" s="10"/>
    </row>
    <row r="643" s="3" customFormat="1" ht="14.25" spans="2:15">
      <c r="B643" s="10" t="s">
        <v>1518</v>
      </c>
      <c r="C643" s="21" t="s">
        <v>1519</v>
      </c>
      <c r="D643" s="12" t="s">
        <v>1517</v>
      </c>
      <c r="E643" s="12" t="s">
        <v>334</v>
      </c>
      <c r="F643" s="10" t="s">
        <v>343</v>
      </c>
      <c r="G643" s="10">
        <f>SUMIF(成品月初库存!$C$3:$C$362,$B643,成品月初库存!$F$3:$F$362)</f>
        <v>0</v>
      </c>
      <c r="H643" s="10">
        <f>SUMIF(成品入库明细!$D$2:$D$500,$B643,成品入库明细!$G$2:$G$500)</f>
        <v>0</v>
      </c>
      <c r="I643" s="10">
        <f>SUMIF(成品出库明细!$D$2:$D$1172,$B643,成品出库明细!$G$2:$G$1172)</f>
        <v>0</v>
      </c>
      <c r="J643" s="10">
        <f t="shared" si="12"/>
        <v>0</v>
      </c>
      <c r="K643" s="12" t="s">
        <v>514</v>
      </c>
      <c r="L643" s="10"/>
      <c r="M643" s="10"/>
      <c r="N643" s="10"/>
      <c r="O643" s="10"/>
    </row>
    <row r="644" s="3" customFormat="1" ht="14.25" spans="2:15">
      <c r="B644" s="10" t="s">
        <v>273</v>
      </c>
      <c r="C644" s="21" t="s">
        <v>1520</v>
      </c>
      <c r="D644" s="12" t="s">
        <v>1521</v>
      </c>
      <c r="E644" s="12" t="s">
        <v>334</v>
      </c>
      <c r="F644" s="10" t="s">
        <v>343</v>
      </c>
      <c r="G644" s="10">
        <f>SUMIF(成品月初库存!$C$3:$C$362,$B644,成品月初库存!$F$3:$F$362)</f>
        <v>181</v>
      </c>
      <c r="H644" s="10">
        <f>SUMIF(成品入库明细!$D$2:$D$500,$B644,成品入库明细!$G$2:$G$500)</f>
        <v>0</v>
      </c>
      <c r="I644" s="10">
        <f>SUMIF(成品出库明细!$D$2:$D$1172,$B644,成品出库明细!$G$2:$G$1172)</f>
        <v>0</v>
      </c>
      <c r="J644" s="10">
        <f t="shared" si="12"/>
        <v>181</v>
      </c>
      <c r="K644" s="12" t="s">
        <v>770</v>
      </c>
      <c r="L644" s="10"/>
      <c r="M644" s="10"/>
      <c r="N644" s="10"/>
      <c r="O644" s="10"/>
    </row>
    <row r="645" s="3" customFormat="1" ht="14.25" spans="2:15">
      <c r="B645" s="10" t="s">
        <v>285</v>
      </c>
      <c r="C645" s="21" t="s">
        <v>1522</v>
      </c>
      <c r="D645" s="12" t="s">
        <v>1521</v>
      </c>
      <c r="E645" s="12" t="s">
        <v>334</v>
      </c>
      <c r="F645" s="10" t="s">
        <v>343</v>
      </c>
      <c r="G645" s="10">
        <f>SUMIF(成品月初库存!$C$3:$C$362,$B645,成品月初库存!$F$3:$F$362)</f>
        <v>619</v>
      </c>
      <c r="H645" s="10">
        <f>SUMIF(成品入库明细!$D$2:$D$500,$B645,成品入库明细!$G$2:$G$500)</f>
        <v>0</v>
      </c>
      <c r="I645" s="10">
        <f>SUMIF(成品出库明细!$D$2:$D$1172,$B645,成品出库明细!$G$2:$G$1172)</f>
        <v>0</v>
      </c>
      <c r="J645" s="10">
        <f t="shared" si="12"/>
        <v>619</v>
      </c>
      <c r="K645" s="12" t="s">
        <v>370</v>
      </c>
      <c r="L645" s="10"/>
      <c r="M645" s="10"/>
      <c r="N645" s="10"/>
      <c r="O645" s="10"/>
    </row>
    <row r="646" s="3" customFormat="1" customHeight="1" spans="2:15">
      <c r="B646" s="10" t="s">
        <v>274</v>
      </c>
      <c r="C646" s="21" t="s">
        <v>1523</v>
      </c>
      <c r="D646" s="12" t="s">
        <v>1524</v>
      </c>
      <c r="E646" s="12" t="s">
        <v>334</v>
      </c>
      <c r="F646" s="10" t="s">
        <v>343</v>
      </c>
      <c r="G646" s="10">
        <f>SUMIF(成品月初库存!$C$3:$C$362,$B646,成品月初库存!$F$3:$F$362)</f>
        <v>551</v>
      </c>
      <c r="H646" s="10">
        <f>SUMIF(成品入库明细!$D$2:$D$500,$B646,成品入库明细!$G$2:$G$500)</f>
        <v>0</v>
      </c>
      <c r="I646" s="10">
        <f>SUMIF(成品出库明细!$D$2:$D$1172,$B646,成品出库明细!$G$2:$G$1172)</f>
        <v>0</v>
      </c>
      <c r="J646" s="10">
        <f t="shared" si="12"/>
        <v>551</v>
      </c>
      <c r="K646" s="12" t="s">
        <v>709</v>
      </c>
      <c r="L646" s="10"/>
      <c r="M646" s="10"/>
      <c r="N646" s="10"/>
      <c r="O646" s="10"/>
    </row>
    <row r="647" s="3" customFormat="1" customHeight="1" spans="2:15">
      <c r="B647" s="10" t="s">
        <v>1525</v>
      </c>
      <c r="C647" s="21" t="s">
        <v>1526</v>
      </c>
      <c r="D647" s="12" t="s">
        <v>1524</v>
      </c>
      <c r="E647" s="12" t="s">
        <v>334</v>
      </c>
      <c r="F647" s="10" t="s">
        <v>343</v>
      </c>
      <c r="G647" s="10">
        <f>SUMIF(成品月初库存!$C$3:$C$362,$B647,成品月初库存!$F$3:$F$362)</f>
        <v>0</v>
      </c>
      <c r="H647" s="10">
        <f>SUMIF(成品入库明细!$D$2:$D$500,$B647,成品入库明细!$G$2:$G$500)</f>
        <v>0</v>
      </c>
      <c r="I647" s="10">
        <f>SUMIF(成品出库明细!$D$2:$D$1172,$B647,成品出库明细!$G$2:$G$1172)</f>
        <v>0</v>
      </c>
      <c r="J647" s="10">
        <f t="shared" si="12"/>
        <v>0</v>
      </c>
      <c r="K647" s="12" t="s">
        <v>709</v>
      </c>
      <c r="L647" s="10"/>
      <c r="M647" s="10"/>
      <c r="N647" s="10"/>
      <c r="O647" s="10"/>
    </row>
    <row r="648" s="3" customFormat="1" customHeight="1" spans="2:15">
      <c r="B648" s="10" t="s">
        <v>275</v>
      </c>
      <c r="C648" s="10" t="s">
        <v>1527</v>
      </c>
      <c r="D648" s="12" t="s">
        <v>1524</v>
      </c>
      <c r="E648" s="12" t="s">
        <v>334</v>
      </c>
      <c r="F648" s="10" t="s">
        <v>343</v>
      </c>
      <c r="G648" s="10">
        <f>SUMIF(成品月初库存!$C$3:$C$362,$B648,成品月初库存!$F$3:$F$362)</f>
        <v>1234</v>
      </c>
      <c r="H648" s="10">
        <f>SUMIF(成品入库明细!$D$2:$D$500,$B648,成品入库明细!$G$2:$G$500)</f>
        <v>0</v>
      </c>
      <c r="I648" s="10">
        <f>SUMIF(成品出库明细!$D$2:$D$1172,$B648,成品出库明细!$G$2:$G$1172)</f>
        <v>0</v>
      </c>
      <c r="J648" s="10">
        <f t="shared" si="12"/>
        <v>1234</v>
      </c>
      <c r="K648" s="12" t="s">
        <v>709</v>
      </c>
      <c r="L648" s="10"/>
      <c r="M648" s="10"/>
      <c r="N648" s="10"/>
      <c r="O648" s="10"/>
    </row>
    <row r="649" customHeight="1" spans="2:15">
      <c r="B649" s="10" t="s">
        <v>277</v>
      </c>
      <c r="C649" s="4" t="s">
        <v>1528</v>
      </c>
      <c r="D649" s="12" t="s">
        <v>1524</v>
      </c>
      <c r="E649" s="12" t="s">
        <v>334</v>
      </c>
      <c r="F649" s="10" t="s">
        <v>343</v>
      </c>
      <c r="G649" s="10">
        <f>SUMIF(成品月初库存!$C$3:$C$362,$B649,成品月初库存!$F$3:$F$362)</f>
        <v>1148</v>
      </c>
      <c r="H649" s="10">
        <f>SUMIF(成品入库明细!$D$2:$D$500,$B649,成品入库明细!$G$2:$G$500)</f>
        <v>0</v>
      </c>
      <c r="I649" s="10">
        <f>SUMIF(成品出库明细!$D$2:$D$1172,$B649,成品出库明细!$G$2:$G$1172)</f>
        <v>0</v>
      </c>
      <c r="J649" s="10">
        <f t="shared" ref="J649:J657" si="13">G649+H649-I649</f>
        <v>1148</v>
      </c>
      <c r="K649" s="4" t="s">
        <v>466</v>
      </c>
    </row>
    <row r="650" customHeight="1" spans="2:15">
      <c r="B650" s="10" t="s">
        <v>278</v>
      </c>
      <c r="C650" s="2" t="s">
        <v>1529</v>
      </c>
      <c r="D650" s="12" t="s">
        <v>1524</v>
      </c>
      <c r="E650" s="12" t="s">
        <v>334</v>
      </c>
      <c r="F650" s="10" t="s">
        <v>343</v>
      </c>
      <c r="G650" s="10">
        <f>SUMIF(成品月初库存!$C$3:$C$362,$B650,成品月初库存!$F$3:$F$362)</f>
        <v>15</v>
      </c>
      <c r="H650" s="10">
        <f>SUMIF(成品入库明细!$D$2:$D$500,$B650,成品入库明细!$G$2:$G$500)</f>
        <v>0</v>
      </c>
      <c r="I650" s="10">
        <f>SUMIF(成品出库明细!$D$2:$D$1172,$B650,成品出库明细!$G$2:$G$1172)</f>
        <v>0</v>
      </c>
      <c r="J650" s="10">
        <f t="shared" si="13"/>
        <v>15</v>
      </c>
      <c r="K650" s="21" t="s">
        <v>709</v>
      </c>
    </row>
    <row r="651" customHeight="1" spans="2:15">
      <c r="B651" s="10" t="s">
        <v>1530</v>
      </c>
      <c r="C651" s="2" t="s">
        <v>1531</v>
      </c>
      <c r="D651" s="12" t="s">
        <v>1524</v>
      </c>
      <c r="E651" s="12" t="s">
        <v>334</v>
      </c>
      <c r="F651" s="10" t="s">
        <v>343</v>
      </c>
      <c r="G651" s="10">
        <f>SUMIF(成品月初库存!$C$3:$C$362,$B651,成品月初库存!$F$3:$F$362)</f>
        <v>0</v>
      </c>
      <c r="H651" s="10">
        <f>SUMIF(成品入库明细!$D$2:$D$500,$B651,成品入库明细!$G$2:$G$500)</f>
        <v>0</v>
      </c>
      <c r="I651" s="10">
        <f>SUMIF(成品出库明细!$D$2:$D$1172,$B651,成品出库明细!$G$2:$G$1172)</f>
        <v>0</v>
      </c>
      <c r="J651" s="10">
        <f t="shared" si="13"/>
        <v>0</v>
      </c>
      <c r="K651" s="21" t="s">
        <v>709</v>
      </c>
    </row>
    <row r="652" customHeight="1" spans="2:15">
      <c r="B652" s="10" t="s">
        <v>1532</v>
      </c>
      <c r="C652" s="2" t="s">
        <v>1533</v>
      </c>
      <c r="D652" s="12" t="s">
        <v>1524</v>
      </c>
      <c r="E652" s="12" t="s">
        <v>334</v>
      </c>
      <c r="F652" s="10" t="s">
        <v>343</v>
      </c>
      <c r="G652" s="10">
        <f>SUMIF(成品月初库存!$C$3:$C$362,$B652,成品月初库存!$F$3:$F$362)</f>
        <v>0</v>
      </c>
      <c r="H652" s="10">
        <f>SUMIF(成品入库明细!$D$2:$D$500,$B652,成品入库明细!$G$2:$G$500)</f>
        <v>0</v>
      </c>
      <c r="I652" s="10">
        <f>SUMIF(成品出库明细!$D$2:$D$1172,$B652,成品出库明细!$G$2:$G$1172)</f>
        <v>0</v>
      </c>
      <c r="J652" s="10">
        <f t="shared" si="13"/>
        <v>0</v>
      </c>
      <c r="K652" s="4" t="s">
        <v>709</v>
      </c>
    </row>
    <row r="653" customHeight="1" spans="2:15">
      <c r="B653" s="10" t="s">
        <v>279</v>
      </c>
      <c r="C653" s="2" t="s">
        <v>1534</v>
      </c>
      <c r="D653" s="12" t="s">
        <v>1524</v>
      </c>
      <c r="E653" s="12" t="s">
        <v>334</v>
      </c>
      <c r="F653" s="10" t="s">
        <v>343</v>
      </c>
      <c r="G653" s="10">
        <f>SUMIF(成品月初库存!$C$3:$C$362,$B653,成品月初库存!$F$3:$F$362)</f>
        <v>226</v>
      </c>
      <c r="H653" s="10">
        <f>SUMIF(成品入库明细!$D$2:$D$500,$B653,成品入库明细!$G$2:$G$500)</f>
        <v>0</v>
      </c>
      <c r="I653" s="10">
        <f>SUMIF(成品出库明细!$D$2:$D$1172,$B653,成品出库明细!$G$2:$G$1172)</f>
        <v>0</v>
      </c>
      <c r="J653" s="10">
        <f t="shared" si="13"/>
        <v>226</v>
      </c>
      <c r="K653" s="4" t="s">
        <v>709</v>
      </c>
    </row>
    <row r="654" customHeight="1" spans="2:15">
      <c r="B654" s="10" t="s">
        <v>280</v>
      </c>
      <c r="C654" s="2" t="s">
        <v>1535</v>
      </c>
      <c r="D654" s="12" t="s">
        <v>1524</v>
      </c>
      <c r="E654" s="12" t="s">
        <v>334</v>
      </c>
      <c r="F654" s="10" t="s">
        <v>343</v>
      </c>
      <c r="G654" s="10">
        <f>SUMIF(成品月初库存!$C$3:$C$362,$B654,成品月初库存!$F$3:$F$362)</f>
        <v>43</v>
      </c>
      <c r="H654" s="10">
        <f>SUMIF(成品入库明细!$D$2:$D$500,$B654,成品入库明细!$G$2:$G$500)</f>
        <v>0</v>
      </c>
      <c r="I654" s="10">
        <f>SUMIF(成品出库明细!$D$2:$D$1172,$B654,成品出库明细!$G$2:$G$1172)</f>
        <v>0</v>
      </c>
      <c r="J654" s="10">
        <f t="shared" si="13"/>
        <v>43</v>
      </c>
      <c r="K654" s="4" t="s">
        <v>709</v>
      </c>
    </row>
    <row r="655" customHeight="1" spans="2:15">
      <c r="B655" s="10" t="s">
        <v>281</v>
      </c>
      <c r="C655" s="2" t="s">
        <v>282</v>
      </c>
      <c r="D655" s="12" t="s">
        <v>1524</v>
      </c>
      <c r="E655" s="12" t="s">
        <v>334</v>
      </c>
      <c r="F655" s="10" t="s">
        <v>343</v>
      </c>
      <c r="G655" s="10">
        <f>SUMIF(成品月初库存!$C$3:$C$362,$B655,成品月初库存!$F$3:$F$362)</f>
        <v>618</v>
      </c>
      <c r="H655" s="10">
        <f>SUMIF(成品入库明细!$D$2:$D$500,$B655,成品入库明细!$G$2:$G$500)</f>
        <v>0</v>
      </c>
      <c r="I655" s="10">
        <f>SUMIF(成品出库明细!$D$2:$D$1172,$B655,成品出库明细!$G$2:$G$1172)</f>
        <v>0</v>
      </c>
      <c r="J655" s="10">
        <f t="shared" si="13"/>
        <v>618</v>
      </c>
      <c r="K655" s="4" t="s">
        <v>709</v>
      </c>
    </row>
    <row r="656" customHeight="1" spans="2:15">
      <c r="B656" s="4" t="s">
        <v>283</v>
      </c>
      <c r="C656" s="2" t="s">
        <v>1536</v>
      </c>
      <c r="D656" s="2" t="s">
        <v>1537</v>
      </c>
      <c r="E656" s="12" t="s">
        <v>334</v>
      </c>
      <c r="F656" s="10" t="s">
        <v>343</v>
      </c>
      <c r="G656" s="10">
        <f>SUMIF(成品月初库存!$C$3:$C$362,$B656,成品月初库存!$F$3:$F$362)</f>
        <v>68</v>
      </c>
      <c r="H656" s="10">
        <f>SUMIF(成品入库明细!$D$2:$D$500,$B656,成品入库明细!$G$2:$G$500)</f>
        <v>0</v>
      </c>
      <c r="I656" s="10">
        <f>SUMIF(成品出库明细!$D$2:$D$1172,$B656,成品出库明细!$G$2:$G$1172)</f>
        <v>0</v>
      </c>
      <c r="J656" s="10">
        <f t="shared" si="13"/>
        <v>68</v>
      </c>
      <c r="K656" s="21" t="s">
        <v>344</v>
      </c>
    </row>
    <row r="657" customHeight="1" spans="5:10">
      <c r="E657" s="12" t="s">
        <v>334</v>
      </c>
      <c r="F657" s="10" t="s">
        <v>343</v>
      </c>
      <c r="G657" s="10">
        <f>SUMIF(成品月初库存!$C$3:$C$362,$B657,成品月初库存!$F$3:$F$362)</f>
        <v>0</v>
      </c>
      <c r="H657" s="10">
        <f>SUMIF(成品入库明细!$D$2:$D$500,$B657,成品入库明细!$G$2:$G$500)</f>
        <v>0</v>
      </c>
      <c r="I657" s="10">
        <f>SUMIF(成品出库明细!$D$2:$D$1172,$B657,成品出库明细!$G$2:$G$1172)</f>
        <v>0</v>
      </c>
      <c r="J657" s="10">
        <f t="shared" si="13"/>
        <v>0</v>
      </c>
    </row>
  </sheetData>
  <sortState ref="M1:M267">
    <sortCondition ref="M267"/>
  </sortState>
  <dataValidations count="2">
    <dataValidation type="list" allowBlank="1" showInputMessage="1" showErrorMessage="1" sqref="C513 D2:D12 D16:D150 D154:D559">
      <formula1>類別</formula1>
    </dataValidation>
    <dataValidation type="list" allowBlank="1" showInputMessage="1" showErrorMessage="1" sqref="F2:F227 F229:F657">
      <formula1>單位</formula1>
    </dataValidation>
  </dataValidations>
  <printOptions horizontalCentered="1"/>
  <pageMargins left="0.196527777777778" right="0.156944444444444" top="0.236111111111111" bottom="0.393055555555556" header="0.156944444444444" footer="0.298611111111111"/>
  <pageSetup paperSize="9" scale="80" orientation="portrait" horizontalDpi="600"/>
  <headerFooter/>
  <rowBreaks count="3" manualBreakCount="3">
    <brk id="266" max="10" man="1"/>
    <brk id="395" max="10" man="1"/>
    <brk id="649" max="16383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成品月初库存</vt:lpstr>
      <vt:lpstr>成品入库明细</vt:lpstr>
      <vt:lpstr>成品出库明细</vt:lpstr>
      <vt:lpstr>成品本月库存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柠.</cp:lastModifiedBy>
  <dcterms:created xsi:type="dcterms:W3CDTF">2008-09-11T17:22:00Z</dcterms:created>
  <dcterms:modified xsi:type="dcterms:W3CDTF">2026-07-10T02:41:21Z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KSOReadingLayout">
    <vt:bool>true</vt:bool>
  </property>
  <property fmtid="{D5CDD505-2E9C-101B-9397-08002B2CF9AE}" pid="4" name="KSORubyTemplateID" linkTarget="0">
    <vt:lpwstr>14</vt:lpwstr>
  </property>
  <property fmtid="{D5CDD505-2E9C-101B-9397-08002B2CF9AE}" pid="5" name="ICV">
    <vt:lpwstr>DD2214AF4CBE47ABA42EFC6E174D22C6_13</vt:lpwstr>
  </property>
  <property fmtid="{D5CDD505-2E9C-101B-9397-08002B2CF9AE}" pid="6" name="CalculationRule">
    <vt:i4>0</vt:i4>
  </property>
</Properties>
</file>