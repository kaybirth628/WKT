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75" activeTab="1"/>
  </bookViews>
  <sheets>
    <sheet name="铝价" sheetId="1" r:id="rId1"/>
    <sheet name="生产原材用料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<sst xmlns="http://schemas.openxmlformats.org/spreadsheetml/2006/main" count="67" uniqueCount="48">
  <si>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日期</t>
  </si>
  <si>
    <t>ADC12铝料
成交价</t>
  </si>
  <si>
    <t>ADC12铝料
(保太网站价）</t>
  </si>
  <si>
    <t>涨跌</t>
  </si>
  <si>
    <t>2026年7月10号排程用料明细</t>
  </si>
  <si>
    <t>序号</t>
  </si>
  <si>
    <t>客户</t>
  </si>
  <si>
    <t>品名</t>
  </si>
  <si>
    <t>排产数量</t>
  </si>
  <si>
    <t>单重含5%损耗g</t>
  </si>
  <si>
    <t>共用料kg</t>
  </si>
  <si>
    <t>备注</t>
  </si>
  <si>
    <t>朗信</t>
  </si>
  <si>
    <t>T93-20</t>
  </si>
  <si>
    <t>T93-32</t>
  </si>
  <si>
    <t>锐霸</t>
  </si>
  <si>
    <t>501A减速箱</t>
  </si>
  <si>
    <t>暂无单重</t>
  </si>
  <si>
    <t>501A固定支架</t>
  </si>
  <si>
    <t>T93-29</t>
  </si>
  <si>
    <t>810S头壳</t>
  </si>
  <si>
    <t>JK111-03</t>
  </si>
  <si>
    <t>JK111-04</t>
  </si>
  <si>
    <t>2108起子机含轴套</t>
  </si>
  <si>
    <t>大 沃</t>
  </si>
  <si>
    <t>W2803头壳</t>
  </si>
  <si>
    <t>W2801头壳</t>
  </si>
  <si>
    <t>W2802头壳</t>
  </si>
  <si>
    <t>W2805头壳</t>
  </si>
  <si>
    <t>W2806头壳</t>
  </si>
  <si>
    <t>W2808头壳</t>
  </si>
  <si>
    <t>826头壳</t>
  </si>
  <si>
    <t>金脉</t>
  </si>
  <si>
    <t>G2124</t>
  </si>
  <si>
    <t>810端盖</t>
  </si>
  <si>
    <t>凯泰</t>
  </si>
  <si>
    <t>36091001992R0A00</t>
  </si>
  <si>
    <t>501A持钩固定座</t>
  </si>
  <si>
    <t>T93-31</t>
  </si>
  <si>
    <t>晨兴德</t>
  </si>
  <si>
    <t>M1支架</t>
  </si>
  <si>
    <t>总计用料</t>
  </si>
  <si>
    <t>生产领料明细</t>
  </si>
  <si>
    <t>需领料（KG）</t>
  </si>
  <si>
    <t>截止7/9号领料</t>
  </si>
  <si>
    <t>生产待领铝料</t>
  </si>
  <si>
    <t>库存结余铝料</t>
  </si>
  <si>
    <t>库存结余铝料已包含生产待领铝料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</si>
</sst>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"/>
    <numFmt numFmtId="177" formatCode="0.00_ "/>
    <numFmt numFmtId="178" formatCode="00"/>
    <numFmt numFmtId="179" formatCode="0_ "/>
    <numFmt numFmtId="180" formatCode="yyyy/m/d;@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5" applyNumberFormat="0" applyAlignment="0" applyProtection="0">
      <alignment vertical="center"/>
    </xf>
    <xf numFmtId="0" fontId="12" fillId="8" borderId="16" applyNumberFormat="0" applyAlignment="0" applyProtection="0">
      <alignment vertical="center"/>
    </xf>
    <xf numFmtId="0" fontId="13" fillId="8" borderId="15" applyNumberFormat="0" applyAlignment="0" applyProtection="0">
      <alignment vertical="center"/>
    </xf>
    <xf numFmtId="0" fontId="14" fillId="9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 wrapText="1"/>
    </xf>
    <xf numFmtId="17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177" fontId="1" fillId="3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 wrapText="1"/>
    </xf>
    <xf numFmtId="58" fontId="1" fillId="0" borderId="7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4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center" vertical="center"/>
    </xf>
    <xf numFmtId="18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80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80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92D050"/>
      <color rgb="009BBB59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1"/>
              <a:t>铝合金</a:t>
            </a:r>
            <a:r>
              <a:rPr lang="en-US" altLang="zh-CN" b="1"/>
              <a:t>ADC12</a:t>
            </a:r>
            <a:r>
              <a:rPr altLang="en-US" b="1"/>
              <a:t>走势图</a:t>
            </a:r>
            <a:endParaRPr lang="en-US" altLang="zh-CN" b="1"/>
          </a:p>
        </c:rich>
      </c:tx>
      <c:layout>
        <c:manualLayout>
          <c:xMode val="edge"/>
          <c:yMode val="edge"/>
          <c:x val="0.151039434204886"/>
          <c:y val="0.02010723860589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16308229505595"/>
          <c:y val="0.0577948516466798"/>
          <c:w val="0.952208504801097"/>
          <c:h val="0.709948572441922"/>
        </c:manualLayout>
      </c:layout>
      <c:lineChart>
        <c:grouping val="standard"/>
        <c:varyColors val="0"/>
        <c:ser>
          <c:idx val="0"/>
          <c:order val="0"/>
          <c:tx>
            <c:strRef>
              <c:f>铝价!$A$2:$A$17</c:f>
              <c:strCache>
                <c:ptCount val="1"/>
                <c:pt idx="0">
                  <c:v>2026/6/22 2026/6/23 2026/6/24 2026/6/25 2026/6/26 2026/6/27 2026/6/28 2026/6/29 2026/6/30 2026/7/1 2026/7/2 2026/7/3 2026/7/4 2026/7/6 2026/7/7 2026/7/8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铝价!$A$2:$A$17</c:f>
              <c:numCache>
                <c:formatCode>yyyy/m/d;@</c:formatCode>
                <c:ptCount val="16"/>
                <c:pt idx="0" c:formatCode="yyyy/m/d;@">
                  <c:v>46195</c:v>
                </c:pt>
                <c:pt idx="1" c:formatCode="yyyy/m/d;@">
                  <c:v>46196</c:v>
                </c:pt>
                <c:pt idx="2" c:formatCode="yyyy/m/d;@">
                  <c:v>46197</c:v>
                </c:pt>
                <c:pt idx="3" c:formatCode="yyyy/m/d;@">
                  <c:v>46198</c:v>
                </c:pt>
                <c:pt idx="4" c:formatCode="yyyy/m/d;@">
                  <c:v>46199</c:v>
                </c:pt>
                <c:pt idx="5" c:formatCode="yyyy/m/d;@">
                  <c:v>46200</c:v>
                </c:pt>
                <c:pt idx="6" c:formatCode="yyyy/m/d;@">
                  <c:v>46201</c:v>
                </c:pt>
                <c:pt idx="7" c:formatCode="yyyy/m/d;@">
                  <c:v>46202</c:v>
                </c:pt>
                <c:pt idx="8" c:formatCode="yyyy/m/d;@">
                  <c:v>46203</c:v>
                </c:pt>
                <c:pt idx="9" c:formatCode="yyyy/m/d;@">
                  <c:v>46204</c:v>
                </c:pt>
                <c:pt idx="10" c:formatCode="yyyy/m/d;@">
                  <c:v>46205</c:v>
                </c:pt>
                <c:pt idx="11" c:formatCode="yyyy/m/d;@">
                  <c:v>46206</c:v>
                </c:pt>
                <c:pt idx="12" c:formatCode="yyyy/m/d;@">
                  <c:v>46207</c:v>
                </c:pt>
                <c:pt idx="13" c:formatCode="yyyy/m/d;@">
                  <c:v>46209</c:v>
                </c:pt>
                <c:pt idx="14" c:formatCode="yyyy/m/d;@">
                  <c:v>46210</c:v>
                </c:pt>
                <c:pt idx="15" c:formatCode="yyyy/m/d;@">
                  <c:v>46211</c:v>
                </c:pt>
              </c:numCache>
            </c:numRef>
          </c:cat>
          <c:val>
            <c:numRef>
              <c:f>铝价!$B$2:$B$17</c:f>
              <c:numCache>
                <c:formatCode>General</c:formatCode>
                <c:ptCount val="16"/>
                <c:pt idx="0">
                  <c:v>23600</c:v>
                </c:pt>
                <c:pt idx="1">
                  <c:v>23400</c:v>
                </c:pt>
                <c:pt idx="2">
                  <c:v>23400</c:v>
                </c:pt>
                <c:pt idx="3">
                  <c:v>23200</c:v>
                </c:pt>
                <c:pt idx="4">
                  <c:v>23400</c:v>
                </c:pt>
                <c:pt idx="5">
                  <c:v>23400</c:v>
                </c:pt>
                <c:pt idx="6">
                  <c:v>23400</c:v>
                </c:pt>
                <c:pt idx="7">
                  <c:v>23500</c:v>
                </c:pt>
                <c:pt idx="8">
                  <c:v>23300</c:v>
                </c:pt>
                <c:pt idx="9">
                  <c:v>23200</c:v>
                </c:pt>
                <c:pt idx="10">
                  <c:v>23200</c:v>
                </c:pt>
                <c:pt idx="11">
                  <c:v>23400</c:v>
                </c:pt>
                <c:pt idx="12">
                  <c:v>23300</c:v>
                </c:pt>
                <c:pt idx="13">
                  <c:v>23300</c:v>
                </c:pt>
                <c:pt idx="14">
                  <c:v>23300</c:v>
                </c:pt>
                <c:pt idx="15">
                  <c:v>23400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988160"/>
        <c:axId val="158989696"/>
      </c:lineChart>
      <c:dateAx>
        <c:axId val="158988160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989696"/>
        <c:crosses val="autoZero"/>
        <c:auto val="1"/>
        <c:lblOffset val="100"/>
        <c:baseTimeUnit val="days"/>
      </c:dateAx>
      <c:valAx>
        <c:axId val="15898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98816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uri="{0b15fc19-7d7d-44ad-8c2d-2c3a37ce22c3}">
        <chartProps xmlns="https://web.wps.cn/et/2018/main" chartId="{c5e180ca-4c4f-49d6-9b2e-a077ecc3bb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467995</xdr:colOff>
      <xdr:row>17</xdr:row>
      <xdr:rowOff>142875</xdr:rowOff>
    </xdr:from>
    <xdr:to>
      <xdr:col>3</xdr:col>
      <xdr:colOff>1364615</xdr:colOff>
      <xdr:row>31</xdr:row>
      <xdr:rowOff>104775</xdr:rowOff>
    </xdr:to>
    <xdr:graphicFrame>
      <xdr:nvGraphicFramePr>
        <xdr:cNvPr id="3" name="图表 2"/>
        <xdr:cNvGraphicFramePr/>
      </xdr:nvGraphicFramePr>
      <xdr:xfrm>
        <a:off x="467995" y="3228975"/>
        <a:ext cx="5925820" cy="236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pane ySplit="1" topLeftCell="A2" activePane="bottomLeft" state="frozen"/>
      <selection/>
      <selection pane="bottomLeft" activeCell="G22" sqref="G22"/>
    </sheetView>
  </sheetViews>
  <sheetFormatPr defaultColWidth="9" defaultRowHeight="13.5" outlineLevelCol="3"/>
  <cols>
    <col min="1" max="1" width="22" style="31" customWidth="1"/>
    <col min="2" max="3" width="22" style="32" customWidth="1"/>
    <col min="4" max="4" width="25.75" style="33" customWidth="1"/>
    <col min="5" max="16384" width="9" style="33"/>
  </cols>
  <sheetData>
    <row r="1" s="30" customFormat="1" ht="27" spans="1:4">
      <c r="A1" s="34" t="s">
        <v>0</v>
      </c>
      <c r="B1" s="35" t="s">
        <v>1</v>
      </c>
      <c r="C1" s="35" t="s">
        <v>2</v>
      </c>
      <c r="D1" s="36" t="s">
        <v>3</v>
      </c>
    </row>
    <row r="2" spans="1:4">
      <c r="A2" s="37">
        <v>46195</v>
      </c>
      <c r="B2" s="38">
        <v>23600</v>
      </c>
      <c r="C2" s="38">
        <v>23600</v>
      </c>
      <c r="D2" s="38">
        <v>0</v>
      </c>
    </row>
    <row r="3" spans="1:4">
      <c r="A3" s="37">
        <v>46196</v>
      </c>
      <c r="B3" s="38">
        <v>23400</v>
      </c>
      <c r="C3" s="38">
        <v>23400</v>
      </c>
      <c r="D3" s="38">
        <f t="shared" ref="D2:D17" si="0">C3-C2</f>
        <v>-200</v>
      </c>
    </row>
    <row r="4" spans="1:4">
      <c r="A4" s="37">
        <v>46197</v>
      </c>
      <c r="B4" s="38">
        <v>23400</v>
      </c>
      <c r="C4" s="38">
        <v>23400</v>
      </c>
      <c r="D4" s="38">
        <f t="shared" si="0"/>
        <v>0</v>
      </c>
    </row>
    <row r="5" spans="1:4">
      <c r="A5" s="37">
        <v>46198</v>
      </c>
      <c r="B5" s="38">
        <v>23200</v>
      </c>
      <c r="C5" s="38">
        <v>23200</v>
      </c>
      <c r="D5" s="38">
        <f t="shared" si="0"/>
        <v>-200</v>
      </c>
    </row>
    <row r="6" spans="1:4">
      <c r="A6" s="37">
        <v>46199</v>
      </c>
      <c r="B6" s="38">
        <v>23400</v>
      </c>
      <c r="C6" s="38">
        <v>23400</v>
      </c>
      <c r="D6" s="38">
        <f t="shared" si="0"/>
        <v>200</v>
      </c>
    </row>
    <row r="7" spans="1:4">
      <c r="A7" s="37">
        <v>46200</v>
      </c>
      <c r="B7" s="38">
        <v>23400</v>
      </c>
      <c r="C7" s="38">
        <v>23400</v>
      </c>
      <c r="D7" s="38">
        <f t="shared" si="0"/>
        <v>0</v>
      </c>
    </row>
    <row r="8" spans="1:4">
      <c r="A8" s="37">
        <v>46201</v>
      </c>
      <c r="B8" s="38">
        <v>23400</v>
      </c>
      <c r="C8" s="38">
        <v>23400</v>
      </c>
      <c r="D8" s="38">
        <f t="shared" si="0"/>
        <v>0</v>
      </c>
    </row>
    <row r="9" spans="1:4">
      <c r="A9" s="37">
        <v>46202</v>
      </c>
      <c r="B9" s="38">
        <v>23500</v>
      </c>
      <c r="C9" s="38">
        <v>23500</v>
      </c>
      <c r="D9" s="38">
        <f t="shared" si="0"/>
        <v>100</v>
      </c>
    </row>
    <row r="10" spans="1:4">
      <c r="A10" s="37">
        <v>46203</v>
      </c>
      <c r="B10" s="38">
        <v>23300</v>
      </c>
      <c r="C10" s="38">
        <v>23300</v>
      </c>
      <c r="D10" s="38">
        <f t="shared" si="0"/>
        <v>-200</v>
      </c>
    </row>
    <row r="11" spans="1:4">
      <c r="A11" s="37">
        <v>46204</v>
      </c>
      <c r="B11" s="38">
        <v>23200</v>
      </c>
      <c r="C11" s="38">
        <v>23200</v>
      </c>
      <c r="D11" s="38">
        <f t="shared" si="0"/>
        <v>-100</v>
      </c>
    </row>
    <row r="12" spans="1:4">
      <c r="A12" s="37">
        <v>46205</v>
      </c>
      <c r="B12" s="38">
        <v>23200</v>
      </c>
      <c r="C12" s="38">
        <v>23200</v>
      </c>
      <c r="D12" s="38">
        <f t="shared" si="0"/>
        <v>0</v>
      </c>
    </row>
    <row r="13" spans="1:4">
      <c r="A13" s="37">
        <v>46206</v>
      </c>
      <c r="B13" s="38">
        <v>23400</v>
      </c>
      <c r="C13" s="38">
        <v>23400</v>
      </c>
      <c r="D13" s="38">
        <f t="shared" si="0"/>
        <v>200</v>
      </c>
    </row>
    <row r="14" spans="1:4">
      <c r="A14" s="37">
        <v>46207</v>
      </c>
      <c r="B14" s="38">
        <v>23300</v>
      </c>
      <c r="C14" s="38">
        <v>23300</v>
      </c>
      <c r="D14" s="38">
        <f t="shared" si="0"/>
        <v>-100</v>
      </c>
    </row>
    <row r="15" spans="1:4">
      <c r="A15" s="37">
        <v>46209</v>
      </c>
      <c r="B15" s="38">
        <v>23300</v>
      </c>
      <c r="C15" s="38">
        <v>23300</v>
      </c>
      <c r="D15" s="38">
        <f t="shared" si="0"/>
        <v>0</v>
      </c>
    </row>
    <row r="16" spans="1:4">
      <c r="A16" s="37">
        <v>46210</v>
      </c>
      <c r="B16" s="38">
        <v>23300</v>
      </c>
      <c r="C16" s="38">
        <v>23300</v>
      </c>
      <c r="D16" s="38">
        <f t="shared" si="0"/>
        <v>0</v>
      </c>
    </row>
    <row r="17" spans="1:4">
      <c r="A17" s="37">
        <v>46211</v>
      </c>
      <c r="B17" s="38">
        <v>23400</v>
      </c>
      <c r="C17" s="38">
        <v>23400</v>
      </c>
      <c r="D17" s="38">
        <f t="shared" si="0"/>
        <v>100</v>
      </c>
    </row>
    <row r="18" spans="1:4">
      <c r="A18" s="39"/>
      <c r="B18" s="40"/>
      <c r="C18" s="40"/>
      <c r="D18" s="40"/>
    </row>
    <row r="19" spans="1:4">
      <c r="A19" s="39"/>
      <c r="B19" s="40"/>
      <c r="C19" s="40"/>
      <c r="D19" s="40"/>
    </row>
    <row r="20" spans="1:4">
      <c r="A20" s="39"/>
      <c r="B20" s="40"/>
      <c r="C20" s="40"/>
      <c r="D20" s="40"/>
    </row>
    <row r="21" spans="1:4">
      <c r="A21" s="39"/>
      <c r="B21" s="40"/>
      <c r="C21" s="40"/>
      <c r="D21" s="40"/>
    </row>
    <row r="22" spans="1:4">
      <c r="A22" s="39"/>
      <c r="B22" s="40"/>
      <c r="C22" s="40"/>
      <c r="D22" s="40"/>
    </row>
    <row r="23" spans="1:4">
      <c r="A23" s="39"/>
      <c r="B23" s="40"/>
      <c r="C23" s="40"/>
      <c r="D23" s="40"/>
    </row>
    <row r="24" spans="1:4">
      <c r="A24" s="39"/>
      <c r="B24" s="40"/>
      <c r="C24" s="40"/>
      <c r="D24" s="40"/>
    </row>
    <row r="25" spans="1:4">
      <c r="A25" s="39"/>
      <c r="B25" s="40"/>
      <c r="C25" s="40"/>
      <c r="D25" s="40"/>
    </row>
    <row r="26" spans="1:4">
      <c r="A26" s="39"/>
      <c r="B26" s="40"/>
      <c r="C26" s="40"/>
      <c r="D26" s="40"/>
    </row>
    <row r="27" spans="1:4">
      <c r="A27" s="41"/>
      <c r="B27" s="42"/>
      <c r="C27" s="42"/>
      <c r="D27" s="42"/>
    </row>
    <row r="28" spans="1:4">
      <c r="A28" s="41"/>
      <c r="B28" s="42"/>
      <c r="C28" s="42"/>
      <c r="D28" s="42"/>
    </row>
    <row r="29" spans="1:4">
      <c r="A29" s="41"/>
      <c r="B29" s="42"/>
      <c r="C29" s="42"/>
      <c r="D29" s="42"/>
    </row>
    <row r="30" spans="1:4">
      <c r="A30" s="39"/>
      <c r="B30" s="40"/>
      <c r="C30" s="40"/>
      <c r="D30" s="40"/>
    </row>
    <row r="31" spans="1:4">
      <c r="A31" s="39"/>
      <c r="B31" s="40"/>
      <c r="C31" s="40"/>
      <c r="D31" s="40"/>
    </row>
    <row r="32" spans="1:4">
      <c r="A32" s="39"/>
      <c r="B32" s="40"/>
      <c r="C32" s="40"/>
      <c r="D32" s="40"/>
    </row>
    <row r="33" spans="1:4">
      <c r="A33" s="39"/>
      <c r="B33" s="40"/>
      <c r="C33" s="40"/>
      <c r="D33" s="40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2"/>
  <sheetViews>
    <sheetView tabSelected="1" topLeftCell="A7" workbookViewId="0">
      <selection activeCell="D29" sqref="D29"/>
    </sheetView>
  </sheetViews>
  <sheetFormatPr defaultColWidth="9" defaultRowHeight="22" customHeight="1" outlineLevelCol="7"/>
  <cols>
    <col min="1" max="1" width="14.125" style="2" customWidth="1"/>
    <col min="2" max="2" width="10.25" style="1" customWidth="1"/>
    <col min="3" max="3" width="20.25" style="1" customWidth="1"/>
    <col min="4" max="4" width="10.125" style="1" customWidth="1"/>
    <col min="5" max="5" width="17.625" style="1" customWidth="1"/>
    <col min="6" max="6" width="12.5" style="1" customWidth="1"/>
    <col min="7" max="7" width="12.625" style="1" customWidth="1"/>
    <col min="8" max="8" width="9" style="1"/>
    <col min="9" max="9" width="10.375" style="1"/>
    <col min="10" max="16384" width="9" style="1"/>
  </cols>
  <sheetData>
    <row r="1" s="1" customFormat="1" customHeight="1" spans="1:7">
      <c r="A1" s="2" t="s">
        <v>4</v>
      </c>
      <c r="B1" s="2"/>
      <c r="C1" s="2"/>
      <c r="D1" s="2"/>
      <c r="E1" s="2"/>
      <c r="F1" s="2"/>
      <c r="G1" s="2"/>
    </row>
    <row r="2" s="1" customFormat="1" ht="29" customHeight="1" spans="1:7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 t="s">
        <v>11</v>
      </c>
    </row>
    <row r="3" s="1" customFormat="1" customHeight="1" spans="1:7">
      <c r="A3" s="3">
        <v>1</v>
      </c>
      <c r="B3" s="3" t="s">
        <v>12</v>
      </c>
      <c r="C3" s="5" t="s">
        <v>13</v>
      </c>
      <c r="D3" s="5">
        <v>60000</v>
      </c>
      <c r="E3" s="6">
        <f>29*1.05</f>
        <v>30.45</v>
      </c>
      <c r="F3" s="6">
        <f>D3*E3/1000</f>
        <v>1827</v>
      </c>
      <c r="G3" s="6"/>
    </row>
    <row r="4" s="1" customFormat="1" customHeight="1" spans="1:7">
      <c r="A4" s="3">
        <v>2</v>
      </c>
      <c r="B4" s="3" t="s">
        <v>12</v>
      </c>
      <c r="C4" s="5" t="s">
        <v>14</v>
      </c>
      <c r="D4" s="5">
        <v>4000</v>
      </c>
      <c r="E4" s="6">
        <f>50*1.05</f>
        <v>52.5</v>
      </c>
      <c r="F4" s="6">
        <f t="shared" ref="F4:F9" si="0">D4*E4/1000</f>
        <v>210</v>
      </c>
      <c r="G4" s="6"/>
    </row>
    <row r="5" s="1" customFormat="1" customHeight="1" spans="1:7">
      <c r="A5" s="3">
        <v>3</v>
      </c>
      <c r="B5" s="3" t="s">
        <v>15</v>
      </c>
      <c r="C5" s="5" t="s">
        <v>16</v>
      </c>
      <c r="D5" s="7">
        <v>65</v>
      </c>
      <c r="E5" s="6"/>
      <c r="F5" s="6">
        <f t="shared" si="0"/>
        <v>0</v>
      </c>
      <c r="G5" s="6" t="s">
        <v>17</v>
      </c>
    </row>
    <row r="6" s="1" customFormat="1" customHeight="1" spans="1:7">
      <c r="A6" s="3">
        <v>4</v>
      </c>
      <c r="B6" s="3" t="s">
        <v>15</v>
      </c>
      <c r="C6" s="5" t="s">
        <v>18</v>
      </c>
      <c r="D6" s="7">
        <v>65</v>
      </c>
      <c r="E6" s="6"/>
      <c r="F6" s="6">
        <f t="shared" si="0"/>
        <v>0</v>
      </c>
      <c r="G6" s="6" t="s">
        <v>17</v>
      </c>
    </row>
    <row r="7" s="1" customFormat="1" customHeight="1" spans="1:7">
      <c r="A7" s="3">
        <v>5</v>
      </c>
      <c r="B7" s="3" t="s">
        <v>12</v>
      </c>
      <c r="C7" s="5" t="s">
        <v>19</v>
      </c>
      <c r="D7" s="3">
        <v>10600</v>
      </c>
      <c r="E7" s="3">
        <f>202*1.05</f>
        <v>212.1</v>
      </c>
      <c r="F7" s="6">
        <f t="shared" si="0"/>
        <v>2248.26</v>
      </c>
      <c r="G7" s="6"/>
    </row>
    <row r="8" s="1" customFormat="1" ht="29" customHeight="1" spans="1:7">
      <c r="A8" s="3">
        <v>6</v>
      </c>
      <c r="B8" s="3" t="s">
        <v>15</v>
      </c>
      <c r="C8" s="3" t="s">
        <v>20</v>
      </c>
      <c r="D8" s="5">
        <v>10000</v>
      </c>
      <c r="E8" s="6">
        <f>211.95*1.05</f>
        <v>222.5475</v>
      </c>
      <c r="F8" s="6">
        <f t="shared" si="0"/>
        <v>2225.475</v>
      </c>
      <c r="G8" s="6"/>
    </row>
    <row r="9" s="1" customFormat="1" ht="29" customHeight="1" spans="1:7">
      <c r="A9" s="3">
        <v>7</v>
      </c>
      <c r="B9" s="3" t="s">
        <v>12</v>
      </c>
      <c r="C9" s="5" t="s">
        <v>21</v>
      </c>
      <c r="D9" s="5">
        <v>7000</v>
      </c>
      <c r="E9" s="6">
        <f>267*1.05</f>
        <v>280.35</v>
      </c>
      <c r="F9" s="6">
        <f t="shared" si="0"/>
        <v>1962.45</v>
      </c>
      <c r="G9" s="6"/>
    </row>
    <row r="10" s="1" customFormat="1" ht="29" customHeight="1" spans="1:7">
      <c r="A10" s="3">
        <v>8</v>
      </c>
      <c r="B10" s="3" t="s">
        <v>12</v>
      </c>
      <c r="C10" s="5" t="s">
        <v>22</v>
      </c>
      <c r="D10" s="8">
        <v>7000</v>
      </c>
      <c r="E10" s="6">
        <f>267*1.05</f>
        <v>280.35</v>
      </c>
      <c r="F10" s="6">
        <f>D10*E10/1000</f>
        <v>1962.45</v>
      </c>
      <c r="G10" s="6"/>
    </row>
    <row r="11" s="1" customFormat="1" ht="29" customHeight="1" spans="1:7">
      <c r="A11" s="3">
        <v>9</v>
      </c>
      <c r="B11" s="3" t="s">
        <v>15</v>
      </c>
      <c r="C11" s="5" t="s">
        <v>23</v>
      </c>
      <c r="D11" s="8">
        <v>5000</v>
      </c>
      <c r="E11" s="6">
        <f>92.96*1.05</f>
        <v>97.608</v>
      </c>
      <c r="F11" s="6">
        <f>D11*E11/1000</f>
        <v>488.04</v>
      </c>
      <c r="G11" s="6"/>
    </row>
    <row r="12" s="1" customFormat="1" ht="29" customHeight="1" spans="1:7">
      <c r="A12" s="3">
        <v>10</v>
      </c>
      <c r="B12" s="3" t="s">
        <v>24</v>
      </c>
      <c r="C12" s="5" t="s">
        <v>25</v>
      </c>
      <c r="D12" s="8">
        <v>1200</v>
      </c>
      <c r="E12" s="6">
        <f>179.2*1.05</f>
        <v>188.16</v>
      </c>
      <c r="F12" s="6">
        <f t="shared" ref="F12:F19" si="1">D12*E12/1000</f>
        <v>225.792</v>
      </c>
      <c r="G12" s="6"/>
    </row>
    <row r="13" s="1" customFormat="1" ht="29" customHeight="1" spans="1:7">
      <c r="A13" s="3">
        <v>11</v>
      </c>
      <c r="B13" s="3" t="s">
        <v>24</v>
      </c>
      <c r="C13" s="5" t="s">
        <v>26</v>
      </c>
      <c r="D13" s="8">
        <v>2700</v>
      </c>
      <c r="E13" s="6">
        <f>115.2*1.05</f>
        <v>120.96</v>
      </c>
      <c r="F13" s="6">
        <f t="shared" si="1"/>
        <v>326.592</v>
      </c>
      <c r="G13" s="6"/>
    </row>
    <row r="14" s="1" customFormat="1" ht="29" customHeight="1" spans="1:7">
      <c r="A14" s="3">
        <v>12</v>
      </c>
      <c r="B14" s="3" t="s">
        <v>24</v>
      </c>
      <c r="C14" s="5" t="s">
        <v>27</v>
      </c>
      <c r="D14" s="8">
        <v>1100</v>
      </c>
      <c r="E14" s="6">
        <f>123.6*1.05</f>
        <v>129.78</v>
      </c>
      <c r="F14" s="6">
        <f t="shared" si="1"/>
        <v>142.758</v>
      </c>
      <c r="G14" s="6"/>
    </row>
    <row r="15" s="1" customFormat="1" ht="29" customHeight="1" spans="1:7">
      <c r="A15" s="3">
        <v>13</v>
      </c>
      <c r="B15" s="3" t="s">
        <v>24</v>
      </c>
      <c r="C15" s="5" t="s">
        <v>28</v>
      </c>
      <c r="D15" s="8">
        <v>2100</v>
      </c>
      <c r="E15" s="6">
        <f>209.8*1.05</f>
        <v>220.29</v>
      </c>
      <c r="F15" s="6">
        <f t="shared" si="1"/>
        <v>462.609</v>
      </c>
      <c r="G15" s="6"/>
    </row>
    <row r="16" s="1" customFormat="1" ht="29" customHeight="1" spans="1:7">
      <c r="A16" s="3">
        <v>14</v>
      </c>
      <c r="B16" s="3" t="s">
        <v>24</v>
      </c>
      <c r="C16" s="5" t="s">
        <v>29</v>
      </c>
      <c r="D16" s="8">
        <v>1000</v>
      </c>
      <c r="E16" s="6">
        <f>332*1.05</f>
        <v>348.6</v>
      </c>
      <c r="F16" s="6">
        <f t="shared" si="1"/>
        <v>348.6</v>
      </c>
      <c r="G16" s="6"/>
    </row>
    <row r="17" s="1" customFormat="1" ht="29" customHeight="1" spans="1:8">
      <c r="A17" s="3">
        <v>15</v>
      </c>
      <c r="B17" s="3" t="s">
        <v>24</v>
      </c>
      <c r="C17" s="5" t="s">
        <v>30</v>
      </c>
      <c r="D17" s="8">
        <v>540</v>
      </c>
      <c r="E17" s="6">
        <f>382.1*1.05</f>
        <v>401.205</v>
      </c>
      <c r="F17" s="6">
        <f t="shared" si="1"/>
        <v>216.6507</v>
      </c>
      <c r="G17" s="6"/>
    </row>
    <row r="18" s="1" customFormat="1" ht="29" customHeight="1" spans="1:8">
      <c r="A18" s="3">
        <v>16</v>
      </c>
      <c r="B18" s="3" t="s">
        <v>24</v>
      </c>
      <c r="C18" s="5" t="s">
        <v>31</v>
      </c>
      <c r="D18" s="8">
        <v>1600</v>
      </c>
      <c r="E18" s="6">
        <f>392.4*1.05</f>
        <v>412.02</v>
      </c>
      <c r="F18" s="6">
        <f t="shared" si="1"/>
        <v>659.232</v>
      </c>
      <c r="G18" s="6"/>
    </row>
    <row r="19" s="1" customFormat="1" ht="29" customHeight="1" spans="1:8">
      <c r="A19" s="3">
        <v>17</v>
      </c>
      <c r="B19" s="3" t="s">
        <v>32</v>
      </c>
      <c r="C19" s="5" t="s">
        <v>33</v>
      </c>
      <c r="D19" s="8">
        <v>4000</v>
      </c>
      <c r="E19" s="6">
        <f>154*1.05</f>
        <v>161.7</v>
      </c>
      <c r="F19" s="6">
        <f t="shared" si="1"/>
        <v>646.8</v>
      </c>
      <c r="G19" s="6"/>
    </row>
    <row r="20" s="1" customFormat="1" customHeight="1" spans="1:8">
      <c r="A20" s="3">
        <v>18</v>
      </c>
      <c r="B20" s="3" t="s">
        <v>15</v>
      </c>
      <c r="C20" s="9" t="s">
        <v>34</v>
      </c>
      <c r="D20" s="10">
        <v>10000</v>
      </c>
      <c r="E20" s="6">
        <f>87*1.05</f>
        <v>91.35</v>
      </c>
      <c r="F20" s="6">
        <f>D20*E20/1000</f>
        <v>913.5</v>
      </c>
      <c r="G20" s="6"/>
    </row>
    <row r="21" s="1" customFormat="1" customHeight="1" spans="1:8">
      <c r="A21" s="3">
        <v>19</v>
      </c>
      <c r="B21" s="3" t="s">
        <v>35</v>
      </c>
      <c r="C21" s="9" t="s">
        <v>36</v>
      </c>
      <c r="D21" s="10">
        <v>3200</v>
      </c>
      <c r="E21" s="6">
        <f>24*1.05</f>
        <v>25.2</v>
      </c>
      <c r="F21" s="6">
        <f>D21*E21/1000</f>
        <v>80.64</v>
      </c>
      <c r="G21" s="6"/>
    </row>
    <row r="22" s="1" customFormat="1" customHeight="1" spans="1:8">
      <c r="A22" s="3">
        <v>20</v>
      </c>
      <c r="B22" s="3" t="s">
        <v>15</v>
      </c>
      <c r="C22" s="9" t="s">
        <v>37</v>
      </c>
      <c r="D22" s="10">
        <v>60</v>
      </c>
      <c r="E22" s="6"/>
      <c r="F22" s="6">
        <f>D22*E22/1000</f>
        <v>0</v>
      </c>
      <c r="G22" s="6" t="s">
        <v>17</v>
      </c>
    </row>
    <row r="23" s="1" customFormat="1" customHeight="1" spans="1:8">
      <c r="A23" s="3">
        <v>21</v>
      </c>
      <c r="B23" s="3" t="s">
        <v>12</v>
      </c>
      <c r="C23" s="9" t="s">
        <v>38</v>
      </c>
      <c r="D23" s="10">
        <v>6000</v>
      </c>
      <c r="E23" s="6">
        <f>33*1.05</f>
        <v>34.65</v>
      </c>
      <c r="F23" s="6">
        <f>D23*E23/1000</f>
        <v>207.9</v>
      </c>
      <c r="G23" s="6"/>
    </row>
    <row r="24" s="1" customFormat="1" customHeight="1" spans="1:8">
      <c r="A24" s="3">
        <v>22</v>
      </c>
      <c r="B24" s="3" t="s">
        <v>39</v>
      </c>
      <c r="C24" s="3" t="s">
        <v>40</v>
      </c>
      <c r="D24" s="9">
        <v>11000</v>
      </c>
      <c r="E24" s="6">
        <f>116*1.05</f>
        <v>121.8</v>
      </c>
      <c r="F24" s="6">
        <f>D24*E24/1000</f>
        <v>1339.8</v>
      </c>
      <c r="G24" s="6"/>
    </row>
    <row r="25" s="1" customFormat="1" customHeight="1" spans="1:8">
      <c r="A25" s="11"/>
      <c r="B25" s="12"/>
      <c r="C25" s="12"/>
      <c r="D25" s="12"/>
      <c r="E25" s="13" t="s">
        <v>41</v>
      </c>
      <c r="F25" s="14">
        <f>SUM(F3:F24)</f>
        <v>16494.5487</v>
      </c>
      <c r="G25" s="15"/>
    </row>
    <row r="26" s="1" customFormat="1" customHeight="1" spans="1:8">
      <c r="A26" s="2"/>
    </row>
    <row r="27" s="1" customFormat="1" customHeight="1" spans="1:8">
      <c r="A27" s="16" t="s">
        <v>42</v>
      </c>
      <c r="B27" s="16"/>
      <c r="C27" s="16"/>
      <c r="D27" s="16"/>
      <c r="E27" s="17"/>
      <c r="H27" s="1">
        <v>131.04</v>
      </c>
    </row>
    <row r="28" s="1" customFormat="1" ht="39" customHeight="1" spans="1:8">
      <c r="A28" s="18" t="s">
        <v>43</v>
      </c>
      <c r="B28" s="19" t="s">
        <v>44</v>
      </c>
      <c r="C28" s="20" t="s">
        <v>45</v>
      </c>
      <c r="D28" s="20" t="s">
        <v>46</v>
      </c>
      <c r="E28" s="21" t="s">
        <v>11</v>
      </c>
    </row>
    <row r="29" s="1" customFormat="1" ht="33" customHeight="1" spans="1:8">
      <c r="A29" s="22">
        <f>F25</f>
        <v>16494.5487</v>
      </c>
      <c r="B29" s="15">
        <f>-10514.83-2481</f>
        <v>-12995.83</v>
      </c>
      <c r="C29" s="6">
        <f>SUM(A29:B29)</f>
        <v>3498.7187</v>
      </c>
      <c r="D29" s="23">
        <f>8294.5-2481</f>
        <v>5813.5</v>
      </c>
      <c r="E29" s="24" t="s">
        <v>47</v>
      </c>
    </row>
    <row r="30" s="1" customFormat="1" customHeight="1" spans="1:8">
      <c r="A30" s="3"/>
      <c r="B30" s="25"/>
      <c r="C30" s="25"/>
      <c r="D30" s="26"/>
      <c r="E30" s="27"/>
    </row>
    <row r="31" s="1" customFormat="1" customHeight="1" spans="1:8">
      <c r="A31" s="3"/>
      <c r="B31" s="25"/>
      <c r="C31" s="25"/>
      <c r="D31" s="26"/>
      <c r="E31" s="27"/>
    </row>
    <row r="32" s="1" customFormat="1" customHeight="1" spans="1:8">
      <c r="A32" s="3"/>
      <c r="B32" s="25"/>
      <c r="C32" s="25"/>
      <c r="D32" s="26"/>
      <c r="E32" s="27"/>
    </row>
    <row r="33" s="1" customFormat="1" customHeight="1" spans="1:5">
      <c r="A33" s="11"/>
      <c r="B33" s="12"/>
      <c r="C33" s="12"/>
      <c r="D33" s="28"/>
      <c r="E33" s="29"/>
    </row>
    <row r="34" s="1" customFormat="1" customHeight="1" spans="1:5">
      <c r="A34" s="2"/>
    </row>
    <row r="35" s="1" customFormat="1" customHeight="1" spans="1:5">
      <c r="A35" s="2"/>
    </row>
    <row r="36" s="1" customFormat="1" customHeight="1" spans="1:5">
      <c r="A36" s="2"/>
    </row>
    <row r="37" s="1" customFormat="1" customHeight="1" spans="1:5">
      <c r="A37" s="2"/>
    </row>
    <row r="38" s="1" customFormat="1" customHeight="1" spans="1:5">
      <c r="A38" s="2"/>
    </row>
    <row r="39" s="1" customFormat="1" customHeight="1" spans="1:5">
      <c r="A39" s="2"/>
    </row>
    <row r="40" s="1" customFormat="1" customHeight="1" spans="1:5">
      <c r="A40" s="2"/>
    </row>
    <row r="41" s="1" customFormat="1" customHeight="1" spans="1:5">
      <c r="A41" s="2"/>
    </row>
    <row r="42" s="1" customFormat="1" customHeight="1" spans="1:5">
      <c r="A42" s="2"/>
    </row>
    <row r="43" s="1" customFormat="1" customHeight="1" spans="1:5">
      <c r="A43" s="2"/>
    </row>
    <row r="44" s="1" customFormat="1" customHeight="1" spans="1:5">
      <c r="A44" s="2"/>
    </row>
    <row r="45" s="1" customFormat="1" customHeight="1" spans="1:5">
      <c r="A45" s="2"/>
    </row>
    <row r="46" s="1" customFormat="1" customHeight="1" spans="1:5">
      <c r="A46" s="2"/>
    </row>
    <row r="47" s="1" customFormat="1" customHeight="1" spans="1:5">
      <c r="A47" s="2"/>
    </row>
    <row r="48" s="1" customFormat="1" customHeight="1" spans="1:5">
      <c r="A48" s="2"/>
    </row>
    <row r="49" s="1" customFormat="1" customHeight="1" spans="1:1">
      <c r="A49" s="2"/>
    </row>
    <row r="50" s="1" customFormat="1" customHeight="1" spans="1:1">
      <c r="A50" s="2"/>
    </row>
    <row r="51" s="1" customFormat="1" customHeight="1" spans="1:1">
      <c r="A51" s="2"/>
    </row>
    <row r="52" s="1" customFormat="1" customHeight="1" spans="1:1">
      <c r="A52" s="2"/>
    </row>
    <row r="53" s="1" customFormat="1" customHeight="1" spans="1:1">
      <c r="A53" s="2"/>
    </row>
    <row r="54" s="1" customFormat="1" customHeight="1" spans="1:1">
      <c r="A54" s="2"/>
    </row>
    <row r="55" s="1" customFormat="1" customHeight="1" spans="1:1">
      <c r="A55" s="2"/>
    </row>
    <row r="56" s="1" customFormat="1" customHeight="1" spans="1:1">
      <c r="A56" s="2"/>
    </row>
    <row r="57" s="1" customFormat="1" customHeight="1" spans="1:1">
      <c r="A57" s="2"/>
    </row>
    <row r="58" s="1" customFormat="1" customHeight="1" spans="1:1">
      <c r="A58" s="2"/>
    </row>
    <row r="59" s="1" customFormat="1" customHeight="1" spans="1:1">
      <c r="A59" s="2"/>
    </row>
    <row r="60" s="1" customFormat="1" customHeight="1" spans="1:1">
      <c r="A60" s="2"/>
    </row>
    <row r="61" s="1" customFormat="1" customHeight="1" spans="1:1">
      <c r="A61" s="2"/>
    </row>
    <row r="62" s="1" customFormat="1" customHeight="1" spans="1:1">
      <c r="A62" s="2"/>
    </row>
    <row r="63" s="1" customFormat="1" customHeight="1" spans="1:1">
      <c r="A63" s="2"/>
    </row>
    <row r="64" s="1" customFormat="1" customHeight="1" spans="1:1">
      <c r="A64" s="2"/>
    </row>
    <row r="65" s="1" customFormat="1" customHeight="1" spans="1:1">
      <c r="A65" s="2"/>
    </row>
    <row r="66" s="1" customFormat="1" customHeight="1" spans="1:1">
      <c r="A66" s="2"/>
    </row>
    <row r="67" s="1" customFormat="1" customHeight="1" spans="1:1">
      <c r="A67" s="2"/>
    </row>
    <row r="68" s="1" customFormat="1" customHeight="1" spans="1:1">
      <c r="A68" s="2"/>
    </row>
    <row r="69" s="1" customFormat="1" customHeight="1" spans="1:1">
      <c r="A69" s="2"/>
    </row>
    <row r="70" s="1" customFormat="1" customHeight="1" spans="1:1">
      <c r="A70" s="2"/>
    </row>
    <row r="71" s="1" customFormat="1" customHeight="1" spans="1:1">
      <c r="A71" s="2"/>
    </row>
    <row r="72" s="1" customFormat="1" customHeight="1" spans="1:1">
      <c r="A72" s="2"/>
    </row>
    <row r="73" s="1" customFormat="1" customHeight="1" spans="1:1">
      <c r="A73" s="2"/>
    </row>
    <row r="74" s="1" customFormat="1" customHeight="1" spans="1:1">
      <c r="A74" s="2"/>
    </row>
    <row r="75" s="1" customFormat="1" customHeight="1" spans="1:1">
      <c r="A75" s="2"/>
    </row>
    <row r="76" s="1" customFormat="1" customHeight="1" spans="1:1">
      <c r="A76" s="2"/>
    </row>
    <row r="77" s="1" customFormat="1" customHeight="1" spans="1:1">
      <c r="A77" s="2"/>
    </row>
    <row r="78" s="1" customFormat="1" customHeight="1" spans="1:1">
      <c r="A78" s="2"/>
    </row>
    <row r="79" s="1" customFormat="1" customHeight="1" spans="1:1">
      <c r="A79" s="2"/>
    </row>
    <row r="80" s="1" customFormat="1" customHeight="1" spans="1:1">
      <c r="A80" s="2"/>
    </row>
    <row r="81" s="1" customFormat="1" customHeight="1" spans="1:1">
      <c r="A81" s="2"/>
    </row>
    <row r="82" s="1" customFormat="1" customHeight="1" spans="1:1">
      <c r="A82" s="2"/>
    </row>
    <row r="83" s="1" customFormat="1" customHeight="1" spans="1:1">
      <c r="A83" s="2"/>
    </row>
    <row r="84" s="1" customFormat="1" customHeight="1" spans="1:1">
      <c r="A84" s="2"/>
    </row>
    <row r="85" s="1" customFormat="1" customHeight="1" spans="1:1">
      <c r="A85" s="2"/>
    </row>
    <row r="86" s="1" customFormat="1" customHeight="1" spans="1:1">
      <c r="A86" s="2"/>
    </row>
    <row r="87" s="1" customFormat="1" customHeight="1" spans="1:1">
      <c r="A87" s="2"/>
    </row>
    <row r="88" s="1" customFormat="1" customHeight="1" spans="1:1">
      <c r="A88" s="2"/>
    </row>
    <row r="89" s="1" customFormat="1" customHeight="1" spans="1:1">
      <c r="A89" s="2"/>
    </row>
    <row r="90" s="1" customFormat="1" customHeight="1" spans="1:1">
      <c r="A90" s="2"/>
    </row>
    <row r="91" s="1" customFormat="1" customHeight="1" spans="1:1">
      <c r="A91" s="2"/>
    </row>
    <row r="92" s="1" customFormat="1" customHeight="1" spans="1:1">
      <c r="A92" s="2"/>
    </row>
    <row r="93" s="1" customFormat="1" customHeight="1" spans="1:1">
      <c r="A93" s="2"/>
    </row>
    <row r="94" s="1" customFormat="1" customHeight="1" spans="1:1">
      <c r="A94" s="2"/>
    </row>
    <row r="95" s="1" customFormat="1" customHeight="1" spans="1:1">
      <c r="A95" s="2"/>
    </row>
    <row r="96" s="1" customFormat="1" customHeight="1" spans="1:1">
      <c r="A96" s="2"/>
    </row>
    <row r="97" s="1" customFormat="1" customHeight="1" spans="1:1">
      <c r="A97" s="2"/>
    </row>
    <row r="98" s="1" customFormat="1" customHeight="1" spans="1:1">
      <c r="A98" s="2"/>
    </row>
    <row r="99" s="1" customFormat="1" customHeight="1" spans="1:1">
      <c r="A99" s="2"/>
    </row>
    <row r="100" s="1" customFormat="1" customHeight="1" spans="1:1">
      <c r="A100" s="2"/>
    </row>
    <row r="101" s="1" customFormat="1" customHeight="1" spans="1:1">
      <c r="A101" s="2"/>
    </row>
    <row r="102" s="1" customFormat="1" customHeight="1" spans="1:1">
      <c r="A102" s="2"/>
    </row>
    <row r="103" s="1" customFormat="1" customHeight="1" spans="1:1">
      <c r="A103" s="2"/>
    </row>
    <row r="104" s="1" customFormat="1" customHeight="1" spans="1:1">
      <c r="A104" s="2"/>
    </row>
    <row r="105" s="1" customFormat="1" customHeight="1" spans="1:1">
      <c r="A105" s="2"/>
    </row>
    <row r="106" s="1" customFormat="1" customHeight="1" spans="1:1">
      <c r="A106" s="2"/>
    </row>
    <row r="107" s="1" customFormat="1" customHeight="1" spans="1:1">
      <c r="A107" s="2"/>
    </row>
    <row r="108" s="1" customFormat="1" customHeight="1" spans="1:1">
      <c r="A108" s="2"/>
    </row>
    <row r="109" s="1" customFormat="1" customHeight="1" spans="1:1">
      <c r="A109" s="2"/>
    </row>
    <row r="110" s="1" customFormat="1" customHeight="1" spans="1:1">
      <c r="A110" s="2"/>
    </row>
    <row r="111" s="1" customFormat="1" customHeight="1" spans="1:1">
      <c r="A111" s="2"/>
    </row>
    <row r="112" s="1" customFormat="1" customHeight="1" spans="1:1">
      <c r="A112" s="2"/>
    </row>
    <row r="113" s="1" customFormat="1" customHeight="1" spans="1:1">
      <c r="A113" s="2"/>
    </row>
    <row r="114" s="1" customFormat="1" customHeight="1" spans="1:1">
      <c r="A114" s="2"/>
    </row>
    <row r="115" s="1" customFormat="1" customHeight="1" spans="1:1">
      <c r="A115" s="2"/>
    </row>
    <row r="116" s="1" customFormat="1" customHeight="1" spans="1:1">
      <c r="A116" s="2"/>
    </row>
    <row r="117" s="1" customFormat="1" customHeight="1" spans="1:1">
      <c r="A117" s="2"/>
    </row>
    <row r="118" s="1" customFormat="1" customHeight="1" spans="1:1">
      <c r="A118" s="2"/>
    </row>
    <row r="119" s="1" customFormat="1" customHeight="1" spans="1:1">
      <c r="A119" s="2"/>
    </row>
    <row r="120" s="1" customFormat="1" customHeight="1" spans="1:1">
      <c r="A120" s="2"/>
    </row>
    <row r="121" s="1" customFormat="1" customHeight="1" spans="1:1">
      <c r="A121" s="2"/>
    </row>
    <row r="122" s="1" customFormat="1" customHeight="1" spans="1:1">
      <c r="A122" s="2"/>
    </row>
    <row r="123" s="1" customFormat="1" customHeight="1" spans="1:1">
      <c r="A123" s="2"/>
    </row>
    <row r="124" s="1" customFormat="1" customHeight="1" spans="1:1">
      <c r="A124" s="2"/>
    </row>
    <row r="125" s="1" customFormat="1" customHeight="1" spans="1:1">
      <c r="A125" s="2"/>
    </row>
    <row r="126" s="1" customFormat="1" customHeight="1" spans="1:1">
      <c r="A126" s="2"/>
    </row>
    <row r="127" s="1" customFormat="1" customHeight="1" spans="1:1">
      <c r="A127" s="2"/>
    </row>
    <row r="128" s="1" customFormat="1" customHeight="1" spans="1:1">
      <c r="A128" s="2"/>
    </row>
    <row r="129" s="1" customFormat="1" customHeight="1" spans="1:1">
      <c r="A129" s="2"/>
    </row>
    <row r="130" s="1" customFormat="1" customHeight="1" spans="1:1">
      <c r="A130" s="2"/>
    </row>
    <row r="131" s="1" customFormat="1" customHeight="1" spans="1:1">
      <c r="A131" s="2"/>
    </row>
    <row r="132" s="1" customFormat="1" customHeight="1" spans="1:1">
      <c r="A132" s="2"/>
    </row>
    <row r="133" s="1" customFormat="1" customHeight="1" spans="1:1">
      <c r="A133" s="2"/>
    </row>
    <row r="134" s="1" customFormat="1" customHeight="1" spans="1:1">
      <c r="A134" s="2"/>
    </row>
    <row r="135" s="1" customFormat="1" customHeight="1" spans="1:1">
      <c r="A135" s="2"/>
    </row>
    <row r="136" s="1" customFormat="1" customHeight="1" spans="1:1">
      <c r="A136" s="2"/>
    </row>
    <row r="137" s="1" customFormat="1" customHeight="1" spans="1:1">
      <c r="A137" s="2"/>
    </row>
    <row r="138" s="1" customFormat="1" customHeight="1" spans="1:1">
      <c r="A138" s="2"/>
    </row>
    <row r="139" s="1" customFormat="1" customHeight="1" spans="1:1">
      <c r="A139" s="2"/>
    </row>
    <row r="140" s="1" customFormat="1" customHeight="1" spans="1:1">
      <c r="A140" s="2"/>
    </row>
    <row r="141" s="1" customFormat="1" customHeight="1" spans="1:1">
      <c r="A141" s="2"/>
    </row>
    <row r="142" s="1" customFormat="1" customHeight="1" spans="1:1">
      <c r="A142" s="2"/>
    </row>
    <row r="143" s="1" customFormat="1" customHeight="1" spans="1:1">
      <c r="A143" s="2"/>
    </row>
    <row r="144" s="1" customFormat="1" customHeight="1" spans="1:1">
      <c r="A144" s="2"/>
    </row>
    <row r="145" s="1" customFormat="1" customHeight="1" spans="1:1">
      <c r="A145" s="2"/>
    </row>
    <row r="146" s="1" customFormat="1" customHeight="1" spans="1:1">
      <c r="A146" s="2"/>
    </row>
    <row r="147" s="1" customFormat="1" customHeight="1" spans="1:1">
      <c r="A147" s="2"/>
    </row>
    <row r="148" s="1" customFormat="1" customHeight="1" spans="1:1">
      <c r="A148" s="2"/>
    </row>
    <row r="149" s="1" customFormat="1" customHeight="1" spans="1:1">
      <c r="A149" s="2"/>
    </row>
    <row r="150" s="1" customFormat="1" customHeight="1" spans="1:1">
      <c r="A150" s="2"/>
    </row>
    <row r="151" s="1" customFormat="1" customHeight="1" spans="1:1">
      <c r="A151" s="2"/>
    </row>
    <row r="152" s="1" customFormat="1" customHeight="1" spans="1:1">
      <c r="A152" s="2"/>
    </row>
    <row r="153" s="1" customFormat="1" customHeight="1" spans="1:1">
      <c r="A153" s="2"/>
    </row>
    <row r="154" s="1" customFormat="1" customHeight="1" spans="1:1">
      <c r="A154" s="2"/>
    </row>
    <row r="155" s="1" customFormat="1" customHeight="1" spans="1:1">
      <c r="A155" s="2"/>
    </row>
    <row r="156" s="1" customFormat="1" customHeight="1" spans="1:1">
      <c r="A156" s="2"/>
    </row>
    <row r="157" s="1" customFormat="1" customHeight="1" spans="1:1">
      <c r="A157" s="2"/>
    </row>
    <row r="158" s="1" customFormat="1" customHeight="1" spans="1:1">
      <c r="A158" s="2"/>
    </row>
    <row r="159" s="1" customFormat="1" customHeight="1" spans="1:1">
      <c r="A159" s="2"/>
    </row>
    <row r="160" s="1" customFormat="1" customHeight="1" spans="1:1">
      <c r="A160" s="2"/>
    </row>
    <row r="161" s="1" customFormat="1" customHeight="1" spans="1:1">
      <c r="A161" s="2"/>
    </row>
    <row r="162" s="1" customFormat="1" customHeight="1" spans="1:1">
      <c r="A162" s="2"/>
    </row>
    <row r="163" s="1" customFormat="1" customHeight="1" spans="1:1">
      <c r="A163" s="2"/>
    </row>
    <row r="164" s="1" customFormat="1" customHeight="1" spans="1:1">
      <c r="A164" s="2"/>
    </row>
    <row r="165" s="1" customFormat="1" customHeight="1" spans="1:1">
      <c r="A165" s="2"/>
    </row>
    <row r="166" s="1" customFormat="1" customHeight="1" spans="1:1">
      <c r="A166" s="2"/>
    </row>
    <row r="167" s="1" customFormat="1" customHeight="1" spans="1:1">
      <c r="A167" s="2"/>
    </row>
    <row r="168" s="1" customFormat="1" customHeight="1" spans="1:1">
      <c r="A168" s="2"/>
    </row>
    <row r="169" s="1" customFormat="1" customHeight="1" spans="1:1">
      <c r="A169" s="2"/>
    </row>
    <row r="170" s="1" customFormat="1" customHeight="1" spans="1:1">
      <c r="A170" s="2"/>
    </row>
    <row r="171" s="1" customFormat="1" customHeight="1" spans="1:1">
      <c r="A171" s="2"/>
    </row>
    <row r="172" s="1" customFormat="1" customHeight="1" spans="1:1">
      <c r="A172" s="2"/>
    </row>
    <row r="173" s="1" customFormat="1" customHeight="1" spans="1:1">
      <c r="A173" s="2"/>
    </row>
    <row r="174" s="1" customFormat="1" customHeight="1" spans="1:1">
      <c r="A174" s="2"/>
    </row>
    <row r="175" s="1" customFormat="1" customHeight="1" spans="1:1">
      <c r="A175" s="2"/>
    </row>
    <row r="176" s="1" customFormat="1" customHeight="1" spans="1:1">
      <c r="A176" s="2"/>
    </row>
    <row r="177" s="1" customFormat="1" customHeight="1" spans="1:1">
      <c r="A177" s="2"/>
    </row>
    <row r="178" s="1" customFormat="1" customHeight="1" spans="1:1">
      <c r="A178" s="2"/>
    </row>
    <row r="179" s="1" customFormat="1" customHeight="1" spans="1:1">
      <c r="A179" s="2"/>
    </row>
    <row r="180" s="1" customFormat="1" customHeight="1" spans="1:1">
      <c r="A180" s="2"/>
    </row>
    <row r="181" s="1" customFormat="1" customHeight="1" spans="1:1">
      <c r="A181" s="2"/>
    </row>
    <row r="182" s="1" customFormat="1" customHeight="1" spans="1:1">
      <c r="A182" s="2"/>
    </row>
    <row r="183" s="1" customFormat="1" customHeight="1" spans="1:1">
      <c r="A183" s="2"/>
    </row>
    <row r="184" s="1" customFormat="1" customHeight="1" spans="1:1">
      <c r="A184" s="2"/>
    </row>
    <row r="185" s="1" customFormat="1" customHeight="1" spans="1:1">
      <c r="A185" s="2"/>
    </row>
    <row r="186" s="1" customFormat="1" customHeight="1" spans="1:1">
      <c r="A186" s="2"/>
    </row>
    <row r="187" s="1" customFormat="1" customHeight="1" spans="1:1">
      <c r="A187" s="2"/>
    </row>
    <row r="188" s="1" customFormat="1" customHeight="1" spans="1:1">
      <c r="A188" s="2"/>
    </row>
    <row r="189" s="1" customFormat="1" customHeight="1" spans="1:1">
      <c r="A189" s="2"/>
    </row>
    <row r="190" s="1" customFormat="1" customHeight="1" spans="1:1">
      <c r="A190" s="2"/>
    </row>
    <row r="191" s="1" customFormat="1" customHeight="1" spans="1:1">
      <c r="A191" s="2"/>
    </row>
    <row r="192" s="1" customFormat="1" customHeight="1" spans="1:1">
      <c r="A192" s="2"/>
    </row>
    <row r="193" s="1" customFormat="1" customHeight="1" spans="1:1">
      <c r="A193" s="2"/>
    </row>
    <row r="194" s="1" customFormat="1" customHeight="1" spans="1:1">
      <c r="A194" s="2"/>
    </row>
    <row r="195" s="1" customFormat="1" customHeight="1" spans="1:1">
      <c r="A195" s="2"/>
    </row>
    <row r="196" s="1" customFormat="1" customHeight="1" spans="1:1">
      <c r="A196" s="2"/>
    </row>
    <row r="197" s="1" customFormat="1" customHeight="1" spans="1:1">
      <c r="A197" s="2"/>
    </row>
    <row r="198" s="1" customFormat="1" customHeight="1" spans="1:1">
      <c r="A198" s="2"/>
    </row>
    <row r="199" s="1" customFormat="1" customHeight="1" spans="1:1">
      <c r="A199" s="2"/>
    </row>
    <row r="200" s="1" customFormat="1" customHeight="1" spans="1:1">
      <c r="A200" s="2"/>
    </row>
    <row r="201" s="1" customFormat="1" customHeight="1" spans="1:1">
      <c r="A201" s="2"/>
    </row>
    <row r="202" s="1" customFormat="1" customHeight="1" spans="1:1">
      <c r="A202" s="2"/>
    </row>
    <row r="203" s="1" customFormat="1" customHeight="1" spans="1:1">
      <c r="A203" s="2"/>
    </row>
    <row r="204" s="1" customFormat="1" customHeight="1" spans="1:1">
      <c r="A204" s="2"/>
    </row>
    <row r="205" s="1" customFormat="1" customHeight="1" spans="1:1">
      <c r="A205" s="2"/>
    </row>
    <row r="206" s="1" customFormat="1" customHeight="1" spans="1:1">
      <c r="A206" s="2"/>
    </row>
    <row r="207" s="1" customFormat="1" customHeight="1" spans="1:1">
      <c r="A207" s="2"/>
    </row>
    <row r="208" s="1" customFormat="1" customHeight="1" spans="1:1">
      <c r="A208" s="2"/>
    </row>
    <row r="209" s="1" customFormat="1" customHeight="1" spans="1:1">
      <c r="A209" s="2"/>
    </row>
    <row r="210" s="1" customFormat="1" customHeight="1" spans="1:1">
      <c r="A210" s="2"/>
    </row>
    <row r="211" s="1" customFormat="1" customHeight="1" spans="1:1">
      <c r="A211" s="2"/>
    </row>
    <row r="212" s="1" customFormat="1" customHeight="1" spans="1:1">
      <c r="A212" s="2"/>
    </row>
    <row r="213" s="1" customFormat="1" customHeight="1" spans="1:1">
      <c r="A213" s="2"/>
    </row>
    <row r="214" s="1" customFormat="1" customHeight="1" spans="1:1">
      <c r="A214" s="2"/>
    </row>
    <row r="215" s="1" customFormat="1" customHeight="1" spans="1:1">
      <c r="A215" s="2"/>
    </row>
    <row r="216" s="1" customFormat="1" customHeight="1" spans="1:1">
      <c r="A216" s="2"/>
    </row>
    <row r="217" s="1" customFormat="1" customHeight="1" spans="1:1">
      <c r="A217" s="2"/>
    </row>
    <row r="218" s="1" customFormat="1" customHeight="1" spans="1:1">
      <c r="A218" s="2"/>
    </row>
    <row r="219" s="1" customFormat="1" customHeight="1" spans="1:1">
      <c r="A219" s="2"/>
    </row>
    <row r="220" s="1" customFormat="1" customHeight="1" spans="1:1">
      <c r="A220" s="2"/>
    </row>
    <row r="221" s="1" customFormat="1" customHeight="1" spans="1:1">
      <c r="A221" s="2"/>
    </row>
    <row r="222" s="1" customFormat="1" customHeight="1" spans="1:1">
      <c r="A222" s="2"/>
    </row>
    <row r="223" s="1" customFormat="1" customHeight="1" spans="1:1">
      <c r="A223" s="2"/>
    </row>
    <row r="224" s="1" customFormat="1" customHeight="1" spans="1:1">
      <c r="A224" s="2"/>
    </row>
    <row r="225" s="1" customFormat="1" customHeight="1" spans="1:1">
      <c r="A225" s="2"/>
    </row>
    <row r="226" s="1" customFormat="1" customHeight="1" spans="1:1">
      <c r="A226" s="2"/>
    </row>
    <row r="227" s="1" customFormat="1" customHeight="1" spans="1:1">
      <c r="A227" s="2"/>
    </row>
    <row r="228" s="1" customFormat="1" customHeight="1" spans="1:1">
      <c r="A228" s="2"/>
    </row>
    <row r="229" s="1" customFormat="1" customHeight="1" spans="1:1">
      <c r="A229" s="2"/>
    </row>
    <row r="230" s="1" customFormat="1" customHeight="1" spans="1:1">
      <c r="A230" s="2"/>
    </row>
    <row r="231" s="1" customFormat="1" customHeight="1" spans="1:1">
      <c r="A231" s="2"/>
    </row>
    <row r="232" s="1" customFormat="1" customHeight="1" spans="1:1">
      <c r="A232" s="2"/>
    </row>
    <row r="233" s="1" customFormat="1" customHeight="1" spans="1:1">
      <c r="A233" s="2"/>
    </row>
    <row r="234" s="1" customFormat="1" customHeight="1" spans="1:1">
      <c r="A234" s="2"/>
    </row>
    <row r="235" s="1" customFormat="1" customHeight="1" spans="1:1">
      <c r="A235" s="2"/>
    </row>
    <row r="236" s="1" customFormat="1" customHeight="1" spans="1:1">
      <c r="A236" s="2"/>
    </row>
    <row r="237" s="1" customFormat="1" customHeight="1" spans="1:1">
      <c r="A237" s="2"/>
    </row>
    <row r="238" s="1" customFormat="1" customHeight="1" spans="1:1">
      <c r="A238" s="2"/>
    </row>
    <row r="239" s="1" customFormat="1" customHeight="1" spans="1:1">
      <c r="A239" s="2"/>
    </row>
    <row r="240" s="1" customFormat="1" customHeight="1" spans="1:1">
      <c r="A240" s="2"/>
    </row>
    <row r="241" s="1" customFormat="1" customHeight="1" spans="1:1">
      <c r="A241" s="2"/>
    </row>
    <row r="242" s="1" customFormat="1" customHeight="1" spans="1:1">
      <c r="A242" s="2"/>
    </row>
    <row r="243" s="1" customFormat="1" customHeight="1" spans="1:1">
      <c r="A243" s="2"/>
    </row>
    <row r="244" s="1" customFormat="1" customHeight="1" spans="1:1">
      <c r="A244" s="2"/>
    </row>
    <row r="245" s="1" customFormat="1" customHeight="1" spans="1:1">
      <c r="A245" s="2"/>
    </row>
    <row r="246" s="1" customFormat="1" customHeight="1" spans="1:1">
      <c r="A246" s="2"/>
    </row>
    <row r="247" s="1" customFormat="1" customHeight="1" spans="1:1">
      <c r="A247" s="2"/>
    </row>
    <row r="248" s="1" customFormat="1" customHeight="1" spans="1:1">
      <c r="A248" s="2"/>
    </row>
    <row r="249" s="1" customFormat="1" customHeight="1" spans="1:1">
      <c r="A249" s="2"/>
    </row>
    <row r="250" s="1" customFormat="1" customHeight="1" spans="1:1">
      <c r="A250" s="2"/>
    </row>
    <row r="251" s="1" customFormat="1" customHeight="1" spans="1:1">
      <c r="A251" s="2"/>
    </row>
    <row r="252" s="1" customFormat="1" customHeight="1" spans="1:1">
      <c r="A252" s="2"/>
    </row>
    <row r="253" s="1" customFormat="1" customHeight="1" spans="1:1">
      <c r="A253" s="2"/>
    </row>
    <row r="254" s="1" customFormat="1" customHeight="1" spans="1:1">
      <c r="A254" s="2"/>
    </row>
    <row r="255" s="1" customFormat="1" customHeight="1" spans="1:1">
      <c r="A255" s="2"/>
    </row>
    <row r="256" s="1" customFormat="1" customHeight="1" spans="1:1">
      <c r="A256" s="2"/>
    </row>
    <row r="257" s="1" customFormat="1" customHeight="1" spans="1:1">
      <c r="A257" s="2"/>
    </row>
    <row r="258" s="1" customFormat="1" customHeight="1" spans="1:1">
      <c r="A258" s="2"/>
    </row>
    <row r="259" s="1" customFormat="1" customHeight="1" spans="1:1">
      <c r="A259" s="2"/>
    </row>
    <row r="260" s="1" customFormat="1" customHeight="1" spans="1:1">
      <c r="A260" s="2"/>
    </row>
    <row r="261" s="1" customFormat="1" customHeight="1" spans="1:1">
      <c r="A261" s="2"/>
    </row>
    <row r="262" s="1" customFormat="1" customHeight="1" spans="1:1">
      <c r="A262" s="2"/>
    </row>
    <row r="263" s="1" customFormat="1" customHeight="1" spans="1:1">
      <c r="A263" s="2"/>
    </row>
    <row r="264" s="1" customFormat="1" customHeight="1" spans="1:1">
      <c r="A264" s="2"/>
    </row>
    <row r="265" s="1" customFormat="1" customHeight="1" spans="1:1">
      <c r="A265" s="2"/>
    </row>
    <row r="266" s="1" customFormat="1" customHeight="1" spans="1:1">
      <c r="A266" s="2"/>
    </row>
    <row r="267" s="1" customFormat="1" customHeight="1" spans="1:1">
      <c r="A267" s="2"/>
    </row>
    <row r="268" s="1" customFormat="1" customHeight="1" spans="1:1">
      <c r="A268" s="2"/>
    </row>
    <row r="269" s="1" customFormat="1" customHeight="1" spans="1:1">
      <c r="A269" s="2"/>
    </row>
    <row r="270" s="1" customFormat="1" customHeight="1" spans="1:1">
      <c r="A270" s="2"/>
    </row>
    <row r="271" s="1" customFormat="1" customHeight="1" spans="1:1">
      <c r="A271" s="2"/>
    </row>
    <row r="272" s="1" customFormat="1" customHeight="1" spans="1:1">
      <c r="A272" s="2"/>
    </row>
    <row r="273" s="1" customFormat="1" customHeight="1" spans="1:1">
      <c r="A273" s="2"/>
    </row>
    <row r="274" s="1" customFormat="1" customHeight="1" spans="1:1">
      <c r="A274" s="2"/>
    </row>
    <row r="275" s="1" customFormat="1" customHeight="1" spans="1:1">
      <c r="A275" s="2"/>
    </row>
    <row r="276" s="1" customFormat="1" customHeight="1" spans="1:1">
      <c r="A276" s="2"/>
    </row>
    <row r="277" s="1" customFormat="1" customHeight="1" spans="1:1">
      <c r="A277" s="2"/>
    </row>
    <row r="278" s="1" customFormat="1" customHeight="1" spans="1:1">
      <c r="A278" s="2"/>
    </row>
    <row r="279" s="1" customFormat="1" customHeight="1" spans="1:1">
      <c r="A279" s="2"/>
    </row>
    <row r="280" s="1" customFormat="1" customHeight="1" spans="1:1">
      <c r="A280" s="2"/>
    </row>
    <row r="281" s="1" customFormat="1" customHeight="1" spans="1:1">
      <c r="A281" s="2"/>
    </row>
    <row r="282" s="1" customFormat="1" customHeight="1" spans="1:1">
      <c r="A282" s="2"/>
    </row>
    <row r="283" s="1" customFormat="1" customHeight="1" spans="1:1">
      <c r="A283" s="2"/>
    </row>
    <row r="284" s="1" customFormat="1" customHeight="1" spans="1:1">
      <c r="A284" s="2"/>
    </row>
    <row r="285" s="1" customFormat="1" customHeight="1" spans="1:1">
      <c r="A285" s="2"/>
    </row>
    <row r="286" s="1" customFormat="1" customHeight="1" spans="1:1">
      <c r="A286" s="2"/>
    </row>
    <row r="287" s="1" customFormat="1" customHeight="1" spans="1:1">
      <c r="A287" s="2"/>
    </row>
    <row r="288" s="1" customFormat="1" customHeight="1" spans="1:1">
      <c r="A288" s="2"/>
    </row>
    <row r="289" s="1" customFormat="1" customHeight="1" spans="1:1">
      <c r="A289" s="2"/>
    </row>
    <row r="290" s="1" customFormat="1" customHeight="1" spans="1:1">
      <c r="A290" s="2"/>
    </row>
    <row r="291" s="1" customFormat="1" customHeight="1" spans="1:1">
      <c r="A291" s="2"/>
    </row>
    <row r="292" s="1" customFormat="1" customHeight="1" spans="1:1">
      <c r="A292" s="2"/>
    </row>
    <row r="293" s="1" customFormat="1" customHeight="1" spans="1:1">
      <c r="A293" s="2"/>
    </row>
    <row r="294" s="1" customFormat="1" customHeight="1" spans="1:1">
      <c r="A294" s="2"/>
    </row>
    <row r="295" s="1" customFormat="1" customHeight="1" spans="1:1">
      <c r="A295" s="2"/>
    </row>
    <row r="296" s="1" customFormat="1" customHeight="1" spans="1:1">
      <c r="A296" s="2"/>
    </row>
    <row r="297" s="1" customFormat="1" customHeight="1" spans="1:1">
      <c r="A297" s="2"/>
    </row>
    <row r="298" s="1" customFormat="1" customHeight="1" spans="1:1">
      <c r="A298" s="2"/>
    </row>
    <row r="299" s="1" customFormat="1" customHeight="1" spans="1:1">
      <c r="A299" s="2"/>
    </row>
    <row r="300" s="1" customFormat="1" customHeight="1" spans="1:1">
      <c r="A300" s="2"/>
    </row>
    <row r="301" s="1" customFormat="1" customHeight="1" spans="1:1">
      <c r="A301" s="2"/>
    </row>
    <row r="302" s="1" customFormat="1" customHeight="1" spans="1:1">
      <c r="A302" s="2"/>
    </row>
    <row r="303" s="1" customFormat="1" customHeight="1" spans="1:1">
      <c r="A303" s="2"/>
    </row>
    <row r="304" s="1" customFormat="1" customHeight="1" spans="1:1">
      <c r="A304" s="2"/>
    </row>
    <row r="305" s="1" customFormat="1" customHeight="1" spans="1:1">
      <c r="A305" s="2"/>
    </row>
    <row r="306" s="1" customFormat="1" customHeight="1" spans="1:1">
      <c r="A306" s="2"/>
    </row>
    <row r="307" s="1" customFormat="1" customHeight="1" spans="1:1">
      <c r="A307" s="2"/>
    </row>
    <row r="308" s="1" customFormat="1" customHeight="1" spans="1:1">
      <c r="A308" s="2"/>
    </row>
    <row r="309" s="1" customFormat="1" customHeight="1" spans="1:1">
      <c r="A309" s="2"/>
    </row>
    <row r="310" s="1" customFormat="1" customHeight="1" spans="1:1">
      <c r="A310" s="2"/>
    </row>
    <row r="311" s="1" customFormat="1" customHeight="1" spans="1:1">
      <c r="A311" s="2"/>
    </row>
    <row r="312" s="1" customFormat="1" customHeight="1" spans="1:1">
      <c r="A312" s="2"/>
    </row>
    <row r="313" s="1" customFormat="1" customHeight="1" spans="1:1">
      <c r="A313" s="2"/>
    </row>
    <row r="314" s="1" customFormat="1" customHeight="1" spans="1:1">
      <c r="A314" s="2"/>
    </row>
    <row r="315" s="1" customFormat="1" customHeight="1" spans="1:1">
      <c r="A315" s="2"/>
    </row>
    <row r="316" s="1" customFormat="1" customHeight="1" spans="1:1">
      <c r="A316" s="2"/>
    </row>
    <row r="317" s="1" customFormat="1" customHeight="1" spans="1:1">
      <c r="A317" s="2"/>
    </row>
    <row r="318" s="1" customFormat="1" customHeight="1" spans="1:1">
      <c r="A318" s="2"/>
    </row>
    <row r="319" s="1" customFormat="1" customHeight="1" spans="1:1">
      <c r="A319" s="2"/>
    </row>
    <row r="320" s="1" customFormat="1" customHeight="1" spans="1:1">
      <c r="A320" s="2"/>
    </row>
    <row r="321" s="1" customFormat="1" customHeight="1" spans="1:1">
      <c r="A321" s="2"/>
    </row>
    <row r="322" s="1" customFormat="1" customHeight="1" spans="1:1">
      <c r="A322" s="2"/>
    </row>
    <row r="323" s="1" customFormat="1" customHeight="1" spans="1:1">
      <c r="A323" s="2"/>
    </row>
    <row r="324" s="1" customFormat="1" customHeight="1" spans="1:1">
      <c r="A324" s="2"/>
    </row>
    <row r="325" s="1" customFormat="1" customHeight="1" spans="1:1">
      <c r="A325" s="2"/>
    </row>
    <row r="326" s="1" customFormat="1" customHeight="1" spans="1:1">
      <c r="A326" s="2"/>
    </row>
    <row r="327" s="1" customFormat="1" customHeight="1" spans="1:1">
      <c r="A327" s="2"/>
    </row>
    <row r="328" s="1" customFormat="1" customHeight="1" spans="1:1">
      <c r="A328" s="2"/>
    </row>
    <row r="329" s="1" customFormat="1" customHeight="1" spans="1:1">
      <c r="A329" s="2"/>
    </row>
    <row r="330" s="1" customFormat="1" customHeight="1" spans="1:1">
      <c r="A330" s="2"/>
    </row>
    <row r="331" s="1" customFormat="1" customHeight="1" spans="1:1">
      <c r="A331" s="2"/>
    </row>
    <row r="332" s="1" customFormat="1" customHeight="1" spans="1:1">
      <c r="A332" s="2"/>
    </row>
    <row r="333" s="1" customFormat="1" customHeight="1" spans="1:1">
      <c r="A333" s="2"/>
    </row>
    <row r="334" s="1" customFormat="1" customHeight="1" spans="1:1">
      <c r="A334" s="2"/>
    </row>
    <row r="335" s="1" customFormat="1" customHeight="1" spans="1:1">
      <c r="A335" s="2"/>
    </row>
    <row r="336" s="1" customFormat="1" customHeight="1" spans="1:1">
      <c r="A336" s="2"/>
    </row>
    <row r="337" s="1" customFormat="1" customHeight="1" spans="1:1">
      <c r="A337" s="2"/>
    </row>
    <row r="338" s="1" customFormat="1" customHeight="1" spans="1:1">
      <c r="A338" s="2"/>
    </row>
    <row r="339" s="1" customFormat="1" customHeight="1" spans="1:1">
      <c r="A339" s="2"/>
    </row>
    <row r="340" s="1" customFormat="1" customHeight="1" spans="1:1">
      <c r="A340" s="2"/>
    </row>
    <row r="341" s="1" customFormat="1" customHeight="1" spans="1:1">
      <c r="A341" s="2"/>
    </row>
    <row r="342" s="1" customFormat="1" customHeight="1" spans="1:1">
      <c r="A342" s="2"/>
    </row>
    <row r="343" s="1" customFormat="1" customHeight="1" spans="1:1">
      <c r="A343" s="2"/>
    </row>
    <row r="344" s="1" customFormat="1" customHeight="1" spans="1:1">
      <c r="A344" s="2"/>
    </row>
    <row r="345" s="1" customFormat="1" customHeight="1" spans="1:1">
      <c r="A345" s="2"/>
    </row>
    <row r="346" s="1" customFormat="1" customHeight="1" spans="1:1">
      <c r="A346" s="2"/>
    </row>
    <row r="347" s="1" customFormat="1" customHeight="1" spans="1:1">
      <c r="A347" s="2"/>
    </row>
    <row r="348" s="1" customFormat="1" customHeight="1" spans="1:1">
      <c r="A348" s="2"/>
    </row>
    <row r="349" s="1" customFormat="1" customHeight="1" spans="1:1">
      <c r="A349" s="2"/>
    </row>
    <row r="350" s="1" customFormat="1" customHeight="1" spans="1:1">
      <c r="A350" s="2"/>
    </row>
    <row r="351" s="1" customFormat="1" customHeight="1" spans="1:1">
      <c r="A351" s="2"/>
    </row>
    <row r="352" s="1" customFormat="1" customHeight="1" spans="1:1">
      <c r="A352" s="2"/>
    </row>
    <row r="353" s="1" customFormat="1" customHeight="1" spans="1:1">
      <c r="A353" s="2"/>
    </row>
    <row r="354" s="1" customFormat="1" customHeight="1" spans="1:1">
      <c r="A354" s="2"/>
    </row>
    <row r="355" s="1" customFormat="1" customHeight="1" spans="1:1">
      <c r="A355" s="2"/>
    </row>
    <row r="356" s="1" customFormat="1" customHeight="1" spans="1:1">
      <c r="A356" s="2"/>
    </row>
    <row r="357" s="1" customFormat="1" customHeight="1" spans="1:1">
      <c r="A357" s="2"/>
    </row>
    <row r="358" s="1" customFormat="1" customHeight="1" spans="1:1">
      <c r="A358" s="2"/>
    </row>
    <row r="359" s="1" customFormat="1" customHeight="1" spans="1:1">
      <c r="A359" s="2"/>
    </row>
    <row r="360" s="1" customFormat="1" customHeight="1" spans="1:1">
      <c r="A360" s="2"/>
    </row>
    <row r="361" s="1" customFormat="1" customHeight="1" spans="1:1">
      <c r="A361" s="2"/>
    </row>
    <row r="362" s="1" customFormat="1" customHeight="1" spans="1:1">
      <c r="A362" s="2"/>
    </row>
    <row r="363" s="1" customFormat="1" customHeight="1" spans="1:1">
      <c r="A363" s="2"/>
    </row>
    <row r="364" s="1" customFormat="1" customHeight="1" spans="1:1">
      <c r="A364" s="2"/>
    </row>
    <row r="365" s="1" customFormat="1" customHeight="1" spans="1:1">
      <c r="A365" s="2"/>
    </row>
    <row r="366" s="1" customFormat="1" customHeight="1" spans="1:1">
      <c r="A366" s="2"/>
    </row>
    <row r="367" s="1" customFormat="1" customHeight="1" spans="1:1">
      <c r="A367" s="2"/>
    </row>
    <row r="368" s="1" customFormat="1" customHeight="1" spans="1:1">
      <c r="A368" s="2"/>
    </row>
    <row r="369" s="1" customFormat="1" customHeight="1" spans="1:1">
      <c r="A369" s="2"/>
    </row>
    <row r="370" s="1" customFormat="1" customHeight="1" spans="1:1">
      <c r="A370" s="2"/>
    </row>
    <row r="371" s="1" customFormat="1" customHeight="1" spans="1:1">
      <c r="A371" s="2"/>
    </row>
    <row r="372" s="1" customFormat="1" customHeight="1" spans="1:1">
      <c r="A372" s="2"/>
    </row>
    <row r="373" s="1" customFormat="1" customHeight="1" spans="1:1">
      <c r="A373" s="2"/>
    </row>
    <row r="374" s="1" customFormat="1" customHeight="1" spans="1:1">
      <c r="A374" s="2"/>
    </row>
    <row r="375" s="1" customFormat="1" customHeight="1" spans="1:1">
      <c r="A375" s="2"/>
    </row>
    <row r="376" s="1" customFormat="1" customHeight="1" spans="1:1">
      <c r="A376" s="2"/>
    </row>
    <row r="377" s="1" customFormat="1" customHeight="1" spans="1:1">
      <c r="A377" s="2"/>
    </row>
    <row r="378" s="1" customFormat="1" customHeight="1" spans="1:1">
      <c r="A378" s="2"/>
    </row>
    <row r="379" s="1" customFormat="1" customHeight="1" spans="1:1">
      <c r="A379" s="2"/>
    </row>
    <row r="380" s="1" customFormat="1" customHeight="1" spans="1:1">
      <c r="A380" s="2"/>
    </row>
    <row r="381" s="1" customFormat="1" customHeight="1" spans="1:1">
      <c r="A381" s="2"/>
    </row>
    <row r="382" s="1" customFormat="1" customHeight="1" spans="1:1">
      <c r="A382" s="2"/>
    </row>
    <row r="383" s="1" customFormat="1" customHeight="1" spans="1:1">
      <c r="A383" s="2"/>
    </row>
    <row r="384" s="1" customFormat="1" customHeight="1" spans="1:1">
      <c r="A384" s="2"/>
    </row>
    <row r="385" s="1" customFormat="1" customHeight="1" spans="1:1">
      <c r="A385" s="2"/>
    </row>
    <row r="386" s="1" customFormat="1" customHeight="1" spans="1:1">
      <c r="A386" s="2"/>
    </row>
    <row r="387" s="1" customFormat="1" customHeight="1" spans="1:1">
      <c r="A387" s="2"/>
    </row>
    <row r="388" s="1" customFormat="1" customHeight="1" spans="1:1">
      <c r="A388" s="2"/>
    </row>
    <row r="389" s="1" customFormat="1" customHeight="1" spans="1:1">
      <c r="A389" s="2"/>
    </row>
    <row r="390" s="1" customFormat="1" customHeight="1" spans="1:1">
      <c r="A390" s="2"/>
    </row>
    <row r="391" s="1" customFormat="1" customHeight="1" spans="1:1">
      <c r="A391" s="2"/>
    </row>
    <row r="392" s="1" customFormat="1" customHeight="1" spans="1:1">
      <c r="A392" s="2"/>
    </row>
    <row r="393" s="1" customFormat="1" customHeight="1" spans="1:1">
      <c r="A393" s="2"/>
    </row>
    <row r="394" s="1" customFormat="1" customHeight="1" spans="1:1">
      <c r="A394" s="2"/>
    </row>
    <row r="395" s="1" customFormat="1" customHeight="1" spans="1:1">
      <c r="A395" s="2"/>
    </row>
    <row r="396" s="1" customFormat="1" customHeight="1" spans="1:1">
      <c r="A396" s="2"/>
    </row>
    <row r="397" s="1" customFormat="1" customHeight="1" spans="1:1">
      <c r="A397" s="2"/>
    </row>
    <row r="398" s="1" customFormat="1" customHeight="1" spans="1:1">
      <c r="A398" s="2"/>
    </row>
    <row r="399" s="1" customFormat="1" customHeight="1" spans="1:1">
      <c r="A399" s="2"/>
    </row>
    <row r="400" s="1" customFormat="1" customHeight="1" spans="1:1">
      <c r="A400" s="2"/>
    </row>
    <row r="401" s="1" customFormat="1" customHeight="1" spans="1:1">
      <c r="A401" s="2"/>
    </row>
    <row r="402" s="1" customFormat="1" customHeight="1" spans="1:1">
      <c r="A402" s="2"/>
    </row>
    <row r="403" s="1" customFormat="1" customHeight="1" spans="1:1">
      <c r="A403" s="2"/>
    </row>
    <row r="404" s="1" customFormat="1" customHeight="1" spans="1:1">
      <c r="A404" s="2"/>
    </row>
    <row r="405" s="1" customFormat="1" customHeight="1" spans="1:1">
      <c r="A405" s="2"/>
    </row>
    <row r="406" s="1" customFormat="1" customHeight="1" spans="1:1">
      <c r="A406" s="2"/>
    </row>
    <row r="407" s="1" customFormat="1" customHeight="1" spans="1:1">
      <c r="A407" s="2"/>
    </row>
    <row r="408" s="1" customFormat="1" customHeight="1" spans="1:1">
      <c r="A408" s="2"/>
    </row>
    <row r="409" s="1" customFormat="1" customHeight="1" spans="1:1">
      <c r="A409" s="2"/>
    </row>
    <row r="410" s="1" customFormat="1" customHeight="1" spans="1:1">
      <c r="A410" s="2"/>
    </row>
    <row r="411" s="1" customFormat="1" customHeight="1" spans="1:1">
      <c r="A411" s="2"/>
    </row>
    <row r="412" s="1" customFormat="1" customHeight="1" spans="1:1">
      <c r="A412" s="2"/>
    </row>
    <row r="413" s="1" customFormat="1" customHeight="1" spans="1:1">
      <c r="A413" s="2"/>
    </row>
    <row r="414" s="1" customFormat="1" customHeight="1" spans="1:1">
      <c r="A414" s="2"/>
    </row>
    <row r="415" s="1" customFormat="1" customHeight="1" spans="1:1">
      <c r="A415" s="2"/>
    </row>
    <row r="416" s="1" customFormat="1" customHeight="1" spans="1:1">
      <c r="A416" s="2"/>
    </row>
    <row r="417" s="1" customFormat="1" customHeight="1" spans="1:1">
      <c r="A417" s="2"/>
    </row>
    <row r="418" s="1" customFormat="1" customHeight="1" spans="1:1">
      <c r="A418" s="2"/>
    </row>
    <row r="419" s="1" customFormat="1" customHeight="1" spans="1:1">
      <c r="A419" s="2"/>
    </row>
    <row r="420" s="1" customFormat="1" customHeight="1" spans="1:1">
      <c r="A420" s="2"/>
    </row>
    <row r="421" s="1" customFormat="1" customHeight="1" spans="1:1">
      <c r="A421" s="2"/>
    </row>
    <row r="422" s="1" customFormat="1" customHeight="1" spans="1:1">
      <c r="A422" s="2"/>
    </row>
    <row r="423" s="1" customFormat="1" customHeight="1" spans="1:1">
      <c r="A423" s="2"/>
    </row>
    <row r="424" s="1" customFormat="1" customHeight="1" spans="1:1">
      <c r="A424" s="2"/>
    </row>
    <row r="425" s="1" customFormat="1" customHeight="1" spans="1:1">
      <c r="A425" s="2"/>
    </row>
    <row r="426" s="1" customFormat="1" customHeight="1" spans="1:1">
      <c r="A426" s="2"/>
    </row>
    <row r="427" s="1" customFormat="1" customHeight="1" spans="1:1">
      <c r="A427" s="2"/>
    </row>
    <row r="428" s="1" customFormat="1" customHeight="1" spans="1:1">
      <c r="A428" s="2"/>
    </row>
    <row r="429" s="1" customFormat="1" customHeight="1" spans="1:1">
      <c r="A429" s="2"/>
    </row>
    <row r="430" s="1" customFormat="1" customHeight="1" spans="1:1">
      <c r="A430" s="2"/>
    </row>
    <row r="431" s="1" customFormat="1" customHeight="1" spans="1:1">
      <c r="A431" s="2"/>
    </row>
    <row r="432" s="1" customFormat="1" customHeight="1" spans="1:1">
      <c r="A432" s="2"/>
    </row>
    <row r="433" s="1" customFormat="1" customHeight="1" spans="1:1">
      <c r="A433" s="2"/>
    </row>
    <row r="434" s="1" customFormat="1" customHeight="1" spans="1:1">
      <c r="A434" s="2"/>
    </row>
    <row r="435" s="1" customFormat="1" customHeight="1" spans="1:1">
      <c r="A435" s="2"/>
    </row>
    <row r="436" s="1" customFormat="1" customHeight="1" spans="1:1">
      <c r="A436" s="2"/>
    </row>
    <row r="437" s="1" customFormat="1" customHeight="1" spans="1:1">
      <c r="A437" s="2"/>
    </row>
    <row r="438" s="1" customFormat="1" customHeight="1" spans="1:1">
      <c r="A438" s="2"/>
    </row>
    <row r="439" s="1" customFormat="1" customHeight="1" spans="1:1">
      <c r="A439" s="2"/>
    </row>
    <row r="440" s="1" customFormat="1" customHeight="1" spans="1:1">
      <c r="A440" s="2"/>
    </row>
    <row r="441" s="1" customFormat="1" customHeight="1" spans="1:1">
      <c r="A441" s="2"/>
    </row>
    <row r="442" s="1" customFormat="1" customHeight="1" spans="1:1">
      <c r="A442" s="2"/>
    </row>
    <row r="443" s="1" customFormat="1" customHeight="1" spans="1:1">
      <c r="A443" s="2"/>
    </row>
    <row r="444" s="1" customFormat="1" customHeight="1" spans="1:1">
      <c r="A444" s="2"/>
    </row>
    <row r="445" s="1" customFormat="1" customHeight="1" spans="1:1">
      <c r="A445" s="2"/>
    </row>
    <row r="446" s="1" customFormat="1" customHeight="1" spans="1:1">
      <c r="A446" s="2"/>
    </row>
    <row r="447" s="1" customFormat="1" customHeight="1" spans="1:1">
      <c r="A447" s="2"/>
    </row>
    <row r="448" s="1" customFormat="1" customHeight="1" spans="1:1">
      <c r="A448" s="2"/>
    </row>
    <row r="449" s="1" customFormat="1" customHeight="1" spans="1:1">
      <c r="A449" s="2"/>
    </row>
    <row r="450" s="1" customFormat="1" customHeight="1" spans="1:1">
      <c r="A450" s="2"/>
    </row>
    <row r="451" s="1" customFormat="1" customHeight="1" spans="1:1">
      <c r="A451" s="2"/>
    </row>
    <row r="452" s="1" customFormat="1" customHeight="1" spans="1:1">
      <c r="A452" s="2"/>
    </row>
    <row r="453" s="1" customFormat="1" customHeight="1" spans="1:1">
      <c r="A453" s="2"/>
    </row>
    <row r="454" s="1" customFormat="1" customHeight="1" spans="1:1">
      <c r="A454" s="2"/>
    </row>
    <row r="455" s="1" customFormat="1" customHeight="1" spans="1:1">
      <c r="A455" s="2"/>
    </row>
    <row r="456" s="1" customFormat="1" customHeight="1" spans="1:1">
      <c r="A456" s="2"/>
    </row>
    <row r="457" s="1" customFormat="1" customHeight="1" spans="1:1">
      <c r="A457" s="2"/>
    </row>
    <row r="458" s="1" customFormat="1" customHeight="1" spans="1:1">
      <c r="A458" s="2"/>
    </row>
    <row r="459" s="1" customFormat="1" customHeight="1" spans="1:1">
      <c r="A459" s="2"/>
    </row>
    <row r="460" s="1" customFormat="1" customHeight="1" spans="1:1">
      <c r="A460" s="2"/>
    </row>
    <row r="461" s="1" customFormat="1" customHeight="1" spans="1:1">
      <c r="A461" s="2"/>
    </row>
    <row r="462" s="1" customFormat="1" customHeight="1" spans="1:1">
      <c r="A462" s="2"/>
    </row>
    <row r="463" s="1" customFormat="1" customHeight="1" spans="1:1">
      <c r="A463" s="2"/>
    </row>
    <row r="464" s="1" customFormat="1" customHeight="1" spans="1:1">
      <c r="A464" s="2"/>
    </row>
    <row r="465" s="1" customFormat="1" customHeight="1" spans="1:1">
      <c r="A465" s="2"/>
    </row>
    <row r="466" s="1" customFormat="1" customHeight="1" spans="1:1">
      <c r="A466" s="2"/>
    </row>
    <row r="467" s="1" customFormat="1" customHeight="1" spans="1:1">
      <c r="A467" s="2"/>
    </row>
    <row r="468" s="1" customFormat="1" customHeight="1" spans="1:1">
      <c r="A468" s="2"/>
    </row>
    <row r="469" s="1" customFormat="1" customHeight="1" spans="1:1">
      <c r="A469" s="2"/>
    </row>
    <row r="470" s="1" customFormat="1" customHeight="1" spans="1:1">
      <c r="A470" s="2"/>
    </row>
    <row r="471" s="1" customFormat="1" customHeight="1" spans="1:1">
      <c r="A471" s="2"/>
    </row>
    <row r="472" s="1" customFormat="1" customHeight="1" spans="1:1">
      <c r="A472" s="2"/>
    </row>
  </sheetData>
  <mergeCells count="2">
    <mergeCell ref="A1:G1"/>
    <mergeCell ref="A27:E2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铝价</vt:lpstr>
      <vt:lpstr>生产原材用料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秋祝</cp:lastModifiedBy>
  <dcterms:created xsi:type="dcterms:W3CDTF">2021-10-20T00:53:00Z</dcterms:created>
  <dcterms:modified xsi:type="dcterms:W3CDTF">2026-07-10T05:30:45Z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FFFC2906726F48AD9CEA8201F445C5D0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